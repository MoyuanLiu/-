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630" activeTab="1"/>
  </bookViews>
  <sheets>
    <sheet name="库存（子SKU）" sheetId="8" r:id="rId1"/>
    <sheet name="库存（父sku）" sheetId="11" r:id="rId2"/>
    <sheet name="时间" sheetId="10" r:id="rId3"/>
  </sheets>
  <externalReferences>
    <externalReference r:id="rId4"/>
    <externalReference r:id="rId5"/>
    <externalReference r:id="rId6"/>
    <externalReference r:id="rId7"/>
    <externalReference r:id="rId8"/>
  </externalReferences>
  <definedNames>
    <definedName name="_xlnm._FilterDatabase" localSheetId="0" hidden="1">'库存（子SKU）'!$C$6:$C$899</definedName>
    <definedName name="_xlnm._FilterDatabase" localSheetId="1" hidden="1">'库存（父sku）'!$A$4:$AT$246</definedName>
  </definedNames>
  <calcPr calcId="144525" concurrentCalc="0"/>
</workbook>
</file>

<file path=xl/sharedStrings.xml><?xml version="1.0" encoding="utf-8"?>
<sst xmlns="http://schemas.openxmlformats.org/spreadsheetml/2006/main" count="1511">
  <si>
    <t>Luciphia</t>
  </si>
  <si>
    <t>销售情况</t>
  </si>
  <si>
    <t>库存</t>
  </si>
  <si>
    <t>广告曝光量</t>
  </si>
  <si>
    <t>广告点击量</t>
  </si>
  <si>
    <t>广告点击率</t>
  </si>
  <si>
    <t>广告费</t>
  </si>
  <si>
    <t>销售额占比（广告费/销售额）</t>
  </si>
  <si>
    <t>浏览次数</t>
  </si>
  <si>
    <t>转化率（销量/浏览次数）</t>
  </si>
  <si>
    <t>销售预估</t>
  </si>
  <si>
    <t>时间</t>
  </si>
  <si>
    <t>货龄报告亚马逊
后台更新时间6.13</t>
  </si>
  <si>
    <t>子SKU</t>
  </si>
  <si>
    <t>子asin</t>
  </si>
  <si>
    <t>父sku</t>
  </si>
  <si>
    <t>一周销量</t>
  </si>
  <si>
    <t>二周销量</t>
  </si>
  <si>
    <t>三周销量</t>
  </si>
  <si>
    <t>四周销量</t>
  </si>
  <si>
    <t>销售单价</t>
  </si>
  <si>
    <t>可售库存</t>
  </si>
  <si>
    <t>待签收库存</t>
  </si>
  <si>
    <t>已签收待处理</t>
  </si>
  <si>
    <t>转库中库存</t>
  </si>
  <si>
    <t>总库存</t>
  </si>
  <si>
    <t>不可售库存</t>
  </si>
  <si>
    <t>库龄大于90天库存</t>
  </si>
  <si>
    <t>一周曝光量</t>
  </si>
  <si>
    <t>二周曝光量</t>
  </si>
  <si>
    <t>三周曝光量</t>
  </si>
  <si>
    <t>四周曝光量</t>
  </si>
  <si>
    <t>一周点击量</t>
  </si>
  <si>
    <t>二周点击量</t>
  </si>
  <si>
    <t>三周点击量</t>
  </si>
  <si>
    <t>四周点击量</t>
  </si>
  <si>
    <t>一周点击率</t>
  </si>
  <si>
    <t>二周点击率</t>
  </si>
  <si>
    <t>三周点击率</t>
  </si>
  <si>
    <t>四周点击率</t>
  </si>
  <si>
    <t>一周广告费</t>
  </si>
  <si>
    <t>二周广告费</t>
  </si>
  <si>
    <t>三周广告费</t>
  </si>
  <si>
    <t>四周广告费</t>
  </si>
  <si>
    <t>预估每日销量</t>
  </si>
  <si>
    <t>预计60日销量</t>
  </si>
  <si>
    <t>预计60日后总库存</t>
  </si>
  <si>
    <t>预计可售天数</t>
  </si>
  <si>
    <t>预计可售日期</t>
  </si>
  <si>
    <t>合计</t>
  </si>
  <si>
    <t xml:space="preserve"> </t>
  </si>
  <si>
    <t>AQD-IUYL330-BK</t>
  </si>
  <si>
    <t>B07BLQFM2G</t>
  </si>
  <si>
    <t>AQD-IUYL330</t>
  </si>
  <si>
    <t/>
  </si>
  <si>
    <t>AQD-IUYL330-CF</t>
  </si>
  <si>
    <t>B07BLSQB24</t>
  </si>
  <si>
    <t>AQD-IUYL330-DB</t>
  </si>
  <si>
    <t>B07BLR41F3</t>
  </si>
  <si>
    <t>AQD-IUYL330-GR</t>
  </si>
  <si>
    <t>B07BLX8JTR</t>
  </si>
  <si>
    <t>AQD-IUYL330-LB</t>
  </si>
  <si>
    <t>B07BLQJYGV</t>
  </si>
  <si>
    <t>AQD-IUYL330-OR</t>
  </si>
  <si>
    <t>B07BLRT4X9</t>
  </si>
  <si>
    <t>AQD-IUYL330-PK</t>
  </si>
  <si>
    <t>B07BLT8K4B</t>
  </si>
  <si>
    <t>AQD-IUYL330-PP</t>
  </si>
  <si>
    <t>B07BM3PGBP</t>
  </si>
  <si>
    <t>AQD-IUYL330-RD</t>
  </si>
  <si>
    <t>B07C8GM14Z</t>
  </si>
  <si>
    <t>AQD-IUYL330-YL</t>
  </si>
  <si>
    <t>B07BLQJYGS</t>
  </si>
  <si>
    <t>AQD-IUYL340-DP</t>
  </si>
  <si>
    <t>B07C8R5S2P</t>
  </si>
  <si>
    <t>AQD-IUYL340</t>
  </si>
  <si>
    <t>AQD-IUYL340-LP</t>
  </si>
  <si>
    <t>B07BLXGT2T</t>
  </si>
  <si>
    <t>AQD-IUYL340-OR</t>
  </si>
  <si>
    <t>B07BLRYV4K</t>
  </si>
  <si>
    <t>AQD-IUYL340-PK</t>
  </si>
  <si>
    <t>B07BLQ5R6S</t>
  </si>
  <si>
    <t>AQD-IUYL340-YL</t>
  </si>
  <si>
    <t>B07BLSKPGN</t>
  </si>
  <si>
    <t>BBBD-1605A-BL</t>
  </si>
  <si>
    <t>B07D8S8R3B</t>
  </si>
  <si>
    <t>BBBD-1605A</t>
  </si>
  <si>
    <t>BBBD-1605A-RD</t>
  </si>
  <si>
    <t>B07C178M2R</t>
  </si>
  <si>
    <t>BBBD-BUSB1605A-BL</t>
  </si>
  <si>
    <t>B07C1KW5X1</t>
  </si>
  <si>
    <t>BBBD-BUSB1605</t>
  </si>
  <si>
    <t>BBBD-BUSB1605A-CF</t>
  </si>
  <si>
    <t>B07C1LYHW7</t>
  </si>
  <si>
    <t>BBBD-BUSB1605A-PK</t>
  </si>
  <si>
    <t>B07CBNM1H4</t>
  </si>
  <si>
    <t>BBBD-BUSB1605A-RD</t>
  </si>
  <si>
    <t>BBBD-BUSB1605B-BL</t>
  </si>
  <si>
    <t>B07C178LY1</t>
  </si>
  <si>
    <t>BBBD-BUSB1605B-PK</t>
  </si>
  <si>
    <t>B07C1KX15Z</t>
  </si>
  <si>
    <t>BBBD-BUSB1605B-RD</t>
  </si>
  <si>
    <t>B07CBPY63R</t>
  </si>
  <si>
    <t>BD-LUHM010</t>
  </si>
  <si>
    <t>B07DJ8MH2Q</t>
  </si>
  <si>
    <t>BD-PUHM101-B0-L</t>
  </si>
  <si>
    <t>B077P3W5CY</t>
  </si>
  <si>
    <t>BD-PUHM101</t>
  </si>
  <si>
    <t>BD-PUHM101-B0-M</t>
  </si>
  <si>
    <t>B077PGPW9C</t>
  </si>
  <si>
    <t>BD-PUHM101-B0-S</t>
  </si>
  <si>
    <t>B077P4NDQF</t>
  </si>
  <si>
    <t>BD-PUHM101-B0-XL</t>
  </si>
  <si>
    <t>B077PGPQKQ</t>
  </si>
  <si>
    <t>BD-PUHM101-G0-L</t>
  </si>
  <si>
    <t>B077PBYWZS</t>
  </si>
  <si>
    <t>BD-PUHM101-G0-M</t>
  </si>
  <si>
    <t>B077PC5BGR</t>
  </si>
  <si>
    <t>BD-PUHM101-G0-S</t>
  </si>
  <si>
    <t>B077P4BJ4R</t>
  </si>
  <si>
    <t>BD-PUHM101-G0-XL</t>
  </si>
  <si>
    <t>B077PGDGHH</t>
  </si>
  <si>
    <t>BD-PUHM101-K0-L</t>
  </si>
  <si>
    <t>B077PGJY38</t>
  </si>
  <si>
    <t>BD-PUHM101-K0-M</t>
  </si>
  <si>
    <t>B077P832FW</t>
  </si>
  <si>
    <t>BD-PUHM101-K0-S</t>
  </si>
  <si>
    <t>B07846LZTV</t>
  </si>
  <si>
    <t>BD-PUHM101-K0-XL</t>
  </si>
  <si>
    <t>B077P4DY6N</t>
  </si>
  <si>
    <t>BD-PUHM101-R0-L</t>
  </si>
  <si>
    <t>B077P98RR5</t>
  </si>
  <si>
    <t>BD-PUHM101-R0-M</t>
  </si>
  <si>
    <t>B077PBWY75</t>
  </si>
  <si>
    <t>BD-PUHM101-R0-S</t>
  </si>
  <si>
    <t>B077PC5F9V</t>
  </si>
  <si>
    <t>BD-PUHM101-R0-XL</t>
  </si>
  <si>
    <t>B07844VFWQ</t>
  </si>
  <si>
    <t>BX-PUHM000-G0-2XL</t>
  </si>
  <si>
    <t>B077GTSZMW</t>
  </si>
  <si>
    <t>BX-PUHM000</t>
  </si>
  <si>
    <t>BX-PUHM000-G0-3XL</t>
  </si>
  <si>
    <t>B077GSM1VR</t>
  </si>
  <si>
    <t>BX-PUHM000-G0-4XL</t>
  </si>
  <si>
    <t>B077GTC3DD</t>
  </si>
  <si>
    <t>BX-PUHM000-G0-5XL</t>
  </si>
  <si>
    <t>B077GVPYG5</t>
  </si>
  <si>
    <t>BX-PUHM000-G0-L</t>
  </si>
  <si>
    <t>B077GVL6JJ</t>
  </si>
  <si>
    <t>BX-PUHM000-G0-M</t>
  </si>
  <si>
    <t>B077GSWBSF</t>
  </si>
  <si>
    <t>BX-PUHM000-G0-S</t>
  </si>
  <si>
    <t>B077GTG3DN</t>
  </si>
  <si>
    <t>BX-PUHM000-G0-XL</t>
  </si>
  <si>
    <t>B077GV12XZ</t>
  </si>
  <si>
    <t>BX-PUHM000-OR-2XL</t>
  </si>
  <si>
    <t>B077GTTW6F</t>
  </si>
  <si>
    <t>BX-PUHM000-OR-3XL</t>
  </si>
  <si>
    <t>B077GVFQ2V</t>
  </si>
  <si>
    <t>BX-PUHM000-OR-4XL</t>
  </si>
  <si>
    <t>B077GTT4DB</t>
  </si>
  <si>
    <t>BX-PUHM000-OR-5XL</t>
  </si>
  <si>
    <t>B077GTB515</t>
  </si>
  <si>
    <t>BX-PUHM000-OR-L</t>
  </si>
  <si>
    <t>B077GSTK1N</t>
  </si>
  <si>
    <t>BX-PUHM000-OR-M</t>
  </si>
  <si>
    <t>B077GTHYN3</t>
  </si>
  <si>
    <t>BX-PUHM000-OR-S</t>
  </si>
  <si>
    <t>B077GTPRNJ</t>
  </si>
  <si>
    <t>BX-PUHM000-OR-XL</t>
  </si>
  <si>
    <t>B077GWG4J3</t>
  </si>
  <si>
    <t>BX-PUHM000-P0-2XL</t>
  </si>
  <si>
    <t>B077GTQ56H</t>
  </si>
  <si>
    <t>BX-PUHM000-P0-3XL</t>
  </si>
  <si>
    <t>B077GVTVC3</t>
  </si>
  <si>
    <t>BX-PUHM000-P0-4XL</t>
  </si>
  <si>
    <t>B077GTDGCX</t>
  </si>
  <si>
    <t>BX-PUHM000-P0-5XL</t>
  </si>
  <si>
    <t>B077GT9Y32</t>
  </si>
  <si>
    <t>BX-PUHM000-P0-L</t>
  </si>
  <si>
    <t>B077GV55BL</t>
  </si>
  <si>
    <t>BX-PUHM000-P0-M</t>
  </si>
  <si>
    <t>B077GTMLLQ</t>
  </si>
  <si>
    <t>BX-PUHM000-P0-S</t>
  </si>
  <si>
    <t>B077GVH6DL</t>
  </si>
  <si>
    <t>BX-PUHM000-P0-XL</t>
  </si>
  <si>
    <t>B077GV5S1X</t>
  </si>
  <si>
    <t>BX-PUHM000-PI-2XL</t>
  </si>
  <si>
    <t>B077GTR5GP</t>
  </si>
  <si>
    <t>BX-PUHM000-PI-3XL</t>
  </si>
  <si>
    <t>B077GVB9QZ</t>
  </si>
  <si>
    <t>BX-PUHM000-PI-4XL</t>
  </si>
  <si>
    <t>B077GVDKL1</t>
  </si>
  <si>
    <t>BX-PUHM000-PI-5XL</t>
  </si>
  <si>
    <t>B077GVKJ5G</t>
  </si>
  <si>
    <t>BX-PUHM000-PI-L</t>
  </si>
  <si>
    <t>B077GVHM6C</t>
  </si>
  <si>
    <t>BX-PUHM000-PI-M</t>
  </si>
  <si>
    <t>B077GSRQ2X</t>
  </si>
  <si>
    <t>BX-PUHM000-PI-S</t>
  </si>
  <si>
    <t>B077GVG5Y9</t>
  </si>
  <si>
    <t>BX-PUHM000-PI-XL</t>
  </si>
  <si>
    <t>B077GTSW3V</t>
  </si>
  <si>
    <t>BX-PUHM000-R0-2XL</t>
  </si>
  <si>
    <t>B077GT5NM7</t>
  </si>
  <si>
    <t>BX-PUHM000-R0-3XL</t>
  </si>
  <si>
    <t>B077GW6SRH</t>
  </si>
  <si>
    <t>BX-PUHM000-R0-4XL</t>
  </si>
  <si>
    <t>B077GTCV4D</t>
  </si>
  <si>
    <t>BX-PUHM000-R0-5XL</t>
  </si>
  <si>
    <t>B077GVRC8H</t>
  </si>
  <si>
    <t>BX-PUHM000-R0-L</t>
  </si>
  <si>
    <t>B077GSNNT7</t>
  </si>
  <si>
    <t>BX-PUHM000-R0-M</t>
  </si>
  <si>
    <t>B077GVTBNL</t>
  </si>
  <si>
    <t>BX-PUHM000-R0-S</t>
  </si>
  <si>
    <t>B077GVHXJF</t>
  </si>
  <si>
    <t>BX-PUHM000-R0-XL</t>
  </si>
  <si>
    <t>B077GWKKJ5</t>
  </si>
  <si>
    <t>BX-PUHM001-B0-L</t>
  </si>
  <si>
    <t>B077YZQ4GF</t>
  </si>
  <si>
    <t>BX-PUHM001</t>
  </si>
  <si>
    <t>BX-PUHM001-B0-M</t>
  </si>
  <si>
    <t>B077YZMM76</t>
  </si>
  <si>
    <t>BX-PUHM001-B0-S</t>
  </si>
  <si>
    <t>B077YTW39Y</t>
  </si>
  <si>
    <t>BX-PUHM001-B0-XL</t>
  </si>
  <si>
    <t>B077Z2SC65</t>
  </si>
  <si>
    <t>BX-PUHM001-B0-XS</t>
  </si>
  <si>
    <t>B077Z4BQV3</t>
  </si>
  <si>
    <t>BX-PUHM001-OR-L</t>
  </si>
  <si>
    <t>B077Z3273G</t>
  </si>
  <si>
    <t>BX-PUHM001-OR-M</t>
  </si>
  <si>
    <t>B077YTVL49</t>
  </si>
  <si>
    <t>BX-PUHM001-OR-S</t>
  </si>
  <si>
    <t>B077YZQ6PF</t>
  </si>
  <si>
    <t>BX-PUHM001-OR-XL</t>
  </si>
  <si>
    <t>B0785NGDM9</t>
  </si>
  <si>
    <t>BX-PUHM001-OR-XS</t>
  </si>
  <si>
    <t>B077YZQ53K</t>
  </si>
  <si>
    <t>BX-PUHM001-R0-L</t>
  </si>
  <si>
    <t>B077Z5XVCP</t>
  </si>
  <si>
    <t>BX-PUHM001-R0-M</t>
  </si>
  <si>
    <t>B077YZQDR4</t>
  </si>
  <si>
    <t>BX-PUHM001-R0-S</t>
  </si>
  <si>
    <t>B077Z32JMZ</t>
  </si>
  <si>
    <t>BX-PUHM001-R0-XL</t>
  </si>
  <si>
    <t>B077YZMR5R</t>
  </si>
  <si>
    <t>BX-PUHM001-R0-XS</t>
  </si>
  <si>
    <t>B077YZMH2D</t>
  </si>
  <si>
    <t>CWB-PUHM021-CH-L</t>
  </si>
  <si>
    <t>B077B51CYY</t>
  </si>
  <si>
    <t>CWB-PUHM021</t>
  </si>
  <si>
    <t>CWB-PUHM021-CH-M</t>
  </si>
  <si>
    <t>B0779ZRTZ3</t>
  </si>
  <si>
    <t>CWB-PUHM021-CH-S</t>
  </si>
  <si>
    <t>B0779RQHWK</t>
  </si>
  <si>
    <t>CWB-PUHM021-CH-XL</t>
  </si>
  <si>
    <t>B0779Z2TS6</t>
  </si>
  <si>
    <t>CWB-PUHM021-MC-L</t>
  </si>
  <si>
    <t>B0779QX5JV</t>
  </si>
  <si>
    <t>CWB-PUHM021-MC-M</t>
  </si>
  <si>
    <t>B0779W8MFG</t>
  </si>
  <si>
    <t>CWB-PUHM021-MC-S</t>
  </si>
  <si>
    <t>B0779W68GS</t>
  </si>
  <si>
    <t>CWB-PUHM021-MC-XL</t>
  </si>
  <si>
    <t>B0779YRGR1</t>
  </si>
  <si>
    <t>CWB-PUHM021-TW-L</t>
  </si>
  <si>
    <t>B0779RFXY2</t>
  </si>
  <si>
    <t>CWB-PUHM021-TW-M</t>
  </si>
  <si>
    <t>B0779RT3RQ</t>
  </si>
  <si>
    <t>CWB-PUHM021-TW-S</t>
  </si>
  <si>
    <t>B0779V1KQL</t>
  </si>
  <si>
    <t>CWB-PUHM021-TW-XL</t>
  </si>
  <si>
    <t>B0779RQ56M</t>
  </si>
  <si>
    <t>CWDZ-IULHY-BONE-KK-L</t>
  </si>
  <si>
    <t>B07G1S35ZF</t>
  </si>
  <si>
    <t>CWDZ-IULHY</t>
  </si>
  <si>
    <t>CWDZ-IULHY-BONE-KK-M</t>
  </si>
  <si>
    <t>B07G27MV9D</t>
  </si>
  <si>
    <t>CWDZ-IULHY-BONE-KK-XL</t>
  </si>
  <si>
    <t>B07G2KS83F</t>
  </si>
  <si>
    <t>CWDZ-IULHY-BONE-PK-L</t>
  </si>
  <si>
    <t>B07G27JYRX</t>
  </si>
  <si>
    <t>CWDZ-IULHY-BONE-PK-M</t>
  </si>
  <si>
    <t>B07G21KSQ5</t>
  </si>
  <si>
    <t>CWDZ-IULHY-BONE-PK-XL</t>
  </si>
  <si>
    <t>B07G27282Q</t>
  </si>
  <si>
    <t>CWDZ-IULHY-BONE-PP-L</t>
  </si>
  <si>
    <t>B07G2KZ8VS</t>
  </si>
  <si>
    <t>CWDZ-IULHY-BONE-PP-M</t>
  </si>
  <si>
    <t>B07G27ZC1P</t>
  </si>
  <si>
    <t>CWDZ-IULHY-BONE-PP-XL</t>
  </si>
  <si>
    <t>B07G246DPR</t>
  </si>
  <si>
    <t>CWDZ-IULHY-DOT-BL-L</t>
  </si>
  <si>
    <t>B07G2FJJGW</t>
  </si>
  <si>
    <t>CWDZ-IULHY-DOT-BL-M</t>
  </si>
  <si>
    <t>B07G27XM96</t>
  </si>
  <si>
    <t>CWDZ-IULHY-DOT-BL-XL</t>
  </si>
  <si>
    <t>B07G2RFGP3</t>
  </si>
  <si>
    <t>CWDZ-IULHY-DOT-NY-L</t>
  </si>
  <si>
    <t>B07G2C1ZFN</t>
  </si>
  <si>
    <t>CWDZ-IULHY-DOT-NY-M</t>
  </si>
  <si>
    <t>B07G2617G9</t>
  </si>
  <si>
    <t>CWDZ-IULHY-DOT-NY-XL</t>
  </si>
  <si>
    <t>B07G253HB8</t>
  </si>
  <si>
    <t>CWDZ-IULHY-DOT-PP-L</t>
  </si>
  <si>
    <t>B07G2Q2SWK</t>
  </si>
  <si>
    <t>CWDZ-IULHY-DOT-PP-M</t>
  </si>
  <si>
    <t>B07G1Y3QJH</t>
  </si>
  <si>
    <t>CWDZ-IULHY-DOT-PP-XL</t>
  </si>
  <si>
    <t>B07G2CPXY8</t>
  </si>
  <si>
    <t>CWDZ-IULHY-DOT2-CF-L</t>
  </si>
  <si>
    <t>B07G2PMSTY</t>
  </si>
  <si>
    <t>CWDZ-IULHY-DOT2-CF-M</t>
  </si>
  <si>
    <t>B07G28X137</t>
  </si>
  <si>
    <t>CWDZ-IULHY-DOT2-CF-XL</t>
  </si>
  <si>
    <t>B07G29NWFH</t>
  </si>
  <si>
    <t>CWDZ-IULHY-DOT2-PK-L</t>
  </si>
  <si>
    <t>B07G23JJCB</t>
  </si>
  <si>
    <t>CWDZ-IULHY-DOT2-PK-M</t>
  </si>
  <si>
    <t>B07G2QDRMD</t>
  </si>
  <si>
    <t>CWDZ-IULHY-DOT2-PK-XL</t>
  </si>
  <si>
    <t>B07G2158W8</t>
  </si>
  <si>
    <t>CWDZ-IULHY-DOT2-WT-L</t>
  </si>
  <si>
    <t>B07G25389V</t>
  </si>
  <si>
    <t>CWDZ-IULHY-DOT2-WT-M</t>
  </si>
  <si>
    <t>B07G28B2NQ</t>
  </si>
  <si>
    <t>CWDZ-IULHY-DOT2-WT-XL</t>
  </si>
  <si>
    <t>B07G2C1YFR</t>
  </si>
  <si>
    <t>CWDZ-IULHY-ELPH-BL-L</t>
  </si>
  <si>
    <t>B07G2QF8KJ</t>
  </si>
  <si>
    <t>CWDZ-IULHY-ELPH-BL-M</t>
  </si>
  <si>
    <t>B07G28293G</t>
  </si>
  <si>
    <t>CWDZ-IULHY-ELPH-BL-XL</t>
  </si>
  <si>
    <t>B07G2C8QGB</t>
  </si>
  <si>
    <t>CWDZ-IULHY-ELPH-PK-L</t>
  </si>
  <si>
    <t>B07G24QXHG</t>
  </si>
  <si>
    <t>CWDZ-IULHY-ELPH-PK-M</t>
  </si>
  <si>
    <t>B07G2DH78V</t>
  </si>
  <si>
    <t>CWDZ-IULHY-ELPH-PK-XL</t>
  </si>
  <si>
    <t>B07G28ZRTX</t>
  </si>
  <si>
    <t>CWDZ-IULHY-ELPH-YL-L</t>
  </si>
  <si>
    <t>B07G23JJBY</t>
  </si>
  <si>
    <t>CWDZ-IULHY-ELPH-YL-M</t>
  </si>
  <si>
    <t>B07G2L2S2X</t>
  </si>
  <si>
    <t>CWDZ-IULHY-ELPH-YL-XL</t>
  </si>
  <si>
    <t>B07G2DRFV8</t>
  </si>
  <si>
    <t>CWDZ-IULHY-PAW-CF-L</t>
  </si>
  <si>
    <t>B07G2BSWX6</t>
  </si>
  <si>
    <t>CWDZ-IULHY-PAW-CF-M</t>
  </si>
  <si>
    <t>B07G2SQ68F</t>
  </si>
  <si>
    <t>CWDZ-IULHY-PAW-CF-XL</t>
  </si>
  <si>
    <t>B07G28KW3T</t>
  </si>
  <si>
    <t>CWDZ-IULHY-PAW-PK-L</t>
  </si>
  <si>
    <t>B07G1ZNCBK</t>
  </si>
  <si>
    <t>CWDZ-IULHY-PAW-PK-M</t>
  </si>
  <si>
    <t>B07G22NZL4</t>
  </si>
  <si>
    <t>CWDZ-IULHY-PAW-PK-XL</t>
  </si>
  <si>
    <t>B07G299C4Y</t>
  </si>
  <si>
    <t>CWDZ-IULHY-PAW-WT-L</t>
  </si>
  <si>
    <t>B07G2C1YFY</t>
  </si>
  <si>
    <t>CWDZ-IULHY-PAW-WT-M</t>
  </si>
  <si>
    <t>B07G2PMSTW</t>
  </si>
  <si>
    <t>CWDZ-IULHY-PAW-WT-XL</t>
  </si>
  <si>
    <t>B07G24D566</t>
  </si>
  <si>
    <t>CWDZ-IULHY-STAR-BL-L</t>
  </si>
  <si>
    <t>B07G291CSF</t>
  </si>
  <si>
    <t>CWDZ-IULHY-STAR-BL-M</t>
  </si>
  <si>
    <t>B07G22QMDQ</t>
  </si>
  <si>
    <t>CWDZ-IULHY-STAR-BL-XL</t>
  </si>
  <si>
    <t>B07G1S5H6Q</t>
  </si>
  <si>
    <t>CWDZ-IULHY-STAR-KK-L</t>
  </si>
  <si>
    <t>B07G2QYD6R</t>
  </si>
  <si>
    <t>CWDZ-IULHY-STAR-KK-M</t>
  </si>
  <si>
    <t>B07G2BHBW5</t>
  </si>
  <si>
    <t>CWDZ-IULHY-STAR-KK-XL</t>
  </si>
  <si>
    <t>B07G25GC2D</t>
  </si>
  <si>
    <t>CWDZ-IULHY-STAR-PK-L</t>
  </si>
  <si>
    <t>B07G21XRNR</t>
  </si>
  <si>
    <t>CWDZ-IULHY-STAR-PK-M</t>
  </si>
  <si>
    <t>B07G26TM9G</t>
  </si>
  <si>
    <t>CWDZ-IULHY-STAR-PK-XL</t>
  </si>
  <si>
    <t>B07G23P9ZY</t>
  </si>
  <si>
    <t>DZ-IUYL200-BK</t>
  </si>
  <si>
    <t>B079JD7ZJ2</t>
  </si>
  <si>
    <t>DZ-IUYL200</t>
  </si>
  <si>
    <t>DZ-IUYL200-GR</t>
  </si>
  <si>
    <t>B079J99WVX</t>
  </si>
  <si>
    <t>DZ-IUYL210-BK</t>
  </si>
  <si>
    <t>B079JGMFTB</t>
  </si>
  <si>
    <t>DZ-IUYL210</t>
  </si>
  <si>
    <t>DZ-IUYL220-BK</t>
  </si>
  <si>
    <t>B079JNPCJ1</t>
  </si>
  <si>
    <t>DZ-IUYL220</t>
  </si>
  <si>
    <t>DZ-IUYL220-GR</t>
  </si>
  <si>
    <t>B079JLS34D</t>
  </si>
  <si>
    <t>GS-IUYL270</t>
  </si>
  <si>
    <t>B079MDCK5Y</t>
  </si>
  <si>
    <t>GS-IUYL280-1</t>
  </si>
  <si>
    <t>B079M2W31H</t>
  </si>
  <si>
    <t>GS-IUYL280</t>
  </si>
  <si>
    <t>GS-IUYL280-2</t>
  </si>
  <si>
    <t>B079M1Y4YS</t>
  </si>
  <si>
    <t>GS-IUYL280-3</t>
  </si>
  <si>
    <t>B079M4C6DT</t>
  </si>
  <si>
    <t>GS-PUHM019-B0-L</t>
  </si>
  <si>
    <t>B077PFD9LP</t>
  </si>
  <si>
    <t>GS-PUHM019</t>
  </si>
  <si>
    <t>GS-PUHM019-B0-M</t>
  </si>
  <si>
    <t>B07843RDHP</t>
  </si>
  <si>
    <t>GS-PUHM019-B0-S</t>
  </si>
  <si>
    <t>B077PD7WHY</t>
  </si>
  <si>
    <t>GS-PUHM019-B0-XL</t>
  </si>
  <si>
    <t>B077PFB21G</t>
  </si>
  <si>
    <t>GS-PUHM019-K0-L</t>
  </si>
  <si>
    <t>B077P7YNWM</t>
  </si>
  <si>
    <t>GS-PUHM019-K0-M</t>
  </si>
  <si>
    <t>B077PFB14D</t>
  </si>
  <si>
    <t>GS-PUHM019-K0-S</t>
  </si>
  <si>
    <t>B077P7CQF7</t>
  </si>
  <si>
    <t>GS-PUHM019-K0-XL</t>
  </si>
  <si>
    <t>B07845W65M</t>
  </si>
  <si>
    <t>GS-PUHM019-R0-L</t>
  </si>
  <si>
    <t>B077PFB34T</t>
  </si>
  <si>
    <t>GS-PUHM019-R0-M</t>
  </si>
  <si>
    <t>B077P822BJ</t>
  </si>
  <si>
    <t>GS-PUHM019-R0-S</t>
  </si>
  <si>
    <t>B077P3P1K6</t>
  </si>
  <si>
    <t>GS-PUHM019-R0-XL</t>
  </si>
  <si>
    <t>B07843R3WG</t>
  </si>
  <si>
    <t>GW-IUHM-BONE-BK-L</t>
  </si>
  <si>
    <t>B07FM7ZNYH</t>
  </si>
  <si>
    <t>GW-IUHM</t>
  </si>
  <si>
    <t>GW-IUHM-BONE-BK-M</t>
  </si>
  <si>
    <t>B07FM5RG53</t>
  </si>
  <si>
    <t>GW-IUHM-BONE-BK-S</t>
  </si>
  <si>
    <t>B07FM9Z4WW</t>
  </si>
  <si>
    <t>GW-IUHM-BONE-BK-XL</t>
  </si>
  <si>
    <t>B07FM6X6DD</t>
  </si>
  <si>
    <t>GW-IUHM-BONE-CF-L</t>
  </si>
  <si>
    <t>B07FM6XD9K</t>
  </si>
  <si>
    <t>GW-IUHM-BONE-CF-M</t>
  </si>
  <si>
    <t>B07FMJZCZ9</t>
  </si>
  <si>
    <t>GW-IUHM-BONE-CF-S</t>
  </si>
  <si>
    <t>B07FM6XK1D</t>
  </si>
  <si>
    <t>GW-IUHM-BONE-CF-XL</t>
  </si>
  <si>
    <t>B07FMM4Q16</t>
  </si>
  <si>
    <t>GW-IUHM-BONE-GR-L</t>
  </si>
  <si>
    <t>B07FM5RQDQ</t>
  </si>
  <si>
    <t>GW-IUHM-BONE-GR-M</t>
  </si>
  <si>
    <t>B07FMLX98P</t>
  </si>
  <si>
    <t>GW-IUHM-BONE-GR-S</t>
  </si>
  <si>
    <t>B07FM6MGV9</t>
  </si>
  <si>
    <t>GW-IUHM-BONE-GR-XL</t>
  </si>
  <si>
    <t>B07FM6XTK8</t>
  </si>
  <si>
    <t>GW-IUHM-BONE-LB-L</t>
  </si>
  <si>
    <t>B07FM6LVGV</t>
  </si>
  <si>
    <t>GW-IUHM-BONE-LB-M</t>
  </si>
  <si>
    <t>B07FMJ7PGR</t>
  </si>
  <si>
    <t>GW-IUHM-BONE-LB-S</t>
  </si>
  <si>
    <t>B07FM5RNMG</t>
  </si>
  <si>
    <t>GW-IUHM-BONE-LB-XL</t>
  </si>
  <si>
    <t>B07FMBYQDN</t>
  </si>
  <si>
    <t>GW-IUHM-BONE-PK-L</t>
  </si>
  <si>
    <t>B07FM8ZD2W</t>
  </si>
  <si>
    <t>GW-IUHM-BONE-PK-M</t>
  </si>
  <si>
    <t>B07FM6X9XD</t>
  </si>
  <si>
    <t>GW-IUHM-BONE-PK-S</t>
  </si>
  <si>
    <t>B07FM6X922</t>
  </si>
  <si>
    <t>GW-IUHM-BONE-PK-XL</t>
  </si>
  <si>
    <t>B07FM7ZB3H</t>
  </si>
  <si>
    <t>GW-IUHM-PAW-CF-L</t>
  </si>
  <si>
    <t>B07FMF521W</t>
  </si>
  <si>
    <t>GW-IUHM-PAW-CF-M</t>
  </si>
  <si>
    <t>B07FM6XPBL</t>
  </si>
  <si>
    <t>GW-IUHM-PAW-CF-S</t>
  </si>
  <si>
    <t>B07FM6XH9K</t>
  </si>
  <si>
    <t>GW-IUHM-PAW-CF-XL</t>
  </si>
  <si>
    <t>B07FM5R5JH</t>
  </si>
  <si>
    <t>GW-IUHM-PAW-GN-L</t>
  </si>
  <si>
    <t>B07FM6WPSH</t>
  </si>
  <si>
    <t>GW-IUHM-PAW-GN-M</t>
  </si>
  <si>
    <t>B07FM5RP8F</t>
  </si>
  <si>
    <t>GW-IUHM-PAW-GN-S</t>
  </si>
  <si>
    <t>B07FM6Y6QN</t>
  </si>
  <si>
    <t>GW-IUHM-PAW-GN-XL</t>
  </si>
  <si>
    <t>B07FMBSW8Q</t>
  </si>
  <si>
    <t>GW-IUHM-PAW-LB-L</t>
  </si>
  <si>
    <t>B07FMBSRLC</t>
  </si>
  <si>
    <t>GW-IUHM-PAW-LB-M</t>
  </si>
  <si>
    <t>B07FM6WZNK</t>
  </si>
  <si>
    <t>GW-IUHM-PAW-LB-S</t>
  </si>
  <si>
    <t>B07FM1B31D</t>
  </si>
  <si>
    <t>GW-IUHM-PAW-LB-XL</t>
  </si>
  <si>
    <t>B07FM1PWXY</t>
  </si>
  <si>
    <t>GW-IUHM-PAW-OR-L</t>
  </si>
  <si>
    <t>B07FM1N386</t>
  </si>
  <si>
    <t>GW-IUHM-PAW-OR-M</t>
  </si>
  <si>
    <t>B07FM1N358</t>
  </si>
  <si>
    <t>GW-IUHM-PAW-OR-S</t>
  </si>
  <si>
    <t>B07FMJ852H</t>
  </si>
  <si>
    <t>GW-IUHM-PAW-OR-XL</t>
  </si>
  <si>
    <t>B07FMD84PY</t>
  </si>
  <si>
    <t>GW-IUHM-PAW-PK-L</t>
  </si>
  <si>
    <t>B07FM7Z6C9</t>
  </si>
  <si>
    <t>GW-IUHM-PAW-PK-M</t>
  </si>
  <si>
    <t>B07FMJ672F</t>
  </si>
  <si>
    <t>GW-IUHM-PAW-PK-S</t>
  </si>
  <si>
    <t>B07FMC5GL6</t>
  </si>
  <si>
    <t>GW-IUHM-PAW-PK-XL</t>
  </si>
  <si>
    <t>B07FM7ZXWX</t>
  </si>
  <si>
    <t>GW-LULHY-10</t>
  </si>
  <si>
    <t>B01M3R3CVA</t>
  </si>
  <si>
    <t>GW-LULHY</t>
  </si>
  <si>
    <t>GW-LULHY-4.5</t>
  </si>
  <si>
    <t>B078HNLGWS</t>
  </si>
  <si>
    <t>GW-LULHY-5.1</t>
  </si>
  <si>
    <t>B078H79DCY</t>
  </si>
  <si>
    <t>GW-LULHY-6.2</t>
  </si>
  <si>
    <t>B078HD4M37</t>
  </si>
  <si>
    <t>GW-LULHY-7.6</t>
  </si>
  <si>
    <t>B019V6RKPQ</t>
  </si>
  <si>
    <t>GW-LULHY-8.8</t>
  </si>
  <si>
    <t>B019V6P53K</t>
  </si>
  <si>
    <t>HZB-QJTZ-IUYL300310</t>
  </si>
  <si>
    <t>B07B9WYZG3</t>
  </si>
  <si>
    <t>KZ-LY021-BK-32</t>
  </si>
  <si>
    <t>B077Z3FG6P</t>
  </si>
  <si>
    <t>KZ-LY021</t>
  </si>
  <si>
    <t>KZ-LY021-BK-34</t>
  </si>
  <si>
    <t>B077YWH21S</t>
  </si>
  <si>
    <t>KZ-LY021-BK-36</t>
  </si>
  <si>
    <t>B077Z7RY9J</t>
  </si>
  <si>
    <t>KZ-LY021-BK-38</t>
  </si>
  <si>
    <t>B077Z7RP45</t>
  </si>
  <si>
    <t>KZ-LY021-BK-40</t>
  </si>
  <si>
    <t>B077Z1TXX5</t>
  </si>
  <si>
    <t>KZ-LY021-BL-32</t>
  </si>
  <si>
    <t>B077YWH5DT</t>
  </si>
  <si>
    <t>KZ-LY021-BL-34</t>
  </si>
  <si>
    <t>B0785Q5CB9</t>
  </si>
  <si>
    <t>KZ-LY021-BL-36</t>
  </si>
  <si>
    <t>B077Z629JV</t>
  </si>
  <si>
    <t>KZ-LY021-BL-38</t>
  </si>
  <si>
    <t>B077Z5M1T9</t>
  </si>
  <si>
    <t>KZ-LY021-BL-40</t>
  </si>
  <si>
    <t>B077Z1SBLC</t>
  </si>
  <si>
    <t>KZ-LY021-GY-32</t>
  </si>
  <si>
    <t>B0785PHFJC</t>
  </si>
  <si>
    <t>KZ-LY021-GY-34</t>
  </si>
  <si>
    <t>B077Z1SFPY</t>
  </si>
  <si>
    <t>KZ-LY021-GY-36</t>
  </si>
  <si>
    <t>B077YWGZ93</t>
  </si>
  <si>
    <t>KZ-LY021-GY-38</t>
  </si>
  <si>
    <t>B077Z1QNCD</t>
  </si>
  <si>
    <t>KZ-LY021-GY-40</t>
  </si>
  <si>
    <t>B077YWGW7H</t>
  </si>
  <si>
    <t>KZ-LY021-KK-32</t>
  </si>
  <si>
    <t>B0785PS8WV</t>
  </si>
  <si>
    <t>KZ-LY021-KK-34</t>
  </si>
  <si>
    <t>B0785SC1FB</t>
  </si>
  <si>
    <t>KZ-LY021-KK-38</t>
  </si>
  <si>
    <t>B077Z5LR3B</t>
  </si>
  <si>
    <t>KZ-LY021-KK-40</t>
  </si>
  <si>
    <t>B077YWGXBQ</t>
  </si>
  <si>
    <t>KZ-LY021-NY-32</t>
  </si>
  <si>
    <t>B077Z7RK81</t>
  </si>
  <si>
    <t>KZ-LY021-NY-34</t>
  </si>
  <si>
    <t>B077Z617BX</t>
  </si>
  <si>
    <t>KZ-LY021-NY-36</t>
  </si>
  <si>
    <t>B0785RM358</t>
  </si>
  <si>
    <t>KZ-LY021-NY-38</t>
  </si>
  <si>
    <t>B077Z1QPRQ</t>
  </si>
  <si>
    <t>KZ-LY021-NY-40</t>
  </si>
  <si>
    <t>B077Z3FG6V</t>
  </si>
  <si>
    <t>KZ-LY021-WR-32</t>
  </si>
  <si>
    <t>B077Z7R3DQ</t>
  </si>
  <si>
    <t>KZ-LY021-WR-34</t>
  </si>
  <si>
    <t>B0785PV9GH</t>
  </si>
  <si>
    <t>KZ-LY021-WR-36</t>
  </si>
  <si>
    <t>B0785P964M</t>
  </si>
  <si>
    <t>KZ-LY021-WR-38</t>
  </si>
  <si>
    <t>B077Z7QZZY</t>
  </si>
  <si>
    <t>KZ-LY021-WR-40</t>
  </si>
  <si>
    <t>B077YWGR1B</t>
  </si>
  <si>
    <t>LGQ-IUYL100-BL</t>
  </si>
  <si>
    <t>B0798PCSXB</t>
  </si>
  <si>
    <t>LGQ-IUYL100</t>
  </si>
  <si>
    <t>LGQ-IUYL100-GN</t>
  </si>
  <si>
    <t>B0798NZCMN</t>
  </si>
  <si>
    <t>LGQ-IUYL100-PK</t>
  </si>
  <si>
    <t>B0798PX336</t>
  </si>
  <si>
    <t>LGQ-IUYL100-RD</t>
  </si>
  <si>
    <t>B0798PY6XT</t>
  </si>
  <si>
    <t>LGQ-IUYL100-WT</t>
  </si>
  <si>
    <t>B0798P1DCX</t>
  </si>
  <si>
    <t>LGQ-IUYL100-YL</t>
  </si>
  <si>
    <t>B0798NZTJD</t>
  </si>
  <si>
    <t>LYQ-WF7125-BO-2X</t>
  </si>
  <si>
    <t>B077XTXJ7Q</t>
  </si>
  <si>
    <t>WF7125</t>
  </si>
  <si>
    <t>LYQ-WF7125-BO-L</t>
  </si>
  <si>
    <t>B077XX3FN9</t>
  </si>
  <si>
    <t>LYQ-WF7125-BO-M</t>
  </si>
  <si>
    <t>B077XX612Q</t>
  </si>
  <si>
    <t>LYQ-WF7125-BO-S</t>
  </si>
  <si>
    <t>B077XRHLYX</t>
  </si>
  <si>
    <t>LYQ-WF7125-BO-XL</t>
  </si>
  <si>
    <t>B077XQDLK8</t>
  </si>
  <si>
    <t>LYQ-WF7125-K0-2L</t>
  </si>
  <si>
    <t>B077XX5X7K</t>
  </si>
  <si>
    <t>LYQ-WF7125-KO-L</t>
  </si>
  <si>
    <t>B077XVSQHX</t>
  </si>
  <si>
    <t>LYQ-WF7125-KO-M</t>
  </si>
  <si>
    <t>B077XTZVP8</t>
  </si>
  <si>
    <t>LYQ-WF7125-KO-S</t>
  </si>
  <si>
    <t>B077XQBJQ8</t>
  </si>
  <si>
    <t>LYQ-WF7125-KO-XL</t>
  </si>
  <si>
    <t>B077XVV8MB</t>
  </si>
  <si>
    <t>LYQ-WF7125-NO-2L</t>
  </si>
  <si>
    <t>B0785HZPS2</t>
  </si>
  <si>
    <t>LYQ-WF7125-NO-L</t>
  </si>
  <si>
    <t>B077XRZBGV</t>
  </si>
  <si>
    <t>LYQ-WF7125-NO-S</t>
  </si>
  <si>
    <t>B0785L1H91</t>
  </si>
  <si>
    <t>LYQ-WF7125-NO-XL</t>
  </si>
  <si>
    <t>B077XV3LFS</t>
  </si>
  <si>
    <t>LYQ-WF7125-NO-XS</t>
  </si>
  <si>
    <t>B077XX5QDF</t>
  </si>
  <si>
    <t>LYQ-WF7125-PO-2L</t>
  </si>
  <si>
    <t>B077XVSW32</t>
  </si>
  <si>
    <t>LYQ-WF7125-PO-L</t>
  </si>
  <si>
    <t>B077XQBVHJ</t>
  </si>
  <si>
    <t>LYQ-WF7125-PO-M</t>
  </si>
  <si>
    <t>B077XTXHVH</t>
  </si>
  <si>
    <t>LYQ-WF7125-PO-S</t>
  </si>
  <si>
    <t>B0785K545N</t>
  </si>
  <si>
    <t>LYQ-WF7125-PO-XL</t>
  </si>
  <si>
    <t>B0785L1RRG</t>
  </si>
  <si>
    <t>LYQ-WF7125-PO-XS</t>
  </si>
  <si>
    <t>B0785JC4N5</t>
  </si>
  <si>
    <t>LYQ-WF7125-WO-2L</t>
  </si>
  <si>
    <t>B077XQDLK1</t>
  </si>
  <si>
    <t>LYQ-WF7125-WO-M</t>
  </si>
  <si>
    <t>B077XRYWSK</t>
  </si>
  <si>
    <t>LYQ-WF7125-WO-XL</t>
  </si>
  <si>
    <t>B077XTXG7X</t>
  </si>
  <si>
    <t>LYQ-WF7125-WO-XS</t>
  </si>
  <si>
    <t>B077XRZ4P9</t>
  </si>
  <si>
    <t>MJ-IUYL230-BL-L</t>
  </si>
  <si>
    <t>B079GNVPFC</t>
  </si>
  <si>
    <t>MJ-IUYL230</t>
  </si>
  <si>
    <t>MJ-IUYL230-BL-S</t>
  </si>
  <si>
    <t>B079GN5DSL</t>
  </si>
  <si>
    <t>MJ-IUYL230-CF-L</t>
  </si>
  <si>
    <t>B079GTFGYN</t>
  </si>
  <si>
    <t>MJ-IUYL230-CF-S</t>
  </si>
  <si>
    <t>B079GQWL9S</t>
  </si>
  <si>
    <t>MJ-IUYL230-PK-L</t>
  </si>
  <si>
    <t>B079GQ7X19</t>
  </si>
  <si>
    <t>MJ-IUYL230-PK-S</t>
  </si>
  <si>
    <t>B079GS1ZJR</t>
  </si>
  <si>
    <t>MMDC-IUHM100-BK</t>
  </si>
  <si>
    <t>B07FMJ852L</t>
  </si>
  <si>
    <t>MMDC-IUHM100</t>
  </si>
  <si>
    <t>MMDC-IUHM100-BL</t>
  </si>
  <si>
    <t>B07FM7ZQJJ</t>
  </si>
  <si>
    <t>MMDC-IUHM100-PK</t>
  </si>
  <si>
    <t>B07FMJW6W8</t>
  </si>
  <si>
    <t>MY-PUHM001-OR-10</t>
  </si>
  <si>
    <t>B077N24PG2</t>
  </si>
  <si>
    <t>MY-PUHM001</t>
  </si>
  <si>
    <t>MY-PUHM001-OR-12</t>
  </si>
  <si>
    <t>B077N3LV33</t>
  </si>
  <si>
    <t>MY-PUHM001-OR-14</t>
  </si>
  <si>
    <t>B077MXMG77</t>
  </si>
  <si>
    <t>MY-PUHM001-OR-16</t>
  </si>
  <si>
    <t>B07841ZNJ5</t>
  </si>
  <si>
    <t>MY-PUHM001-OR-20</t>
  </si>
  <si>
    <t>B077NBCRDS</t>
  </si>
  <si>
    <t>MY-PUHM001-OR-24</t>
  </si>
  <si>
    <t>B077N7P2RN</t>
  </si>
  <si>
    <t>MY-PUHM001-OR-28</t>
  </si>
  <si>
    <t>B077NBQKPK</t>
  </si>
  <si>
    <t>MY-PUHM001-OR-8</t>
  </si>
  <si>
    <t>B077N1QGPK</t>
  </si>
  <si>
    <t>MY-PUHM001-R0-10</t>
  </si>
  <si>
    <t>B077MTV31P</t>
  </si>
  <si>
    <t>MY-PUHM001-R0-12</t>
  </si>
  <si>
    <t>B077N58RS3</t>
  </si>
  <si>
    <t>MY-PUHM001-R0-14</t>
  </si>
  <si>
    <t>B077N3KY6X</t>
  </si>
  <si>
    <t>MY-PUHM001-R0-16</t>
  </si>
  <si>
    <t>B077MYVL7W</t>
  </si>
  <si>
    <t>MY-PUHM001-R0-20</t>
  </si>
  <si>
    <t>B077N9TKMC</t>
  </si>
  <si>
    <t>MY-PUHM001-R0-24</t>
  </si>
  <si>
    <t>B07842C2Q3</t>
  </si>
  <si>
    <t>MY-PUHM001-R0-28</t>
  </si>
  <si>
    <t>B077N47MTG</t>
  </si>
  <si>
    <t>MY-PUHM001-R0-8</t>
  </si>
  <si>
    <t>B077ND3YXB</t>
  </si>
  <si>
    <t>MY-PUHM001-ZL-10</t>
  </si>
  <si>
    <t>B077MWVFXR</t>
  </si>
  <si>
    <t>MY-PUHM001-ZL-12</t>
  </si>
  <si>
    <t>B077N4VS3G</t>
  </si>
  <si>
    <t>MY-PUHM001-ZL-14</t>
  </si>
  <si>
    <t>B077N3LV38</t>
  </si>
  <si>
    <t>MY-PUHM001-ZL-16</t>
  </si>
  <si>
    <t>B077N845BF</t>
  </si>
  <si>
    <t>MY-PUHM001-ZL-20</t>
  </si>
  <si>
    <t>B077MXBX5H</t>
  </si>
  <si>
    <t>MY-PUHM001-ZL-24</t>
  </si>
  <si>
    <t>B077N685Q4</t>
  </si>
  <si>
    <t>MY-PUHM001-ZL-28</t>
  </si>
  <si>
    <t>B077NBB2XS</t>
  </si>
  <si>
    <t>MY-PUHM001-ZL-8</t>
  </si>
  <si>
    <t>B077NB45R7</t>
  </si>
  <si>
    <t>MY-PUHM035-R0-L</t>
  </si>
  <si>
    <t>B077SPDT2V</t>
  </si>
  <si>
    <t>MY-PUHM035</t>
  </si>
  <si>
    <t>MY-PUHM035-R0-M</t>
  </si>
  <si>
    <t>B077SNBTYK</t>
  </si>
  <si>
    <t>MY-PUHM035-R0-S</t>
  </si>
  <si>
    <t>B077SSQ158</t>
  </si>
  <si>
    <t>MY-PUHM035-R0-XL</t>
  </si>
  <si>
    <t>B0784RRGDD</t>
  </si>
  <si>
    <t>MY-PUHM035-R0-XXL</t>
  </si>
  <si>
    <t>B077SDYYKL</t>
  </si>
  <si>
    <t>MY-PUHM036-B0-L</t>
  </si>
  <si>
    <t>B077SPDQMX</t>
  </si>
  <si>
    <t>MY-PUHM036</t>
  </si>
  <si>
    <t>MY-PUHM036-B0-M</t>
  </si>
  <si>
    <t>B0784T4MYY</t>
  </si>
  <si>
    <t>MY-PUHM036-B0-S</t>
  </si>
  <si>
    <t>B077SDZ32V</t>
  </si>
  <si>
    <t>MY-PUHM036-B0-XL</t>
  </si>
  <si>
    <t>B078C5JLZV</t>
  </si>
  <si>
    <t>MY-PUHM036-B0-XXL</t>
  </si>
  <si>
    <t>B077SSQFMX</t>
  </si>
  <si>
    <t>MY-PUHM582-B0-L</t>
  </si>
  <si>
    <t>B07843N7TB</t>
  </si>
  <si>
    <t>MY-PUHM582</t>
  </si>
  <si>
    <t>MY-PUHM582-B0-M</t>
  </si>
  <si>
    <t>B077P3Q2LJ</t>
  </si>
  <si>
    <t>MY-PUHM582-B0-S</t>
  </si>
  <si>
    <t>B077P6GQ66</t>
  </si>
  <si>
    <t>MY-PUHM582-B0-XL</t>
  </si>
  <si>
    <t>B077P1HZH5</t>
  </si>
  <si>
    <t>MY-PUHM582-B0-XS</t>
  </si>
  <si>
    <t>B07843WRKL</t>
  </si>
  <si>
    <t>MY-PUHM582-R0-L</t>
  </si>
  <si>
    <t>B077P25L34</t>
  </si>
  <si>
    <t>MY-PUHM582-R0-M</t>
  </si>
  <si>
    <t>B07844WCH2</t>
  </si>
  <si>
    <t>MY-PUHM582-R0-S</t>
  </si>
  <si>
    <t>B077P76342</t>
  </si>
  <si>
    <t>MY-PUHM582-R0-XL</t>
  </si>
  <si>
    <t>B077P6GSLS</t>
  </si>
  <si>
    <t>MY-PUHM582-R0-XS</t>
  </si>
  <si>
    <t>B077P6DN7F</t>
  </si>
  <si>
    <t>Pajamas-sb001-GR-L</t>
  </si>
  <si>
    <t>B0747L9WY7</t>
  </si>
  <si>
    <t>Pajamas-sb001</t>
  </si>
  <si>
    <t>Pajamas-sb001-GR-M</t>
  </si>
  <si>
    <t>B0747HDWTR</t>
  </si>
  <si>
    <t>Pajamas-sb001-GR-XL</t>
  </si>
  <si>
    <t>B0747KBY7M</t>
  </si>
  <si>
    <t>Pajamas-sb001-KK-L</t>
  </si>
  <si>
    <t>B0747N5SR9</t>
  </si>
  <si>
    <t>Pajamas-sb001-KK-M</t>
  </si>
  <si>
    <t>B0747PFMT4</t>
  </si>
  <si>
    <t>Pajamas-sb001-KK-XL</t>
  </si>
  <si>
    <t>B0747SC2YK</t>
  </si>
  <si>
    <t>Pajamas-sb001-NY-M</t>
  </si>
  <si>
    <t>B0747QGRJ7</t>
  </si>
  <si>
    <t>Pajamas-sb001-WT-M</t>
  </si>
  <si>
    <t>B0747P1RP8</t>
  </si>
  <si>
    <t>Pajamas-sb001-WT-XL</t>
  </si>
  <si>
    <t>B0747MN5MG</t>
  </si>
  <si>
    <t>RY-PUHM716-B0-L</t>
  </si>
  <si>
    <t>B077MXLJYR</t>
  </si>
  <si>
    <t>RY-PUHM716</t>
  </si>
  <si>
    <t>RY-PUHM716-B0-M</t>
  </si>
  <si>
    <t>B077N5HSXR</t>
  </si>
  <si>
    <t>RY-PUHM716-B0-S</t>
  </si>
  <si>
    <t>B0784285GH</t>
  </si>
  <si>
    <t>RY-PUHM716-B0-XL</t>
  </si>
  <si>
    <t>B077N6RL2N</t>
  </si>
  <si>
    <t>RY-PUHM716-B0-XXL</t>
  </si>
  <si>
    <t>B077NNVQ58</t>
  </si>
  <si>
    <t>RY-PUHM716-KQ-L</t>
  </si>
  <si>
    <t>B077N91KX8</t>
  </si>
  <si>
    <t>RY-PUHM716-KQ-M</t>
  </si>
  <si>
    <t>B077N641W6</t>
  </si>
  <si>
    <t>RY-PUHM716-KQ-S</t>
  </si>
  <si>
    <t>B077N28DGY</t>
  </si>
  <si>
    <t>RY-PUHM716-KQ-XL</t>
  </si>
  <si>
    <t>B077MZVCLY</t>
  </si>
  <si>
    <t>RY-PUHM716-KQ-XXL</t>
  </si>
  <si>
    <t>B077N1HRR8</t>
  </si>
  <si>
    <t>RY-PUHM716-PI-L</t>
  </si>
  <si>
    <t>B077MWZHRH</t>
  </si>
  <si>
    <t>RY-PUHM716-PI-M</t>
  </si>
  <si>
    <t>B077N2B7N1</t>
  </si>
  <si>
    <t>RY-PUHM716-PI-S</t>
  </si>
  <si>
    <t>B077NGZSN7</t>
  </si>
  <si>
    <t>RY-PUHM716-PI-XL</t>
  </si>
  <si>
    <t>B077MXLJYL</t>
  </si>
  <si>
    <t>RY-PUHM716-PI-XXL</t>
  </si>
  <si>
    <t>B07842CPN5</t>
  </si>
  <si>
    <t>SCF-A01-007</t>
  </si>
  <si>
    <t>B075XH7C42</t>
  </si>
  <si>
    <t>SCF-A01</t>
  </si>
  <si>
    <t>SCF-A01-008</t>
  </si>
  <si>
    <t>B075XCHJXX</t>
  </si>
  <si>
    <t>SCF-A01-009</t>
  </si>
  <si>
    <t>B075XCBHHN</t>
  </si>
  <si>
    <t>SCF-A01-010</t>
  </si>
  <si>
    <t>B075XH273G</t>
  </si>
  <si>
    <t>SCF-A01-011</t>
  </si>
  <si>
    <t>B075XBDWFK</t>
  </si>
  <si>
    <t>SCF-A01-012</t>
  </si>
  <si>
    <t>B075X946ZN</t>
  </si>
  <si>
    <t>SCF-A01-013</t>
  </si>
  <si>
    <t>B075XFT9C9</t>
  </si>
  <si>
    <t>SCF-B01-001</t>
  </si>
  <si>
    <t>B075XDV8DB</t>
  </si>
  <si>
    <t>SCF-B01</t>
  </si>
  <si>
    <t>SCF-B01-002</t>
  </si>
  <si>
    <t>B075XFH141</t>
  </si>
  <si>
    <t>SCF-B01-003</t>
  </si>
  <si>
    <t>B075XHVZNY</t>
  </si>
  <si>
    <t>SCF-B01-004</t>
  </si>
  <si>
    <t>B075XH1TBD</t>
  </si>
  <si>
    <t>SCF-B01-005</t>
  </si>
  <si>
    <t>B075XGCNH2</t>
  </si>
  <si>
    <t>SCF-B01-006</t>
  </si>
  <si>
    <t>B075XG5JVY</t>
  </si>
  <si>
    <t>SCF-B01-007</t>
  </si>
  <si>
    <t>B075XCJ63F</t>
  </si>
  <si>
    <t>SCF-B01-008</t>
  </si>
  <si>
    <t>B075XH35SF</t>
  </si>
  <si>
    <t>SCF-B01-009</t>
  </si>
  <si>
    <t>B075XF8TFV</t>
  </si>
  <si>
    <t>SCF-B01-011</t>
  </si>
  <si>
    <t>B075XDTMSM</t>
  </si>
  <si>
    <t>SCF-B01-012</t>
  </si>
  <si>
    <t>B075XHCCFQ</t>
  </si>
  <si>
    <t>SCF-B01-013</t>
  </si>
  <si>
    <t>B075XCS3QN</t>
  </si>
  <si>
    <t>SCF-B01-014</t>
  </si>
  <si>
    <t>B075X9JZX3</t>
  </si>
  <si>
    <t>SCF-B01-015</t>
  </si>
  <si>
    <t>B075XF6KDQ</t>
  </si>
  <si>
    <t>SCF-B01-016</t>
  </si>
  <si>
    <t>B075XD8MYM</t>
  </si>
  <si>
    <t>SCF-B01-017</t>
  </si>
  <si>
    <t>B075XJLDVB</t>
  </si>
  <si>
    <t>SCF-B01-018</t>
  </si>
  <si>
    <t>B075XC664H</t>
  </si>
  <si>
    <t>SCF-B01-019</t>
  </si>
  <si>
    <t>B075XF75YS</t>
  </si>
  <si>
    <t>SCF-B01-020</t>
  </si>
  <si>
    <t>B075XFQC8B</t>
  </si>
  <si>
    <t>SCF-B01-021</t>
  </si>
  <si>
    <t>B075XJBNCS</t>
  </si>
  <si>
    <t>SCF-B01-022</t>
  </si>
  <si>
    <t>B075XG6Z6C</t>
  </si>
  <si>
    <t>SCF-C01-003</t>
  </si>
  <si>
    <t>B075WQNT6B</t>
  </si>
  <si>
    <t>SCF-C01</t>
  </si>
  <si>
    <t>SCF-C01-005</t>
  </si>
  <si>
    <t>B075WR57PJ</t>
  </si>
  <si>
    <t>SCF-C01-006</t>
  </si>
  <si>
    <t>B075WS87MQ</t>
  </si>
  <si>
    <t>SCF-C01-007</t>
  </si>
  <si>
    <t>B075WSXH1N</t>
  </si>
  <si>
    <t>SCF-C01-008</t>
  </si>
  <si>
    <t>B075WNZJSF</t>
  </si>
  <si>
    <t>SCF-C01-009</t>
  </si>
  <si>
    <t>B075WT1YRZ</t>
  </si>
  <si>
    <t>SCF-C01-010</t>
  </si>
  <si>
    <t>B075WT9XBG</t>
  </si>
  <si>
    <t>SCF-C01-011</t>
  </si>
  <si>
    <t>B075WSSK1M</t>
  </si>
  <si>
    <t>SCF-C01-012</t>
  </si>
  <si>
    <t>B075WQJ859</t>
  </si>
  <si>
    <t>SCF-C01-013</t>
  </si>
  <si>
    <t>B075WSZF3P</t>
  </si>
  <si>
    <t>SCF-C01-014</t>
  </si>
  <si>
    <t>B075WRD5KM</t>
  </si>
  <si>
    <t>SCF-C01-016</t>
  </si>
  <si>
    <t>B075WT1YR6</t>
  </si>
  <si>
    <t>SCF-C01-017</t>
  </si>
  <si>
    <t>B075WTKCN3</t>
  </si>
  <si>
    <t>SCF-C01-018</t>
  </si>
  <si>
    <t>B075WQQC8L</t>
  </si>
  <si>
    <t>SCF-C01-019</t>
  </si>
  <si>
    <t>B075WTH7BJ</t>
  </si>
  <si>
    <t>SCF-D01-004</t>
  </si>
  <si>
    <t>B075WT8RQN</t>
  </si>
  <si>
    <t>SCF-D01</t>
  </si>
  <si>
    <t>SCF-D01-006</t>
  </si>
  <si>
    <t>B075WRWK44</t>
  </si>
  <si>
    <t>SCF-D01-007</t>
  </si>
  <si>
    <t>B075WPHHKW</t>
  </si>
  <si>
    <t>SCF-D01-009</t>
  </si>
  <si>
    <t>B075WPX32B</t>
  </si>
  <si>
    <t>SCF-D01-011</t>
  </si>
  <si>
    <t>B075WSLZ5G</t>
  </si>
  <si>
    <t>SCF-D01-012</t>
  </si>
  <si>
    <t>B075WPSRD1</t>
  </si>
  <si>
    <t>SCF-D01-015</t>
  </si>
  <si>
    <t>B075WRTSV9</t>
  </si>
  <si>
    <t>SCF-D01-017</t>
  </si>
  <si>
    <t>B075WSD44L</t>
  </si>
  <si>
    <t>SCF-SJ006-Puzzle-OS</t>
  </si>
  <si>
    <t>B073V1XLYJ</t>
  </si>
  <si>
    <t>SCF-SJ006</t>
  </si>
  <si>
    <t>ST-K157-B0-32</t>
  </si>
  <si>
    <t>B073Q1437J</t>
  </si>
  <si>
    <t>ST-K157</t>
  </si>
  <si>
    <t>ST-K157-KQ-32</t>
  </si>
  <si>
    <t>B073PZDYM9</t>
  </si>
  <si>
    <t>ST-K559-KQ-44</t>
  </si>
  <si>
    <t>B073QH2KWY</t>
  </si>
  <si>
    <t>ST-K559</t>
  </si>
  <si>
    <t>ST-K559-OR-32</t>
  </si>
  <si>
    <t>B073QGK1FW</t>
  </si>
  <si>
    <t>ST005-BK-S</t>
  </si>
  <si>
    <t>B074P3WK1B</t>
  </si>
  <si>
    <t>ST005</t>
  </si>
  <si>
    <t>ST005-BL1-L</t>
  </si>
  <si>
    <t>B074NWD9JL</t>
  </si>
  <si>
    <t>ST005-BL2-S</t>
  </si>
  <si>
    <t>B074P5N47H</t>
  </si>
  <si>
    <t>ST005-GN-S</t>
  </si>
  <si>
    <t>B074NZHLJW</t>
  </si>
  <si>
    <t>ST005-RD-S</t>
  </si>
  <si>
    <t>B074P34K32</t>
  </si>
  <si>
    <t>ST005-RD1-S</t>
  </si>
  <si>
    <t>B074NWPZS3</t>
  </si>
  <si>
    <t>ST006-BK-XL</t>
  </si>
  <si>
    <t>B074NVHR58</t>
  </si>
  <si>
    <t>ST006</t>
  </si>
  <si>
    <t>ST006-BL-S</t>
  </si>
  <si>
    <t>B074P2B6M8</t>
  </si>
  <si>
    <t>ST006-BL2-S</t>
  </si>
  <si>
    <t>B074NVH8G2</t>
  </si>
  <si>
    <t>ST006-CF-M</t>
  </si>
  <si>
    <t>B074P1DYRF</t>
  </si>
  <si>
    <t>ST006-CF-S</t>
  </si>
  <si>
    <t>B074NQZMVQ</t>
  </si>
  <si>
    <t>ST006-GN-M</t>
  </si>
  <si>
    <t>B074NZX79C</t>
  </si>
  <si>
    <t>ST006-GN-S</t>
  </si>
  <si>
    <t>B074P1LKV2</t>
  </si>
  <si>
    <t>ST006-RD1-S</t>
  </si>
  <si>
    <t>B074P5J7Y8</t>
  </si>
  <si>
    <t>ST006-RD2-XL</t>
  </si>
  <si>
    <t>B074P6BFX9</t>
  </si>
  <si>
    <t>ST084-H15-S</t>
  </si>
  <si>
    <t>B06XPWLNQP</t>
  </si>
  <si>
    <t>ST084</t>
  </si>
  <si>
    <t>ST084-H15-XXL</t>
  </si>
  <si>
    <t>B06XPWWWTB</t>
  </si>
  <si>
    <t>ST085-LB916-M</t>
  </si>
  <si>
    <t>B06XYZHW8G</t>
  </si>
  <si>
    <t>ST085</t>
  </si>
  <si>
    <t>ST085-LB916-S</t>
  </si>
  <si>
    <t>B06XYZF3QP</t>
  </si>
  <si>
    <t>ST122-WR-S</t>
  </si>
  <si>
    <t>B06Y2SFW95</t>
  </si>
  <si>
    <t>ST122</t>
  </si>
  <si>
    <t>ST155-AG-30</t>
  </si>
  <si>
    <t>B071JY11V7</t>
  </si>
  <si>
    <t>ST155</t>
  </si>
  <si>
    <t>ST155-AG-32</t>
  </si>
  <si>
    <t>B071JXZVZV</t>
  </si>
  <si>
    <t>ST155-AG-38</t>
  </si>
  <si>
    <t>B0721B4X7S</t>
  </si>
  <si>
    <t>ST166-B28-4-L</t>
  </si>
  <si>
    <t>B072PQ55W6</t>
  </si>
  <si>
    <t>ST166</t>
  </si>
  <si>
    <t>ST166-B28-4-S</t>
  </si>
  <si>
    <t>B072J7L6PX</t>
  </si>
  <si>
    <t>ST166-B28-4-XXL</t>
  </si>
  <si>
    <t>B0719P8LD3</t>
  </si>
  <si>
    <t>ST166-K33-1-S</t>
  </si>
  <si>
    <t>B0711XBBFZ</t>
  </si>
  <si>
    <t>ST166-K33-1-XL</t>
  </si>
  <si>
    <t>B072PQ6GGL</t>
  </si>
  <si>
    <t>ST166-K33-1-XXL</t>
  </si>
  <si>
    <t>B072J7L582</t>
  </si>
  <si>
    <t>ST166-K33-4-M</t>
  </si>
  <si>
    <t>B0711XBC78</t>
  </si>
  <si>
    <t>ST166-K33-4-S</t>
  </si>
  <si>
    <t>B07173Q2FN</t>
  </si>
  <si>
    <t>ST167-BK-XXL</t>
  </si>
  <si>
    <t>B07173XFVT</t>
  </si>
  <si>
    <t>ST167</t>
  </si>
  <si>
    <t>ST167-K0-XXL</t>
  </si>
  <si>
    <t>ST170-LB-L</t>
  </si>
  <si>
    <t>B073PPTS8L</t>
  </si>
  <si>
    <t>ST170</t>
  </si>
  <si>
    <t>ST170-LB-M</t>
  </si>
  <si>
    <t>B073PQ752P</t>
  </si>
  <si>
    <t>ST170-LB-S</t>
  </si>
  <si>
    <t>B073PPS7FM</t>
  </si>
  <si>
    <t>ST170-LB-XL</t>
  </si>
  <si>
    <t>B073PP3ZWD</t>
  </si>
  <si>
    <t>ST170-LB-XXL</t>
  </si>
  <si>
    <t>B073PQKB9N</t>
  </si>
  <si>
    <t>ST170-LG-L</t>
  </si>
  <si>
    <t>B073PP886W</t>
  </si>
  <si>
    <t>ST170-LG-M</t>
  </si>
  <si>
    <t>B073PP2K9L</t>
  </si>
  <si>
    <t>ST170-LG-S</t>
  </si>
  <si>
    <t>B073PPSG6W</t>
  </si>
  <si>
    <t>ST170-LG-XXL</t>
  </si>
  <si>
    <t>B073PQFZ61</t>
  </si>
  <si>
    <t>ST170-PK-M</t>
  </si>
  <si>
    <t>B073PQ115V</t>
  </si>
  <si>
    <t>ST170-PK-XXL</t>
  </si>
  <si>
    <t>B073PPMWTH</t>
  </si>
  <si>
    <t>ST170-SA-M</t>
  </si>
  <si>
    <t>B073PPT2TW</t>
  </si>
  <si>
    <t>ST170-SA-S</t>
  </si>
  <si>
    <t>B073PPY7H7</t>
  </si>
  <si>
    <t>ST170-SA-XXL</t>
  </si>
  <si>
    <t>B073PPT4YQ</t>
  </si>
  <si>
    <t>ST170-WR-L</t>
  </si>
  <si>
    <t>B073PPT6WC</t>
  </si>
  <si>
    <t>ST170-WR-S</t>
  </si>
  <si>
    <t>B073PQ59J8</t>
  </si>
  <si>
    <t>ST170-WR-XL</t>
  </si>
  <si>
    <t>B073PPP5ZG</t>
  </si>
  <si>
    <t>ST170-WT-M</t>
  </si>
  <si>
    <t>B073PQ4WFY</t>
  </si>
  <si>
    <t>ST170-ZL-L</t>
  </si>
  <si>
    <t>B073PQ7KG6</t>
  </si>
  <si>
    <t>ST170-ZL-M</t>
  </si>
  <si>
    <t>B073PPP5ZQ</t>
  </si>
  <si>
    <t>ST170-ZL-S</t>
  </si>
  <si>
    <t>B073PPTRXC</t>
  </si>
  <si>
    <t>ST170-ZL-XL</t>
  </si>
  <si>
    <t>B073PQRR85</t>
  </si>
  <si>
    <t>ST171-LB916-M</t>
  </si>
  <si>
    <t>B073PPWDT7</t>
  </si>
  <si>
    <t>ST171</t>
  </si>
  <si>
    <t>ST171-LB916-S</t>
  </si>
  <si>
    <t>B073PQ6BZ4</t>
  </si>
  <si>
    <t>ST171-LB916-XXL</t>
  </si>
  <si>
    <t>B073PPFLNM</t>
  </si>
  <si>
    <t>ST171-Sa911-L</t>
  </si>
  <si>
    <t>B073PQLFVZ</t>
  </si>
  <si>
    <t>ST171-Sa911-M</t>
  </si>
  <si>
    <t>B073PQD5PP</t>
  </si>
  <si>
    <t>ST171-Sa911-S</t>
  </si>
  <si>
    <t>B073PQXDQX</t>
  </si>
  <si>
    <t>ST171-Sa911-XL</t>
  </si>
  <si>
    <t>B073PPGD16</t>
  </si>
  <si>
    <t>ST171-W902-M</t>
  </si>
  <si>
    <t>B073PPH3QV</t>
  </si>
  <si>
    <t>ST171-W902-XL</t>
  </si>
  <si>
    <t>B073PPNYCZ</t>
  </si>
  <si>
    <t>ST172-BK-L</t>
  </si>
  <si>
    <t>B074SWFPBT</t>
  </si>
  <si>
    <t>ST172</t>
  </si>
  <si>
    <t>ST172-BK-M</t>
  </si>
  <si>
    <t>B074T24DYN</t>
  </si>
  <si>
    <t>ST172-BK-S</t>
  </si>
  <si>
    <t>B074SNMHQJ</t>
  </si>
  <si>
    <t>ST172-BK-XL</t>
  </si>
  <si>
    <t>B074SXT551</t>
  </si>
  <si>
    <t>ST172-BL-L</t>
  </si>
  <si>
    <t>B074SZ6CL6</t>
  </si>
  <si>
    <t>ST172-BL-M</t>
  </si>
  <si>
    <t>B074SZ4SDW</t>
  </si>
  <si>
    <t>ST172-BL-S</t>
  </si>
  <si>
    <t>B074SZCMCP</t>
  </si>
  <si>
    <t>ST172-BL-XL</t>
  </si>
  <si>
    <t>B074SNP44C</t>
  </si>
  <si>
    <t>ST172-BL-XXL</t>
  </si>
  <si>
    <t>B074SQ5PJS</t>
  </si>
  <si>
    <t>ST172-GR-L</t>
  </si>
  <si>
    <t>B074SLPFD9</t>
  </si>
  <si>
    <t>ST172-GR-M</t>
  </si>
  <si>
    <t>B074T17WTF</t>
  </si>
  <si>
    <t>ST172-GR-S</t>
  </si>
  <si>
    <t>B074SL7P58</t>
  </si>
  <si>
    <t>ST172-GR-XL</t>
  </si>
  <si>
    <t>B074SLTLS9</t>
  </si>
  <si>
    <t>ST172-GR-XXL</t>
  </si>
  <si>
    <t>B074SXQ5MY</t>
  </si>
  <si>
    <t>ST172-NY-L</t>
  </si>
  <si>
    <t>B074SQ1FJK</t>
  </si>
  <si>
    <t>ST172-NY-M</t>
  </si>
  <si>
    <t>B074SPWGPS</t>
  </si>
  <si>
    <t>ST172-NY-S</t>
  </si>
  <si>
    <t>B074SYY7Q7</t>
  </si>
  <si>
    <t>ST172-NY-XL</t>
  </si>
  <si>
    <t>B074SMS5NT</t>
  </si>
  <si>
    <t>ST172-NY-XXL</t>
  </si>
  <si>
    <t>B074SLZVWD</t>
  </si>
  <si>
    <t>ST172-PK-L</t>
  </si>
  <si>
    <t>B074SQ5R3F</t>
  </si>
  <si>
    <t>ST172-PK-M</t>
  </si>
  <si>
    <t>B074SZKQMT</t>
  </si>
  <si>
    <t>ST172-PK-S</t>
  </si>
  <si>
    <t>B074SZQ1LP</t>
  </si>
  <si>
    <t>ST172-PK-XL</t>
  </si>
  <si>
    <t>B074SXQT5Z</t>
  </si>
  <si>
    <t>ST172-PK-XXL</t>
  </si>
  <si>
    <t>B074SYXBT8</t>
  </si>
  <si>
    <t>ST172-PP-L</t>
  </si>
  <si>
    <t>B074T25JWG</t>
  </si>
  <si>
    <t>ST172-PP-M</t>
  </si>
  <si>
    <t>B074SMT9CV</t>
  </si>
  <si>
    <t>ST172-PP-S</t>
  </si>
  <si>
    <t>B074SN4V6M</t>
  </si>
  <si>
    <t>ST172-PP-XL</t>
  </si>
  <si>
    <t>B074SM144J</t>
  </si>
  <si>
    <t>ST172-WR-L</t>
  </si>
  <si>
    <t>B074SM3B1W</t>
  </si>
  <si>
    <t>ST172-WR-M</t>
  </si>
  <si>
    <t>B074SXT999</t>
  </si>
  <si>
    <t>ST172-WR-S</t>
  </si>
  <si>
    <t>B074SYX9RW</t>
  </si>
  <si>
    <t>ST172-WR-XL</t>
  </si>
  <si>
    <t>B074SY2NWC</t>
  </si>
  <si>
    <t>ST172-WR-XXL</t>
  </si>
  <si>
    <t>B074SQ5NX1</t>
  </si>
  <si>
    <t>ST172-WT1-L</t>
  </si>
  <si>
    <t>B074SWPTKB</t>
  </si>
  <si>
    <t>ST172-WT1-M</t>
  </si>
  <si>
    <t>B074SNMJJ9</t>
  </si>
  <si>
    <t>ST172-WT1-S</t>
  </si>
  <si>
    <t>B074SZCXH9</t>
  </si>
  <si>
    <t>ST172-WT1-XL</t>
  </si>
  <si>
    <t>B074SZJPSD</t>
  </si>
  <si>
    <t>ST172-WT1-XXL</t>
  </si>
  <si>
    <t>B074SKM7WZ</t>
  </si>
  <si>
    <t>ST172-WT2-L</t>
  </si>
  <si>
    <t>B074SWFPBG</t>
  </si>
  <si>
    <t>ST172-WT2-M</t>
  </si>
  <si>
    <t>B074SKGP6T</t>
  </si>
  <si>
    <t>ST172-WT2-S</t>
  </si>
  <si>
    <t>B074SNVWHH</t>
  </si>
  <si>
    <t>ST172-WT2-XL</t>
  </si>
  <si>
    <t>B074SL2P7T</t>
  </si>
  <si>
    <t>ST172-WT2-XXL</t>
  </si>
  <si>
    <t>B074SZQ5DF</t>
  </si>
  <si>
    <t>ST173-BK-S</t>
  </si>
  <si>
    <t>B074SM5RZS</t>
  </si>
  <si>
    <t>ST173</t>
  </si>
  <si>
    <t>ST173-BK-XL</t>
  </si>
  <si>
    <t>B074T17WT8</t>
  </si>
  <si>
    <t>ST173-BK-XXL</t>
  </si>
  <si>
    <t>B074SPJFZZ</t>
  </si>
  <si>
    <t>ST173-BL-L</t>
  </si>
  <si>
    <t>B074SWQY9F</t>
  </si>
  <si>
    <t>ST173-BL-M</t>
  </si>
  <si>
    <t>B074SXT27T</t>
  </si>
  <si>
    <t>ST173-BL-S</t>
  </si>
  <si>
    <t>B074SZJYJJ</t>
  </si>
  <si>
    <t>ST173-BL-XXL</t>
  </si>
  <si>
    <t>B074ST3T2H</t>
  </si>
  <si>
    <t>ST173-GR-L</t>
  </si>
  <si>
    <t>B074SL2W76</t>
  </si>
  <si>
    <t>ST173-GR-M</t>
  </si>
  <si>
    <t>B074SMCKFY</t>
  </si>
  <si>
    <t>ST173-GR-S</t>
  </si>
  <si>
    <t>B074SVYFJC</t>
  </si>
  <si>
    <t>ST173-GR-XL</t>
  </si>
  <si>
    <t>B074SMTJC1</t>
  </si>
  <si>
    <t>ST173-GR-XXL</t>
  </si>
  <si>
    <t>B074SL2XHK</t>
  </si>
  <si>
    <t>ST173-NY-L</t>
  </si>
  <si>
    <t>B074SLG3XL</t>
  </si>
  <si>
    <t>ST173-NY-M</t>
  </si>
  <si>
    <t>B074SN3YQP</t>
  </si>
  <si>
    <t>ST173-NY-S</t>
  </si>
  <si>
    <t>B074SNF6PC</t>
  </si>
  <si>
    <t>ST173-NY-XL</t>
  </si>
  <si>
    <t>B074SMGT88</t>
  </si>
  <si>
    <t>ST173-NY-XXL</t>
  </si>
  <si>
    <t>B074SXC7GW</t>
  </si>
  <si>
    <t>ST173-PK-L</t>
  </si>
  <si>
    <t>B074SLMBT9</t>
  </si>
  <si>
    <t>ST173-PK-M</t>
  </si>
  <si>
    <t>B074SKGH3S</t>
  </si>
  <si>
    <t>ST173-PK-S</t>
  </si>
  <si>
    <t>B074SL9T1Y</t>
  </si>
  <si>
    <t>ST173-PK-XL</t>
  </si>
  <si>
    <t>B074SZD1GM</t>
  </si>
  <si>
    <t>ST173-PK-XXL</t>
  </si>
  <si>
    <t>B074SVP22M</t>
  </si>
  <si>
    <t>ST173-PP-S</t>
  </si>
  <si>
    <t>B074SL9Y3C</t>
  </si>
  <si>
    <t>ST173-WR-L</t>
  </si>
  <si>
    <t>B074SPF7P1</t>
  </si>
  <si>
    <t>ST173-WR-M</t>
  </si>
  <si>
    <t>B074SN3YQT</t>
  </si>
  <si>
    <t>ST173-WR-S</t>
  </si>
  <si>
    <t>B074SK47ZJ</t>
  </si>
  <si>
    <t>ST173-WR-XL</t>
  </si>
  <si>
    <t>B074SZC8W1</t>
  </si>
  <si>
    <t>ST173-WR-XXL</t>
  </si>
  <si>
    <t>B074SWV9C3</t>
  </si>
  <si>
    <t>ST173-WT1-L</t>
  </si>
  <si>
    <t>B074SZJ4QG</t>
  </si>
  <si>
    <t>ST173-WT1-S</t>
  </si>
  <si>
    <t>B074SXT853</t>
  </si>
  <si>
    <t>ST173-WT2-S</t>
  </si>
  <si>
    <t>B074SZQ3FG</t>
  </si>
  <si>
    <t>SZ-IUYL002</t>
  </si>
  <si>
    <t>B079JF8TQM</t>
  </si>
  <si>
    <t>TZ-CAHM240-BEAR-L</t>
  </si>
  <si>
    <t>B07G2TKH72</t>
  </si>
  <si>
    <t>TZ-CAHM240</t>
  </si>
  <si>
    <t>TZ-CAHM240-BEAR-M</t>
  </si>
  <si>
    <t>B07G2HK4LR</t>
  </si>
  <si>
    <t>TZ-CAHM240-BEAR-S</t>
  </si>
  <si>
    <t>B07G2GK8ZK</t>
  </si>
  <si>
    <t>TZ-CAHM240-BONE-L</t>
  </si>
  <si>
    <t>B07G2J4CCP</t>
  </si>
  <si>
    <t>TZ-CAHM240-BONE-M</t>
  </si>
  <si>
    <t>B07G2HT2XT</t>
  </si>
  <si>
    <t>TZ-CAHM240-BONE-S</t>
  </si>
  <si>
    <t>B07G2C1J1X</t>
  </si>
  <si>
    <t>TZ-CAHM240-CHRISMAS-L</t>
  </si>
  <si>
    <t>B07G2GG3FG</t>
  </si>
  <si>
    <t>TZ-CAHM240-CHRISMAS-M</t>
  </si>
  <si>
    <t>B07G2JK88P</t>
  </si>
  <si>
    <t>TZ-CAHM240-CHRISMAS-S</t>
  </si>
  <si>
    <t>B07G2CDB9N</t>
  </si>
  <si>
    <t>TZ-CAHM240-DOT-L</t>
  </si>
  <si>
    <t>B07G2FZJ1T</t>
  </si>
  <si>
    <t>TZ-CAHM240-DOT-M</t>
  </si>
  <si>
    <t>B07G2DBC11</t>
  </si>
  <si>
    <t>TZ-CAHM240-DOT-S</t>
  </si>
  <si>
    <t>B07G2F95T9</t>
  </si>
  <si>
    <t>TZ-CAHM240-DOT2-L</t>
  </si>
  <si>
    <t>B07G2CQMRB</t>
  </si>
  <si>
    <t>TZ-CAHM240-DOT2-M</t>
  </si>
  <si>
    <t>B07G2G9KXB</t>
  </si>
  <si>
    <t>TZ-CAHM240-DOT2-S</t>
  </si>
  <si>
    <t>B07G2JKPHB</t>
  </si>
  <si>
    <t>TZ-CAHM240-ELPH-L</t>
  </si>
  <si>
    <t>B07G2BHFL7</t>
  </si>
  <si>
    <t>TZ-CAHM240-ELPH-M</t>
  </si>
  <si>
    <t>B07G2DMWYP</t>
  </si>
  <si>
    <t>TZ-CAHM240-ELPH-S</t>
  </si>
  <si>
    <t>B07G2CRRYT</t>
  </si>
  <si>
    <t>TZ-CAHM240-LOVE-L</t>
  </si>
  <si>
    <t>B07G2QCTTK</t>
  </si>
  <si>
    <t>TZ-CAHM240-LOVE-M</t>
  </si>
  <si>
    <t>B07G2C9V8N</t>
  </si>
  <si>
    <t>TZ-CAHM240-LOVE-S</t>
  </si>
  <si>
    <t>B07G2C7LXR</t>
  </si>
  <si>
    <t>TZ-CAHM240-PAW-L</t>
  </si>
  <si>
    <t>B07G2F3B36</t>
  </si>
  <si>
    <t>TZ-CAHM240-PAW-M</t>
  </si>
  <si>
    <t>B07G2QCW7J</t>
  </si>
  <si>
    <t>TZ-CAHM240-PAW-S</t>
  </si>
  <si>
    <t>B07G2J4CCG</t>
  </si>
  <si>
    <t>TZ-CAHM240-RABBIT-L</t>
  </si>
  <si>
    <t>B07G2J672C</t>
  </si>
  <si>
    <t>TZ-CAHM240-RABBIT-M</t>
  </si>
  <si>
    <t>B07G2H6MVD</t>
  </si>
  <si>
    <t>TZ-CAHM240-RABBIT-S</t>
  </si>
  <si>
    <t>B07G2D1R88</t>
  </si>
  <si>
    <t>TZ-CAHM240-STAR-L</t>
  </si>
  <si>
    <t>B07G2D9NZP</t>
  </si>
  <si>
    <t>TZ-CAHM240-STAR-M</t>
  </si>
  <si>
    <t>B07G2JF5SV</t>
  </si>
  <si>
    <t>TZ-CAHM240-STAR-S</t>
  </si>
  <si>
    <t>B07G2DFQH7</t>
  </si>
  <si>
    <t>TZ-CAHM240-STRAWBERRY-L</t>
  </si>
  <si>
    <t>B07G2CV2C7</t>
  </si>
  <si>
    <t>TZ-CAHM240-STRAWBERRY-M</t>
  </si>
  <si>
    <t>B07G2HNK7F</t>
  </si>
  <si>
    <t>TZ-CAHM240-STRAWBERRY-S</t>
  </si>
  <si>
    <t>B07G2HDHQR</t>
  </si>
  <si>
    <t>TZ-IUYL240-BEAR-L</t>
  </si>
  <si>
    <t>B07DFBHNBF</t>
  </si>
  <si>
    <t>TZ-IUYL240</t>
  </si>
  <si>
    <t>TZ-IUYL240-BEAR-M</t>
  </si>
  <si>
    <t>B07DFC3CFS</t>
  </si>
  <si>
    <t>TZ-IUYL240-BEAR-S</t>
  </si>
  <si>
    <t>B07DF6DDNM</t>
  </si>
  <si>
    <t>TZ-IUYL240-BONE-L</t>
  </si>
  <si>
    <t>B079HRST93</t>
  </si>
  <si>
    <t>TZ-IUYL240-BONE-M</t>
  </si>
  <si>
    <t>B079HPCGB9</t>
  </si>
  <si>
    <t>TZ-IUYL240-BONE-S</t>
  </si>
  <si>
    <t>B079HQW62H</t>
  </si>
  <si>
    <t>TZ-IUYL240-CHRISMAS-L</t>
  </si>
  <si>
    <t>B07FPF48R8</t>
  </si>
  <si>
    <t>TZ-IUYL240-CHRISMAS-M</t>
  </si>
  <si>
    <t>B07FPDR28G</t>
  </si>
  <si>
    <t>TZ-IUYL240-CHRISMAS-S</t>
  </si>
  <si>
    <t>B07FPGNFXV</t>
  </si>
  <si>
    <t>TZ-IUYL240-DOT-L</t>
  </si>
  <si>
    <t>B07C16NFVZ</t>
  </si>
  <si>
    <t>TZ-IUYL240-DOT-M</t>
  </si>
  <si>
    <t>B07CBPJCK5</t>
  </si>
  <si>
    <t>TZ-IUYL240-DOT-S</t>
  </si>
  <si>
    <t>B07CBPWQZT</t>
  </si>
  <si>
    <t>TZ-IUYL240-DOT2-L</t>
  </si>
  <si>
    <t>B07DFBKQ2D</t>
  </si>
  <si>
    <t>TZ-IUYL240-DOT2-M</t>
  </si>
  <si>
    <t>B07DF81JBH</t>
  </si>
  <si>
    <t>TZ-IUYL240-DOT2-S</t>
  </si>
  <si>
    <t>B07DF9YBBV</t>
  </si>
  <si>
    <t>TZ-IUYL240-ELPH-L</t>
  </si>
  <si>
    <t>B07BGW4LWX</t>
  </si>
  <si>
    <t>TZ-IUYL240-ELPH-M</t>
  </si>
  <si>
    <t>B07BGSSQLV</t>
  </si>
  <si>
    <t>TZ-IUYL240-ELPH-S</t>
  </si>
  <si>
    <t>B07BGWTSX6</t>
  </si>
  <si>
    <t>TZ-IUYL240-LOVE-L</t>
  </si>
  <si>
    <t>B07DL5W2R6</t>
  </si>
  <si>
    <t>TZ-IUYL240-LOVE-M</t>
  </si>
  <si>
    <t>B07DL53SBF</t>
  </si>
  <si>
    <t>TZ-IUYL240-LOVE-S</t>
  </si>
  <si>
    <t>B07DL5G8KV</t>
  </si>
  <si>
    <t>TZ-IUYL240-PAW-L</t>
  </si>
  <si>
    <t>B079HP2RFZ</t>
  </si>
  <si>
    <t>TZ-IUYL240-PAW-M</t>
  </si>
  <si>
    <t>B079HPLTVC</t>
  </si>
  <si>
    <t>TZ-IUYL240-PAW-S</t>
  </si>
  <si>
    <t>B079HQPJP2</t>
  </si>
  <si>
    <t>TZ-IUYL240-RABBIT-L</t>
  </si>
  <si>
    <t>B07DFBM9N3</t>
  </si>
  <si>
    <t>TZ-IUYL240-RABBIT-M</t>
  </si>
  <si>
    <t>B07DF6XZQC</t>
  </si>
  <si>
    <t>TZ-IUYL240-RABBIT-S</t>
  </si>
  <si>
    <t>B07DFCKR8T</t>
  </si>
  <si>
    <t>TZ-IUYL240-STAR-L</t>
  </si>
  <si>
    <t>B079HRYZ8F</t>
  </si>
  <si>
    <t>TZ-IUYL240-STAR-M</t>
  </si>
  <si>
    <t>B079HQGKS9</t>
  </si>
  <si>
    <t>TZ-IUYL240-STAR-S</t>
  </si>
  <si>
    <t>B079HS8H93</t>
  </si>
  <si>
    <t>TZ-IUYL240-STRAWBERRY-L</t>
  </si>
  <si>
    <t>B07C1P3Z1B</t>
  </si>
  <si>
    <t>TZ-IUYL240-STRAWBERRY-M</t>
  </si>
  <si>
    <t>B07CBR7LCS</t>
  </si>
  <si>
    <t>TZ-IUYL240-STRAWBERRY-S</t>
  </si>
  <si>
    <t>B07CBPP52D</t>
  </si>
  <si>
    <t>TZ-IUYL240LHY-BONE-L</t>
  </si>
  <si>
    <t>TZ-IUYL240LHY-BONE-M</t>
  </si>
  <si>
    <t>TZ-IUYL240LHY-BONE-S</t>
  </si>
  <si>
    <t>TZ-IUYL240LHY-DOT-L</t>
  </si>
  <si>
    <t>TZ-IUYL240LHY-DOT-M</t>
  </si>
  <si>
    <t>TZ-IUYL240LHY-DOT-S</t>
  </si>
  <si>
    <t>TZ-IUYL240LHY-ELPH-L</t>
  </si>
  <si>
    <t>TZ-IUYL240LHY-ELPH-M</t>
  </si>
  <si>
    <t>TZ-IUYL240LHY-ELPH-S</t>
  </si>
  <si>
    <t>TZ-IUYL240LHY-PAW-L</t>
  </si>
  <si>
    <t>TZ-IUYL240LHY-PAW-M</t>
  </si>
  <si>
    <t>TZ-IUYL240LHY-PAW-S</t>
  </si>
  <si>
    <t>TZ-IUYL240LHY-STAR-L</t>
  </si>
  <si>
    <t>TZ-IUYL240LHY-STAR-M</t>
  </si>
  <si>
    <t>TZ-IUYL240LHY-STAR-S</t>
  </si>
  <si>
    <t>TZ-IUYL240LHY-STRAWBERRY-L</t>
  </si>
  <si>
    <t>TZ-IUYL240LHY-STRAWBERRY-M</t>
  </si>
  <si>
    <t>TZ-IUYL240LHY-STRAWBERRY-S</t>
  </si>
  <si>
    <t>TZ-SY240-BONE-S</t>
  </si>
  <si>
    <t>B079G3D72G</t>
  </si>
  <si>
    <t>TZ-SY240</t>
  </si>
  <si>
    <t>TZ-SY240-ELPH-S</t>
  </si>
  <si>
    <t>B07BGYNNNN</t>
  </si>
  <si>
    <t>TZ-SY240-STRAWBERRY-S</t>
  </si>
  <si>
    <t>B07C8B4SK9</t>
  </si>
  <si>
    <t>XQ-IUYL260-BK-M</t>
  </si>
  <si>
    <t>B079GQ697Z</t>
  </si>
  <si>
    <t>XQ-IUYL260</t>
  </si>
  <si>
    <t>XQ-IUYL260-BK-S</t>
  </si>
  <si>
    <t>B079GPRVHY</t>
  </si>
  <si>
    <t>XQ-IUYL260-BL1-M</t>
  </si>
  <si>
    <t>B079GQ99MR</t>
  </si>
  <si>
    <t>XQ-IUYL260-BL1-S</t>
  </si>
  <si>
    <t>B079GQZMQ2</t>
  </si>
  <si>
    <t>XQ-IUYL260-BL2-M</t>
  </si>
  <si>
    <t>B079GR91JK</t>
  </si>
  <si>
    <t>XQ-IUYL260-BL2-S</t>
  </si>
  <si>
    <t>B079GLZ6K8</t>
  </si>
  <si>
    <t>XQ-IUYL260-GN-M</t>
  </si>
  <si>
    <t>B079GML28B</t>
  </si>
  <si>
    <t>XQ-IUYL260-GN-S</t>
  </si>
  <si>
    <t>B079GQ2C5K</t>
  </si>
  <si>
    <t>XQ-IUYL260-PK-M</t>
  </si>
  <si>
    <t>B079GRXYH8</t>
  </si>
  <si>
    <t>XQ-IUYL260-PK-S</t>
  </si>
  <si>
    <t>B079GMMWG2</t>
  </si>
  <si>
    <t>XQ-IUYL260-PP-M</t>
  </si>
  <si>
    <t>B079GQB66Z</t>
  </si>
  <si>
    <t>XQ-IUYL260-PP-S</t>
  </si>
  <si>
    <t>B079GNL7BD</t>
  </si>
  <si>
    <t>XQ-IUYL260-RD-M</t>
  </si>
  <si>
    <t>B079GS81P9</t>
  </si>
  <si>
    <t>XQ-IUYL260-RD-S</t>
  </si>
  <si>
    <t>B079GM3BXL</t>
  </si>
  <si>
    <t>XQ-IUYL260-YL-M</t>
  </si>
  <si>
    <t>B079GPD2NN</t>
  </si>
  <si>
    <t>XQ-IUYL260-YL-S</t>
  </si>
  <si>
    <t>B079GQYYYF</t>
  </si>
  <si>
    <t>XQ-IUYL320-BK-L</t>
  </si>
  <si>
    <t>B07C8GM23V</t>
  </si>
  <si>
    <t>XQ-IUYL320</t>
  </si>
  <si>
    <t>XQ-IUYL320-BK-M</t>
  </si>
  <si>
    <t>B07BLV8M7G</t>
  </si>
  <si>
    <t>XQ-IUYL320-BK-S</t>
  </si>
  <si>
    <t>B07BLZDS36</t>
  </si>
  <si>
    <t>XQ-IUYL320-BK-XL</t>
  </si>
  <si>
    <t>B07BLXSN84</t>
  </si>
  <si>
    <t>XQ-IUYL320-BL-L</t>
  </si>
  <si>
    <t>B07BLR3VDW</t>
  </si>
  <si>
    <t>XQ-IUYL320-BL-M</t>
  </si>
  <si>
    <t>B07BLTCKF4</t>
  </si>
  <si>
    <t>XQ-IUYL320-BL-S</t>
  </si>
  <si>
    <t>B07BLXLBHX</t>
  </si>
  <si>
    <t>XQ-IUYL320-BL-XL</t>
  </si>
  <si>
    <t>B07BLRNMV5</t>
  </si>
  <si>
    <t>XQ-IUYL320-CF-L</t>
  </si>
  <si>
    <t>B07BLT6QLH</t>
  </si>
  <si>
    <t>XQ-IUYL320-CF-M</t>
  </si>
  <si>
    <t>B07BLV5B1Y</t>
  </si>
  <si>
    <t>XQ-IUYL320-CF-S</t>
  </si>
  <si>
    <t>B07BLV93M6</t>
  </si>
  <si>
    <t>XQ-IUYL320-CF-XL</t>
  </si>
  <si>
    <t>B07BLRWWB9</t>
  </si>
  <si>
    <t>XQ-IUYL320-DB-L</t>
  </si>
  <si>
    <t>B07BLT8Z76</t>
  </si>
  <si>
    <t>XQ-IUYL320-DB-M</t>
  </si>
  <si>
    <t>B07BLS3RH4</t>
  </si>
  <si>
    <t>XQ-IUYL320-DB-S</t>
  </si>
  <si>
    <t>B07BLZ5PS4</t>
  </si>
  <si>
    <t>XQ-IUYL320-DB-XL</t>
  </si>
  <si>
    <t>B07BLRTLGM</t>
  </si>
  <si>
    <t>XQ-IUYL320-GN-L</t>
  </si>
  <si>
    <t>B07BLRDXJK</t>
  </si>
  <si>
    <t>XQ-IUYL320-GN-M</t>
  </si>
  <si>
    <t>B07C8GHD9F</t>
  </si>
  <si>
    <t>XQ-IUYL320-GN-S</t>
  </si>
  <si>
    <t>B07BLXYK2X</t>
  </si>
  <si>
    <t>XQ-IUYL320-GN-XL</t>
  </si>
  <si>
    <t>B07BLXHTK7</t>
  </si>
  <si>
    <t>XQ-IUYL320-PK-L</t>
  </si>
  <si>
    <t>B07BLV93M3</t>
  </si>
  <si>
    <t>XQ-IUYL320-PK-M</t>
  </si>
  <si>
    <t>B07BLT9556</t>
  </si>
  <si>
    <t>XQ-IUYL320-PK-S</t>
  </si>
  <si>
    <t>B07BLWPJFH</t>
  </si>
  <si>
    <t>XQ-IUYL320-PK-XL</t>
  </si>
  <si>
    <t>B07BLZ8QQW</t>
  </si>
  <si>
    <t>XQ-IUYL320-PP-L</t>
  </si>
  <si>
    <t>B07BLVMB53</t>
  </si>
  <si>
    <t>XQ-IUYL320-PP-M</t>
  </si>
  <si>
    <t>B07BLWQZKS</t>
  </si>
  <si>
    <t>XQ-IUYL320-PP-S</t>
  </si>
  <si>
    <t>B07BLSR168</t>
  </si>
  <si>
    <t>XQ-IUYL320-PP-XL</t>
  </si>
  <si>
    <t>B07BLRLRW6</t>
  </si>
  <si>
    <t>XQ-IUYL320-RD-L</t>
  </si>
  <si>
    <t>B07BLXBP85</t>
  </si>
  <si>
    <t>XQ-IUYL320-RD-M</t>
  </si>
  <si>
    <t>B07BLRWPX4</t>
  </si>
  <si>
    <t>XQ-IUYL320-RD-S</t>
  </si>
  <si>
    <t>B07BLYK979</t>
  </si>
  <si>
    <t>XQ-IUYL320-RD-XL</t>
  </si>
  <si>
    <t>B07BLX976V</t>
  </si>
  <si>
    <t>XQ-IUYL320-YL-L</t>
  </si>
  <si>
    <t>B07BLTGHH9</t>
  </si>
  <si>
    <t>XQ-IUYL320-YL-M</t>
  </si>
  <si>
    <t>B07BLSNYZP</t>
  </si>
  <si>
    <t>XQ-IUYL320-YL-S</t>
  </si>
  <si>
    <t>B07BLSLVNQ</t>
  </si>
  <si>
    <t>XQ-IUYL320-YL-XL</t>
  </si>
  <si>
    <t>B07BLVSWRJ</t>
  </si>
  <si>
    <t>scarf-0001-Blue</t>
  </si>
  <si>
    <t>B073GY4FL6</t>
  </si>
  <si>
    <t>scarf-0001</t>
  </si>
  <si>
    <t>scarf-0001-Peony</t>
  </si>
  <si>
    <t>B073GX87XH</t>
  </si>
  <si>
    <t>scarf-001-blueheart</t>
  </si>
  <si>
    <t>B073GXT1YF</t>
  </si>
  <si>
    <t>广告曝光</t>
  </si>
  <si>
    <t>页面浏览次数</t>
  </si>
  <si>
    <t>转化率（销量/页面浏览次数）</t>
  </si>
  <si>
    <t>第一周销量</t>
  </si>
  <si>
    <t>第二周销量</t>
  </si>
  <si>
    <t>第三周销量</t>
  </si>
  <si>
    <t>第四周销量</t>
  </si>
  <si>
    <t>已签收未处理库存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</si>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</sst>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6">
    <numFmt numFmtId="176" formatCode="0.00_ "/>
    <numFmt numFmtId="177" formatCode="yyyy&quot;年&quot;m&quot;月&quot;d&quot;日&quot;;@"/>
    <numFmt numFmtId="41" formatCode="_ * #,##0_ ;_ * \-#,##0_ ;_ * &quot;-&quot;_ ;_ @_ "/>
    <numFmt numFmtId="43" formatCode="_ * #,##0.00_ ;_ * \-#,##0.00_ ;_ * &quot;-&quot;??_ ;_ @_ "/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</numFmts>
  <fonts count="25">
    <font>
      <sz val="11"/>
      <color theme="1"/>
      <name val="等线"/>
      <charset val="134"/>
      <scheme val="minor"/>
    </font>
    <font>
      <sz val="11"/>
      <color rgb="FFFF0000"/>
      <name val="等线"/>
      <charset val="134"/>
      <scheme val="minor"/>
    </font>
    <font>
      <b/>
      <sz val="16"/>
      <color theme="1"/>
      <name val="等线"/>
      <charset val="134"/>
      <scheme val="minor"/>
    </font>
    <font>
      <b/>
      <sz val="11"/>
      <color theme="1"/>
      <name val="等线"/>
      <charset val="134"/>
      <scheme val="minor"/>
    </font>
    <font>
      <b/>
      <sz val="9"/>
      <color theme="1"/>
      <name val="等线"/>
      <charset val="134"/>
      <scheme val="minor"/>
    </font>
    <font>
      <b/>
      <sz val="18"/>
      <color theme="1"/>
      <name val="等线"/>
      <charset val="134"/>
      <scheme val="minor"/>
    </font>
    <font>
      <b/>
      <sz val="13"/>
      <color theme="3"/>
      <name val="等线"/>
      <charset val="134"/>
      <scheme val="minor"/>
    </font>
    <font>
      <u/>
      <sz val="11"/>
      <color rgb="FF800080"/>
      <name val="等线"/>
      <charset val="0"/>
      <scheme val="minor"/>
    </font>
    <font>
      <b/>
      <sz val="11"/>
      <color theme="3"/>
      <name val="等线"/>
      <charset val="134"/>
      <scheme val="minor"/>
    </font>
    <font>
      <sz val="11"/>
      <color rgb="FF3F3F76"/>
      <name val="等线"/>
      <charset val="0"/>
      <scheme val="minor"/>
    </font>
    <font>
      <b/>
      <sz val="11"/>
      <color theme="1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theme="1"/>
      <name val="等线"/>
      <charset val="0"/>
      <scheme val="minor"/>
    </font>
    <font>
      <b/>
      <sz val="11"/>
      <color rgb="FF3F3F3F"/>
      <name val="等线"/>
      <charset val="0"/>
      <scheme val="minor"/>
    </font>
    <font>
      <u/>
      <sz val="11"/>
      <color rgb="FF0000FF"/>
      <name val="等线"/>
      <charset val="0"/>
      <scheme val="minor"/>
    </font>
    <font>
      <i/>
      <sz val="11"/>
      <color rgb="FF7F7F7F"/>
      <name val="等线"/>
      <charset val="0"/>
      <scheme val="minor"/>
    </font>
    <font>
      <sz val="11"/>
      <color rgb="FFFF0000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8"/>
      <color theme="3"/>
      <name val="等线"/>
      <charset val="134"/>
      <scheme val="minor"/>
    </font>
    <font>
      <b/>
      <sz val="11"/>
      <color rgb="FFFA7D0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sz val="11"/>
      <color rgb="FFFA7D00"/>
      <name val="等线"/>
      <charset val="0"/>
      <scheme val="minor"/>
    </font>
    <font>
      <sz val="11"/>
      <color rgb="FF006100"/>
      <name val="等线"/>
      <charset val="0"/>
      <scheme val="minor"/>
    </font>
    <font>
      <sz val="11"/>
      <color rgb="FF9C6500"/>
      <name val="等线"/>
      <charset val="0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9" fillId="4" borderId="3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2" fillId="6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0" fillId="16" borderId="6" applyNumberFormat="0" applyFont="0" applyAlignment="0" applyProtection="0">
      <alignment vertical="center"/>
    </xf>
    <xf numFmtId="0" fontId="11" fillId="5" borderId="0" applyNumberFormat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8" fillId="0" borderId="1" applyNumberFormat="0" applyFill="0" applyAlignment="0" applyProtection="0">
      <alignment vertical="center"/>
    </xf>
    <xf numFmtId="0" fontId="6" fillId="0" borderId="1" applyNumberFormat="0" applyFill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8" fillId="0" borderId="2" applyNumberFormat="0" applyFill="0" applyAlignment="0" applyProtection="0">
      <alignment vertical="center"/>
    </xf>
    <xf numFmtId="0" fontId="11" fillId="11" borderId="0" applyNumberFormat="0" applyBorder="0" applyAlignment="0" applyProtection="0">
      <alignment vertical="center"/>
    </xf>
    <xf numFmtId="0" fontId="14" fillId="14" borderId="5" applyNumberFormat="0" applyAlignment="0" applyProtection="0">
      <alignment vertical="center"/>
    </xf>
    <xf numFmtId="0" fontId="20" fillId="14" borderId="3" applyNumberFormat="0" applyAlignment="0" applyProtection="0">
      <alignment vertical="center"/>
    </xf>
    <xf numFmtId="0" fontId="21" fillId="19" borderId="7" applyNumberFormat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1" fillId="7" borderId="0" applyNumberFormat="0" applyBorder="0" applyAlignment="0" applyProtection="0">
      <alignment vertical="center"/>
    </xf>
    <xf numFmtId="0" fontId="22" fillId="0" borderId="8" applyNumberFormat="0" applyFill="0" applyAlignment="0" applyProtection="0">
      <alignment vertical="center"/>
    </xf>
    <xf numFmtId="0" fontId="10" fillId="0" borderId="4" applyNumberFormat="0" applyFill="0" applyAlignment="0" applyProtection="0">
      <alignment vertical="center"/>
    </xf>
    <xf numFmtId="0" fontId="23" fillId="22" borderId="0" applyNumberFormat="0" applyBorder="0" applyAlignment="0" applyProtection="0">
      <alignment vertical="center"/>
    </xf>
    <xf numFmtId="0" fontId="24" fillId="25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1" fillId="24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1" fillId="28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13" fillId="26" borderId="0" applyNumberFormat="0" applyBorder="0" applyAlignment="0" applyProtection="0">
      <alignment vertical="center"/>
    </xf>
    <xf numFmtId="0" fontId="11" fillId="31" borderId="0" applyNumberFormat="0" applyBorder="0" applyAlignment="0" applyProtection="0">
      <alignment vertical="center"/>
    </xf>
    <xf numFmtId="0" fontId="11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</cellStyleXfs>
  <cellXfs count="41">
    <xf numFmtId="0" fontId="0" fillId="0" borderId="0" xfId="0"/>
    <xf numFmtId="177" fontId="0" fillId="0" borderId="0" xfId="0" applyNumberFormat="1" applyAlignment="1">
      <alignment horizontal="center"/>
    </xf>
    <xf numFmtId="177" fontId="0" fillId="0" borderId="0" xfId="0" applyNumberFormat="1"/>
    <xf numFmtId="177" fontId="0" fillId="0" borderId="0" xfId="0" applyNumberFormat="1" applyAlignment="1">
      <alignment horizontal="right"/>
    </xf>
    <xf numFmtId="0" fontId="1" fillId="0" borderId="0" xfId="0" applyFont="1"/>
    <xf numFmtId="0" fontId="0" fillId="0" borderId="0" xfId="0" applyProtection="1"/>
    <xf numFmtId="176" fontId="0" fillId="0" borderId="0" xfId="0" applyNumberFormat="1" applyProtection="1"/>
    <xf numFmtId="176" fontId="0" fillId="0" borderId="0" xfId="0" applyNumberFormat="1"/>
    <xf numFmtId="0" fontId="2" fillId="0" borderId="0" xfId="0" applyFont="1" applyAlignment="1">
      <alignment horizontal="center"/>
    </xf>
    <xf numFmtId="0" fontId="2" fillId="0" borderId="0" xfId="0" applyFont="1" applyProtection="1"/>
    <xf numFmtId="176" fontId="2" fillId="0" borderId="0" xfId="0" applyNumberFormat="1" applyFont="1" applyProtection="1"/>
    <xf numFmtId="0" fontId="2" fillId="0" borderId="0" xfId="0" applyFont="1"/>
    <xf numFmtId="14" fontId="0" fillId="2" borderId="0" xfId="0" applyNumberFormat="1" applyFill="1" applyProtection="1"/>
    <xf numFmtId="14" fontId="0" fillId="3" borderId="0" xfId="0" applyNumberFormat="1" applyFill="1" applyProtection="1"/>
    <xf numFmtId="0" fontId="3" fillId="0" borderId="0" xfId="0" applyFont="1" applyAlignment="1">
      <alignment horizontal="center"/>
    </xf>
    <xf numFmtId="176" fontId="0" fillId="0" borderId="0" xfId="0" applyNumberFormat="1" applyAlignment="1" applyProtection="1"/>
    <xf numFmtId="0" fontId="0" fillId="0" borderId="0" xfId="0" applyAlignment="1"/>
    <xf numFmtId="0" fontId="1" fillId="0" borderId="0" xfId="0" applyFont="1" applyProtection="1"/>
    <xf numFmtId="176" fontId="1" fillId="0" borderId="0" xfId="0" applyNumberFormat="1" applyFont="1" applyProtection="1"/>
    <xf numFmtId="0" fontId="4" fillId="0" borderId="0" xfId="0" applyFont="1" applyAlignment="1">
      <alignment horizontal="center" wrapText="1"/>
    </xf>
    <xf numFmtId="0" fontId="0" fillId="0" borderId="0" xfId="0" applyAlignment="1">
      <alignment horizontal="center"/>
    </xf>
    <xf numFmtId="0" fontId="0" fillId="0" borderId="0" xfId="0" applyFill="1" applyAlignment="1">
      <alignment vertical="center"/>
    </xf>
    <xf numFmtId="0" fontId="1" fillId="0" borderId="0" xfId="0" applyFont="1" applyFill="1" applyAlignment="1">
      <alignment vertical="center"/>
    </xf>
    <xf numFmtId="10" fontId="0" fillId="0" borderId="0" xfId="0" applyNumberFormat="1"/>
    <xf numFmtId="176" fontId="2" fillId="0" borderId="0" xfId="0" applyNumberFormat="1" applyFont="1"/>
    <xf numFmtId="176" fontId="0" fillId="0" borderId="0" xfId="0" applyNumberFormat="1" applyAlignment="1">
      <alignment horizontal="center"/>
    </xf>
    <xf numFmtId="176" fontId="1" fillId="0" borderId="0" xfId="0" applyNumberFormat="1" applyFont="1"/>
    <xf numFmtId="0" fontId="0" fillId="2" borderId="0" xfId="0" applyFill="1"/>
    <xf numFmtId="0" fontId="0" fillId="0" borderId="0" xfId="0" applyFont="1"/>
    <xf numFmtId="0" fontId="5" fillId="0" borderId="0" xfId="0" applyFont="1" applyAlignment="1">
      <alignment horizontal="center"/>
    </xf>
    <xf numFmtId="14" fontId="0" fillId="2" borderId="0" xfId="0" applyNumberFormat="1" applyFill="1"/>
    <xf numFmtId="0" fontId="0" fillId="3" borderId="0" xfId="0" applyFill="1" applyAlignment="1">
      <alignment horizontal="right"/>
    </xf>
    <xf numFmtId="176" fontId="0" fillId="3" borderId="0" xfId="0" applyNumberFormat="1" applyFill="1" applyAlignment="1"/>
    <xf numFmtId="0" fontId="0" fillId="3" borderId="0" xfId="0" applyFill="1"/>
    <xf numFmtId="0" fontId="3" fillId="0" borderId="0" xfId="0" applyFont="1" applyAlignment="1"/>
    <xf numFmtId="176" fontId="0" fillId="3" borderId="0" xfId="0" applyNumberFormat="1" applyFill="1"/>
    <xf numFmtId="177" fontId="0" fillId="3" borderId="0" xfId="0" applyNumberFormat="1" applyFill="1" applyAlignment="1">
      <alignment horizontal="right"/>
    </xf>
    <xf numFmtId="0" fontId="0" fillId="0" borderId="0" xfId="0" applyAlignment="1">
      <alignment horizontal="right"/>
    </xf>
    <xf numFmtId="0" fontId="0" fillId="0" borderId="0" xfId="0" applyFill="1"/>
    <xf numFmtId="14" fontId="0" fillId="0" borderId="0" xfId="0" applyNumberFormat="1" applyFill="1"/>
    <xf numFmtId="14" fontId="0" fillId="0" borderId="0" xfId="0" applyNumberFormat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6">
    <dxf>
      <font>
        <color rgb="FF9C0006"/>
      </font>
      <fill>
        <patternFill patternType="solid">
          <bgColor rgb="FFFFC7CE"/>
        </patternFill>
      </fill>
    </dxf>
    <dxf>
      <font>
        <color rgb="FF9C6500"/>
      </font>
      <fill>
        <patternFill patternType="solid">
          <bgColor rgb="FFFFEB9C"/>
        </patternFill>
      </fill>
    </dxf>
    <dxf>
      <font>
        <color rgb="FF002060"/>
      </font>
      <fill>
        <patternFill patternType="solid">
          <bgColor theme="4" tint="0.799981688894314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b val="1"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theme" Target="theme/theme1.xml"/><Relationship Id="rId8" Type="http://schemas.openxmlformats.org/officeDocument/2006/relationships/externalLink" Target="externalLinks/externalLink5.xml"/><Relationship Id="rId7" Type="http://schemas.openxmlformats.org/officeDocument/2006/relationships/externalLink" Target="externalLinks/externalLink4.xml"/><Relationship Id="rId6" Type="http://schemas.openxmlformats.org/officeDocument/2006/relationships/externalLink" Target="externalLinks/externalLink3.xml"/><Relationship Id="rId5" Type="http://schemas.openxmlformats.org/officeDocument/2006/relationships/externalLink" Target="externalLinks/externalLink2.xml"/><Relationship Id="rId4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2" Type="http://schemas.microsoft.com/office/2006/relationships/vbaProject" Target="vbaProject.bin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</xdr:row>
          <xdr:rowOff>0</xdr:rowOff>
        </xdr:from>
        <xdr:to>
          <xdr:col>47</xdr:col>
          <xdr:colOff>10160</xdr:colOff>
          <xdr:row>3</xdr:row>
          <xdr:rowOff>0</xdr:rowOff>
        </xdr:to>
        <xdr:sp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34423350" y="316865"/>
              <a:ext cx="695960" cy="41910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676275</xdr:colOff>
          <xdr:row>2</xdr:row>
          <xdr:rowOff>19050</xdr:rowOff>
        </xdr:from>
        <xdr:to>
          <xdr:col>4</xdr:col>
          <xdr:colOff>676275</xdr:colOff>
          <xdr:row>3</xdr:row>
          <xdr:rowOff>171450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3409950" y="381000"/>
              <a:ext cx="1371600" cy="33337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23376;&#29238;&#20307;SKU-&#23376;&#29238;&#20307;ASI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Luciphia\kc\&#24211;&#23384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Luciphia\allorder\all%20orders(&#24211;&#23384;&#25253;&#21578;&#20351;&#29992;)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Luciphia\ad\&#24191;&#21578;&#21608;&#25253;&#21578;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Luciphia\liuliang\Luciphia&#23376;&#21830;&#21697;&#27969;&#37327;&#21608;&#25253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子SKU-父SKU"/>
      <sheetName val="父SKU-父ASIN"/>
      <sheetName val="子ASIN-父ASIN"/>
      <sheetName val="sku-asin（子）"/>
      <sheetName val="子ASIN-子SKU"/>
    </sheetNames>
    <sheetDataSet>
      <sheetData sheetId="0">
        <row r="1">
          <cell r="A1" t="str">
            <v>子SKU</v>
          </cell>
          <cell r="B1" t="str">
            <v>父SKU</v>
          </cell>
        </row>
        <row r="2">
          <cell r="A2" t="str">
            <v>AQD-IUYL330-BK</v>
          </cell>
          <cell r="B2" t="str">
            <v>AQD-IUYL330</v>
          </cell>
        </row>
        <row r="3">
          <cell r="A3" t="str">
            <v>AQD-IUYL330-CF</v>
          </cell>
          <cell r="B3" t="str">
            <v>AQD-IUYL330</v>
          </cell>
        </row>
        <row r="4">
          <cell r="A4" t="str">
            <v>AQD-IUYL330-DB</v>
          </cell>
          <cell r="B4" t="str">
            <v>AQD-IUYL330</v>
          </cell>
        </row>
        <row r="5">
          <cell r="A5" t="str">
            <v>AQD-IUYL330-GR</v>
          </cell>
          <cell r="B5" t="str">
            <v>AQD-IUYL330</v>
          </cell>
        </row>
        <row r="6">
          <cell r="A6" t="str">
            <v>AQD-IUYL330-LB</v>
          </cell>
          <cell r="B6" t="str">
            <v>AQD-IUYL330</v>
          </cell>
        </row>
        <row r="7">
          <cell r="A7" t="str">
            <v>AQD-IUYL330-OR</v>
          </cell>
          <cell r="B7" t="str">
            <v>AQD-IUYL330</v>
          </cell>
        </row>
        <row r="8">
          <cell r="A8" t="str">
            <v>AQD-IUYL330-PK</v>
          </cell>
          <cell r="B8" t="str">
            <v>AQD-IUYL330</v>
          </cell>
        </row>
        <row r="9">
          <cell r="A9" t="str">
            <v>AQD-IUYL330-PP</v>
          </cell>
          <cell r="B9" t="str">
            <v>AQD-IUYL330</v>
          </cell>
        </row>
        <row r="10">
          <cell r="A10" t="str">
            <v>AQD-IUYL330-RD</v>
          </cell>
          <cell r="B10" t="str">
            <v>AQD-IUYL330</v>
          </cell>
        </row>
        <row r="11">
          <cell r="A11" t="str">
            <v>AQD-IUYL330-YL</v>
          </cell>
          <cell r="B11" t="str">
            <v>AQD-IUYL330</v>
          </cell>
        </row>
        <row r="12">
          <cell r="A12" t="str">
            <v>AQD-IUYL340-DP</v>
          </cell>
          <cell r="B12" t="str">
            <v>AQD-IUYL340</v>
          </cell>
        </row>
        <row r="13">
          <cell r="A13" t="str">
            <v>AQD-IUYL340-LP</v>
          </cell>
          <cell r="B13" t="str">
            <v>AQD-IUYL340</v>
          </cell>
        </row>
        <row r="14">
          <cell r="A14" t="str">
            <v>AQD-IUYL340-OR</v>
          </cell>
          <cell r="B14" t="str">
            <v>AQD-IUYL340</v>
          </cell>
        </row>
        <row r="15">
          <cell r="A15" t="str">
            <v>AQD-IUYL340-PK</v>
          </cell>
          <cell r="B15" t="str">
            <v>AQD-IUYL340</v>
          </cell>
        </row>
        <row r="16">
          <cell r="A16" t="str">
            <v>AQD-IUYL340-YL</v>
          </cell>
          <cell r="B16" t="str">
            <v>AQD-IUYL340</v>
          </cell>
        </row>
        <row r="17">
          <cell r="A17" t="str">
            <v>BBBD-1605A-BL</v>
          </cell>
          <cell r="B17" t="str">
            <v>BBBD-1605A</v>
          </cell>
        </row>
        <row r="18">
          <cell r="A18" t="str">
            <v>BBBD-1605A-RD</v>
          </cell>
          <cell r="B18" t="str">
            <v>BBBD-1605A</v>
          </cell>
        </row>
        <row r="19">
          <cell r="A19" t="str">
            <v>BBBD-BUSB1605A-BL</v>
          </cell>
          <cell r="B19" t="str">
            <v>BBBD-BUSB1605</v>
          </cell>
        </row>
        <row r="20">
          <cell r="A20" t="str">
            <v>BBBD-BUSB1605A-CF</v>
          </cell>
          <cell r="B20" t="str">
            <v>BBBD-BUSB1605</v>
          </cell>
        </row>
        <row r="21">
          <cell r="A21" t="str">
            <v>BBBD-BUSB1605A-PK</v>
          </cell>
          <cell r="B21" t="str">
            <v>BBBD-BUSB1605</v>
          </cell>
        </row>
        <row r="22">
          <cell r="A22" t="str">
            <v>BBBD-BUSB1605A-RD</v>
          </cell>
          <cell r="B22" t="str">
            <v>BBBD-BUSB1605</v>
          </cell>
        </row>
        <row r="23">
          <cell r="A23" t="str">
            <v>BBBD-BUSB1605B-BL</v>
          </cell>
          <cell r="B23" t="str">
            <v>BBBD-BUSB1605</v>
          </cell>
        </row>
        <row r="24">
          <cell r="A24" t="str">
            <v>BBBD-BUSB1605B-PK</v>
          </cell>
          <cell r="B24" t="str">
            <v>BBBD-BUSB1605</v>
          </cell>
        </row>
        <row r="25">
          <cell r="A25" t="str">
            <v>BBBD-BUSB1605B-RD</v>
          </cell>
          <cell r="B25" t="str">
            <v>BBBD-BUSB1605</v>
          </cell>
        </row>
        <row r="26">
          <cell r="A26" t="str">
            <v>BD-LUHM010</v>
          </cell>
          <cell r="B26" t="str">
            <v>BD-LUHM010</v>
          </cell>
        </row>
        <row r="27">
          <cell r="A27" t="str">
            <v>BD-PUHM101-B0-L</v>
          </cell>
          <cell r="B27" t="str">
            <v>BD-PUHM101</v>
          </cell>
        </row>
        <row r="28">
          <cell r="A28" t="str">
            <v>BD-PUHM101-B0-M</v>
          </cell>
          <cell r="B28" t="str">
            <v>BD-PUHM101</v>
          </cell>
        </row>
        <row r="29">
          <cell r="A29" t="str">
            <v>BD-PUHM101-B0-S</v>
          </cell>
          <cell r="B29" t="str">
            <v>BD-PUHM101</v>
          </cell>
        </row>
        <row r="30">
          <cell r="A30" t="str">
            <v>BD-PUHM101-B0-XL</v>
          </cell>
          <cell r="B30" t="str">
            <v>BD-PUHM101</v>
          </cell>
        </row>
        <row r="31">
          <cell r="A31" t="str">
            <v>BD-PUHM101-G0-L</v>
          </cell>
          <cell r="B31" t="str">
            <v>BD-PUHM101</v>
          </cell>
        </row>
        <row r="32">
          <cell r="A32" t="str">
            <v>BD-PUHM101-G0-M</v>
          </cell>
          <cell r="B32" t="str">
            <v>BD-PUHM101</v>
          </cell>
        </row>
        <row r="33">
          <cell r="A33" t="str">
            <v>BD-PUHM101-G0-S</v>
          </cell>
          <cell r="B33" t="str">
            <v>BD-PUHM101</v>
          </cell>
        </row>
        <row r="34">
          <cell r="A34" t="str">
            <v>BD-PUHM101-G0-XL</v>
          </cell>
          <cell r="B34" t="str">
            <v>BD-PUHM101</v>
          </cell>
        </row>
        <row r="35">
          <cell r="A35" t="str">
            <v>BD-PUHM101-K0-L</v>
          </cell>
          <cell r="B35" t="str">
            <v>BD-PUHM101</v>
          </cell>
        </row>
        <row r="36">
          <cell r="A36" t="str">
            <v>BD-PUHM101-K0-M</v>
          </cell>
          <cell r="B36" t="str">
            <v>BD-PUHM101</v>
          </cell>
        </row>
        <row r="37">
          <cell r="A37" t="str">
            <v>BD-PUHM101-K0-S</v>
          </cell>
          <cell r="B37" t="str">
            <v>BD-PUHM101</v>
          </cell>
        </row>
        <row r="38">
          <cell r="A38" t="str">
            <v>BD-PUHM101-K0-XL</v>
          </cell>
          <cell r="B38" t="str">
            <v>BD-PUHM101</v>
          </cell>
        </row>
        <row r="39">
          <cell r="A39" t="str">
            <v>BD-PUHM101-R0-L</v>
          </cell>
          <cell r="B39" t="str">
            <v>BD-PUHM101</v>
          </cell>
        </row>
        <row r="40">
          <cell r="A40" t="str">
            <v>BD-PUHM101-R0-M</v>
          </cell>
          <cell r="B40" t="str">
            <v>BD-PUHM101</v>
          </cell>
        </row>
        <row r="41">
          <cell r="A41" t="str">
            <v>BD-PUHM101-R0-S</v>
          </cell>
          <cell r="B41" t="str">
            <v>BD-PUHM101</v>
          </cell>
        </row>
        <row r="42">
          <cell r="A42" t="str">
            <v>BD-PUHM101-R0-XL</v>
          </cell>
          <cell r="B42" t="str">
            <v>BD-PUHM101</v>
          </cell>
        </row>
        <row r="43">
          <cell r="A43" t="str">
            <v>BKN-666</v>
          </cell>
          <cell r="B43" t="str">
            <v>BKN-666</v>
          </cell>
        </row>
        <row r="44">
          <cell r="A44" t="str">
            <v>BKN-666B0L</v>
          </cell>
          <cell r="B44" t="str">
            <v>BKN-666</v>
          </cell>
        </row>
        <row r="45">
          <cell r="A45" t="str">
            <v>BKN-666B0M</v>
          </cell>
          <cell r="B45" t="str">
            <v>BKN-666</v>
          </cell>
        </row>
        <row r="46">
          <cell r="A46" t="str">
            <v>BKN-666B0S</v>
          </cell>
          <cell r="B46" t="str">
            <v>BKN-666</v>
          </cell>
        </row>
        <row r="47">
          <cell r="A47" t="str">
            <v>BKN-666B0XL</v>
          </cell>
          <cell r="B47" t="str">
            <v>BKN-666</v>
          </cell>
        </row>
        <row r="48">
          <cell r="A48" t="str">
            <v>BKN-666B0XS</v>
          </cell>
          <cell r="B48" t="str">
            <v>BKN-666</v>
          </cell>
        </row>
        <row r="49">
          <cell r="A49" t="str">
            <v>BKN-666HBL</v>
          </cell>
          <cell r="B49" t="str">
            <v>BKN-666</v>
          </cell>
        </row>
        <row r="50">
          <cell r="A50" t="str">
            <v>BKN-666HBM</v>
          </cell>
          <cell r="B50" t="str">
            <v>BKN-666</v>
          </cell>
        </row>
        <row r="51">
          <cell r="A51" t="str">
            <v>BKN-666HBS</v>
          </cell>
          <cell r="B51" t="str">
            <v>BKN-666</v>
          </cell>
        </row>
        <row r="52">
          <cell r="A52" t="str">
            <v>BKN-666HBXL</v>
          </cell>
          <cell r="B52" t="str">
            <v>BKN-666</v>
          </cell>
        </row>
        <row r="53">
          <cell r="A53" t="str">
            <v>BKN-666HBXS</v>
          </cell>
          <cell r="B53" t="str">
            <v>BKN-666</v>
          </cell>
        </row>
        <row r="54">
          <cell r="A54" t="str">
            <v>BKN-666P0L</v>
          </cell>
          <cell r="B54" t="str">
            <v>BKN-666</v>
          </cell>
        </row>
        <row r="55">
          <cell r="A55" t="str">
            <v>BKN-666P0M</v>
          </cell>
          <cell r="B55" t="str">
            <v>BKN-666</v>
          </cell>
        </row>
        <row r="56">
          <cell r="A56" t="str">
            <v>BKN-666P0S</v>
          </cell>
          <cell r="B56" t="str">
            <v>BKN-666</v>
          </cell>
        </row>
        <row r="57">
          <cell r="A57" t="str">
            <v>BKN-666P0XL</v>
          </cell>
          <cell r="B57" t="str">
            <v>BKN-666</v>
          </cell>
        </row>
        <row r="58">
          <cell r="A58" t="str">
            <v>BKN-666P0XS</v>
          </cell>
          <cell r="B58" t="str">
            <v>BKN-666</v>
          </cell>
        </row>
        <row r="59">
          <cell r="A59" t="str">
            <v>BKN-666Y0L</v>
          </cell>
          <cell r="B59" t="str">
            <v>BKN-666</v>
          </cell>
        </row>
        <row r="60">
          <cell r="A60" t="str">
            <v>BKN-666Y0M</v>
          </cell>
          <cell r="B60" t="str">
            <v>BKN-666</v>
          </cell>
        </row>
        <row r="61">
          <cell r="A61" t="str">
            <v>BKN-666Y0S</v>
          </cell>
          <cell r="B61" t="str">
            <v>BKN-666</v>
          </cell>
        </row>
        <row r="62">
          <cell r="A62" t="str">
            <v>BKN-666Y0XL</v>
          </cell>
          <cell r="B62" t="str">
            <v>BKN-666</v>
          </cell>
        </row>
        <row r="63">
          <cell r="A63" t="str">
            <v>BKN-666Y0XS</v>
          </cell>
          <cell r="B63" t="str">
            <v>BKN-666</v>
          </cell>
        </row>
        <row r="64">
          <cell r="A64" t="str">
            <v>Bottom-5505LB-2XL</v>
          </cell>
          <cell r="B64" t="str">
            <v>FT5505</v>
          </cell>
        </row>
        <row r="65">
          <cell r="A65" t="str">
            <v>Bottom-5505LB-L</v>
          </cell>
          <cell r="B65" t="str">
            <v>FT5505</v>
          </cell>
        </row>
        <row r="66">
          <cell r="A66" t="str">
            <v>Bottom-5505LB-M</v>
          </cell>
          <cell r="B66" t="str">
            <v>FT5505</v>
          </cell>
        </row>
        <row r="67">
          <cell r="A67" t="str">
            <v>Bottom-5505LB-S</v>
          </cell>
          <cell r="B67" t="str">
            <v>FT5505</v>
          </cell>
        </row>
        <row r="68">
          <cell r="A68" t="str">
            <v>Bottom-5505LB-XL</v>
          </cell>
          <cell r="B68" t="str">
            <v>FT5505</v>
          </cell>
        </row>
        <row r="69">
          <cell r="A69" t="str">
            <v>Bottom-5505LB-XS</v>
          </cell>
          <cell r="B69" t="str">
            <v>FT5505</v>
          </cell>
        </row>
        <row r="70">
          <cell r="A70" t="str">
            <v>Bottom-5505PI-2XL</v>
          </cell>
          <cell r="B70" t="str">
            <v>FT5505</v>
          </cell>
        </row>
        <row r="71">
          <cell r="A71" t="str">
            <v>Bottom-5505PI-L</v>
          </cell>
          <cell r="B71" t="str">
            <v>FT5505</v>
          </cell>
        </row>
        <row r="72">
          <cell r="A72" t="str">
            <v>Bottom-5505PI-M</v>
          </cell>
          <cell r="B72" t="str">
            <v>FT5505</v>
          </cell>
        </row>
        <row r="73">
          <cell r="A73" t="str">
            <v>Bottom-5505PI-S</v>
          </cell>
          <cell r="B73" t="str">
            <v>FT5505</v>
          </cell>
        </row>
        <row r="74">
          <cell r="A74" t="str">
            <v>Bottom-5505PI-XL</v>
          </cell>
          <cell r="B74" t="str">
            <v>FT5505</v>
          </cell>
        </row>
        <row r="75">
          <cell r="A75" t="str">
            <v>Bottom-5505PI-XS</v>
          </cell>
          <cell r="B75" t="str">
            <v>FT5505</v>
          </cell>
        </row>
        <row r="76">
          <cell r="A76" t="str">
            <v>Bottom-5505ZL-2XL</v>
          </cell>
          <cell r="B76" t="str">
            <v>FT5505</v>
          </cell>
        </row>
        <row r="77">
          <cell r="A77" t="str">
            <v>Bottom-5505ZL-L</v>
          </cell>
          <cell r="B77" t="str">
            <v>FT5505</v>
          </cell>
        </row>
        <row r="78">
          <cell r="A78" t="str">
            <v>Bottom-5505ZL-M</v>
          </cell>
          <cell r="B78" t="str">
            <v>FT5505</v>
          </cell>
        </row>
        <row r="79">
          <cell r="A79" t="str">
            <v>Bottom-5505ZL-S</v>
          </cell>
          <cell r="B79" t="str">
            <v>FT5505</v>
          </cell>
        </row>
        <row r="80">
          <cell r="A80" t="str">
            <v>Bottom-5505ZL-XL</v>
          </cell>
          <cell r="B80" t="str">
            <v>FT5505</v>
          </cell>
        </row>
        <row r="81">
          <cell r="A81" t="str">
            <v>Bottom-5505ZL-XS</v>
          </cell>
          <cell r="B81" t="str">
            <v>FT5505</v>
          </cell>
        </row>
        <row r="82">
          <cell r="A82" t="str">
            <v>Bottom-HM7702-GZK0-2XL</v>
          </cell>
          <cell r="B82" t="str">
            <v>Top-HM7702</v>
          </cell>
        </row>
        <row r="83">
          <cell r="A83" t="str">
            <v>Bottom-HM7702-GZK0-3XL</v>
          </cell>
          <cell r="B83" t="str">
            <v>Top-HM7702</v>
          </cell>
        </row>
        <row r="84">
          <cell r="A84" t="str">
            <v>Bottom-HM7702-GZK0-L</v>
          </cell>
          <cell r="B84" t="str">
            <v>Top-HM7702</v>
          </cell>
        </row>
        <row r="85">
          <cell r="A85" t="str">
            <v>Bottom-HM7702-GZK0-M</v>
          </cell>
          <cell r="B85" t="str">
            <v>Top-HM7702</v>
          </cell>
        </row>
        <row r="86">
          <cell r="A86" t="str">
            <v>Bottom-HM7702-GZK0-S</v>
          </cell>
          <cell r="B86" t="str">
            <v>Top-HM7702</v>
          </cell>
        </row>
        <row r="87">
          <cell r="A87" t="str">
            <v>Bottom-HM7702-GZK0-XL</v>
          </cell>
          <cell r="B87" t="str">
            <v>Top-HM7702</v>
          </cell>
        </row>
        <row r="88">
          <cell r="A88" t="str">
            <v>Bottom-HM7702-GZR0-2XL</v>
          </cell>
          <cell r="B88" t="str">
            <v>Top-HM7702</v>
          </cell>
        </row>
        <row r="89">
          <cell r="A89" t="str">
            <v>Bottom-HM7702-GZR0-3XL</v>
          </cell>
          <cell r="B89" t="str">
            <v>Top-HM7702</v>
          </cell>
        </row>
        <row r="90">
          <cell r="A90" t="str">
            <v>Bottom-HM7702-GZR0-L</v>
          </cell>
          <cell r="B90" t="str">
            <v>Top-HM7702</v>
          </cell>
        </row>
        <row r="91">
          <cell r="A91" t="str">
            <v>Bottom-HM7702-GZR0-M</v>
          </cell>
          <cell r="B91" t="str">
            <v>Top-HM7702</v>
          </cell>
        </row>
        <row r="92">
          <cell r="A92" t="str">
            <v>Bottom-HM7702-GZR0-S</v>
          </cell>
          <cell r="B92" t="str">
            <v>Top-HM7702</v>
          </cell>
        </row>
        <row r="93">
          <cell r="A93" t="str">
            <v>Bottom-HM7702-GZR0-XL</v>
          </cell>
          <cell r="B93" t="str">
            <v>Top-HM7702</v>
          </cell>
        </row>
        <row r="94">
          <cell r="A94" t="str">
            <v>Bottom-HM7702-K0-2XL</v>
          </cell>
          <cell r="B94" t="str">
            <v>Top-HM7702</v>
          </cell>
        </row>
        <row r="95">
          <cell r="A95" t="str">
            <v>Bottom-HM7702-K0-3XL</v>
          </cell>
          <cell r="B95" t="str">
            <v>Top-HM7702</v>
          </cell>
        </row>
        <row r="96">
          <cell r="A96" t="str">
            <v>Bottom-HM7702-K0-L</v>
          </cell>
          <cell r="B96" t="str">
            <v>Top-HM7702</v>
          </cell>
        </row>
        <row r="97">
          <cell r="A97" t="str">
            <v>Bottom-HM7702-K0-M</v>
          </cell>
          <cell r="B97" t="str">
            <v>Top-HM7702</v>
          </cell>
        </row>
        <row r="98">
          <cell r="A98" t="str">
            <v>Bottom-HM7702-K0-S</v>
          </cell>
          <cell r="B98" t="str">
            <v>Top-HM7702</v>
          </cell>
        </row>
        <row r="99">
          <cell r="A99" t="str">
            <v>Bottom-HM7702-K0-XL</v>
          </cell>
          <cell r="B99" t="str">
            <v>Top-HM7702</v>
          </cell>
        </row>
        <row r="100">
          <cell r="A100" t="str">
            <v>BX-PUHM000-G0-2XL</v>
          </cell>
          <cell r="B100" t="str">
            <v>BX-PUHM000</v>
          </cell>
        </row>
        <row r="101">
          <cell r="A101" t="str">
            <v>BX-PUHM000-G0-3XL</v>
          </cell>
          <cell r="B101" t="str">
            <v>BX-PUHM000</v>
          </cell>
        </row>
        <row r="102">
          <cell r="A102" t="str">
            <v>BX-PUHM000-G0-4XL</v>
          </cell>
          <cell r="B102" t="str">
            <v>BX-PUHM000</v>
          </cell>
        </row>
        <row r="103">
          <cell r="A103" t="str">
            <v>BX-PUHM000-G0-5XL</v>
          </cell>
          <cell r="B103" t="str">
            <v>BX-PUHM000</v>
          </cell>
        </row>
        <row r="104">
          <cell r="A104" t="str">
            <v>BX-PUHM000-G0-L</v>
          </cell>
          <cell r="B104" t="str">
            <v>BX-PUHM000</v>
          </cell>
        </row>
        <row r="105">
          <cell r="A105" t="str">
            <v>BX-PUHM000-G0-M</v>
          </cell>
          <cell r="B105" t="str">
            <v>BX-PUHM000</v>
          </cell>
        </row>
        <row r="106">
          <cell r="A106" t="str">
            <v>BX-PUHM000-G0-S</v>
          </cell>
          <cell r="B106" t="str">
            <v>BX-PUHM000</v>
          </cell>
        </row>
        <row r="107">
          <cell r="A107" t="str">
            <v>BX-PUHM000-G0-XL</v>
          </cell>
          <cell r="B107" t="str">
            <v>BX-PUHM000</v>
          </cell>
        </row>
        <row r="108">
          <cell r="A108" t="str">
            <v>BX-PUHM000-OR-2XL</v>
          </cell>
          <cell r="B108" t="str">
            <v>BX-PUHM000</v>
          </cell>
        </row>
        <row r="109">
          <cell r="A109" t="str">
            <v>BX-PUHM000-OR-3XL</v>
          </cell>
          <cell r="B109" t="str">
            <v>BX-PUHM000</v>
          </cell>
        </row>
        <row r="110">
          <cell r="A110" t="str">
            <v>BX-PUHM000-OR-4XL</v>
          </cell>
          <cell r="B110" t="str">
            <v>BX-PUHM000</v>
          </cell>
        </row>
        <row r="111">
          <cell r="A111" t="str">
            <v>BX-PUHM000-OR-5XL</v>
          </cell>
          <cell r="B111" t="str">
            <v>BX-PUHM000</v>
          </cell>
        </row>
        <row r="112">
          <cell r="A112" t="str">
            <v>BX-PUHM000-OR-L</v>
          </cell>
          <cell r="B112" t="str">
            <v>BX-PUHM000</v>
          </cell>
        </row>
        <row r="113">
          <cell r="A113" t="str">
            <v>BX-PUHM000-OR-M</v>
          </cell>
          <cell r="B113" t="str">
            <v>BX-PUHM000</v>
          </cell>
        </row>
        <row r="114">
          <cell r="A114" t="str">
            <v>BX-PUHM000-OR-S</v>
          </cell>
          <cell r="B114" t="str">
            <v>BX-PUHM000</v>
          </cell>
        </row>
        <row r="115">
          <cell r="A115" t="str">
            <v>BX-PUHM000-OR-XL</v>
          </cell>
          <cell r="B115" t="str">
            <v>BX-PUHM000</v>
          </cell>
        </row>
        <row r="116">
          <cell r="A116" t="str">
            <v>BX-PUHM000-P0-2XL</v>
          </cell>
          <cell r="B116" t="str">
            <v>BX-PUHM000</v>
          </cell>
        </row>
        <row r="117">
          <cell r="A117" t="str">
            <v>BX-PUHM000-P0-3XL</v>
          </cell>
          <cell r="B117" t="str">
            <v>BX-PUHM000</v>
          </cell>
        </row>
        <row r="118">
          <cell r="A118" t="str">
            <v>BX-PUHM000-P0-4XL</v>
          </cell>
          <cell r="B118" t="str">
            <v>BX-PUHM000</v>
          </cell>
        </row>
        <row r="119">
          <cell r="A119" t="str">
            <v>BX-PUHM000-P0-5XL</v>
          </cell>
          <cell r="B119" t="str">
            <v>BX-PUHM000</v>
          </cell>
        </row>
        <row r="120">
          <cell r="A120" t="str">
            <v>BX-PUHM000-P0-L</v>
          </cell>
          <cell r="B120" t="str">
            <v>BX-PUHM000</v>
          </cell>
        </row>
        <row r="121">
          <cell r="A121" t="str">
            <v>BX-PUHM000-P0-M</v>
          </cell>
          <cell r="B121" t="str">
            <v>BX-PUHM000</v>
          </cell>
        </row>
        <row r="122">
          <cell r="A122" t="str">
            <v>BX-PUHM000-P0-S</v>
          </cell>
          <cell r="B122" t="str">
            <v>BX-PUHM000</v>
          </cell>
        </row>
        <row r="123">
          <cell r="A123" t="str">
            <v>BX-PUHM000-P0-XL</v>
          </cell>
          <cell r="B123" t="str">
            <v>BX-PUHM000</v>
          </cell>
        </row>
        <row r="124">
          <cell r="A124" t="str">
            <v>BX-PUHM000-PI-2XL</v>
          </cell>
          <cell r="B124" t="str">
            <v>BX-PUHM000</v>
          </cell>
        </row>
        <row r="125">
          <cell r="A125" t="str">
            <v>BX-PUHM000-PI-3XL</v>
          </cell>
          <cell r="B125" t="str">
            <v>BX-PUHM000</v>
          </cell>
        </row>
        <row r="126">
          <cell r="A126" t="str">
            <v>BX-PUHM000-PI-4XL</v>
          </cell>
          <cell r="B126" t="str">
            <v>BX-PUHM000</v>
          </cell>
        </row>
        <row r="127">
          <cell r="A127" t="str">
            <v>BX-PUHM000-PI-5XL</v>
          </cell>
          <cell r="B127" t="str">
            <v>BX-PUHM000</v>
          </cell>
        </row>
        <row r="128">
          <cell r="A128" t="str">
            <v>BX-PUHM000-PI-L</v>
          </cell>
          <cell r="B128" t="str">
            <v>BX-PUHM000</v>
          </cell>
        </row>
        <row r="129">
          <cell r="A129" t="str">
            <v>BX-PUHM000-PI-M</v>
          </cell>
          <cell r="B129" t="str">
            <v>BX-PUHM000</v>
          </cell>
        </row>
        <row r="130">
          <cell r="A130" t="str">
            <v>BX-PUHM000-PI-S</v>
          </cell>
          <cell r="B130" t="str">
            <v>BX-PUHM000</v>
          </cell>
        </row>
        <row r="131">
          <cell r="A131" t="str">
            <v>BX-PUHM000-PI-XL</v>
          </cell>
          <cell r="B131" t="str">
            <v>BX-PUHM000</v>
          </cell>
        </row>
        <row r="132">
          <cell r="A132" t="str">
            <v>BX-PUHM000-R0-2XL</v>
          </cell>
          <cell r="B132" t="str">
            <v>BX-PUHM000</v>
          </cell>
        </row>
        <row r="133">
          <cell r="A133" t="str">
            <v>BX-PUHM000-R0-3XL</v>
          </cell>
          <cell r="B133" t="str">
            <v>BX-PUHM000</v>
          </cell>
        </row>
        <row r="134">
          <cell r="A134" t="str">
            <v>BX-PUHM000-R0-4XL</v>
          </cell>
          <cell r="B134" t="str">
            <v>BX-PUHM000</v>
          </cell>
        </row>
        <row r="135">
          <cell r="A135" t="str">
            <v>BX-PUHM000-R0-5XL</v>
          </cell>
          <cell r="B135" t="str">
            <v>BX-PUHM000</v>
          </cell>
        </row>
        <row r="136">
          <cell r="A136" t="str">
            <v>BX-PUHM000-R0-L</v>
          </cell>
          <cell r="B136" t="str">
            <v>BX-PUHM000</v>
          </cell>
        </row>
        <row r="137">
          <cell r="A137" t="str">
            <v>BX-PUHM000-R0-M</v>
          </cell>
          <cell r="B137" t="str">
            <v>BX-PUHM000</v>
          </cell>
        </row>
        <row r="138">
          <cell r="A138" t="str">
            <v>BX-PUHM000-R0-S</v>
          </cell>
          <cell r="B138" t="str">
            <v>BX-PUHM000</v>
          </cell>
        </row>
        <row r="139">
          <cell r="A139" t="str">
            <v>BX-PUHM000-R0-XL</v>
          </cell>
          <cell r="B139" t="str">
            <v>BX-PUHM000</v>
          </cell>
        </row>
        <row r="140">
          <cell r="A140" t="str">
            <v>BX-PUHM001-B0-L</v>
          </cell>
          <cell r="B140" t="str">
            <v>BX-PUHM001</v>
          </cell>
        </row>
        <row r="141">
          <cell r="A141" t="str">
            <v>BX-PUHM001-B0-M</v>
          </cell>
          <cell r="B141" t="str">
            <v>BX-PUHM001</v>
          </cell>
        </row>
        <row r="142">
          <cell r="A142" t="str">
            <v>BX-PUHM001-B0-S</v>
          </cell>
          <cell r="B142" t="str">
            <v>BX-PUHM001</v>
          </cell>
        </row>
        <row r="143">
          <cell r="A143" t="str">
            <v>BX-PUHM001-B0-XL</v>
          </cell>
          <cell r="B143" t="str">
            <v>BX-PUHM001</v>
          </cell>
        </row>
        <row r="144">
          <cell r="A144" t="str">
            <v>BX-PUHM001-B0-XS</v>
          </cell>
          <cell r="B144" t="str">
            <v>BX-PUHM001</v>
          </cell>
        </row>
        <row r="145">
          <cell r="A145" t="str">
            <v>BX-PUHM001-OR-L</v>
          </cell>
          <cell r="B145" t="str">
            <v>BX-PUHM001</v>
          </cell>
        </row>
        <row r="146">
          <cell r="A146" t="str">
            <v>BX-PUHM001-OR-M</v>
          </cell>
          <cell r="B146" t="str">
            <v>BX-PUHM001</v>
          </cell>
        </row>
        <row r="147">
          <cell r="A147" t="str">
            <v>BX-PUHM001-OR-S</v>
          </cell>
          <cell r="B147" t="str">
            <v>BX-PUHM001</v>
          </cell>
        </row>
        <row r="148">
          <cell r="A148" t="str">
            <v>BX-PUHM001-OR-XL</v>
          </cell>
          <cell r="B148" t="str">
            <v>BX-PUHM001</v>
          </cell>
        </row>
        <row r="149">
          <cell r="A149" t="str">
            <v>BX-PUHM001-OR-XS</v>
          </cell>
          <cell r="B149" t="str">
            <v>BX-PUHM001</v>
          </cell>
        </row>
        <row r="150">
          <cell r="A150" t="str">
            <v>BX-PUHM001-R0-L</v>
          </cell>
          <cell r="B150" t="str">
            <v>BX-PUHM001</v>
          </cell>
        </row>
        <row r="151">
          <cell r="A151" t="str">
            <v>BX-PUHM001-R0-M</v>
          </cell>
          <cell r="B151" t="str">
            <v>BX-PUHM001</v>
          </cell>
        </row>
        <row r="152">
          <cell r="A152" t="str">
            <v>BX-PUHM001-R0-S</v>
          </cell>
          <cell r="B152" t="str">
            <v>BX-PUHM001</v>
          </cell>
        </row>
        <row r="153">
          <cell r="A153" t="str">
            <v>BX-PUHM001-R0-XL</v>
          </cell>
          <cell r="B153" t="str">
            <v>BX-PUHM001</v>
          </cell>
        </row>
        <row r="154">
          <cell r="A154" t="str">
            <v>BX-PUHM001-R0-XS</v>
          </cell>
          <cell r="B154" t="str">
            <v>BX-PUHM001</v>
          </cell>
        </row>
        <row r="155">
          <cell r="A155" t="str">
            <v>CA-BKN16024-Y0-L</v>
          </cell>
          <cell r="B155" t="str">
            <v>CA-BKN16024</v>
          </cell>
        </row>
        <row r="156">
          <cell r="A156" t="str">
            <v>CA-BKN16024-Y0-M</v>
          </cell>
          <cell r="B156" t="str">
            <v>CA-BKN16024</v>
          </cell>
        </row>
        <row r="157">
          <cell r="A157" t="str">
            <v>CA-BKN16024-Y0-S</v>
          </cell>
          <cell r="B157" t="str">
            <v>CA-BKN16024</v>
          </cell>
        </row>
        <row r="158">
          <cell r="A158" t="str">
            <v>CA-HM1789-B0TW-2XL</v>
          </cell>
          <cell r="B158" t="str">
            <v>CA-HM1789</v>
          </cell>
        </row>
        <row r="159">
          <cell r="A159" t="str">
            <v>CA-HM1789-B0TW-L</v>
          </cell>
          <cell r="B159" t="str">
            <v>CA-HM1789</v>
          </cell>
        </row>
        <row r="160">
          <cell r="A160" t="str">
            <v>CA-HM1789-B0TW-M</v>
          </cell>
          <cell r="B160" t="str">
            <v>CA-HM1789</v>
          </cell>
        </row>
        <row r="161">
          <cell r="A161" t="str">
            <v>CA-HM1789-B0TW-S</v>
          </cell>
          <cell r="B161" t="str">
            <v>CA-HM1789</v>
          </cell>
        </row>
        <row r="162">
          <cell r="A162" t="str">
            <v>CA-HM1789-B2-2XL</v>
          </cell>
          <cell r="B162" t="str">
            <v>CA-HM1789</v>
          </cell>
        </row>
        <row r="163">
          <cell r="A163" t="str">
            <v>CA-HM1789-B2-L</v>
          </cell>
          <cell r="B163" t="str">
            <v>CA-HM1789</v>
          </cell>
        </row>
        <row r="164">
          <cell r="A164" t="str">
            <v>CA-HM1789-B2-M</v>
          </cell>
          <cell r="B164" t="str">
            <v>CA-HM1789</v>
          </cell>
        </row>
        <row r="165">
          <cell r="A165" t="str">
            <v>CA-HM1789-B2-S</v>
          </cell>
          <cell r="B165" t="str">
            <v>CA-HM1789</v>
          </cell>
        </row>
        <row r="166">
          <cell r="A166" t="str">
            <v>CA-HM1789-B2-XL</v>
          </cell>
          <cell r="B166" t="str">
            <v>CA-HM1789</v>
          </cell>
        </row>
        <row r="167">
          <cell r="A167" t="str">
            <v>CA-HM1789-FL-2XL</v>
          </cell>
          <cell r="B167" t="str">
            <v>CA-HM1789</v>
          </cell>
        </row>
        <row r="168">
          <cell r="A168" t="str">
            <v>CA-HM1789-FL-L</v>
          </cell>
          <cell r="B168" t="str">
            <v>CA-HM1789</v>
          </cell>
        </row>
        <row r="169">
          <cell r="A169" t="str">
            <v>CA-HM1789-FL-M</v>
          </cell>
          <cell r="B169" t="str">
            <v>CA-HM1789</v>
          </cell>
        </row>
        <row r="170">
          <cell r="A170" t="str">
            <v>CA-HM1789-FL-S</v>
          </cell>
          <cell r="B170" t="str">
            <v>CA-HM1789</v>
          </cell>
        </row>
        <row r="171">
          <cell r="A171" t="str">
            <v>CA-HM1789-FL-XL</v>
          </cell>
          <cell r="B171" t="str">
            <v>CA-HM1789</v>
          </cell>
        </row>
        <row r="172">
          <cell r="A172" t="str">
            <v>CA-HM1789-GrTW-2XL</v>
          </cell>
          <cell r="B172" t="str">
            <v>CA-HM1789</v>
          </cell>
        </row>
        <row r="173">
          <cell r="A173" t="str">
            <v>CA-HM1789-GrTW-L</v>
          </cell>
          <cell r="B173" t="str">
            <v>CA-HM1789</v>
          </cell>
        </row>
        <row r="174">
          <cell r="A174" t="str">
            <v>CA-HM1789-GrTW-M</v>
          </cell>
          <cell r="B174" t="str">
            <v>CA-HM1789</v>
          </cell>
        </row>
        <row r="175">
          <cell r="A175" t="str">
            <v>CA-HM1789-GrTW-S</v>
          </cell>
          <cell r="B175" t="str">
            <v>CA-HM1789</v>
          </cell>
        </row>
        <row r="176">
          <cell r="A176" t="str">
            <v>CA-HM1789-GrTW-XL</v>
          </cell>
          <cell r="B176" t="str">
            <v>CA-HM1789</v>
          </cell>
        </row>
        <row r="177">
          <cell r="A177" t="str">
            <v>CA-HM1789-GZ-2XL</v>
          </cell>
          <cell r="B177" t="str">
            <v>CA-HM1789</v>
          </cell>
        </row>
        <row r="178">
          <cell r="A178" t="str">
            <v>CA-HM1789-GZ-L</v>
          </cell>
          <cell r="B178" t="str">
            <v>CA-HM1789</v>
          </cell>
        </row>
        <row r="179">
          <cell r="A179" t="str">
            <v>CA-HM1789-GZ-M</v>
          </cell>
          <cell r="B179" t="str">
            <v>CA-HM1789</v>
          </cell>
        </row>
        <row r="180">
          <cell r="A180" t="str">
            <v>CA-HM1789-GZ-S</v>
          </cell>
          <cell r="B180" t="str">
            <v>CA-HM1789</v>
          </cell>
        </row>
        <row r="181">
          <cell r="A181" t="str">
            <v>CA-HM1789-GZ-XL</v>
          </cell>
          <cell r="B181" t="str">
            <v>CA-HM1789</v>
          </cell>
        </row>
        <row r="182">
          <cell r="A182" t="str">
            <v>CA-HM1789-K0-2XL</v>
          </cell>
          <cell r="B182" t="str">
            <v>CA-HM1789</v>
          </cell>
        </row>
        <row r="183">
          <cell r="A183" t="str">
            <v>CA-HM1789-K0-L</v>
          </cell>
          <cell r="B183" t="str">
            <v>CA-HM1789</v>
          </cell>
        </row>
        <row r="184">
          <cell r="A184" t="str">
            <v>CA-HM1789-K0-M</v>
          </cell>
          <cell r="B184" t="str">
            <v>CA-HM1789</v>
          </cell>
        </row>
        <row r="185">
          <cell r="A185" t="str">
            <v>CA-HM1789-K0-S</v>
          </cell>
          <cell r="B185" t="str">
            <v>CA-HM1789</v>
          </cell>
        </row>
        <row r="186">
          <cell r="A186" t="str">
            <v>CA-HM1789-K0-XL</v>
          </cell>
          <cell r="B186" t="str">
            <v>CA-HM1789</v>
          </cell>
        </row>
        <row r="187">
          <cell r="A187" t="str">
            <v>CA-HM1789-PI-2XL</v>
          </cell>
          <cell r="B187" t="str">
            <v>CA-HM1789</v>
          </cell>
        </row>
        <row r="188">
          <cell r="A188" t="str">
            <v>CA-HM1789-PI-L</v>
          </cell>
          <cell r="B188" t="str">
            <v>CA-HM1789</v>
          </cell>
        </row>
        <row r="189">
          <cell r="A189" t="str">
            <v>CA-HM1789-PI-M</v>
          </cell>
          <cell r="B189" t="str">
            <v>CA-HM1789</v>
          </cell>
        </row>
        <row r="190">
          <cell r="A190" t="str">
            <v>CA-HM1789-PI-S</v>
          </cell>
          <cell r="B190" t="str">
            <v>CA-HM1789</v>
          </cell>
        </row>
        <row r="191">
          <cell r="A191" t="str">
            <v>CA-HM1789-PiTW-2XL</v>
          </cell>
          <cell r="B191" t="str">
            <v>CA-HM1789</v>
          </cell>
        </row>
        <row r="192">
          <cell r="A192" t="str">
            <v>CA-HM1789-PiTW-L</v>
          </cell>
          <cell r="B192" t="str">
            <v>CA-HM1789</v>
          </cell>
        </row>
        <row r="193">
          <cell r="A193" t="str">
            <v>CA-HM1789-PiTW-M</v>
          </cell>
          <cell r="B193" t="str">
            <v>CA-HM1789</v>
          </cell>
        </row>
        <row r="194">
          <cell r="A194" t="str">
            <v>CA-HM1789-PiTW-S</v>
          </cell>
          <cell r="B194" t="str">
            <v>CA-HM1789</v>
          </cell>
        </row>
        <row r="195">
          <cell r="A195" t="str">
            <v>CA-HM1789-PiTW-XL</v>
          </cell>
          <cell r="B195" t="str">
            <v>CA-HM1789</v>
          </cell>
        </row>
        <row r="196">
          <cell r="A196" t="str">
            <v>CA-HM1789-PI-XL</v>
          </cell>
          <cell r="B196" t="str">
            <v>CA-HM1789</v>
          </cell>
        </row>
        <row r="197">
          <cell r="A197" t="str">
            <v>CA-HM1789-PP-2XL</v>
          </cell>
          <cell r="B197" t="str">
            <v>CA-HM1789</v>
          </cell>
        </row>
        <row r="198">
          <cell r="A198" t="str">
            <v>CA-HM1789-PP-L</v>
          </cell>
          <cell r="B198" t="str">
            <v>CA-HM1789</v>
          </cell>
        </row>
        <row r="199">
          <cell r="A199" t="str">
            <v>CA-HM1789-PP-M</v>
          </cell>
          <cell r="B199" t="str">
            <v>CA-HM1789</v>
          </cell>
        </row>
        <row r="200">
          <cell r="A200" t="str">
            <v>CA-HM1789-PP-S</v>
          </cell>
          <cell r="B200" t="str">
            <v>CA-HM1789</v>
          </cell>
        </row>
        <row r="201">
          <cell r="A201" t="str">
            <v>CA-HM1789-PP-XL</v>
          </cell>
          <cell r="B201" t="str">
            <v>CA-HM1789</v>
          </cell>
        </row>
        <row r="202">
          <cell r="A202" t="str">
            <v>CA-HM1789-R2-2XL</v>
          </cell>
          <cell r="B202" t="str">
            <v>CA-HM1789</v>
          </cell>
        </row>
        <row r="203">
          <cell r="A203" t="str">
            <v>CA-HM1789-R2-L</v>
          </cell>
          <cell r="B203" t="str">
            <v>CA-HM1789</v>
          </cell>
        </row>
        <row r="204">
          <cell r="A204" t="str">
            <v>CA-HM1789-R2-M</v>
          </cell>
          <cell r="B204" t="str">
            <v>CA-HM1789</v>
          </cell>
        </row>
        <row r="205">
          <cell r="A205" t="str">
            <v>CA-HM1789-R2-S</v>
          </cell>
          <cell r="B205" t="str">
            <v>CA-HM1789</v>
          </cell>
        </row>
        <row r="206">
          <cell r="A206" t="str">
            <v>CA-HM1789-R2-XL</v>
          </cell>
          <cell r="B206" t="str">
            <v>CA-HM1789</v>
          </cell>
        </row>
        <row r="207">
          <cell r="A207" t="str">
            <v>CA-HM1789-W0-2XL</v>
          </cell>
          <cell r="B207" t="str">
            <v>CA-HM1789</v>
          </cell>
        </row>
        <row r="208">
          <cell r="A208" t="str">
            <v>CA-HM1789-W0-L</v>
          </cell>
          <cell r="B208" t="str">
            <v>CA-HM1789</v>
          </cell>
        </row>
        <row r="209">
          <cell r="A209" t="str">
            <v>CA-HM1789-W0-M</v>
          </cell>
          <cell r="B209" t="str">
            <v>CA-HM1789</v>
          </cell>
        </row>
        <row r="210">
          <cell r="A210" t="str">
            <v>CA-HM1789-W0-S</v>
          </cell>
          <cell r="B210" t="str">
            <v>CA-HM1789</v>
          </cell>
        </row>
        <row r="211">
          <cell r="A211" t="str">
            <v>CA-HM1789-W0-XL</v>
          </cell>
          <cell r="B211" t="str">
            <v>CA-HM1789</v>
          </cell>
        </row>
        <row r="212">
          <cell r="A212" t="str">
            <v>CA-HM1789-Y0-2XL</v>
          </cell>
          <cell r="B212" t="str">
            <v>CA-HM1789</v>
          </cell>
        </row>
        <row r="213">
          <cell r="A213" t="str">
            <v>CA-HM1789-Y0-L</v>
          </cell>
          <cell r="B213" t="str">
            <v>CA-HM1789</v>
          </cell>
        </row>
        <row r="214">
          <cell r="A214" t="str">
            <v>CA-HM1789-Y0-M</v>
          </cell>
          <cell r="B214" t="str">
            <v>CA-HM1789</v>
          </cell>
        </row>
        <row r="215">
          <cell r="A215" t="str">
            <v>CA-HM1789-Y0-S</v>
          </cell>
          <cell r="B215" t="str">
            <v>CA-HM1789</v>
          </cell>
        </row>
        <row r="216">
          <cell r="A216" t="str">
            <v>CA-HM1789-Y0-XL</v>
          </cell>
          <cell r="B216" t="str">
            <v>CA-HM1789</v>
          </cell>
        </row>
        <row r="217">
          <cell r="A217" t="str">
            <v>CA-HM1789-ZL-2XL</v>
          </cell>
          <cell r="B217" t="str">
            <v>CA-HM1789</v>
          </cell>
        </row>
        <row r="218">
          <cell r="A218" t="str">
            <v>CA-HM1789-ZL-L</v>
          </cell>
          <cell r="B218" t="str">
            <v>CA-HM1789</v>
          </cell>
        </row>
        <row r="219">
          <cell r="A219" t="str">
            <v>CA-HM1789-ZL-M</v>
          </cell>
          <cell r="B219" t="str">
            <v>CA-HM1789</v>
          </cell>
        </row>
        <row r="220">
          <cell r="A220" t="str">
            <v>CA-HM1789-ZL-S</v>
          </cell>
          <cell r="B220" t="str">
            <v>CA-HM1789</v>
          </cell>
        </row>
        <row r="221">
          <cell r="A221" t="str">
            <v>CA-HM1789-ZL-XL</v>
          </cell>
          <cell r="B221" t="str">
            <v>CA-HM1789</v>
          </cell>
        </row>
        <row r="222">
          <cell r="A222" t="str">
            <v>CA-XZ-HMXX018-Y0-3637</v>
          </cell>
          <cell r="B222" t="str">
            <v>CA-XZ-HMXX018</v>
          </cell>
        </row>
        <row r="223">
          <cell r="A223" t="str">
            <v>CA-XZ-HMXX018-Y0-3839</v>
          </cell>
          <cell r="B223" t="str">
            <v>CA-XZ-HMXX018</v>
          </cell>
        </row>
        <row r="224">
          <cell r="A224" t="str">
            <v>CA-XZ-HMXX018-Y0-3940</v>
          </cell>
          <cell r="B224" t="str">
            <v>CA-XZ-HMXX018</v>
          </cell>
        </row>
        <row r="225">
          <cell r="A225" t="str">
            <v>CFY-M1798-AG-L</v>
          </cell>
          <cell r="B225" t="str">
            <v>CFY-M1798</v>
          </cell>
        </row>
        <row r="226">
          <cell r="A226" t="str">
            <v>CFY-M1798-AG-M</v>
          </cell>
          <cell r="B226" t="str">
            <v>CFY-M1798</v>
          </cell>
        </row>
        <row r="227">
          <cell r="A227" t="str">
            <v>CFY-M1798-AG-S</v>
          </cell>
          <cell r="B227" t="str">
            <v>CFY-M1798</v>
          </cell>
        </row>
        <row r="228">
          <cell r="A228" t="str">
            <v>CFY-M1798-AG-XL</v>
          </cell>
          <cell r="B228" t="str">
            <v>CFY-M1798</v>
          </cell>
        </row>
        <row r="229">
          <cell r="A229" t="str">
            <v>CFY-M1798-AG-XXL</v>
          </cell>
          <cell r="B229" t="str">
            <v>CFY-M1798</v>
          </cell>
        </row>
        <row r="230">
          <cell r="A230" t="str">
            <v>CFY-M1798-BK-L</v>
          </cell>
          <cell r="B230" t="str">
            <v>CFY-M1798</v>
          </cell>
        </row>
        <row r="231">
          <cell r="A231" t="str">
            <v>CFY-M1798-BK-M</v>
          </cell>
          <cell r="B231" t="str">
            <v>CFY-M1798</v>
          </cell>
        </row>
        <row r="232">
          <cell r="A232" t="str">
            <v>CFY-M1798-BK-S</v>
          </cell>
          <cell r="B232" t="str">
            <v>CFY-M1798</v>
          </cell>
        </row>
        <row r="233">
          <cell r="A233" t="str">
            <v>CFY-M1798-BK-XL</v>
          </cell>
          <cell r="B233" t="str">
            <v>CFY-M1798</v>
          </cell>
        </row>
        <row r="234">
          <cell r="A234" t="str">
            <v>CFY-M1798-BK-XXL</v>
          </cell>
          <cell r="B234" t="str">
            <v>CFY-M1798</v>
          </cell>
        </row>
        <row r="235">
          <cell r="A235" t="str">
            <v>CFY-M1798-BL-L</v>
          </cell>
          <cell r="B235" t="str">
            <v>CFY-M1798</v>
          </cell>
        </row>
        <row r="236">
          <cell r="A236" t="str">
            <v>CFY-M1798-BL-M</v>
          </cell>
          <cell r="B236" t="str">
            <v>CFY-M1798</v>
          </cell>
        </row>
        <row r="237">
          <cell r="A237" t="str">
            <v>CFY-M1798-BL-S</v>
          </cell>
          <cell r="B237" t="str">
            <v>CFY-M1798</v>
          </cell>
        </row>
        <row r="238">
          <cell r="A238" t="str">
            <v>CFY-M1798-BL-XL</v>
          </cell>
          <cell r="B238" t="str">
            <v>CFY-M1798</v>
          </cell>
        </row>
        <row r="239">
          <cell r="A239" t="str">
            <v>CFY-M1798-BL-XXL</v>
          </cell>
          <cell r="B239" t="str">
            <v>CFY-M1798</v>
          </cell>
        </row>
        <row r="240">
          <cell r="A240" t="str">
            <v>CFY-M1798-RD-L</v>
          </cell>
          <cell r="B240" t="str">
            <v>CFY-M1798</v>
          </cell>
        </row>
        <row r="241">
          <cell r="A241" t="str">
            <v>CFY-M1798-RD-M</v>
          </cell>
          <cell r="B241" t="str">
            <v>CFY-M1798</v>
          </cell>
        </row>
        <row r="242">
          <cell r="A242" t="str">
            <v>CFY-M1798-RD-S</v>
          </cell>
          <cell r="B242" t="str">
            <v>CFY-M1798</v>
          </cell>
        </row>
        <row r="243">
          <cell r="A243" t="str">
            <v>CFY-M1798-RD-XL</v>
          </cell>
          <cell r="B243" t="str">
            <v>CFY-M1798</v>
          </cell>
        </row>
        <row r="244">
          <cell r="A244" t="str">
            <v>CFY-M1798-RD-XXL</v>
          </cell>
          <cell r="B244" t="str">
            <v>CFY-M1798</v>
          </cell>
        </row>
        <row r="245">
          <cell r="A245" t="str">
            <v>CFY-M1830-AG-L</v>
          </cell>
          <cell r="B245" t="str">
            <v>CFY-M1830</v>
          </cell>
        </row>
        <row r="246">
          <cell r="A246" t="str">
            <v>CFY-M1830-AG-M</v>
          </cell>
          <cell r="B246" t="str">
            <v>CFY-M1830</v>
          </cell>
        </row>
        <row r="247">
          <cell r="A247" t="str">
            <v>CFY-M1830-AG-S</v>
          </cell>
          <cell r="B247" t="str">
            <v>CFY-M1830</v>
          </cell>
        </row>
        <row r="248">
          <cell r="A248" t="str">
            <v>CFY-M1830-AG-XL</v>
          </cell>
          <cell r="B248" t="str">
            <v>CFY-M1830</v>
          </cell>
        </row>
        <row r="249">
          <cell r="A249" t="str">
            <v>CFY-M1830-AG-XXL</v>
          </cell>
          <cell r="B249" t="str">
            <v>CFY-M1830</v>
          </cell>
        </row>
        <row r="250">
          <cell r="A250" t="str">
            <v>CFY-M1830-BK-L</v>
          </cell>
          <cell r="B250" t="str">
            <v>CFY-M1830</v>
          </cell>
        </row>
        <row r="251">
          <cell r="A251" t="str">
            <v>CFY-M1830-BK-M</v>
          </cell>
          <cell r="B251" t="str">
            <v>CFY-M1830</v>
          </cell>
        </row>
        <row r="252">
          <cell r="A252" t="str">
            <v>CFY-M1830-BK-S</v>
          </cell>
          <cell r="B252" t="str">
            <v>CFY-M1830</v>
          </cell>
        </row>
        <row r="253">
          <cell r="A253" t="str">
            <v>CFY-M1830-BK-XL</v>
          </cell>
          <cell r="B253" t="str">
            <v>CFY-M1830</v>
          </cell>
        </row>
        <row r="254">
          <cell r="A254" t="str">
            <v>CFY-M1830-BK-XXL</v>
          </cell>
          <cell r="B254" t="str">
            <v>CFY-M1830</v>
          </cell>
        </row>
        <row r="255">
          <cell r="A255" t="str">
            <v>CFY-M1830-BL-L</v>
          </cell>
          <cell r="B255" t="str">
            <v>CFY-M1830</v>
          </cell>
        </row>
        <row r="256">
          <cell r="A256" t="str">
            <v>CFY-M1830-BL-M</v>
          </cell>
          <cell r="B256" t="str">
            <v>CFY-M1830</v>
          </cell>
        </row>
        <row r="257">
          <cell r="A257" t="str">
            <v>CFY-M1830-BL-S</v>
          </cell>
          <cell r="B257" t="str">
            <v>CFY-M1830</v>
          </cell>
        </row>
        <row r="258">
          <cell r="A258" t="str">
            <v>CFY-M1830-BL-XL</v>
          </cell>
          <cell r="B258" t="str">
            <v>CFY-M1830</v>
          </cell>
        </row>
        <row r="259">
          <cell r="A259" t="str">
            <v>CFY-M1830-BL-XXL</v>
          </cell>
          <cell r="B259" t="str">
            <v>CFY-M1830</v>
          </cell>
        </row>
        <row r="260">
          <cell r="A260" t="str">
            <v>CFY-M1830-LB-L</v>
          </cell>
          <cell r="B260" t="str">
            <v>CFY-M1830</v>
          </cell>
        </row>
        <row r="261">
          <cell r="A261" t="str">
            <v>CFY-M1830-LB-M</v>
          </cell>
          <cell r="B261" t="str">
            <v>CFY-M1830</v>
          </cell>
        </row>
        <row r="262">
          <cell r="A262" t="str">
            <v>CFY-M1830-LB-S</v>
          </cell>
          <cell r="B262" t="str">
            <v>CFY-M1830</v>
          </cell>
        </row>
        <row r="263">
          <cell r="A263" t="str">
            <v>CFY-M1830-LB-XL</v>
          </cell>
          <cell r="B263" t="str">
            <v>CFY-M1830</v>
          </cell>
        </row>
        <row r="264">
          <cell r="A264" t="str">
            <v>CFY-M1830-LB-XXL</v>
          </cell>
          <cell r="B264" t="str">
            <v>CFY-M1830</v>
          </cell>
        </row>
        <row r="265">
          <cell r="A265" t="str">
            <v>CFY-M1830-RD-L</v>
          </cell>
          <cell r="B265" t="str">
            <v>CFY-M1830</v>
          </cell>
        </row>
        <row r="266">
          <cell r="A266" t="str">
            <v>CFY-M1830-RD-M</v>
          </cell>
          <cell r="B266" t="str">
            <v>CFY-M1830</v>
          </cell>
        </row>
        <row r="267">
          <cell r="A267" t="str">
            <v>CFY-M1830-RD-S</v>
          </cell>
          <cell r="B267" t="str">
            <v>CFY-M1830</v>
          </cell>
        </row>
        <row r="268">
          <cell r="A268" t="str">
            <v>CFY-M1830-RD-XL</v>
          </cell>
          <cell r="B268" t="str">
            <v>CFY-M1830</v>
          </cell>
        </row>
        <row r="269">
          <cell r="A269" t="str">
            <v>CFY-M1830-RD-XXL</v>
          </cell>
          <cell r="B269" t="str">
            <v>CFY-M1830</v>
          </cell>
        </row>
        <row r="270">
          <cell r="A270" t="str">
            <v>CFY-W1798-BK-L</v>
          </cell>
          <cell r="B270" t="str">
            <v>CFY-W1798</v>
          </cell>
        </row>
        <row r="271">
          <cell r="A271" t="str">
            <v>CFY-W1798-BK-M</v>
          </cell>
          <cell r="B271" t="str">
            <v>CFY-W1798</v>
          </cell>
        </row>
        <row r="272">
          <cell r="A272" t="str">
            <v>CFY-W1798-BK-S</v>
          </cell>
          <cell r="B272" t="str">
            <v>CFY-W1798</v>
          </cell>
        </row>
        <row r="273">
          <cell r="A273" t="str">
            <v>CFY-W1798-BK-XL</v>
          </cell>
          <cell r="B273" t="str">
            <v>CFY-W1798</v>
          </cell>
        </row>
        <row r="274">
          <cell r="A274" t="str">
            <v>CFY-W1798-BL-L</v>
          </cell>
          <cell r="B274" t="str">
            <v>CFY-W1798</v>
          </cell>
        </row>
        <row r="275">
          <cell r="A275" t="str">
            <v>CFY-W1798-BL-M</v>
          </cell>
          <cell r="B275" t="str">
            <v>CFY-W1798</v>
          </cell>
        </row>
        <row r="276">
          <cell r="A276" t="str">
            <v>CFY-W1798-BL-S</v>
          </cell>
          <cell r="B276" t="str">
            <v>CFY-W1798</v>
          </cell>
        </row>
        <row r="277">
          <cell r="A277" t="str">
            <v>CFY-W1798-BL-XL</v>
          </cell>
          <cell r="B277" t="str">
            <v>CFY-W1798</v>
          </cell>
        </row>
        <row r="278">
          <cell r="A278" t="str">
            <v>CFY-W1798-RD-L</v>
          </cell>
          <cell r="B278" t="str">
            <v>CFY-W1798</v>
          </cell>
        </row>
        <row r="279">
          <cell r="A279" t="str">
            <v>CFY-W1798-RD-M</v>
          </cell>
          <cell r="B279" t="str">
            <v>CFY-W1798</v>
          </cell>
        </row>
        <row r="280">
          <cell r="A280" t="str">
            <v>CFY-W1798-RD-S</v>
          </cell>
          <cell r="B280" t="str">
            <v>CFY-W1798</v>
          </cell>
        </row>
        <row r="281">
          <cell r="A281" t="str">
            <v>CFY-W1798-RD-XL</v>
          </cell>
          <cell r="B281" t="str">
            <v>CFY-W1798</v>
          </cell>
        </row>
        <row r="282">
          <cell r="A282" t="str">
            <v>CFY-W1798-RR-L</v>
          </cell>
          <cell r="B282" t="str">
            <v>CFY-W1798</v>
          </cell>
        </row>
        <row r="283">
          <cell r="A283" t="str">
            <v>CFY-W1798-RR-M</v>
          </cell>
          <cell r="B283" t="str">
            <v>CFY-W1798</v>
          </cell>
        </row>
        <row r="284">
          <cell r="A284" t="str">
            <v>CFY-W1798-RR-S</v>
          </cell>
          <cell r="B284" t="str">
            <v>CFY-W1798</v>
          </cell>
        </row>
        <row r="285">
          <cell r="A285" t="str">
            <v>CFY-W1798-RR-XL</v>
          </cell>
          <cell r="B285" t="str">
            <v>CFY-W1798</v>
          </cell>
        </row>
        <row r="286">
          <cell r="A286" t="str">
            <v>CFY-W1830-BK-L</v>
          </cell>
          <cell r="B286" t="str">
            <v>CFY-W1830</v>
          </cell>
        </row>
        <row r="287">
          <cell r="A287" t="str">
            <v>CFY-W1830-BK-M</v>
          </cell>
          <cell r="B287" t="str">
            <v>CFY-W1830</v>
          </cell>
        </row>
        <row r="288">
          <cell r="A288" t="str">
            <v>CFY-W1830-BK-S</v>
          </cell>
          <cell r="B288" t="str">
            <v>CFY-W1830</v>
          </cell>
        </row>
        <row r="289">
          <cell r="A289" t="str">
            <v>CFY-W1830-BK-XL</v>
          </cell>
          <cell r="B289" t="str">
            <v>CFY-W1830</v>
          </cell>
        </row>
        <row r="290">
          <cell r="A290" t="str">
            <v>CFY-W1830-BL-L</v>
          </cell>
          <cell r="B290" t="str">
            <v>CFY-W1830</v>
          </cell>
        </row>
        <row r="291">
          <cell r="A291" t="str">
            <v>CFY-W1830-BL-M</v>
          </cell>
          <cell r="B291" t="str">
            <v>CFY-W1830</v>
          </cell>
        </row>
        <row r="292">
          <cell r="A292" t="str">
            <v>CFY-W1830-BL-S</v>
          </cell>
          <cell r="B292" t="str">
            <v>CFY-W1830</v>
          </cell>
        </row>
        <row r="293">
          <cell r="A293" t="str">
            <v>CFY-W1830-BL-XL</v>
          </cell>
          <cell r="B293" t="str">
            <v>CFY-W1830</v>
          </cell>
        </row>
        <row r="294">
          <cell r="A294" t="str">
            <v>CFY-W1830-PP-L</v>
          </cell>
          <cell r="B294" t="str">
            <v>CFY-W1830</v>
          </cell>
        </row>
        <row r="295">
          <cell r="A295" t="str">
            <v>CFY-W1830-PP-M</v>
          </cell>
          <cell r="B295" t="str">
            <v>CFY-W1830</v>
          </cell>
        </row>
        <row r="296">
          <cell r="A296" t="str">
            <v>CFY-W1830-PP-S</v>
          </cell>
          <cell r="B296" t="str">
            <v>CFY-W1830</v>
          </cell>
        </row>
        <row r="297">
          <cell r="A297" t="str">
            <v>CFY-W1830-PP-XL</v>
          </cell>
          <cell r="B297" t="str">
            <v>CFY-W1830</v>
          </cell>
        </row>
        <row r="298">
          <cell r="A298" t="str">
            <v>CFY-W1830-RD-L</v>
          </cell>
          <cell r="B298" t="str">
            <v>CFY-W1830</v>
          </cell>
        </row>
        <row r="299">
          <cell r="A299" t="str">
            <v>CFY-W1830-RD-M</v>
          </cell>
          <cell r="B299" t="str">
            <v>CFY-W1830</v>
          </cell>
        </row>
        <row r="300">
          <cell r="A300" t="str">
            <v>CFY-W1830-RD-S</v>
          </cell>
          <cell r="B300" t="str">
            <v>CFY-W1830</v>
          </cell>
        </row>
        <row r="301">
          <cell r="A301" t="str">
            <v>CFY-W1830-RD-XL</v>
          </cell>
          <cell r="B301" t="str">
            <v>CFY-W1830</v>
          </cell>
        </row>
        <row r="302">
          <cell r="A302" t="str">
            <v>CFY-W1830-RR-L</v>
          </cell>
          <cell r="B302" t="str">
            <v>CFY-W1830</v>
          </cell>
        </row>
        <row r="303">
          <cell r="A303" t="str">
            <v>CFY-W1830-RR-M</v>
          </cell>
          <cell r="B303" t="str">
            <v>CFY-W1830</v>
          </cell>
        </row>
        <row r="304">
          <cell r="A304" t="str">
            <v>CFY-W1830-RR-S</v>
          </cell>
          <cell r="B304" t="str">
            <v>CFY-W1830</v>
          </cell>
        </row>
        <row r="305">
          <cell r="A305" t="str">
            <v>CFY-W1830-RR-XL</v>
          </cell>
          <cell r="B305" t="str">
            <v>CFY-W1830</v>
          </cell>
        </row>
        <row r="306">
          <cell r="A306" t="str">
            <v>CS-DSW002W0L</v>
          </cell>
          <cell r="B306" t="str">
            <v>CS-DSW002</v>
          </cell>
        </row>
        <row r="307">
          <cell r="A307" t="str">
            <v>CS-DSW002W0M</v>
          </cell>
          <cell r="B307" t="str">
            <v>CS-DSW002</v>
          </cell>
        </row>
        <row r="308">
          <cell r="A308" t="str">
            <v>CS-DSW002W0S</v>
          </cell>
          <cell r="B308" t="str">
            <v>CS-DSW002</v>
          </cell>
        </row>
        <row r="309">
          <cell r="A309" t="str">
            <v>CS-DSW002W0XL-1</v>
          </cell>
          <cell r="B309" t="str">
            <v>CS-DSW002</v>
          </cell>
        </row>
        <row r="310">
          <cell r="A310" t="str">
            <v>CS-LY082-G0-L</v>
          </cell>
          <cell r="B310" t="str">
            <v>CS-LY082</v>
          </cell>
        </row>
        <row r="311">
          <cell r="A311" t="str">
            <v>CS-LY082-G0-M</v>
          </cell>
          <cell r="B311" t="str">
            <v>CS-LY082</v>
          </cell>
        </row>
        <row r="312">
          <cell r="A312" t="str">
            <v>CS-LY082-G0-S</v>
          </cell>
          <cell r="B312" t="str">
            <v>CS-LY082</v>
          </cell>
        </row>
        <row r="313">
          <cell r="A313" t="str">
            <v>CS-LY082-G0-XL</v>
          </cell>
          <cell r="B313" t="str">
            <v>CS-LY082</v>
          </cell>
        </row>
        <row r="314">
          <cell r="A314" t="str">
            <v>CS-LY082-G0-XXL</v>
          </cell>
          <cell r="B314" t="str">
            <v>CS-LY082</v>
          </cell>
        </row>
        <row r="315">
          <cell r="A315" t="str">
            <v>CS-LY082-G1-S</v>
          </cell>
          <cell r="B315" t="str">
            <v>CS-LY082</v>
          </cell>
        </row>
        <row r="316">
          <cell r="A316" t="str">
            <v>CS-LY082-K0-L</v>
          </cell>
          <cell r="B316" t="str">
            <v>CS-LY082</v>
          </cell>
        </row>
        <row r="317">
          <cell r="A317" t="str">
            <v>CS-LY082-K0-M</v>
          </cell>
          <cell r="B317" t="str">
            <v>CS-LY082</v>
          </cell>
        </row>
        <row r="318">
          <cell r="A318" t="str">
            <v>CS-LY082-K0-M-GM</v>
          </cell>
          <cell r="B318" t="str">
            <v>CS-LY082</v>
          </cell>
        </row>
        <row r="319">
          <cell r="A319" t="str">
            <v>CS-LY082-K0-S</v>
          </cell>
          <cell r="B319" t="str">
            <v>CS-LY082</v>
          </cell>
        </row>
        <row r="320">
          <cell r="A320" t="str">
            <v>CS-LY082-K0-S-GM</v>
          </cell>
          <cell r="B320" t="str">
            <v>CS-LY082</v>
          </cell>
        </row>
        <row r="321">
          <cell r="A321" t="str">
            <v>CS-LY082-K0-XL</v>
          </cell>
          <cell r="B321" t="str">
            <v>CS-LY082</v>
          </cell>
        </row>
        <row r="322">
          <cell r="A322" t="str">
            <v>CS-LY082-K0-XL-GM</v>
          </cell>
          <cell r="B322" t="str">
            <v>CS-LY082</v>
          </cell>
        </row>
        <row r="323">
          <cell r="A323" t="str">
            <v>CS-LY082-K0-XXL</v>
          </cell>
          <cell r="B323" t="str">
            <v>CS-LY082</v>
          </cell>
        </row>
        <row r="324">
          <cell r="A324" t="str">
            <v>CS-LY082-R0-L</v>
          </cell>
          <cell r="B324" t="str">
            <v>CS-LY082</v>
          </cell>
        </row>
        <row r="325">
          <cell r="A325" t="str">
            <v>CS-LY082-R0-M</v>
          </cell>
          <cell r="B325" t="str">
            <v>CS-LY082</v>
          </cell>
        </row>
        <row r="326">
          <cell r="A326" t="str">
            <v>CS-LY082-R0-S</v>
          </cell>
          <cell r="B326" t="str">
            <v>CS-LY082</v>
          </cell>
        </row>
        <row r="327">
          <cell r="A327" t="str">
            <v>CS-LY082-R0-XL</v>
          </cell>
          <cell r="B327" t="str">
            <v>CS-LY082</v>
          </cell>
        </row>
        <row r="328">
          <cell r="A328" t="str">
            <v>CS-LY082-R0-XXL</v>
          </cell>
          <cell r="B328" t="str">
            <v>CS-LY082</v>
          </cell>
        </row>
        <row r="329">
          <cell r="A329" t="str">
            <v>CS-LY084-H10-L</v>
          </cell>
          <cell r="B329" t="str">
            <v>CS-LY084</v>
          </cell>
        </row>
        <row r="330">
          <cell r="A330" t="str">
            <v>CS-LY084-H10-M</v>
          </cell>
          <cell r="B330" t="str">
            <v>CS-LY084</v>
          </cell>
        </row>
        <row r="331">
          <cell r="A331" t="str">
            <v>CS-LY084-H10-S</v>
          </cell>
          <cell r="B331" t="str">
            <v>CS-LY084</v>
          </cell>
        </row>
        <row r="332">
          <cell r="A332" t="str">
            <v>CS-LY084-H10-XL</v>
          </cell>
          <cell r="B332" t="str">
            <v>CS-LY084</v>
          </cell>
        </row>
        <row r="333">
          <cell r="A333" t="str">
            <v>CS-LY084-H10-XXL</v>
          </cell>
          <cell r="B333" t="str">
            <v>CS-LY084</v>
          </cell>
        </row>
        <row r="334">
          <cell r="A334" t="str">
            <v>CS-LY084-H12-L</v>
          </cell>
          <cell r="B334" t="str">
            <v>CS-LY084</v>
          </cell>
        </row>
        <row r="335">
          <cell r="A335" t="str">
            <v>CS-LY084-H12-M</v>
          </cell>
          <cell r="B335" t="str">
            <v>CS-LY084</v>
          </cell>
        </row>
        <row r="336">
          <cell r="A336" t="str">
            <v>CS-LY084-H12-S</v>
          </cell>
          <cell r="B336" t="str">
            <v>CS-LY084</v>
          </cell>
        </row>
        <row r="337">
          <cell r="A337" t="str">
            <v>CS-LY084-H12-XL</v>
          </cell>
          <cell r="B337" t="str">
            <v>CS-LY084</v>
          </cell>
        </row>
        <row r="338">
          <cell r="A338" t="str">
            <v>CS-LY084-H12-XS</v>
          </cell>
          <cell r="B338" t="str">
            <v>CS-LY084</v>
          </cell>
        </row>
        <row r="339">
          <cell r="A339" t="str">
            <v>CS-LY084-H12-XXL</v>
          </cell>
          <cell r="B339" t="str">
            <v>CS-LY084</v>
          </cell>
        </row>
        <row r="340">
          <cell r="A340" t="str">
            <v>CS-LY084-H15-L</v>
          </cell>
          <cell r="B340" t="str">
            <v>CS-LY084</v>
          </cell>
        </row>
        <row r="341">
          <cell r="A341" t="str">
            <v>CS-LY084-H15-M</v>
          </cell>
          <cell r="B341" t="str">
            <v>CS-LY084</v>
          </cell>
        </row>
        <row r="342">
          <cell r="A342" t="str">
            <v>CS-LY084-H15-S</v>
          </cell>
          <cell r="B342" t="str">
            <v>CS-LY084</v>
          </cell>
        </row>
        <row r="343">
          <cell r="A343" t="str">
            <v>CS-LY084-H15-XL</v>
          </cell>
          <cell r="B343" t="str">
            <v>CS-LY084</v>
          </cell>
        </row>
        <row r="344">
          <cell r="A344" t="str">
            <v>CS-LY084-H15-XS</v>
          </cell>
          <cell r="B344" t="str">
            <v>CS-LY084</v>
          </cell>
        </row>
        <row r="345">
          <cell r="A345" t="str">
            <v>CS-LY084-H15-XXL</v>
          </cell>
          <cell r="B345" t="str">
            <v>CS-LY084</v>
          </cell>
        </row>
        <row r="346">
          <cell r="A346" t="str">
            <v>CS-LY084-H16-L</v>
          </cell>
          <cell r="B346" t="str">
            <v>CS-LY084</v>
          </cell>
        </row>
        <row r="347">
          <cell r="A347" t="str">
            <v>CS-LY084-H16-M</v>
          </cell>
          <cell r="B347" t="str">
            <v>CS-LY084</v>
          </cell>
        </row>
        <row r="348">
          <cell r="A348" t="str">
            <v>CS-LY084-H16-S</v>
          </cell>
          <cell r="B348" t="str">
            <v>CS-LY084</v>
          </cell>
        </row>
        <row r="349">
          <cell r="A349" t="str">
            <v>CS-LY084-H16-XL</v>
          </cell>
          <cell r="B349" t="str">
            <v>CS-LY084</v>
          </cell>
        </row>
        <row r="350">
          <cell r="A350" t="str">
            <v>CS-LY084-H16-XXL</v>
          </cell>
          <cell r="B350" t="str">
            <v>CS-LY084</v>
          </cell>
        </row>
        <row r="351">
          <cell r="A351" t="str">
            <v>CS-LY084-H1-L</v>
          </cell>
          <cell r="B351" t="str">
            <v>CS-LY084</v>
          </cell>
        </row>
        <row r="352">
          <cell r="A352" t="str">
            <v>CS-LY084-H1-M</v>
          </cell>
          <cell r="B352" t="str">
            <v>CS-LY084</v>
          </cell>
        </row>
        <row r="353">
          <cell r="A353" t="str">
            <v>CS-LY084-H1-S</v>
          </cell>
          <cell r="B353" t="str">
            <v>CS-LY084</v>
          </cell>
        </row>
        <row r="354">
          <cell r="A354" t="str">
            <v>CS-LY084-H1-XL</v>
          </cell>
          <cell r="B354" t="str">
            <v>CS-LY084</v>
          </cell>
        </row>
        <row r="355">
          <cell r="A355" t="str">
            <v>CS-LY084-H1-XXL</v>
          </cell>
          <cell r="B355" t="str">
            <v>CS-LY084</v>
          </cell>
        </row>
        <row r="356">
          <cell r="A356" t="str">
            <v>CS-LY084-H2-L</v>
          </cell>
          <cell r="B356" t="str">
            <v>CS-LY084</v>
          </cell>
        </row>
        <row r="357">
          <cell r="A357" t="str">
            <v>CS-LY084-H2-M</v>
          </cell>
          <cell r="B357" t="str">
            <v>CS-LY084</v>
          </cell>
        </row>
        <row r="358">
          <cell r="A358" t="str">
            <v>CS-LY084-H2-S</v>
          </cell>
          <cell r="B358" t="str">
            <v>CS-LY084</v>
          </cell>
        </row>
        <row r="359">
          <cell r="A359" t="str">
            <v>CS-LY084-H2-XL</v>
          </cell>
          <cell r="B359" t="str">
            <v>CS-LY084</v>
          </cell>
        </row>
        <row r="360">
          <cell r="A360" t="str">
            <v>CS-LY084-H2-XXL</v>
          </cell>
          <cell r="B360" t="str">
            <v>CS-LY084</v>
          </cell>
        </row>
        <row r="361">
          <cell r="A361" t="str">
            <v>CS-LY084-H3-L</v>
          </cell>
          <cell r="B361" t="str">
            <v>CS-LY084</v>
          </cell>
        </row>
        <row r="362">
          <cell r="A362" t="str">
            <v>CS-LY084-H3-M</v>
          </cell>
          <cell r="B362" t="str">
            <v>CS-LY084</v>
          </cell>
        </row>
        <row r="363">
          <cell r="A363" t="str">
            <v>CS-LY084-H3-S</v>
          </cell>
          <cell r="B363" t="str">
            <v>CS-LY084</v>
          </cell>
        </row>
        <row r="364">
          <cell r="A364" t="str">
            <v>CS-LY084-H3-XL</v>
          </cell>
          <cell r="B364" t="str">
            <v>CS-LY084</v>
          </cell>
        </row>
        <row r="365">
          <cell r="A365" t="str">
            <v>CS-LY084-H3-XS</v>
          </cell>
          <cell r="B365" t="str">
            <v>CS-LY084</v>
          </cell>
        </row>
        <row r="366">
          <cell r="A366" t="str">
            <v>CS-LY084-H3-XXL</v>
          </cell>
          <cell r="B366" t="str">
            <v>CS-LY084</v>
          </cell>
        </row>
        <row r="367">
          <cell r="A367" t="str">
            <v>CS-LY084-H4-L</v>
          </cell>
          <cell r="B367" t="str">
            <v>CS-LY084</v>
          </cell>
        </row>
        <row r="368">
          <cell r="A368" t="str">
            <v>CS-LY084-H4-M</v>
          </cell>
          <cell r="B368" t="str">
            <v>CS-LY084</v>
          </cell>
        </row>
        <row r="369">
          <cell r="A369" t="str">
            <v>CS-LY084-H4-S</v>
          </cell>
          <cell r="B369" t="str">
            <v>CS-LY084</v>
          </cell>
        </row>
        <row r="370">
          <cell r="A370" t="str">
            <v>CS-LY084-H4-XL</v>
          </cell>
          <cell r="B370" t="str">
            <v>CS-LY084</v>
          </cell>
        </row>
        <row r="371">
          <cell r="A371" t="str">
            <v>CS-LY084-H4-XXL</v>
          </cell>
          <cell r="B371" t="str">
            <v>CS-LY084</v>
          </cell>
        </row>
        <row r="372">
          <cell r="A372" t="str">
            <v>CS-LY084-H6-L</v>
          </cell>
          <cell r="B372" t="str">
            <v>CS-LY084</v>
          </cell>
        </row>
        <row r="373">
          <cell r="A373" t="str">
            <v>CS-LY084-H6-M</v>
          </cell>
          <cell r="B373" t="str">
            <v>CS-LY084</v>
          </cell>
        </row>
        <row r="374">
          <cell r="A374" t="str">
            <v>CS-LY084-H6-S</v>
          </cell>
          <cell r="B374" t="str">
            <v>CS-LY084</v>
          </cell>
        </row>
        <row r="375">
          <cell r="A375" t="str">
            <v>CS-LY084-H6-XL</v>
          </cell>
          <cell r="B375" t="str">
            <v>CS-LY084</v>
          </cell>
        </row>
        <row r="376">
          <cell r="A376" t="str">
            <v>CS-LY084-H6-XXL</v>
          </cell>
          <cell r="B376" t="str">
            <v>CS-LY084</v>
          </cell>
        </row>
        <row r="377">
          <cell r="A377" t="str">
            <v>CS-LY085-G912-L</v>
          </cell>
          <cell r="B377" t="str">
            <v>CS-LY085</v>
          </cell>
        </row>
        <row r="378">
          <cell r="A378" t="str">
            <v>CS-LY085-G912-M</v>
          </cell>
          <cell r="B378" t="str">
            <v>CS-LY085</v>
          </cell>
        </row>
        <row r="379">
          <cell r="A379" t="str">
            <v>CS-LY085-G912-S</v>
          </cell>
          <cell r="B379" t="str">
            <v>CS-LY085</v>
          </cell>
        </row>
        <row r="380">
          <cell r="A380" t="str">
            <v>CS-LY085-G912-XL</v>
          </cell>
          <cell r="B380" t="str">
            <v>CS-LY085</v>
          </cell>
        </row>
        <row r="381">
          <cell r="A381" t="str">
            <v>CS-LY085-G912-XXL</v>
          </cell>
          <cell r="B381" t="str">
            <v>CS-LY085</v>
          </cell>
        </row>
        <row r="382">
          <cell r="A382" t="str">
            <v>CS-LY085-LB916-L</v>
          </cell>
          <cell r="B382" t="str">
            <v>CS-LY085</v>
          </cell>
        </row>
        <row r="383">
          <cell r="A383" t="str">
            <v>CS-LY085-LB916-M</v>
          </cell>
          <cell r="B383" t="str">
            <v>CS-LY085</v>
          </cell>
        </row>
        <row r="384">
          <cell r="A384" t="str">
            <v>CS-LY085-LB916-S</v>
          </cell>
          <cell r="B384" t="str">
            <v>CS-LY085</v>
          </cell>
        </row>
        <row r="385">
          <cell r="A385" t="str">
            <v>CS-LY085-LB916-XL</v>
          </cell>
          <cell r="B385" t="str">
            <v>CS-LY085</v>
          </cell>
        </row>
        <row r="386">
          <cell r="A386" t="str">
            <v>CS-LY085-LB916-XXL</v>
          </cell>
          <cell r="B386" t="str">
            <v>CS-LY085</v>
          </cell>
        </row>
        <row r="387">
          <cell r="A387" t="str">
            <v>CS-LY085-LG907-L</v>
          </cell>
          <cell r="B387" t="str">
            <v>CS-LY085</v>
          </cell>
        </row>
        <row r="388">
          <cell r="A388" t="str">
            <v>CS-LY085-LG907-M</v>
          </cell>
          <cell r="B388" t="str">
            <v>CS-LY085</v>
          </cell>
        </row>
        <row r="389">
          <cell r="A389" t="str">
            <v>CS-LY085-LG907-S</v>
          </cell>
          <cell r="B389" t="str">
            <v>CS-LY085</v>
          </cell>
        </row>
        <row r="390">
          <cell r="A390" t="str">
            <v>CS-LY085-LG907-XL</v>
          </cell>
          <cell r="B390" t="str">
            <v>CS-LY085</v>
          </cell>
        </row>
        <row r="391">
          <cell r="A391" t="str">
            <v>CS-LY085-LG907-XXL</v>
          </cell>
          <cell r="B391" t="str">
            <v>CS-LY085</v>
          </cell>
        </row>
        <row r="392">
          <cell r="A392" t="str">
            <v>CS-LY085-PI908-L</v>
          </cell>
          <cell r="B392" t="str">
            <v>CS-LY085</v>
          </cell>
        </row>
        <row r="393">
          <cell r="A393" t="str">
            <v>CS-LY085-PI908-M</v>
          </cell>
          <cell r="B393" t="str">
            <v>CS-LY085</v>
          </cell>
        </row>
        <row r="394">
          <cell r="A394" t="str">
            <v>CS-LY085-PI908-S</v>
          </cell>
          <cell r="B394" t="str">
            <v>CS-LY085</v>
          </cell>
        </row>
        <row r="395">
          <cell r="A395" t="str">
            <v>CS-LY085-PI908-XL</v>
          </cell>
          <cell r="B395" t="str">
            <v>CS-LY085</v>
          </cell>
        </row>
        <row r="396">
          <cell r="A396" t="str">
            <v>CS-LY085-PI908-XS</v>
          </cell>
          <cell r="B396" t="str">
            <v>CS-LY085</v>
          </cell>
        </row>
        <row r="397">
          <cell r="A397" t="str">
            <v>CS-LY085-PI908-XXL</v>
          </cell>
          <cell r="B397" t="str">
            <v>CS-LY085</v>
          </cell>
        </row>
        <row r="398">
          <cell r="A398" t="str">
            <v>CS-LY085-R901-L</v>
          </cell>
          <cell r="B398" t="str">
            <v>CS-LY085</v>
          </cell>
        </row>
        <row r="399">
          <cell r="A399" t="str">
            <v>CS-LY085-R901-M</v>
          </cell>
          <cell r="B399" t="str">
            <v>CS-LY085</v>
          </cell>
        </row>
        <row r="400">
          <cell r="A400" t="str">
            <v>CS-LY085-R901-S</v>
          </cell>
          <cell r="B400" t="str">
            <v>CS-LY085</v>
          </cell>
        </row>
        <row r="401">
          <cell r="A401" t="str">
            <v>CS-LY085-R901-XL</v>
          </cell>
          <cell r="B401" t="str">
            <v>CS-LY085</v>
          </cell>
        </row>
        <row r="402">
          <cell r="A402" t="str">
            <v>CS-LY085-R901-XXL</v>
          </cell>
          <cell r="B402" t="str">
            <v>CS-LY085</v>
          </cell>
        </row>
        <row r="403">
          <cell r="A403" t="str">
            <v>CS-LY085-Sa911-L</v>
          </cell>
          <cell r="B403" t="str">
            <v>CS-LY085</v>
          </cell>
        </row>
        <row r="404">
          <cell r="A404" t="str">
            <v>CS-LY085-Sa911-M</v>
          </cell>
          <cell r="B404" t="str">
            <v>CS-LY085</v>
          </cell>
        </row>
        <row r="405">
          <cell r="A405" t="str">
            <v>CS-LY085-Sa911-S</v>
          </cell>
          <cell r="B405" t="str">
            <v>CS-LY085</v>
          </cell>
        </row>
        <row r="406">
          <cell r="A406" t="str">
            <v>CS-LY085-Sa911-XL</v>
          </cell>
          <cell r="B406" t="str">
            <v>CS-LY085</v>
          </cell>
        </row>
        <row r="407">
          <cell r="A407" t="str">
            <v>CS-LY085-Sa911-XXL</v>
          </cell>
          <cell r="B407" t="str">
            <v>CS-LY085</v>
          </cell>
        </row>
        <row r="408">
          <cell r="A408" t="str">
            <v>CS-LY085-W902-L</v>
          </cell>
          <cell r="B408" t="str">
            <v>CS-LY085</v>
          </cell>
        </row>
        <row r="409">
          <cell r="A409" t="str">
            <v>CS-LY085-W902-M</v>
          </cell>
          <cell r="B409" t="str">
            <v>CS-LY085</v>
          </cell>
        </row>
        <row r="410">
          <cell r="A410" t="str">
            <v>CS-LY085-W902-S</v>
          </cell>
          <cell r="B410" t="str">
            <v>CS-LY085</v>
          </cell>
        </row>
        <row r="411">
          <cell r="A411" t="str">
            <v>CS-LY085-W902-XL</v>
          </cell>
          <cell r="B411" t="str">
            <v>CS-LY085</v>
          </cell>
        </row>
        <row r="412">
          <cell r="A412" t="str">
            <v>CS-LY085-W902-XXL</v>
          </cell>
          <cell r="B412" t="str">
            <v>CS-LY085</v>
          </cell>
        </row>
        <row r="413">
          <cell r="A413" t="str">
            <v>CS-LY085-WR917-L</v>
          </cell>
          <cell r="B413" t="str">
            <v>CS-LY085</v>
          </cell>
        </row>
        <row r="414">
          <cell r="A414" t="str">
            <v>CS-LY085-WR917-M</v>
          </cell>
          <cell r="B414" t="str">
            <v>CS-LY085</v>
          </cell>
        </row>
        <row r="415">
          <cell r="A415" t="str">
            <v>CS-LY085-WR917-S</v>
          </cell>
          <cell r="B415" t="str">
            <v>CS-LY085</v>
          </cell>
        </row>
        <row r="416">
          <cell r="A416" t="str">
            <v>CS-LY085-WR917-XL</v>
          </cell>
          <cell r="B416" t="str">
            <v>CS-LY085</v>
          </cell>
        </row>
        <row r="417">
          <cell r="A417" t="str">
            <v>CS-LY085-WR917-XS</v>
          </cell>
          <cell r="B417" t="str">
            <v>CS-LY085</v>
          </cell>
        </row>
        <row r="418">
          <cell r="A418" t="str">
            <v>CS-LY085-WR917-XXL</v>
          </cell>
          <cell r="B418" t="str">
            <v>CS-LY085</v>
          </cell>
        </row>
        <row r="419">
          <cell r="A419" t="str">
            <v>CS-LY085-ZL918-L</v>
          </cell>
          <cell r="B419" t="str">
            <v>CS-LY085</v>
          </cell>
        </row>
        <row r="420">
          <cell r="A420" t="str">
            <v>CS-LY085-ZL918-M</v>
          </cell>
          <cell r="B420" t="str">
            <v>CS-LY085</v>
          </cell>
        </row>
        <row r="421">
          <cell r="A421" t="str">
            <v>CS-LY085-ZL918-S</v>
          </cell>
          <cell r="B421" t="str">
            <v>CS-LY085</v>
          </cell>
        </row>
        <row r="422">
          <cell r="A422" t="str">
            <v>CS-LY085-ZL918-XL</v>
          </cell>
          <cell r="B422" t="str">
            <v>CS-LY085</v>
          </cell>
        </row>
        <row r="423">
          <cell r="A423" t="str">
            <v>CS-LY085-ZL918-XS</v>
          </cell>
          <cell r="B423" t="str">
            <v>CS-LY085</v>
          </cell>
        </row>
        <row r="424">
          <cell r="A424" t="str">
            <v>CS-LY085-ZL918-XXL</v>
          </cell>
          <cell r="B424" t="str">
            <v>CS-LY085</v>
          </cell>
        </row>
        <row r="425">
          <cell r="A425" t="str">
            <v>CS-LY086-B0-L</v>
          </cell>
          <cell r="B425" t="str">
            <v>CS-LY086</v>
          </cell>
        </row>
        <row r="426">
          <cell r="A426" t="str">
            <v>CS-LY086-B0-M</v>
          </cell>
          <cell r="B426" t="str">
            <v>CS-LY086</v>
          </cell>
        </row>
        <row r="427">
          <cell r="A427" t="str">
            <v>CS-LY086-B0-S</v>
          </cell>
          <cell r="B427" t="str">
            <v>CS-LY086</v>
          </cell>
        </row>
        <row r="428">
          <cell r="A428" t="str">
            <v>CS-LY086-B0-XL</v>
          </cell>
          <cell r="B428" t="str">
            <v>CS-LY086</v>
          </cell>
        </row>
        <row r="429">
          <cell r="A429" t="str">
            <v>CS-LY086-B0-XXL</v>
          </cell>
          <cell r="B429" t="str">
            <v>CS-LY086</v>
          </cell>
        </row>
        <row r="430">
          <cell r="A430" t="str">
            <v>CS-LY086-LB-L</v>
          </cell>
          <cell r="B430" t="str">
            <v>CS-LY086</v>
          </cell>
        </row>
        <row r="431">
          <cell r="A431" t="str">
            <v>CS-LY086-LB-M</v>
          </cell>
          <cell r="B431" t="str">
            <v>CS-LY086</v>
          </cell>
        </row>
        <row r="432">
          <cell r="A432" t="str">
            <v>CS-LY086-LB-S</v>
          </cell>
          <cell r="B432" t="str">
            <v>CS-LY086</v>
          </cell>
        </row>
        <row r="433">
          <cell r="A433" t="str">
            <v>CS-LY086-LB-XL</v>
          </cell>
          <cell r="B433" t="str">
            <v>CS-LY086</v>
          </cell>
        </row>
        <row r="434">
          <cell r="A434" t="str">
            <v>CS-LY086-LB-XXL</v>
          </cell>
          <cell r="B434" t="str">
            <v>CS-LY086</v>
          </cell>
        </row>
        <row r="435">
          <cell r="A435" t="str">
            <v>CS-LY086-N0-L</v>
          </cell>
          <cell r="B435" t="str">
            <v>CS-LY086</v>
          </cell>
        </row>
        <row r="436">
          <cell r="A436" t="str">
            <v>CS-LY086-N0-M</v>
          </cell>
          <cell r="B436" t="str">
            <v>CS-LY086</v>
          </cell>
        </row>
        <row r="437">
          <cell r="A437" t="str">
            <v>CS-LY086-N0-S</v>
          </cell>
          <cell r="B437" t="str">
            <v>CS-LY086</v>
          </cell>
        </row>
        <row r="438">
          <cell r="A438" t="str">
            <v>CS-LY086-N0-XL</v>
          </cell>
          <cell r="B438" t="str">
            <v>CS-LY086</v>
          </cell>
        </row>
        <row r="439">
          <cell r="A439" t="str">
            <v>CS-LY086-N0-XXL</v>
          </cell>
          <cell r="B439" t="str">
            <v>CS-LY086</v>
          </cell>
        </row>
        <row r="440">
          <cell r="A440" t="str">
            <v>CS-LY122-B0-2XL</v>
          </cell>
          <cell r="B440" t="str">
            <v>CS-LY122</v>
          </cell>
        </row>
        <row r="441">
          <cell r="A441" t="str">
            <v>CS-LY122-B0-L</v>
          </cell>
          <cell r="B441" t="str">
            <v>CS-LY122</v>
          </cell>
        </row>
        <row r="442">
          <cell r="A442" t="str">
            <v>CS-LY122-B0-S</v>
          </cell>
          <cell r="B442" t="str">
            <v>CS-LY122</v>
          </cell>
        </row>
        <row r="443">
          <cell r="A443" t="str">
            <v>CS-LY122-B0-XL</v>
          </cell>
          <cell r="B443" t="str">
            <v>CS-LY122</v>
          </cell>
        </row>
        <row r="444">
          <cell r="A444" t="str">
            <v>CS-LY122-B0-XL-GM</v>
          </cell>
          <cell r="B444" t="str">
            <v>CS-LY122</v>
          </cell>
        </row>
        <row r="445">
          <cell r="A445" t="str">
            <v>CS-LY122-B0-XS</v>
          </cell>
          <cell r="B445" t="str">
            <v>CS-LY122</v>
          </cell>
        </row>
        <row r="446">
          <cell r="A446" t="str">
            <v>CS-LY122-N0-2XL</v>
          </cell>
          <cell r="B446" t="str">
            <v>CS-LY122</v>
          </cell>
        </row>
        <row r="447">
          <cell r="A447" t="str">
            <v>CS-LY122-N0-M</v>
          </cell>
          <cell r="B447" t="str">
            <v>CS-LY122</v>
          </cell>
        </row>
        <row r="448">
          <cell r="A448" t="str">
            <v>CS-LY122-N0-S</v>
          </cell>
          <cell r="B448" t="str">
            <v>CS-LY122</v>
          </cell>
        </row>
        <row r="449">
          <cell r="A449" t="str">
            <v>CS-LY122-N0-XL</v>
          </cell>
          <cell r="B449" t="str">
            <v>CS-LY122</v>
          </cell>
        </row>
        <row r="450">
          <cell r="A450" t="str">
            <v>CS-LY122-N0-XS</v>
          </cell>
          <cell r="B450" t="str">
            <v>CS-LY122</v>
          </cell>
        </row>
        <row r="451">
          <cell r="A451" t="str">
            <v>CS-LY122-WR-2XL</v>
          </cell>
          <cell r="B451" t="str">
            <v>CS-LY122</v>
          </cell>
        </row>
        <row r="452">
          <cell r="A452" t="str">
            <v>CS-LY122-WR-L</v>
          </cell>
          <cell r="B452" t="str">
            <v>CS-LY122</v>
          </cell>
        </row>
        <row r="453">
          <cell r="A453" t="str">
            <v>CS-LY122-WR-S</v>
          </cell>
          <cell r="B453" t="str">
            <v>CS-LY122</v>
          </cell>
        </row>
        <row r="454">
          <cell r="A454" t="str">
            <v>CS-LY122-WR-XL</v>
          </cell>
          <cell r="B454" t="str">
            <v>CS-LY122</v>
          </cell>
        </row>
        <row r="455">
          <cell r="A455" t="str">
            <v>CS-LY122-WR-XS</v>
          </cell>
          <cell r="B455" t="str">
            <v>CS-LY122</v>
          </cell>
        </row>
        <row r="456">
          <cell r="A456" t="str">
            <v>CS-LY154-LB-L</v>
          </cell>
          <cell r="B456" t="str">
            <v>CS-LY154</v>
          </cell>
        </row>
        <row r="457">
          <cell r="A457" t="str">
            <v>CS-LY154-LB-M</v>
          </cell>
          <cell r="B457" t="str">
            <v>CS-LY154</v>
          </cell>
        </row>
        <row r="458">
          <cell r="A458" t="str">
            <v>CS-LY154-LB-S</v>
          </cell>
          <cell r="B458" t="str">
            <v>CS-LY154</v>
          </cell>
        </row>
        <row r="459">
          <cell r="A459" t="str">
            <v>CS-LY154-LB-XL</v>
          </cell>
          <cell r="B459" t="str">
            <v>CS-LY154</v>
          </cell>
        </row>
        <row r="460">
          <cell r="A460" t="str">
            <v>CS-LY154-LB-XS</v>
          </cell>
          <cell r="B460" t="str">
            <v>CS-LY154</v>
          </cell>
        </row>
        <row r="461">
          <cell r="A461" t="str">
            <v>CS-LY154-W0-L</v>
          </cell>
          <cell r="B461" t="str">
            <v>CS-LY154</v>
          </cell>
        </row>
        <row r="462">
          <cell r="A462" t="str">
            <v>CS-LY154-W0-M</v>
          </cell>
          <cell r="B462" t="str">
            <v>CS-LY154</v>
          </cell>
        </row>
        <row r="463">
          <cell r="A463" t="str">
            <v>CS-LY154-W0-S</v>
          </cell>
          <cell r="B463" t="str">
            <v>CS-LY154</v>
          </cell>
        </row>
        <row r="464">
          <cell r="A464" t="str">
            <v>CS-LY154-W0-XL</v>
          </cell>
          <cell r="B464" t="str">
            <v>CS-LY154</v>
          </cell>
        </row>
        <row r="465">
          <cell r="A465" t="str">
            <v>CS-LY154-W0-XS</v>
          </cell>
          <cell r="B465" t="str">
            <v>CS-LY154</v>
          </cell>
        </row>
        <row r="466">
          <cell r="A466" t="str">
            <v>CS-LY154-WR-L</v>
          </cell>
          <cell r="B466" t="str">
            <v>CS-LY154</v>
          </cell>
        </row>
        <row r="467">
          <cell r="A467" t="str">
            <v>CS-LY154-WR-M</v>
          </cell>
          <cell r="B467" t="str">
            <v>CS-LY154</v>
          </cell>
        </row>
        <row r="468">
          <cell r="A468" t="str">
            <v>CS-LY154-WR-S</v>
          </cell>
          <cell r="B468" t="str">
            <v>CS-LY154</v>
          </cell>
        </row>
        <row r="469">
          <cell r="A469" t="str">
            <v>CS-LY154-WR-XL</v>
          </cell>
          <cell r="B469" t="str">
            <v>CS-LY154</v>
          </cell>
        </row>
        <row r="470">
          <cell r="A470" t="str">
            <v>CS-LY154-WR-XS</v>
          </cell>
          <cell r="B470" t="str">
            <v>CS-LY154</v>
          </cell>
        </row>
        <row r="471">
          <cell r="A471" t="str">
            <v>CS-LY154-ZL-L</v>
          </cell>
          <cell r="B471" t="str">
            <v>CS-LY154</v>
          </cell>
        </row>
        <row r="472">
          <cell r="A472" t="str">
            <v>CS-LY154-ZL-M</v>
          </cell>
          <cell r="B472" t="str">
            <v>CS-LY154</v>
          </cell>
        </row>
        <row r="473">
          <cell r="A473" t="str">
            <v>CS-LY154-ZL-S</v>
          </cell>
          <cell r="B473" t="str">
            <v>CS-LY154</v>
          </cell>
        </row>
        <row r="474">
          <cell r="A474" t="str">
            <v>CS-LY154-ZL-XL</v>
          </cell>
          <cell r="B474" t="str">
            <v>CS-LY154</v>
          </cell>
        </row>
        <row r="475">
          <cell r="A475" t="str">
            <v>CS-LY154-ZL-XS</v>
          </cell>
          <cell r="B475" t="str">
            <v>CS-LY154</v>
          </cell>
        </row>
        <row r="476">
          <cell r="A476" t="str">
            <v>CS-LY166-B28-1-L</v>
          </cell>
          <cell r="B476" t="str">
            <v>CS-LY166</v>
          </cell>
        </row>
        <row r="477">
          <cell r="A477" t="str">
            <v>CS-LY166-B28-1-M</v>
          </cell>
          <cell r="B477" t="str">
            <v>CS-LY166</v>
          </cell>
        </row>
        <row r="478">
          <cell r="A478" t="str">
            <v>CS-LY166-B28-1-S</v>
          </cell>
          <cell r="B478" t="str">
            <v>CS-LY166</v>
          </cell>
        </row>
        <row r="479">
          <cell r="A479" t="str">
            <v>CS-LY166-B28-1-XL</v>
          </cell>
          <cell r="B479" t="str">
            <v>CS-LY166</v>
          </cell>
        </row>
        <row r="480">
          <cell r="A480" t="str">
            <v>CS-LY166-B28-1-XXL</v>
          </cell>
          <cell r="B480" t="str">
            <v>CS-LY166</v>
          </cell>
        </row>
        <row r="481">
          <cell r="A481" t="str">
            <v>CS-LY166-B28-3-L</v>
          </cell>
          <cell r="B481" t="str">
            <v>CS-LY166</v>
          </cell>
        </row>
        <row r="482">
          <cell r="A482" t="str">
            <v>CS-LY166-B28-3-M</v>
          </cell>
          <cell r="B482" t="str">
            <v>CS-LY166</v>
          </cell>
        </row>
        <row r="483">
          <cell r="A483" t="str">
            <v>CS-LY166-B28-3-S</v>
          </cell>
          <cell r="B483" t="str">
            <v>CS-LY166</v>
          </cell>
        </row>
        <row r="484">
          <cell r="A484" t="str">
            <v>CS-LY166-B28-3-XL</v>
          </cell>
          <cell r="B484" t="str">
            <v>CS-LY166</v>
          </cell>
        </row>
        <row r="485">
          <cell r="A485" t="str">
            <v>CS-LY166-B28-3-XL-GM</v>
          </cell>
          <cell r="B485" t="str">
            <v>CS-LY166</v>
          </cell>
        </row>
        <row r="486">
          <cell r="A486" t="str">
            <v>CS-LY166-B28-3-XXL</v>
          </cell>
          <cell r="B486" t="str">
            <v>CS-LY166</v>
          </cell>
        </row>
        <row r="487">
          <cell r="A487" t="str">
            <v>CS-LY166-B28-4-L</v>
          </cell>
          <cell r="B487" t="str">
            <v>CS-LY166</v>
          </cell>
        </row>
        <row r="488">
          <cell r="A488" t="str">
            <v>CS-LY166-B28-4-M</v>
          </cell>
          <cell r="B488" t="str">
            <v>CS-LY166</v>
          </cell>
        </row>
        <row r="489">
          <cell r="A489" t="str">
            <v>CS-LY166-B28-4-S</v>
          </cell>
          <cell r="B489" t="str">
            <v>CS-LY166</v>
          </cell>
        </row>
        <row r="490">
          <cell r="A490" t="str">
            <v>CS-LY166-B28-4-XL</v>
          </cell>
          <cell r="B490" t="str">
            <v>CS-LY166</v>
          </cell>
        </row>
        <row r="491">
          <cell r="A491" t="str">
            <v>CS-LY166-B28-4-XXL</v>
          </cell>
          <cell r="B491" t="str">
            <v>CS-LY166</v>
          </cell>
        </row>
        <row r="492">
          <cell r="A492" t="str">
            <v>CS-LY166-B28-5-L</v>
          </cell>
          <cell r="B492" t="str">
            <v>CS-LY166</v>
          </cell>
        </row>
        <row r="493">
          <cell r="A493" t="str">
            <v>CS-LY166-B28-5-M</v>
          </cell>
          <cell r="B493" t="str">
            <v>CS-LY166</v>
          </cell>
        </row>
        <row r="494">
          <cell r="A494" t="str">
            <v>CS-LY166-B28-5-S</v>
          </cell>
          <cell r="B494" t="str">
            <v>CS-LY166</v>
          </cell>
        </row>
        <row r="495">
          <cell r="A495" t="str">
            <v>CS-LY166-B28-5-XL</v>
          </cell>
          <cell r="B495" t="str">
            <v>CS-LY166</v>
          </cell>
        </row>
        <row r="496">
          <cell r="A496" t="str">
            <v>CS-LY166-B28-5-XXL</v>
          </cell>
          <cell r="B496" t="str">
            <v>CS-LY166</v>
          </cell>
        </row>
        <row r="497">
          <cell r="A497" t="str">
            <v>CS-LY166-K33-1-L</v>
          </cell>
          <cell r="B497" t="str">
            <v>CS-LY166</v>
          </cell>
        </row>
        <row r="498">
          <cell r="A498" t="str">
            <v>CS-LY166-K33-1-M</v>
          </cell>
          <cell r="B498" t="str">
            <v>CS-LY166</v>
          </cell>
        </row>
        <row r="499">
          <cell r="A499" t="str">
            <v>CS-LY166-K33-1-S</v>
          </cell>
          <cell r="B499" t="str">
            <v>CS-LY166</v>
          </cell>
        </row>
        <row r="500">
          <cell r="A500" t="str">
            <v>CS-LY166-K33-1-XL</v>
          </cell>
          <cell r="B500" t="str">
            <v>CS-LY166</v>
          </cell>
        </row>
        <row r="501">
          <cell r="A501" t="str">
            <v>CS-LY166-K33-1-XXL</v>
          </cell>
          <cell r="B501" t="str">
            <v>CS-LY166</v>
          </cell>
        </row>
        <row r="502">
          <cell r="A502" t="str">
            <v>CS-LY166-K33-2-L</v>
          </cell>
          <cell r="B502" t="str">
            <v>CS-LY166</v>
          </cell>
        </row>
        <row r="503">
          <cell r="A503" t="str">
            <v>CS-LY166-K33-2-M</v>
          </cell>
          <cell r="B503" t="str">
            <v>CS-LY166</v>
          </cell>
        </row>
        <row r="504">
          <cell r="A504" t="str">
            <v>CS-LY166-K33-2-S</v>
          </cell>
          <cell r="B504" t="str">
            <v>CS-LY166</v>
          </cell>
        </row>
        <row r="505">
          <cell r="A505" t="str">
            <v>CS-LY166-K33-2-XL</v>
          </cell>
          <cell r="B505" t="str">
            <v>CS-LY166</v>
          </cell>
        </row>
        <row r="506">
          <cell r="A506" t="str">
            <v>CS-LY166-K33-2-XXL</v>
          </cell>
          <cell r="B506" t="str">
            <v>CS-LY166</v>
          </cell>
        </row>
        <row r="507">
          <cell r="A507" t="str">
            <v>CS-LY166-K33-4-L</v>
          </cell>
          <cell r="B507" t="str">
            <v>CS-LY166</v>
          </cell>
        </row>
        <row r="508">
          <cell r="A508" t="str">
            <v>CS-LY166-K33-4-M</v>
          </cell>
          <cell r="B508" t="str">
            <v>CS-LY166</v>
          </cell>
        </row>
        <row r="509">
          <cell r="A509" t="str">
            <v>CS-LY166-K33-4-S</v>
          </cell>
          <cell r="B509" t="str">
            <v>CS-LY166</v>
          </cell>
        </row>
        <row r="510">
          <cell r="A510" t="str">
            <v>CS-LY166-K33-4-XL</v>
          </cell>
          <cell r="B510" t="str">
            <v>CS-LY166</v>
          </cell>
        </row>
        <row r="511">
          <cell r="A511" t="str">
            <v>CS-LY166-K33-4-XXL</v>
          </cell>
          <cell r="B511" t="str">
            <v>CS-LY166</v>
          </cell>
        </row>
        <row r="512">
          <cell r="A512" t="str">
            <v>CS-LY166-K73-1-L</v>
          </cell>
          <cell r="B512" t="str">
            <v>CS-LY166</v>
          </cell>
        </row>
        <row r="513">
          <cell r="A513" t="str">
            <v>CS-LY166-K73-1-M</v>
          </cell>
          <cell r="B513" t="str">
            <v>CS-LY166</v>
          </cell>
        </row>
        <row r="514">
          <cell r="A514" t="str">
            <v>CS-LY166-K73-1-S</v>
          </cell>
          <cell r="B514" t="str">
            <v>CS-LY166</v>
          </cell>
        </row>
        <row r="515">
          <cell r="A515" t="str">
            <v>CS-LY166-K73-1-XL</v>
          </cell>
          <cell r="B515" t="str">
            <v>CS-LY166</v>
          </cell>
        </row>
        <row r="516">
          <cell r="A516" t="str">
            <v>CS-LY166-K73-1-XXL</v>
          </cell>
          <cell r="B516" t="str">
            <v>CS-LY166</v>
          </cell>
        </row>
        <row r="517">
          <cell r="A517" t="str">
            <v>CS-LY166-K73-2-L</v>
          </cell>
          <cell r="B517" t="str">
            <v>CS-LY166</v>
          </cell>
        </row>
        <row r="518">
          <cell r="A518" t="str">
            <v>CS-LY166-K73-2-M</v>
          </cell>
          <cell r="B518" t="str">
            <v>CS-LY166</v>
          </cell>
        </row>
        <row r="519">
          <cell r="A519" t="str">
            <v>CS-LY166-K73-2-S</v>
          </cell>
          <cell r="B519" t="str">
            <v>CS-LY166</v>
          </cell>
        </row>
        <row r="520">
          <cell r="A520" t="str">
            <v>CS-LY166-K73-2-XL</v>
          </cell>
          <cell r="B520" t="str">
            <v>CS-LY166</v>
          </cell>
        </row>
        <row r="521">
          <cell r="A521" t="str">
            <v>CS-LY166-K73-2-XXL</v>
          </cell>
          <cell r="B521" t="str">
            <v>CS-LY166</v>
          </cell>
        </row>
        <row r="522">
          <cell r="A522" t="str">
            <v>CS-LY167-K0-M</v>
          </cell>
          <cell r="B522" t="str">
            <v>CS-LY167</v>
          </cell>
        </row>
        <row r="523">
          <cell r="A523" t="str">
            <v>CS-LY167-K0-S</v>
          </cell>
          <cell r="B523" t="str">
            <v>CS-LY167</v>
          </cell>
        </row>
        <row r="524">
          <cell r="A524" t="str">
            <v>CS-LY167-K0-XL</v>
          </cell>
          <cell r="B524" t="str">
            <v>CS-LY167</v>
          </cell>
        </row>
        <row r="525">
          <cell r="A525" t="str">
            <v>CS-LY167-K0-XXL</v>
          </cell>
          <cell r="B525" t="str">
            <v>CS-LY167</v>
          </cell>
        </row>
        <row r="526">
          <cell r="A526" t="str">
            <v>CS-LY167-N0-L</v>
          </cell>
          <cell r="B526" t="str">
            <v>CS-LY167</v>
          </cell>
        </row>
        <row r="527">
          <cell r="A527" t="str">
            <v>CS-LY167-N0-M</v>
          </cell>
          <cell r="B527" t="str">
            <v>CS-LY167</v>
          </cell>
        </row>
        <row r="528">
          <cell r="A528" t="str">
            <v>CS-LY167-N0-S</v>
          </cell>
          <cell r="B528" t="str">
            <v>CS-LY167</v>
          </cell>
        </row>
        <row r="529">
          <cell r="A529" t="str">
            <v>CS-LY167-N0-XL</v>
          </cell>
          <cell r="B529" t="str">
            <v>CS-LY167</v>
          </cell>
        </row>
        <row r="530">
          <cell r="A530" t="str">
            <v>CS-LY167-N0-XXL</v>
          </cell>
          <cell r="B530" t="str">
            <v>CS-LY167</v>
          </cell>
        </row>
        <row r="531">
          <cell r="A531" t="str">
            <v>CS-LY167-R0-L</v>
          </cell>
          <cell r="B531" t="str">
            <v>CS-LY167</v>
          </cell>
        </row>
        <row r="532">
          <cell r="A532" t="str">
            <v>CS-LY167-R0-M</v>
          </cell>
          <cell r="B532" t="str">
            <v>CS-LY167</v>
          </cell>
        </row>
        <row r="533">
          <cell r="A533" t="str">
            <v>CS-LY167-R0-S</v>
          </cell>
          <cell r="B533" t="str">
            <v>CS-LY167</v>
          </cell>
        </row>
        <row r="534">
          <cell r="A534" t="str">
            <v>CS-LY167-R0-XL</v>
          </cell>
          <cell r="B534" t="str">
            <v>CS-LY167</v>
          </cell>
        </row>
        <row r="535">
          <cell r="A535" t="str">
            <v>CS-LY167-R0-XXL</v>
          </cell>
          <cell r="B535" t="str">
            <v>CS-LY167</v>
          </cell>
        </row>
        <row r="536">
          <cell r="A536" t="str">
            <v>CS-LY167-W0-L</v>
          </cell>
          <cell r="B536" t="str">
            <v>CS-LY167</v>
          </cell>
        </row>
        <row r="537">
          <cell r="A537" t="str">
            <v>CS-LY167-W0-M</v>
          </cell>
          <cell r="B537" t="str">
            <v>CS-LY167</v>
          </cell>
        </row>
        <row r="538">
          <cell r="A538" t="str">
            <v>CS-LY167-W0-S</v>
          </cell>
          <cell r="B538" t="str">
            <v>CS-LY167</v>
          </cell>
        </row>
        <row r="539">
          <cell r="A539" t="str">
            <v>CS-LY167-W0-XL</v>
          </cell>
          <cell r="B539" t="str">
            <v>CS-LY167</v>
          </cell>
        </row>
        <row r="540">
          <cell r="A540" t="str">
            <v>CS-LY167-W0-XXL</v>
          </cell>
          <cell r="B540" t="str">
            <v>CS-LY167</v>
          </cell>
        </row>
        <row r="541">
          <cell r="A541" t="str">
            <v>CS-LY170-G912-L</v>
          </cell>
          <cell r="B541" t="str">
            <v>CS-LY170</v>
          </cell>
        </row>
        <row r="542">
          <cell r="A542" t="str">
            <v>CS-LY170-G912-M</v>
          </cell>
          <cell r="B542" t="str">
            <v>CS-LY170</v>
          </cell>
        </row>
        <row r="543">
          <cell r="A543" t="str">
            <v>CS-LY170-G912-S</v>
          </cell>
          <cell r="B543" t="str">
            <v>CS-LY170</v>
          </cell>
        </row>
        <row r="544">
          <cell r="A544" t="str">
            <v>CS-LY170-G912-XL</v>
          </cell>
          <cell r="B544" t="str">
            <v>CS-LY170</v>
          </cell>
        </row>
        <row r="545">
          <cell r="A545" t="str">
            <v>CS-LY170-G912-XXL</v>
          </cell>
          <cell r="B545" t="str">
            <v>CS-LY170</v>
          </cell>
        </row>
        <row r="546">
          <cell r="A546" t="str">
            <v>CS-LY170-LB916-L</v>
          </cell>
          <cell r="B546" t="str">
            <v>CS-LY170</v>
          </cell>
        </row>
        <row r="547">
          <cell r="A547" t="str">
            <v>CS-LY170-LB916-M</v>
          </cell>
          <cell r="B547" t="str">
            <v>CS-LY170</v>
          </cell>
        </row>
        <row r="548">
          <cell r="A548" t="str">
            <v>CS-LY170-LB916-S</v>
          </cell>
          <cell r="B548" t="str">
            <v>CS-LY170</v>
          </cell>
        </row>
        <row r="549">
          <cell r="A549" t="str">
            <v>CS-LY170-LB916-XL</v>
          </cell>
          <cell r="B549" t="str">
            <v>CS-LY170</v>
          </cell>
        </row>
        <row r="550">
          <cell r="A550" t="str">
            <v>CS-LY170-LB916-XXL</v>
          </cell>
          <cell r="B550" t="str">
            <v>CS-LY170</v>
          </cell>
        </row>
        <row r="551">
          <cell r="A551" t="str">
            <v>CS-LY170-LG907-L</v>
          </cell>
          <cell r="B551" t="str">
            <v>CS-LY170</v>
          </cell>
        </row>
        <row r="552">
          <cell r="A552" t="str">
            <v>CS-LY170-LG907-M</v>
          </cell>
          <cell r="B552" t="str">
            <v>CS-LY170</v>
          </cell>
        </row>
        <row r="553">
          <cell r="A553" t="str">
            <v>CS-LY170-LG907-S</v>
          </cell>
          <cell r="B553" t="str">
            <v>CS-LY170</v>
          </cell>
        </row>
        <row r="554">
          <cell r="A554" t="str">
            <v>CS-LY170-LG907-XL</v>
          </cell>
          <cell r="B554" t="str">
            <v>CS-LY170</v>
          </cell>
        </row>
        <row r="555">
          <cell r="A555" t="str">
            <v>CS-LY170-LG907-XXL</v>
          </cell>
          <cell r="B555" t="str">
            <v>CS-LY170</v>
          </cell>
        </row>
        <row r="556">
          <cell r="A556" t="str">
            <v>CS-LY170-PI908-L</v>
          </cell>
          <cell r="B556" t="str">
            <v>CS-LY170</v>
          </cell>
        </row>
        <row r="557">
          <cell r="A557" t="str">
            <v>CS-LY170-PI908-M</v>
          </cell>
          <cell r="B557" t="str">
            <v>CS-LY170</v>
          </cell>
        </row>
        <row r="558">
          <cell r="A558" t="str">
            <v>CS-LY170-PI908-S</v>
          </cell>
          <cell r="B558" t="str">
            <v>CS-LY170</v>
          </cell>
        </row>
        <row r="559">
          <cell r="A559" t="str">
            <v>CS-LY170-PI908-XL</v>
          </cell>
          <cell r="B559" t="str">
            <v>CS-LY170</v>
          </cell>
        </row>
        <row r="560">
          <cell r="A560" t="str">
            <v>CS-LY170-PI908-XXL</v>
          </cell>
          <cell r="B560" t="str">
            <v>CS-LY170</v>
          </cell>
        </row>
        <row r="561">
          <cell r="A561" t="str">
            <v>CS-LY170-Sa911-L</v>
          </cell>
          <cell r="B561" t="str">
            <v>CS-LY170</v>
          </cell>
        </row>
        <row r="562">
          <cell r="A562" t="str">
            <v>CS-LY170-Sa911-M</v>
          </cell>
          <cell r="B562" t="str">
            <v>CS-LY170</v>
          </cell>
        </row>
        <row r="563">
          <cell r="A563" t="str">
            <v>CS-LY170-Sa911-S</v>
          </cell>
          <cell r="B563" t="str">
            <v>CS-LY170</v>
          </cell>
        </row>
        <row r="564">
          <cell r="A564" t="str">
            <v>CS-LY170-Sa911-XL</v>
          </cell>
          <cell r="B564" t="str">
            <v>CS-LY170</v>
          </cell>
        </row>
        <row r="565">
          <cell r="A565" t="str">
            <v>CS-LY170-Sa911-XXL</v>
          </cell>
          <cell r="B565" t="str">
            <v>CS-LY170</v>
          </cell>
        </row>
        <row r="566">
          <cell r="A566" t="str">
            <v>CS-LY170-W902-L</v>
          </cell>
          <cell r="B566" t="str">
            <v>CS-LY170</v>
          </cell>
        </row>
        <row r="567">
          <cell r="A567" t="str">
            <v>CS-LY170-W902-M</v>
          </cell>
          <cell r="B567" t="str">
            <v>CS-LY170</v>
          </cell>
        </row>
        <row r="568">
          <cell r="A568" t="str">
            <v>CS-LY170-W902-S</v>
          </cell>
          <cell r="B568" t="str">
            <v>CS-LY170</v>
          </cell>
        </row>
        <row r="569">
          <cell r="A569" t="str">
            <v>CS-LY170-W902-XL</v>
          </cell>
          <cell r="B569" t="str">
            <v>CS-LY170</v>
          </cell>
        </row>
        <row r="570">
          <cell r="A570" t="str">
            <v>CS-LY170-W902-XXL</v>
          </cell>
          <cell r="B570" t="str">
            <v>CS-LY170</v>
          </cell>
        </row>
        <row r="571">
          <cell r="A571" t="str">
            <v>CS-LY170-WR917-L</v>
          </cell>
          <cell r="B571" t="str">
            <v>CS-LY170</v>
          </cell>
        </row>
        <row r="572">
          <cell r="A572" t="str">
            <v>CS-LY170-WR917-M</v>
          </cell>
          <cell r="B572" t="str">
            <v>CS-LY170</v>
          </cell>
        </row>
        <row r="573">
          <cell r="A573" t="str">
            <v>CS-LY170-WR917-S</v>
          </cell>
          <cell r="B573" t="str">
            <v>CS-LY170</v>
          </cell>
        </row>
        <row r="574">
          <cell r="A574" t="str">
            <v>CS-LY170-WR917-XL</v>
          </cell>
          <cell r="B574" t="str">
            <v>CS-LY170</v>
          </cell>
        </row>
        <row r="575">
          <cell r="A575" t="str">
            <v>CS-LY170-WR917-XXL</v>
          </cell>
          <cell r="B575" t="str">
            <v>CS-LY170</v>
          </cell>
        </row>
        <row r="576">
          <cell r="A576" t="str">
            <v>CS-LY170-ZL918-L</v>
          </cell>
          <cell r="B576" t="str">
            <v>CS-LY170</v>
          </cell>
        </row>
        <row r="577">
          <cell r="A577" t="str">
            <v>CS-LY170-ZL918-M</v>
          </cell>
          <cell r="B577" t="str">
            <v>CS-LY170</v>
          </cell>
        </row>
        <row r="578">
          <cell r="A578" t="str">
            <v>CS-LY170-ZL918-S</v>
          </cell>
          <cell r="B578" t="str">
            <v>CS-LY170</v>
          </cell>
        </row>
        <row r="579">
          <cell r="A579" t="str">
            <v>CS-LY170-ZL918-XL</v>
          </cell>
          <cell r="B579" t="str">
            <v>CS-LY170</v>
          </cell>
        </row>
        <row r="580">
          <cell r="A580" t="str">
            <v>CS-LY170-ZL918-XXL</v>
          </cell>
          <cell r="B580" t="str">
            <v>CS-LY170</v>
          </cell>
        </row>
        <row r="581">
          <cell r="A581" t="str">
            <v>CS-LY171-G912-L</v>
          </cell>
          <cell r="B581" t="str">
            <v>CS-LY171</v>
          </cell>
        </row>
        <row r="582">
          <cell r="A582" t="str">
            <v>CS-LY171-G912-M</v>
          </cell>
          <cell r="B582" t="str">
            <v>CS-LY171</v>
          </cell>
        </row>
        <row r="583">
          <cell r="A583" t="str">
            <v>CS-LY171-G912-S</v>
          </cell>
          <cell r="B583" t="str">
            <v>CS-LY171</v>
          </cell>
        </row>
        <row r="584">
          <cell r="A584" t="str">
            <v>CS-LY171-G912-XL</v>
          </cell>
          <cell r="B584" t="str">
            <v>CS-LY171</v>
          </cell>
        </row>
        <row r="585">
          <cell r="A585" t="str">
            <v>CS-LY171-G912-XXL</v>
          </cell>
          <cell r="B585" t="str">
            <v>CS-LY171</v>
          </cell>
        </row>
        <row r="586">
          <cell r="A586" t="str">
            <v>CS-LY171-LB916-L</v>
          </cell>
          <cell r="B586" t="str">
            <v>CS-LY171</v>
          </cell>
        </row>
        <row r="587">
          <cell r="A587" t="str">
            <v>CS-LY171-LB916-M</v>
          </cell>
          <cell r="B587" t="str">
            <v>CS-LY171</v>
          </cell>
        </row>
        <row r="588">
          <cell r="A588" t="str">
            <v>CS-LY171-LB916-S</v>
          </cell>
          <cell r="B588" t="str">
            <v>CS-LY171</v>
          </cell>
        </row>
        <row r="589">
          <cell r="A589" t="str">
            <v>CS-LY171-LB916-XL</v>
          </cell>
          <cell r="B589" t="str">
            <v>CS-LY171</v>
          </cell>
        </row>
        <row r="590">
          <cell r="A590" t="str">
            <v>CS-LY171-LB916-XXL</v>
          </cell>
          <cell r="B590" t="str">
            <v>CS-LY171</v>
          </cell>
        </row>
        <row r="591">
          <cell r="A591" t="str">
            <v>CS-LY171-LG907-L</v>
          </cell>
          <cell r="B591" t="str">
            <v>CS-LY171</v>
          </cell>
        </row>
        <row r="592">
          <cell r="A592" t="str">
            <v>CS-LY171-LG907-M</v>
          </cell>
          <cell r="B592" t="str">
            <v>CS-LY171</v>
          </cell>
        </row>
        <row r="593">
          <cell r="A593" t="str">
            <v>CS-LY171-LG907-S</v>
          </cell>
          <cell r="B593" t="str">
            <v>CS-LY171</v>
          </cell>
        </row>
        <row r="594">
          <cell r="A594" t="str">
            <v>CS-LY171-LG907-XL</v>
          </cell>
          <cell r="B594" t="str">
            <v>CS-LY171</v>
          </cell>
        </row>
        <row r="595">
          <cell r="A595" t="str">
            <v>CS-LY171-LG907-XXL</v>
          </cell>
          <cell r="B595" t="str">
            <v>CS-LY171</v>
          </cell>
        </row>
        <row r="596">
          <cell r="A596" t="str">
            <v>CS-LY171-PI908-L</v>
          </cell>
          <cell r="B596" t="str">
            <v>CS-LY171</v>
          </cell>
        </row>
        <row r="597">
          <cell r="A597" t="str">
            <v>CS-LY171-PI908-M</v>
          </cell>
          <cell r="B597" t="str">
            <v>CS-LY171</v>
          </cell>
        </row>
        <row r="598">
          <cell r="A598" t="str">
            <v>CS-LY171-PI908-S</v>
          </cell>
          <cell r="B598" t="str">
            <v>CS-LY171</v>
          </cell>
        </row>
        <row r="599">
          <cell r="A599" t="str">
            <v>CS-LY171-PI908-XL</v>
          </cell>
          <cell r="B599" t="str">
            <v>CS-LY171</v>
          </cell>
        </row>
        <row r="600">
          <cell r="A600" t="str">
            <v>CS-LY171-PI908-XXL</v>
          </cell>
          <cell r="B600" t="str">
            <v>CS-LY171</v>
          </cell>
        </row>
        <row r="601">
          <cell r="A601" t="str">
            <v>CS-LY171-Sa911-L</v>
          </cell>
          <cell r="B601" t="str">
            <v>CS-LY171</v>
          </cell>
        </row>
        <row r="602">
          <cell r="A602" t="str">
            <v>CS-LY171-Sa911-M</v>
          </cell>
          <cell r="B602" t="str">
            <v>CS-LY171</v>
          </cell>
        </row>
        <row r="603">
          <cell r="A603" t="str">
            <v>CS-LY171-Sa911-S</v>
          </cell>
          <cell r="B603" t="str">
            <v>CS-LY171</v>
          </cell>
        </row>
        <row r="604">
          <cell r="A604" t="str">
            <v>CS-LY171-Sa911-XL</v>
          </cell>
          <cell r="B604" t="str">
            <v>CS-LY171</v>
          </cell>
        </row>
        <row r="605">
          <cell r="A605" t="str">
            <v>CS-LY171-Sa911-XXL</v>
          </cell>
          <cell r="B605" t="str">
            <v>CS-LY171</v>
          </cell>
        </row>
        <row r="606">
          <cell r="A606" t="str">
            <v>CS-LY171-W902-L</v>
          </cell>
          <cell r="B606" t="str">
            <v>CS-LY171</v>
          </cell>
        </row>
        <row r="607">
          <cell r="A607" t="str">
            <v>CS-LY171-W902-M</v>
          </cell>
          <cell r="B607" t="str">
            <v>CS-LY171</v>
          </cell>
        </row>
        <row r="608">
          <cell r="A608" t="str">
            <v>CS-LY171-W902-S</v>
          </cell>
          <cell r="B608" t="str">
            <v>CS-LY171</v>
          </cell>
        </row>
        <row r="609">
          <cell r="A609" t="str">
            <v>CS-LY171-W902-XL</v>
          </cell>
          <cell r="B609" t="str">
            <v>CS-LY171</v>
          </cell>
        </row>
        <row r="610">
          <cell r="A610" t="str">
            <v>CS-LY171-W902-XXL</v>
          </cell>
          <cell r="B610" t="str">
            <v>CS-LY171</v>
          </cell>
        </row>
        <row r="611">
          <cell r="A611" t="str">
            <v>CS-LY171-WR917-L</v>
          </cell>
          <cell r="B611" t="str">
            <v>CS-LY171</v>
          </cell>
        </row>
        <row r="612">
          <cell r="A612" t="str">
            <v>CS-LY171-WR917-M</v>
          </cell>
          <cell r="B612" t="str">
            <v>CS-LY171</v>
          </cell>
        </row>
        <row r="613">
          <cell r="A613" t="str">
            <v>CS-LY171-WR917-S</v>
          </cell>
          <cell r="B613" t="str">
            <v>CS-LY171</v>
          </cell>
        </row>
        <row r="614">
          <cell r="A614" t="str">
            <v>CS-LY171-WR917-XL</v>
          </cell>
          <cell r="B614" t="str">
            <v>CS-LY171</v>
          </cell>
        </row>
        <row r="615">
          <cell r="A615" t="str">
            <v>CS-LY171-WR917-XXL</v>
          </cell>
          <cell r="B615" t="str">
            <v>CS-LY171</v>
          </cell>
        </row>
        <row r="616">
          <cell r="A616" t="str">
            <v>CS-LY171-ZL918-L</v>
          </cell>
          <cell r="B616" t="str">
            <v>CS-LY171</v>
          </cell>
        </row>
        <row r="617">
          <cell r="A617" t="str">
            <v>CS-LY171-ZL918-M</v>
          </cell>
          <cell r="B617" t="str">
            <v>CS-LY171</v>
          </cell>
        </row>
        <row r="618">
          <cell r="A618" t="str">
            <v>CS-LY171-ZL918-S</v>
          </cell>
          <cell r="B618" t="str">
            <v>CS-LY171</v>
          </cell>
        </row>
        <row r="619">
          <cell r="A619" t="str">
            <v>CS-LY171-ZL918-XL</v>
          </cell>
          <cell r="B619" t="str">
            <v>CS-LY171</v>
          </cell>
        </row>
        <row r="620">
          <cell r="A620" t="str">
            <v>CS-LY171-ZL918-XXL</v>
          </cell>
          <cell r="B620" t="str">
            <v>CS-LY171</v>
          </cell>
        </row>
        <row r="621">
          <cell r="A621" t="str">
            <v>CS-LY181-G912-L</v>
          </cell>
          <cell r="B621" t="str">
            <v>CS-LY181</v>
          </cell>
        </row>
        <row r="622">
          <cell r="A622" t="str">
            <v>CS-LY181-G912-M</v>
          </cell>
          <cell r="B622" t="str">
            <v>CS-LY181</v>
          </cell>
        </row>
        <row r="623">
          <cell r="A623" t="str">
            <v>CS-LY181-G912-S</v>
          </cell>
          <cell r="B623" t="str">
            <v>CS-LY181</v>
          </cell>
        </row>
        <row r="624">
          <cell r="A624" t="str">
            <v>CS-LY181-G912-XL</v>
          </cell>
          <cell r="B624" t="str">
            <v>CS-LY181</v>
          </cell>
        </row>
        <row r="625">
          <cell r="A625" t="str">
            <v>CS-LY181-G912-XXL</v>
          </cell>
          <cell r="B625" t="str">
            <v>CS-LY181</v>
          </cell>
        </row>
        <row r="626">
          <cell r="A626" t="str">
            <v>CS-LY181-LB916-L</v>
          </cell>
          <cell r="B626" t="str">
            <v>CS-LY181</v>
          </cell>
        </row>
        <row r="627">
          <cell r="A627" t="str">
            <v>CS-LY181-LB916-M</v>
          </cell>
          <cell r="B627" t="str">
            <v>CS-LY181</v>
          </cell>
        </row>
        <row r="628">
          <cell r="A628" t="str">
            <v>CS-LY181-LB916-S</v>
          </cell>
          <cell r="B628" t="str">
            <v>CS-LY181</v>
          </cell>
        </row>
        <row r="629">
          <cell r="A629" t="str">
            <v>CS-LY181-LB916-XL</v>
          </cell>
          <cell r="B629" t="str">
            <v>CS-LY181</v>
          </cell>
        </row>
        <row r="630">
          <cell r="A630" t="str">
            <v>CS-LY181-LB916-XXL</v>
          </cell>
          <cell r="B630" t="str">
            <v>CS-LY181</v>
          </cell>
        </row>
        <row r="631">
          <cell r="A631" t="str">
            <v>CS-LY181-LG907-L</v>
          </cell>
          <cell r="B631" t="str">
            <v>CS-LY181</v>
          </cell>
        </row>
        <row r="632">
          <cell r="A632" t="str">
            <v>CS-LY181-LG907-M</v>
          </cell>
          <cell r="B632" t="str">
            <v>CS-LY181</v>
          </cell>
        </row>
        <row r="633">
          <cell r="A633" t="str">
            <v>CS-LY181-LG907-S</v>
          </cell>
          <cell r="B633" t="str">
            <v>CS-LY181</v>
          </cell>
        </row>
        <row r="634">
          <cell r="A634" t="str">
            <v>CS-LY181-LG907-XL</v>
          </cell>
          <cell r="B634" t="str">
            <v>CS-LY181</v>
          </cell>
        </row>
        <row r="635">
          <cell r="A635" t="str">
            <v>CS-LY181-LG907-XXL</v>
          </cell>
          <cell r="B635" t="str">
            <v>CS-LY181</v>
          </cell>
        </row>
        <row r="636">
          <cell r="A636" t="str">
            <v>CS-LY181-LG-M</v>
          </cell>
          <cell r="B636" t="str">
            <v>CS-LY181</v>
          </cell>
        </row>
        <row r="637">
          <cell r="A637" t="str">
            <v>CS-LY181-PI908-L</v>
          </cell>
          <cell r="B637" t="str">
            <v>CS-LY181</v>
          </cell>
        </row>
        <row r="638">
          <cell r="A638" t="str">
            <v>CS-LY181-PI908-M</v>
          </cell>
          <cell r="B638" t="str">
            <v>CS-LY181</v>
          </cell>
        </row>
        <row r="639">
          <cell r="A639" t="str">
            <v>CS-LY181-PI908-S</v>
          </cell>
          <cell r="B639" t="str">
            <v>CS-LY181</v>
          </cell>
        </row>
        <row r="640">
          <cell r="A640" t="str">
            <v>CS-LY181-PI908-XL</v>
          </cell>
          <cell r="B640" t="str">
            <v>CS-LY181</v>
          </cell>
        </row>
        <row r="641">
          <cell r="A641" t="str">
            <v>CS-LY181-PI908-XXL</v>
          </cell>
          <cell r="B641" t="str">
            <v>CS-LY181</v>
          </cell>
        </row>
        <row r="642">
          <cell r="A642" t="str">
            <v>CS-LY181-Sa911-L</v>
          </cell>
          <cell r="B642" t="str">
            <v>CS-LY181</v>
          </cell>
        </row>
        <row r="643">
          <cell r="A643" t="str">
            <v>CS-LY181-Sa911-M</v>
          </cell>
          <cell r="B643" t="str">
            <v>CS-LY181</v>
          </cell>
        </row>
        <row r="644">
          <cell r="A644" t="str">
            <v>CS-LY181-Sa911-S</v>
          </cell>
          <cell r="B644" t="str">
            <v>CS-LY181</v>
          </cell>
        </row>
        <row r="645">
          <cell r="A645" t="str">
            <v>CS-LY181-Sa911-XL</v>
          </cell>
          <cell r="B645" t="str">
            <v>CS-LY181</v>
          </cell>
        </row>
        <row r="646">
          <cell r="A646" t="str">
            <v>CS-LY181-Sa911-XXL</v>
          </cell>
          <cell r="B646" t="str">
            <v>CS-LY181</v>
          </cell>
        </row>
        <row r="647">
          <cell r="A647" t="str">
            <v>CS-LY181-W902-L</v>
          </cell>
          <cell r="B647" t="str">
            <v>CS-LY181</v>
          </cell>
        </row>
        <row r="648">
          <cell r="A648" t="str">
            <v>CS-LY181-W902-M</v>
          </cell>
          <cell r="B648" t="str">
            <v>CS-LY181</v>
          </cell>
        </row>
        <row r="649">
          <cell r="A649" t="str">
            <v>CS-LY181-W902-S</v>
          </cell>
          <cell r="B649" t="str">
            <v>CS-LY181</v>
          </cell>
        </row>
        <row r="650">
          <cell r="A650" t="str">
            <v>CS-LY181-W902-XL</v>
          </cell>
          <cell r="B650" t="str">
            <v>CS-LY181</v>
          </cell>
        </row>
        <row r="651">
          <cell r="A651" t="str">
            <v>CS-LY181-W902-XXL</v>
          </cell>
          <cell r="B651" t="str">
            <v>CS-LY181</v>
          </cell>
        </row>
        <row r="652">
          <cell r="A652" t="str">
            <v>CS-LY181-WR917-L</v>
          </cell>
          <cell r="B652" t="str">
            <v>CS-LY181</v>
          </cell>
        </row>
        <row r="653">
          <cell r="A653" t="str">
            <v>CS-LY181-WR917-M</v>
          </cell>
          <cell r="B653" t="str">
            <v>CS-LY181</v>
          </cell>
        </row>
        <row r="654">
          <cell r="A654" t="str">
            <v>CS-LY181-WR917-S</v>
          </cell>
          <cell r="B654" t="str">
            <v>CS-LY181</v>
          </cell>
        </row>
        <row r="655">
          <cell r="A655" t="str">
            <v>CS-LY181-WR917-XL</v>
          </cell>
          <cell r="B655" t="str">
            <v>CS-LY181</v>
          </cell>
        </row>
        <row r="656">
          <cell r="A656" t="str">
            <v>CS-LY181-WR917-XXL</v>
          </cell>
          <cell r="B656" t="str">
            <v>CS-LY181</v>
          </cell>
        </row>
        <row r="657">
          <cell r="A657" t="str">
            <v>CS-LY181-ZL918-L</v>
          </cell>
          <cell r="B657" t="str">
            <v>CS-LY181</v>
          </cell>
        </row>
        <row r="658">
          <cell r="A658" t="str">
            <v>CS-LY181-ZL918-M</v>
          </cell>
          <cell r="B658" t="str">
            <v>CS-LY181</v>
          </cell>
        </row>
        <row r="659">
          <cell r="A659" t="str">
            <v>CS-LY181-ZL918-S</v>
          </cell>
          <cell r="B659" t="str">
            <v>CS-LY181</v>
          </cell>
        </row>
        <row r="660">
          <cell r="A660" t="str">
            <v>CS-LY181-ZL918-XL</v>
          </cell>
          <cell r="B660" t="str">
            <v>CS-LY181</v>
          </cell>
        </row>
        <row r="661">
          <cell r="A661" t="str">
            <v>CS-LY181-ZL918-XXL</v>
          </cell>
          <cell r="B661" t="str">
            <v>CS-LY181</v>
          </cell>
        </row>
        <row r="662">
          <cell r="A662" t="str">
            <v>CS-LY181-ZL-XL</v>
          </cell>
          <cell r="B662" t="str">
            <v>CS-LY181</v>
          </cell>
        </row>
        <row r="663">
          <cell r="A663" t="str">
            <v>CS-SB001-BK-2XL</v>
          </cell>
          <cell r="B663" t="str">
            <v>CS-SB001</v>
          </cell>
        </row>
        <row r="664">
          <cell r="A664" t="str">
            <v>CS-SB001-BK-L</v>
          </cell>
          <cell r="B664" t="str">
            <v>CS-SB001</v>
          </cell>
        </row>
        <row r="665">
          <cell r="A665" t="str">
            <v>CS-SB001-BK-M</v>
          </cell>
          <cell r="B665" t="str">
            <v>CS-SB001</v>
          </cell>
        </row>
        <row r="666">
          <cell r="A666" t="str">
            <v>CS-SB001-BK-S</v>
          </cell>
          <cell r="B666" t="str">
            <v>CS-SB001</v>
          </cell>
        </row>
        <row r="667">
          <cell r="A667" t="str">
            <v>CS-SB001-BK-XL</v>
          </cell>
          <cell r="B667" t="str">
            <v>CS-SB001</v>
          </cell>
        </row>
        <row r="668">
          <cell r="A668" t="str">
            <v>CS-SB001-BL-2XL</v>
          </cell>
          <cell r="B668" t="str">
            <v>CS-SB001</v>
          </cell>
        </row>
        <row r="669">
          <cell r="A669" t="str">
            <v>CS-SB001-BL-L</v>
          </cell>
          <cell r="B669" t="str">
            <v>CS-SB001</v>
          </cell>
        </row>
        <row r="670">
          <cell r="A670" t="str">
            <v>CS-SB001-BL-M</v>
          </cell>
          <cell r="B670" t="str">
            <v>CS-SB001</v>
          </cell>
        </row>
        <row r="671">
          <cell r="A671" t="str">
            <v>CS-SB001-BL-S</v>
          </cell>
          <cell r="B671" t="str">
            <v>CS-SB001</v>
          </cell>
        </row>
        <row r="672">
          <cell r="A672" t="str">
            <v>CS-SB001-BL-XL</v>
          </cell>
          <cell r="B672" t="str">
            <v>CS-SB001</v>
          </cell>
        </row>
        <row r="673">
          <cell r="A673" t="str">
            <v>CS-SB001-GR-2XL</v>
          </cell>
          <cell r="B673" t="str">
            <v>CS-SB001</v>
          </cell>
        </row>
        <row r="674">
          <cell r="A674" t="str">
            <v>CS-SB001-GR-L</v>
          </cell>
          <cell r="B674" t="str">
            <v>CS-SB001</v>
          </cell>
        </row>
        <row r="675">
          <cell r="A675" t="str">
            <v>CS-SB001-GR-M</v>
          </cell>
          <cell r="B675" t="str">
            <v>CS-SB001</v>
          </cell>
        </row>
        <row r="676">
          <cell r="A676" t="str">
            <v>CS-SB001-GR-S</v>
          </cell>
          <cell r="B676" t="str">
            <v>CS-SB001</v>
          </cell>
        </row>
        <row r="677">
          <cell r="A677" t="str">
            <v>CS-SB001-GR-XL</v>
          </cell>
          <cell r="B677" t="str">
            <v>CS-SB001</v>
          </cell>
        </row>
        <row r="678">
          <cell r="A678" t="str">
            <v>CS-SB001-PP-2XL</v>
          </cell>
          <cell r="B678" t="str">
            <v>CS-SB001</v>
          </cell>
        </row>
        <row r="679">
          <cell r="A679" t="str">
            <v>CS-SB001-PP-L</v>
          </cell>
          <cell r="B679" t="str">
            <v>CS-SB001</v>
          </cell>
        </row>
        <row r="680">
          <cell r="A680" t="str">
            <v>CS-SB001-PP-M</v>
          </cell>
          <cell r="B680" t="str">
            <v>CS-SB001</v>
          </cell>
        </row>
        <row r="681">
          <cell r="A681" t="str">
            <v>CS-SB001-PP-S</v>
          </cell>
          <cell r="B681" t="str">
            <v>CS-SB001</v>
          </cell>
        </row>
        <row r="682">
          <cell r="A682" t="str">
            <v>CS-SB001-PP-XL</v>
          </cell>
          <cell r="B682" t="str">
            <v>CS-SB001</v>
          </cell>
        </row>
        <row r="683">
          <cell r="A683" t="str">
            <v>CS-SB002-BK-2XL</v>
          </cell>
          <cell r="B683" t="str">
            <v>CS-SB002</v>
          </cell>
        </row>
        <row r="684">
          <cell r="A684" t="str">
            <v>CS-SB002-BK-L</v>
          </cell>
          <cell r="B684" t="str">
            <v>CS-SB002</v>
          </cell>
        </row>
        <row r="685">
          <cell r="A685" t="str">
            <v>CS-SB002-BK-M</v>
          </cell>
          <cell r="B685" t="str">
            <v>CS-SB002</v>
          </cell>
        </row>
        <row r="686">
          <cell r="A686" t="str">
            <v>CS-SB002-BK-S</v>
          </cell>
          <cell r="B686" t="str">
            <v>CS-SB002</v>
          </cell>
        </row>
        <row r="687">
          <cell r="A687" t="str">
            <v>CS-SB002-BK-XL</v>
          </cell>
          <cell r="B687" t="str">
            <v>CS-SB002</v>
          </cell>
        </row>
        <row r="688">
          <cell r="A688" t="str">
            <v>CS-SB002-BL-L</v>
          </cell>
          <cell r="B688" t="str">
            <v>CS-SB002</v>
          </cell>
        </row>
        <row r="689">
          <cell r="A689" t="str">
            <v>CS-SB002-BL-M</v>
          </cell>
          <cell r="B689" t="str">
            <v>CS-SB002</v>
          </cell>
        </row>
        <row r="690">
          <cell r="A690" t="str">
            <v>CS-SB002-BLNGN-2XL</v>
          </cell>
          <cell r="B690" t="str">
            <v>CS-SB002</v>
          </cell>
        </row>
        <row r="691">
          <cell r="A691" t="str">
            <v>CS-SB002-BLNGN-L</v>
          </cell>
          <cell r="B691" t="str">
            <v>CS-SB002</v>
          </cell>
        </row>
        <row r="692">
          <cell r="A692" t="str">
            <v>CS-SB002-BLNGN-M</v>
          </cell>
          <cell r="B692" t="str">
            <v>CS-SB002</v>
          </cell>
        </row>
        <row r="693">
          <cell r="A693" t="str">
            <v>CS-SB002-BLNGN-S</v>
          </cell>
          <cell r="B693" t="str">
            <v>CS-SB002</v>
          </cell>
        </row>
        <row r="694">
          <cell r="A694" t="str">
            <v>CS-SB002-BLNGN-XL</v>
          </cell>
          <cell r="B694" t="str">
            <v>CS-SB002</v>
          </cell>
        </row>
        <row r="695">
          <cell r="A695" t="str">
            <v>CS-SB002-BL-S</v>
          </cell>
          <cell r="B695" t="str">
            <v>CS-SB002</v>
          </cell>
        </row>
        <row r="696">
          <cell r="A696" t="str">
            <v>CS-SB002-BL-XL</v>
          </cell>
          <cell r="B696" t="str">
            <v>CS-SB002</v>
          </cell>
        </row>
        <row r="697">
          <cell r="A697" t="str">
            <v>CS-SB002-BL-XXL</v>
          </cell>
          <cell r="B697" t="str">
            <v>CS-SB002</v>
          </cell>
        </row>
        <row r="698">
          <cell r="A698" t="str">
            <v>CS-SB002-CF-2XL</v>
          </cell>
          <cell r="B698" t="str">
            <v>CS-SB002</v>
          </cell>
        </row>
        <row r="699">
          <cell r="A699" t="str">
            <v>CS-SB002-CF-L</v>
          </cell>
          <cell r="B699" t="str">
            <v>CS-SB002</v>
          </cell>
        </row>
        <row r="700">
          <cell r="A700" t="str">
            <v>CS-SB002-CF-M</v>
          </cell>
          <cell r="B700" t="str">
            <v>CS-SB002</v>
          </cell>
        </row>
        <row r="701">
          <cell r="A701" t="str">
            <v>CS-SB002-CF-S</v>
          </cell>
          <cell r="B701" t="str">
            <v>CS-SB002</v>
          </cell>
        </row>
        <row r="702">
          <cell r="A702" t="str">
            <v>CS-SB002-CF-XL</v>
          </cell>
          <cell r="B702" t="str">
            <v>CS-SB002</v>
          </cell>
        </row>
        <row r="703">
          <cell r="A703" t="str">
            <v>CS-SB002-LB-2XL</v>
          </cell>
          <cell r="B703" t="str">
            <v>CS-SB002</v>
          </cell>
        </row>
        <row r="704">
          <cell r="A704" t="str">
            <v>CS-SB002-LB-L</v>
          </cell>
          <cell r="B704" t="str">
            <v>CS-SB002</v>
          </cell>
        </row>
        <row r="705">
          <cell r="A705" t="str">
            <v>CS-SB002-LB-M</v>
          </cell>
          <cell r="B705" t="str">
            <v>CS-SB002</v>
          </cell>
        </row>
        <row r="706">
          <cell r="A706" t="str">
            <v>CS-SB002-LB-S</v>
          </cell>
          <cell r="B706" t="str">
            <v>CS-SB002</v>
          </cell>
        </row>
        <row r="707">
          <cell r="A707" t="str">
            <v>CS-SB002-LB-XL</v>
          </cell>
          <cell r="B707" t="str">
            <v>CS-SB002</v>
          </cell>
        </row>
        <row r="708">
          <cell r="A708" t="str">
            <v>CS-SB002-RD-2XL</v>
          </cell>
          <cell r="B708" t="str">
            <v>CS-SB002</v>
          </cell>
        </row>
        <row r="709">
          <cell r="A709" t="str">
            <v>CS-SB002-RD-L</v>
          </cell>
          <cell r="B709" t="str">
            <v>CS-SB002</v>
          </cell>
        </row>
        <row r="710">
          <cell r="A710" t="str">
            <v>CS-SB002-RD-M</v>
          </cell>
          <cell r="B710" t="str">
            <v>CS-SB002</v>
          </cell>
        </row>
        <row r="711">
          <cell r="A711" t="str">
            <v>CS-SB002-RD-S</v>
          </cell>
          <cell r="B711" t="str">
            <v>CS-SB002</v>
          </cell>
        </row>
        <row r="712">
          <cell r="A712" t="str">
            <v>CS-SB002-RD-XL</v>
          </cell>
          <cell r="B712" t="str">
            <v>CS-SB002</v>
          </cell>
        </row>
        <row r="713">
          <cell r="A713" t="str">
            <v>CS-SB002-RNBL-2XL</v>
          </cell>
          <cell r="B713" t="str">
            <v>CS-SB002</v>
          </cell>
        </row>
        <row r="714">
          <cell r="A714" t="str">
            <v>CS-SB002-RNBL-L</v>
          </cell>
          <cell r="B714" t="str">
            <v>CS-SB002</v>
          </cell>
        </row>
        <row r="715">
          <cell r="A715" t="str">
            <v>CS-SB002-RNBL-M</v>
          </cell>
          <cell r="B715" t="str">
            <v>CS-SB002</v>
          </cell>
        </row>
        <row r="716">
          <cell r="A716" t="str">
            <v>CS-SB002-RNBL-S</v>
          </cell>
          <cell r="B716" t="str">
            <v>CS-SB002</v>
          </cell>
        </row>
        <row r="717">
          <cell r="A717" t="str">
            <v>CS-SB002-RNBL-XL</v>
          </cell>
          <cell r="B717" t="str">
            <v>CS-SB002</v>
          </cell>
        </row>
        <row r="718">
          <cell r="A718" t="str">
            <v>CS-SB003-B0-L</v>
          </cell>
          <cell r="B718" t="str">
            <v>CS-SB003</v>
          </cell>
        </row>
        <row r="719">
          <cell r="A719" t="str">
            <v>CS-SB003-B0-M</v>
          </cell>
          <cell r="B719" t="str">
            <v>CS-SB003</v>
          </cell>
        </row>
        <row r="720">
          <cell r="A720" t="str">
            <v>CS-SB003-B0-S</v>
          </cell>
          <cell r="B720" t="str">
            <v>CS-SB003</v>
          </cell>
        </row>
        <row r="721">
          <cell r="A721" t="str">
            <v>CS-SB003-B0-XL</v>
          </cell>
          <cell r="B721" t="str">
            <v>CS-SB003</v>
          </cell>
        </row>
        <row r="722">
          <cell r="A722" t="str">
            <v>CS-SB003-B0-XXL</v>
          </cell>
          <cell r="B722" t="str">
            <v>CS-SB003</v>
          </cell>
        </row>
        <row r="723">
          <cell r="A723" t="str">
            <v>CS-SB003-BK-L</v>
          </cell>
          <cell r="B723" t="str">
            <v>CS-SB003</v>
          </cell>
        </row>
        <row r="724">
          <cell r="A724" t="str">
            <v>CS-SB003-BK-M</v>
          </cell>
          <cell r="B724" t="str">
            <v>CS-SB003</v>
          </cell>
        </row>
        <row r="725">
          <cell r="A725" t="str">
            <v>CS-SB003-BK-S</v>
          </cell>
          <cell r="B725" t="str">
            <v>CS-SB003</v>
          </cell>
        </row>
        <row r="726">
          <cell r="A726" t="str">
            <v>CS-SB003-BK-XL</v>
          </cell>
          <cell r="B726" t="str">
            <v>CS-SB003</v>
          </cell>
        </row>
        <row r="727">
          <cell r="A727" t="str">
            <v>CS-SB003-BK-XXL</v>
          </cell>
          <cell r="B727" t="str">
            <v>CS-SB003</v>
          </cell>
        </row>
        <row r="728">
          <cell r="A728" t="str">
            <v>CS-SB003-LB-L</v>
          </cell>
          <cell r="B728" t="str">
            <v>CS-SB003</v>
          </cell>
        </row>
        <row r="729">
          <cell r="A729" t="str">
            <v>CS-SB003-LB-M</v>
          </cell>
          <cell r="B729" t="str">
            <v>CS-SB003</v>
          </cell>
        </row>
        <row r="730">
          <cell r="A730" t="str">
            <v>CS-SB003-LB-S</v>
          </cell>
          <cell r="B730" t="str">
            <v>CS-SB003</v>
          </cell>
        </row>
        <row r="731">
          <cell r="A731" t="str">
            <v>CS-SB003-LB-XL</v>
          </cell>
          <cell r="B731" t="str">
            <v>CS-SB003</v>
          </cell>
        </row>
        <row r="732">
          <cell r="A732" t="str">
            <v>CS-SB003-LB-XXL</v>
          </cell>
          <cell r="B732" t="str">
            <v>CS-SB003</v>
          </cell>
        </row>
        <row r="733">
          <cell r="A733" t="str">
            <v>CS-SB003-NB-L</v>
          </cell>
          <cell r="B733" t="str">
            <v>CS-SB003</v>
          </cell>
        </row>
        <row r="734">
          <cell r="A734" t="str">
            <v>CS-SB003-NB-M</v>
          </cell>
          <cell r="B734" t="str">
            <v>CS-SB003</v>
          </cell>
        </row>
        <row r="735">
          <cell r="A735" t="str">
            <v>CS-SB003-NB-S</v>
          </cell>
          <cell r="B735" t="str">
            <v>CS-SB003</v>
          </cell>
        </row>
        <row r="736">
          <cell r="A736" t="str">
            <v>CS-SB003-NB-XL</v>
          </cell>
          <cell r="B736" t="str">
            <v>CS-SB003</v>
          </cell>
        </row>
        <row r="737">
          <cell r="A737" t="str">
            <v>CS-SB003-NB-XXL</v>
          </cell>
          <cell r="B737" t="str">
            <v>CS-SB003</v>
          </cell>
        </row>
        <row r="738">
          <cell r="A738" t="str">
            <v>CS-SB005-BK-2XL</v>
          </cell>
          <cell r="B738" t="str">
            <v>CS-SB005</v>
          </cell>
        </row>
        <row r="739">
          <cell r="A739" t="str">
            <v>CS-SB005-BK-L</v>
          </cell>
          <cell r="B739" t="str">
            <v>CS-SB005</v>
          </cell>
        </row>
        <row r="740">
          <cell r="A740" t="str">
            <v>CS-SB005-BK-M</v>
          </cell>
          <cell r="B740" t="str">
            <v>CS-SB005</v>
          </cell>
        </row>
        <row r="741">
          <cell r="A741" t="str">
            <v>CS-SB005-BK-S</v>
          </cell>
          <cell r="B741" t="str">
            <v>CS-SB005</v>
          </cell>
        </row>
        <row r="742">
          <cell r="A742" t="str">
            <v>CS-SB005-BK-XL</v>
          </cell>
          <cell r="B742" t="str">
            <v>CS-SB005</v>
          </cell>
        </row>
        <row r="743">
          <cell r="A743" t="str">
            <v>CS-SB005-BL1-2XL</v>
          </cell>
          <cell r="B743" t="str">
            <v>CS-SB005</v>
          </cell>
        </row>
        <row r="744">
          <cell r="A744" t="str">
            <v>CS-SB005-BL1-L</v>
          </cell>
          <cell r="B744" t="str">
            <v>CS-SB005</v>
          </cell>
        </row>
        <row r="745">
          <cell r="A745" t="str">
            <v>CS-SB005-BL1-M</v>
          </cell>
          <cell r="B745" t="str">
            <v>CS-SB005</v>
          </cell>
        </row>
        <row r="746">
          <cell r="A746" t="str">
            <v>CS-SB005-BL1-S</v>
          </cell>
          <cell r="B746" t="str">
            <v>CS-SB005</v>
          </cell>
        </row>
        <row r="747">
          <cell r="A747" t="str">
            <v>CS-SB005-BL1-XL</v>
          </cell>
          <cell r="B747" t="str">
            <v>CS-SB005</v>
          </cell>
        </row>
        <row r="748">
          <cell r="A748" t="str">
            <v>CS-SB005-BL2-2XL</v>
          </cell>
          <cell r="B748" t="str">
            <v>CS-SB005</v>
          </cell>
        </row>
        <row r="749">
          <cell r="A749" t="str">
            <v>CS-SB005-BL2-L</v>
          </cell>
          <cell r="B749" t="str">
            <v>CS-SB005</v>
          </cell>
        </row>
        <row r="750">
          <cell r="A750" t="str">
            <v>CS-SB005-BL2-M</v>
          </cell>
          <cell r="B750" t="str">
            <v>CS-SB005</v>
          </cell>
        </row>
        <row r="751">
          <cell r="A751" t="str">
            <v>CS-SB005-BL2-S</v>
          </cell>
          <cell r="B751" t="str">
            <v>CS-SB005</v>
          </cell>
        </row>
        <row r="752">
          <cell r="A752" t="str">
            <v>CS-SB005-BL2-XL</v>
          </cell>
          <cell r="B752" t="str">
            <v>CS-SB005</v>
          </cell>
        </row>
        <row r="753">
          <cell r="A753" t="str">
            <v>CS-SB005-GN-2XL</v>
          </cell>
          <cell r="B753" t="str">
            <v>CS-SB005</v>
          </cell>
        </row>
        <row r="754">
          <cell r="A754" t="str">
            <v>CS-SB005-GN-L</v>
          </cell>
          <cell r="B754" t="str">
            <v>CS-SB005</v>
          </cell>
        </row>
        <row r="755">
          <cell r="A755" t="str">
            <v>CS-SB005-GN-M</v>
          </cell>
          <cell r="B755" t="str">
            <v>CS-SB005</v>
          </cell>
        </row>
        <row r="756">
          <cell r="A756" t="str">
            <v>CS-SB005-GN-S</v>
          </cell>
          <cell r="B756" t="str">
            <v>CS-SB005</v>
          </cell>
        </row>
        <row r="757">
          <cell r="A757" t="str">
            <v>CS-SB005-GN-XL</v>
          </cell>
          <cell r="B757" t="str">
            <v>CS-SB005</v>
          </cell>
        </row>
        <row r="758">
          <cell r="A758" t="str">
            <v>CS-SB005-RD1-2XL</v>
          </cell>
          <cell r="B758" t="str">
            <v>CS-SB005</v>
          </cell>
        </row>
        <row r="759">
          <cell r="A759" t="str">
            <v>CS-SB005-RD1-L</v>
          </cell>
          <cell r="B759" t="str">
            <v>CS-SB005</v>
          </cell>
        </row>
        <row r="760">
          <cell r="A760" t="str">
            <v>CS-SB005-RD1-M</v>
          </cell>
          <cell r="B760" t="str">
            <v>CS-SB005</v>
          </cell>
        </row>
        <row r="761">
          <cell r="A761" t="str">
            <v>CS-SB005-RD1-S</v>
          </cell>
          <cell r="B761" t="str">
            <v>CS-SB005</v>
          </cell>
        </row>
        <row r="762">
          <cell r="A762" t="str">
            <v>CS-SB005-RD1-XL</v>
          </cell>
          <cell r="B762" t="str">
            <v>CS-SB005</v>
          </cell>
        </row>
        <row r="763">
          <cell r="A763" t="str">
            <v>CS-SB005-RD-2XL</v>
          </cell>
          <cell r="B763" t="str">
            <v>CS-SB005</v>
          </cell>
        </row>
        <row r="764">
          <cell r="A764" t="str">
            <v>CS-SB005-RD-L</v>
          </cell>
          <cell r="B764" t="str">
            <v>CS-SB005</v>
          </cell>
        </row>
        <row r="765">
          <cell r="A765" t="str">
            <v>CS-SB005-RD-M</v>
          </cell>
          <cell r="B765" t="str">
            <v>CS-SB005</v>
          </cell>
        </row>
        <row r="766">
          <cell r="A766" t="str">
            <v>CS-SB005-RD-S</v>
          </cell>
          <cell r="B766" t="str">
            <v>CS-SB005</v>
          </cell>
        </row>
        <row r="767">
          <cell r="A767" t="str">
            <v>CS-SB005-RD-XL</v>
          </cell>
          <cell r="B767" t="str">
            <v>CS-SB005</v>
          </cell>
        </row>
        <row r="768">
          <cell r="A768" t="str">
            <v>CS-SB005-YL-2XL</v>
          </cell>
          <cell r="B768" t="str">
            <v>CS-SB005</v>
          </cell>
        </row>
        <row r="769">
          <cell r="A769" t="str">
            <v>CS-SB005-YL-L</v>
          </cell>
          <cell r="B769" t="str">
            <v>CS-SB005</v>
          </cell>
        </row>
        <row r="770">
          <cell r="A770" t="str">
            <v>CS-SB005-YL-M</v>
          </cell>
          <cell r="B770" t="str">
            <v>CS-SB005</v>
          </cell>
        </row>
        <row r="771">
          <cell r="A771" t="str">
            <v>CS-SB005-YL-S</v>
          </cell>
          <cell r="B771" t="str">
            <v>CS-SB005</v>
          </cell>
        </row>
        <row r="772">
          <cell r="A772" t="str">
            <v>CS-SB005-YL-XL</v>
          </cell>
          <cell r="B772" t="str">
            <v>CS-SB005</v>
          </cell>
        </row>
        <row r="773">
          <cell r="A773" t="str">
            <v>CS-SB006-BK-2XL</v>
          </cell>
          <cell r="B773" t="str">
            <v>CS-SB006</v>
          </cell>
        </row>
        <row r="774">
          <cell r="A774" t="str">
            <v>CS-SB006-BK-L</v>
          </cell>
          <cell r="B774" t="str">
            <v>CS-SB006</v>
          </cell>
        </row>
        <row r="775">
          <cell r="A775" t="str">
            <v>CS-SB006-BK-M</v>
          </cell>
          <cell r="B775" t="str">
            <v>CS-SB006</v>
          </cell>
        </row>
        <row r="776">
          <cell r="A776" t="str">
            <v>CS-SB006-BK-S</v>
          </cell>
          <cell r="B776" t="str">
            <v>CS-SB006</v>
          </cell>
        </row>
        <row r="777">
          <cell r="A777" t="str">
            <v>CS-SB006-BK-XL</v>
          </cell>
          <cell r="B777" t="str">
            <v>CS-SB006</v>
          </cell>
        </row>
        <row r="778">
          <cell r="A778" t="str">
            <v>CS-SB006-BL2-2XL</v>
          </cell>
          <cell r="B778" t="str">
            <v>CS-SB006</v>
          </cell>
        </row>
        <row r="779">
          <cell r="A779" t="str">
            <v>CS-SB006-BL2-L</v>
          </cell>
          <cell r="B779" t="str">
            <v>CS-SB006</v>
          </cell>
        </row>
        <row r="780">
          <cell r="A780" t="str">
            <v>CS-SB006-BL2-M</v>
          </cell>
          <cell r="B780" t="str">
            <v>CS-SB006</v>
          </cell>
        </row>
        <row r="781">
          <cell r="A781" t="str">
            <v>CS-SB006-BL2-S</v>
          </cell>
          <cell r="B781" t="str">
            <v>CS-SB006</v>
          </cell>
        </row>
        <row r="782">
          <cell r="A782" t="str">
            <v>CS-SB006-BL2-XL</v>
          </cell>
          <cell r="B782" t="str">
            <v>CS-SB006</v>
          </cell>
        </row>
        <row r="783">
          <cell r="A783" t="str">
            <v>CS-SB006-BL-2XL</v>
          </cell>
          <cell r="B783" t="str">
            <v>CS-SB006</v>
          </cell>
        </row>
        <row r="784">
          <cell r="A784" t="str">
            <v>CS-SB006-BL-L</v>
          </cell>
          <cell r="B784" t="str">
            <v>CS-SB006</v>
          </cell>
        </row>
        <row r="785">
          <cell r="A785" t="str">
            <v>CS-SB006-BL-M</v>
          </cell>
          <cell r="B785" t="str">
            <v>CS-SB006</v>
          </cell>
        </row>
        <row r="786">
          <cell r="A786" t="str">
            <v>CS-SB006-BL-S</v>
          </cell>
          <cell r="B786" t="str">
            <v>CS-SB006</v>
          </cell>
        </row>
        <row r="787">
          <cell r="A787" t="str">
            <v>CS-SB006-BL-XL</v>
          </cell>
          <cell r="B787" t="str">
            <v>CS-SB006</v>
          </cell>
        </row>
        <row r="788">
          <cell r="A788" t="str">
            <v>CS-SB006-CF-2XL</v>
          </cell>
          <cell r="B788" t="str">
            <v>CS-SB006</v>
          </cell>
        </row>
        <row r="789">
          <cell r="A789" t="str">
            <v>CS-SB006-CF-L</v>
          </cell>
          <cell r="B789" t="str">
            <v>CS-SB006</v>
          </cell>
        </row>
        <row r="790">
          <cell r="A790" t="str">
            <v>CS-SB006-CF-M</v>
          </cell>
          <cell r="B790" t="str">
            <v>CS-SB006</v>
          </cell>
        </row>
        <row r="791">
          <cell r="A791" t="str">
            <v>CS-SB006-CF-S</v>
          </cell>
          <cell r="B791" t="str">
            <v>CS-SB006</v>
          </cell>
        </row>
        <row r="792">
          <cell r="A792" t="str">
            <v>CS-SB006-CF-XL</v>
          </cell>
          <cell r="B792" t="str">
            <v>CS-SB006</v>
          </cell>
        </row>
        <row r="793">
          <cell r="A793" t="str">
            <v>CS-SB006-GN-2XL</v>
          </cell>
          <cell r="B793" t="str">
            <v>CS-SB006</v>
          </cell>
        </row>
        <row r="794">
          <cell r="A794" t="str">
            <v>CS-SB006-GN-L</v>
          </cell>
          <cell r="B794" t="str">
            <v>CS-SB006</v>
          </cell>
        </row>
        <row r="795">
          <cell r="A795" t="str">
            <v>CS-SB006-GN-M</v>
          </cell>
          <cell r="B795" t="str">
            <v>CS-SB006</v>
          </cell>
        </row>
        <row r="796">
          <cell r="A796" t="str">
            <v>CS-SB006-GN-S</v>
          </cell>
          <cell r="B796" t="str">
            <v>CS-SB006</v>
          </cell>
        </row>
        <row r="797">
          <cell r="A797" t="str">
            <v>CS-SB006-GN-XL</v>
          </cell>
          <cell r="B797" t="str">
            <v>CS-SB006</v>
          </cell>
        </row>
        <row r="798">
          <cell r="A798" t="str">
            <v>CS-SB006-RD1-2XL</v>
          </cell>
          <cell r="B798" t="str">
            <v>CS-SB006</v>
          </cell>
        </row>
        <row r="799">
          <cell r="A799" t="str">
            <v>CS-SB006-RD1-L</v>
          </cell>
          <cell r="B799" t="str">
            <v>CS-SB006</v>
          </cell>
        </row>
        <row r="800">
          <cell r="A800" t="str">
            <v>CS-SB006-RD1-M</v>
          </cell>
          <cell r="B800" t="str">
            <v>CS-SB006</v>
          </cell>
        </row>
        <row r="801">
          <cell r="A801" t="str">
            <v>CS-SB006-RD1-S</v>
          </cell>
          <cell r="B801" t="str">
            <v>CS-SB006</v>
          </cell>
        </row>
        <row r="802">
          <cell r="A802" t="str">
            <v>CS-SB006-RD1-XL</v>
          </cell>
          <cell r="B802" t="str">
            <v>CS-SB006</v>
          </cell>
        </row>
        <row r="803">
          <cell r="A803" t="str">
            <v>CS-SB006-RD2-2XL</v>
          </cell>
          <cell r="B803" t="str">
            <v>CS-SB006</v>
          </cell>
        </row>
        <row r="804">
          <cell r="A804" t="str">
            <v>CS-SB006-RD2-L</v>
          </cell>
          <cell r="B804" t="str">
            <v>CS-SB006</v>
          </cell>
        </row>
        <row r="805">
          <cell r="A805" t="str">
            <v>CS-SB006-RD2-M</v>
          </cell>
          <cell r="B805" t="str">
            <v>CS-SB006</v>
          </cell>
        </row>
        <row r="806">
          <cell r="A806" t="str">
            <v>CS-SB006-RD2-S</v>
          </cell>
          <cell r="B806" t="str">
            <v>CS-SB006</v>
          </cell>
        </row>
        <row r="807">
          <cell r="A807" t="str">
            <v>CS-SB006-RD2-XL</v>
          </cell>
          <cell r="B807" t="str">
            <v>CS-SB006</v>
          </cell>
        </row>
        <row r="808">
          <cell r="A808" t="str">
            <v>CS-SB007-BL-L</v>
          </cell>
          <cell r="B808" t="str">
            <v>CS-SB007</v>
          </cell>
        </row>
        <row r="809">
          <cell r="A809" t="str">
            <v>CS-SB007-BL-M</v>
          </cell>
          <cell r="B809" t="str">
            <v>CS-SB007</v>
          </cell>
        </row>
        <row r="810">
          <cell r="A810" t="str">
            <v>CS-SB007-BL-S</v>
          </cell>
          <cell r="B810" t="str">
            <v>CS-SB007</v>
          </cell>
        </row>
        <row r="811">
          <cell r="A811" t="str">
            <v>CS-SB007-BL-XL</v>
          </cell>
          <cell r="B811" t="str">
            <v>CS-SB007</v>
          </cell>
        </row>
        <row r="812">
          <cell r="A812" t="str">
            <v>CS-SB007-BL-XXL</v>
          </cell>
          <cell r="B812" t="str">
            <v>CS-SB007</v>
          </cell>
        </row>
        <row r="813">
          <cell r="A813" t="str">
            <v>CS-SB007-GR-L</v>
          </cell>
          <cell r="B813" t="str">
            <v>CS-SB007</v>
          </cell>
        </row>
        <row r="814">
          <cell r="A814" t="str">
            <v>CS-SB007-GR-M</v>
          </cell>
          <cell r="B814" t="str">
            <v>CS-SB007</v>
          </cell>
        </row>
        <row r="815">
          <cell r="A815" t="str">
            <v>CS-SB007-GR-S</v>
          </cell>
          <cell r="B815" t="str">
            <v>CS-SB007</v>
          </cell>
        </row>
        <row r="816">
          <cell r="A816" t="str">
            <v>CS-SB007-GR-XL</v>
          </cell>
          <cell r="B816" t="str">
            <v>CS-SB007</v>
          </cell>
        </row>
        <row r="817">
          <cell r="A817" t="str">
            <v>CS-SB007-GR-XXL</v>
          </cell>
          <cell r="B817" t="str">
            <v>CS-SB007</v>
          </cell>
        </row>
        <row r="818">
          <cell r="A818" t="str">
            <v>CS-SB007-LB-L</v>
          </cell>
          <cell r="B818" t="str">
            <v>CS-SB007</v>
          </cell>
        </row>
        <row r="819">
          <cell r="A819" t="str">
            <v>CS-SB007-LB-M</v>
          </cell>
          <cell r="B819" t="str">
            <v>CS-SB007</v>
          </cell>
        </row>
        <row r="820">
          <cell r="A820" t="str">
            <v>CS-SB007-LB-S</v>
          </cell>
          <cell r="B820" t="str">
            <v>CS-SB007</v>
          </cell>
        </row>
        <row r="821">
          <cell r="A821" t="str">
            <v>CS-SB007-LB-XL</v>
          </cell>
          <cell r="B821" t="str">
            <v>CS-SB007</v>
          </cell>
        </row>
        <row r="822">
          <cell r="A822" t="str">
            <v>CS-SB007-LB-XXL</v>
          </cell>
          <cell r="B822" t="str">
            <v>CS-SB007</v>
          </cell>
        </row>
        <row r="823">
          <cell r="A823" t="str">
            <v>CS-SB007-LG-L</v>
          </cell>
          <cell r="B823" t="str">
            <v>CS-SB007</v>
          </cell>
        </row>
        <row r="824">
          <cell r="A824" t="str">
            <v>CS-SB007-LG-M</v>
          </cell>
          <cell r="B824" t="str">
            <v>CS-SB007</v>
          </cell>
        </row>
        <row r="825">
          <cell r="A825" t="str">
            <v>CS-SB007-LG-S</v>
          </cell>
          <cell r="B825" t="str">
            <v>CS-SB007</v>
          </cell>
        </row>
        <row r="826">
          <cell r="A826" t="str">
            <v>CS-SB007-LG-XL</v>
          </cell>
          <cell r="B826" t="str">
            <v>CS-SB007</v>
          </cell>
        </row>
        <row r="827">
          <cell r="A827" t="str">
            <v>CS-SB007-LG-XXL</v>
          </cell>
          <cell r="B827" t="str">
            <v>CS-SB007</v>
          </cell>
        </row>
        <row r="828">
          <cell r="A828" t="str">
            <v>CS-SB007-LP-L</v>
          </cell>
          <cell r="B828" t="str">
            <v>CS-SB007</v>
          </cell>
        </row>
        <row r="829">
          <cell r="A829" t="str">
            <v>CS-SB007-LP-M</v>
          </cell>
          <cell r="B829" t="str">
            <v>CS-SB007</v>
          </cell>
        </row>
        <row r="830">
          <cell r="A830" t="str">
            <v>CS-SB007-LP-S</v>
          </cell>
          <cell r="B830" t="str">
            <v>CS-SB007</v>
          </cell>
        </row>
        <row r="831">
          <cell r="A831" t="str">
            <v>CS-SB007-LP-XL</v>
          </cell>
          <cell r="B831" t="str">
            <v>CS-SB007</v>
          </cell>
        </row>
        <row r="832">
          <cell r="A832" t="str">
            <v>CS-SB007-LP-XXL</v>
          </cell>
          <cell r="B832" t="str">
            <v>CS-SB007</v>
          </cell>
        </row>
        <row r="833">
          <cell r="A833" t="str">
            <v>CS-SB007-PP-L</v>
          </cell>
          <cell r="B833" t="str">
            <v>CS-SB007</v>
          </cell>
        </row>
        <row r="834">
          <cell r="A834" t="str">
            <v>CS-SB007-PP-M</v>
          </cell>
          <cell r="B834" t="str">
            <v>CS-SB007</v>
          </cell>
        </row>
        <row r="835">
          <cell r="A835" t="str">
            <v>CS-SB007-PP-S</v>
          </cell>
          <cell r="B835" t="str">
            <v>CS-SB007</v>
          </cell>
        </row>
        <row r="836">
          <cell r="A836" t="str">
            <v>CS-SB007-PP-XL</v>
          </cell>
          <cell r="B836" t="str">
            <v>CS-SB007</v>
          </cell>
        </row>
        <row r="837">
          <cell r="A837" t="str">
            <v>CS-SB007-PP-XXL</v>
          </cell>
          <cell r="B837" t="str">
            <v>CS-SB007</v>
          </cell>
        </row>
        <row r="838">
          <cell r="A838" t="str">
            <v>CS-SB008-WR-L</v>
          </cell>
          <cell r="B838" t="str">
            <v>CS-SB008</v>
          </cell>
        </row>
        <row r="839">
          <cell r="A839" t="str">
            <v>CS-SB008-WR-M</v>
          </cell>
          <cell r="B839" t="str">
            <v>CS-SB008</v>
          </cell>
        </row>
        <row r="840">
          <cell r="A840" t="str">
            <v>CS-SB008-WR-S</v>
          </cell>
          <cell r="B840" t="str">
            <v>CS-SB008</v>
          </cell>
        </row>
        <row r="841">
          <cell r="A841" t="str">
            <v>CS-SB008-WR-XL</v>
          </cell>
          <cell r="B841" t="str">
            <v>CS-SB008</v>
          </cell>
        </row>
        <row r="842">
          <cell r="A842" t="str">
            <v>CS-SB008-WR-XXL</v>
          </cell>
          <cell r="B842" t="str">
            <v>CS-SB008</v>
          </cell>
        </row>
        <row r="843">
          <cell r="A843" t="str">
            <v>CS-SB008-ZL-L</v>
          </cell>
          <cell r="B843" t="str">
            <v>CS-SB008</v>
          </cell>
        </row>
        <row r="844">
          <cell r="A844" t="str">
            <v>CS-SB008-ZL-M</v>
          </cell>
          <cell r="B844" t="str">
            <v>CS-SB008</v>
          </cell>
        </row>
        <row r="845">
          <cell r="A845" t="str">
            <v>CS-SB008-ZL-S</v>
          </cell>
          <cell r="B845" t="str">
            <v>CS-SB008</v>
          </cell>
        </row>
        <row r="846">
          <cell r="A846" t="str">
            <v>CS-SB008-ZL-XL</v>
          </cell>
          <cell r="B846" t="str">
            <v>CS-SB008</v>
          </cell>
        </row>
        <row r="847">
          <cell r="A847" t="str">
            <v>CS-SB008-ZL-XXL</v>
          </cell>
          <cell r="B847" t="str">
            <v>CS-SB008</v>
          </cell>
        </row>
        <row r="848">
          <cell r="A848" t="str">
            <v>CS-SB009-BK-L</v>
          </cell>
          <cell r="B848" t="str">
            <v>CS-SB009</v>
          </cell>
        </row>
        <row r="849">
          <cell r="A849" t="str">
            <v>CS-SB009-BK-M</v>
          </cell>
          <cell r="B849" t="str">
            <v>CS-SB009</v>
          </cell>
        </row>
        <row r="850">
          <cell r="A850" t="str">
            <v>CS-SB009-BK-S</v>
          </cell>
          <cell r="B850" t="str">
            <v>CS-SB009</v>
          </cell>
        </row>
        <row r="851">
          <cell r="A851" t="str">
            <v>CS-SB009-BK-XL</v>
          </cell>
          <cell r="B851" t="str">
            <v>CS-SB009</v>
          </cell>
        </row>
        <row r="852">
          <cell r="A852" t="str">
            <v>CS-SB009-BK-XXL</v>
          </cell>
          <cell r="B852" t="str">
            <v>CS-SB009</v>
          </cell>
        </row>
        <row r="853">
          <cell r="A853" t="str">
            <v>CS-SB009-BL1-S</v>
          </cell>
          <cell r="B853" t="str">
            <v>CS-SB009</v>
          </cell>
        </row>
        <row r="854">
          <cell r="A854" t="str">
            <v>CS-SB009-BL2-M</v>
          </cell>
          <cell r="B854" t="str">
            <v>CS-SB009</v>
          </cell>
        </row>
        <row r="855">
          <cell r="A855" t="str">
            <v>CS-SB009-BL3-L</v>
          </cell>
          <cell r="B855" t="str">
            <v>CS-SB009</v>
          </cell>
        </row>
        <row r="856">
          <cell r="A856" t="str">
            <v>CS-SB009-BL4-XL</v>
          </cell>
          <cell r="B856" t="str">
            <v>CS-SB009</v>
          </cell>
        </row>
        <row r="857">
          <cell r="A857" t="str">
            <v>CS-SB009-BL5-XXL</v>
          </cell>
          <cell r="B857" t="str">
            <v>CS-SB009</v>
          </cell>
        </row>
        <row r="858">
          <cell r="A858" t="str">
            <v>CS-SB009-BL-L</v>
          </cell>
          <cell r="B858" t="str">
            <v>CS-SB009</v>
          </cell>
        </row>
        <row r="859">
          <cell r="A859" t="str">
            <v>CS-SB009-BL-M</v>
          </cell>
          <cell r="B859" t="str">
            <v>CS-SB009</v>
          </cell>
        </row>
        <row r="860">
          <cell r="A860" t="str">
            <v>CS-SB009-BL-S</v>
          </cell>
          <cell r="B860" t="str">
            <v>CS-SB009</v>
          </cell>
        </row>
        <row r="861">
          <cell r="A861" t="str">
            <v>CS-SB009-BL-XL</v>
          </cell>
          <cell r="B861" t="str">
            <v>CS-SB009</v>
          </cell>
        </row>
        <row r="862">
          <cell r="A862" t="str">
            <v>CS-SB009-BL-XXL</v>
          </cell>
          <cell r="B862" t="str">
            <v>CS-SB009</v>
          </cell>
        </row>
        <row r="863">
          <cell r="A863" t="str">
            <v>CS-SB009-CF-L</v>
          </cell>
          <cell r="B863" t="str">
            <v>CS-SB009</v>
          </cell>
        </row>
        <row r="864">
          <cell r="A864" t="str">
            <v>CS-SB009-CF-M</v>
          </cell>
          <cell r="B864" t="str">
            <v>CS-SB009</v>
          </cell>
        </row>
        <row r="865">
          <cell r="A865" t="str">
            <v>CS-SB009-CF-S</v>
          </cell>
          <cell r="B865" t="str">
            <v>CS-SB009</v>
          </cell>
        </row>
        <row r="866">
          <cell r="A866" t="str">
            <v>CS-SB009-CF-XL</v>
          </cell>
          <cell r="B866" t="str">
            <v>CS-SB009</v>
          </cell>
        </row>
        <row r="867">
          <cell r="A867" t="str">
            <v>CS-SB009-CF-XXL</v>
          </cell>
          <cell r="B867" t="str">
            <v>CS-SB009</v>
          </cell>
        </row>
        <row r="868">
          <cell r="A868" t="str">
            <v>CS-SB009-GN-L</v>
          </cell>
          <cell r="B868" t="str">
            <v>CS-SB009</v>
          </cell>
        </row>
        <row r="869">
          <cell r="A869" t="str">
            <v>CS-SB009-GN-M</v>
          </cell>
          <cell r="B869" t="str">
            <v>CS-SB009</v>
          </cell>
        </row>
        <row r="870">
          <cell r="A870" t="str">
            <v>CS-SB009-GN-S</v>
          </cell>
          <cell r="B870" t="str">
            <v>CS-SB009</v>
          </cell>
        </row>
        <row r="871">
          <cell r="A871" t="str">
            <v>CS-SB009-GN-XL</v>
          </cell>
          <cell r="B871" t="str">
            <v>CS-SB009</v>
          </cell>
        </row>
        <row r="872">
          <cell r="A872" t="str">
            <v>CS-SB009-GN-XXL</v>
          </cell>
          <cell r="B872" t="str">
            <v>CS-SB009</v>
          </cell>
        </row>
        <row r="873">
          <cell r="A873" t="str">
            <v>CS-SB009-LB1-L</v>
          </cell>
          <cell r="B873" t="str">
            <v>CS-SB009</v>
          </cell>
        </row>
        <row r="874">
          <cell r="A874" t="str">
            <v>CS-SB009-LB1-M</v>
          </cell>
          <cell r="B874" t="str">
            <v>CS-SB009</v>
          </cell>
        </row>
        <row r="875">
          <cell r="A875" t="str">
            <v>CS-SB009-LB1-S</v>
          </cell>
          <cell r="B875" t="str">
            <v>CS-SB009</v>
          </cell>
        </row>
        <row r="876">
          <cell r="A876" t="str">
            <v>CS-SB009-LB1-XL</v>
          </cell>
          <cell r="B876" t="str">
            <v>CS-SB009</v>
          </cell>
        </row>
        <row r="877">
          <cell r="A877" t="str">
            <v>CS-SB009-LB1-XXL</v>
          </cell>
          <cell r="B877" t="str">
            <v>CS-SB009</v>
          </cell>
        </row>
        <row r="878">
          <cell r="A878" t="str">
            <v>CS-SB009-LB-L</v>
          </cell>
          <cell r="B878" t="str">
            <v>CS-SB009</v>
          </cell>
        </row>
        <row r="879">
          <cell r="A879" t="str">
            <v>CS-SB009-LB-M</v>
          </cell>
          <cell r="B879" t="str">
            <v>CS-SB009</v>
          </cell>
        </row>
        <row r="880">
          <cell r="A880" t="str">
            <v>CS-SB009-LB-S</v>
          </cell>
          <cell r="B880" t="str">
            <v>CS-SB009</v>
          </cell>
        </row>
        <row r="881">
          <cell r="A881" t="str">
            <v>CS-SB009-LB-XL</v>
          </cell>
          <cell r="B881" t="str">
            <v>CS-SB009</v>
          </cell>
        </row>
        <row r="882">
          <cell r="A882" t="str">
            <v>CS-SB009-LB-XXL</v>
          </cell>
          <cell r="B882" t="str">
            <v>CS-SB009</v>
          </cell>
        </row>
        <row r="883">
          <cell r="A883" t="str">
            <v>CS-SB009-RD-L</v>
          </cell>
          <cell r="B883" t="str">
            <v>CS-SB009</v>
          </cell>
        </row>
        <row r="884">
          <cell r="A884" t="str">
            <v>CS-SB009-RD-M</v>
          </cell>
          <cell r="B884" t="str">
            <v>CS-SB009</v>
          </cell>
        </row>
        <row r="885">
          <cell r="A885" t="str">
            <v>CS-SB009-RDNY-L</v>
          </cell>
          <cell r="B885" t="str">
            <v>CS-SB009</v>
          </cell>
        </row>
        <row r="886">
          <cell r="A886" t="str">
            <v>CS-SB009-RDNY-M</v>
          </cell>
          <cell r="B886" t="str">
            <v>CS-SB009</v>
          </cell>
        </row>
        <row r="887">
          <cell r="A887" t="str">
            <v>CS-SB009-RDNY-S</v>
          </cell>
          <cell r="B887" t="str">
            <v>CS-SB009</v>
          </cell>
        </row>
        <row r="888">
          <cell r="A888" t="str">
            <v>CS-SB009-RDNY-XL</v>
          </cell>
          <cell r="B888" t="str">
            <v>CS-SB009</v>
          </cell>
        </row>
        <row r="889">
          <cell r="A889" t="str">
            <v>CS-SB009-RDNY-XXL</v>
          </cell>
          <cell r="B889" t="str">
            <v>CS-SB009</v>
          </cell>
        </row>
        <row r="890">
          <cell r="A890" t="str">
            <v>CS-SB009-RD-S</v>
          </cell>
          <cell r="B890" t="str">
            <v>CS-SB009</v>
          </cell>
        </row>
        <row r="891">
          <cell r="A891" t="str">
            <v>CS-SB009-RD-XL</v>
          </cell>
          <cell r="B891" t="str">
            <v>CS-SB009</v>
          </cell>
        </row>
        <row r="892">
          <cell r="A892" t="str">
            <v>CS-SB009-RD-XXL</v>
          </cell>
          <cell r="B892" t="str">
            <v>CS-SB009</v>
          </cell>
        </row>
        <row r="893">
          <cell r="A893" t="str">
            <v>CS-SB009-YL-L</v>
          </cell>
          <cell r="B893" t="str">
            <v>CS-SB009</v>
          </cell>
        </row>
        <row r="894">
          <cell r="A894" t="str">
            <v>CS-SB009-YL-M</v>
          </cell>
          <cell r="B894" t="str">
            <v>CS-SB009</v>
          </cell>
        </row>
        <row r="895">
          <cell r="A895" t="str">
            <v>CS-SB009-YL-S</v>
          </cell>
          <cell r="B895" t="str">
            <v>CS-SB009</v>
          </cell>
        </row>
        <row r="896">
          <cell r="A896" t="str">
            <v>CS-SB009-YL-XL</v>
          </cell>
          <cell r="B896" t="str">
            <v>CS-SB009</v>
          </cell>
        </row>
        <row r="897">
          <cell r="A897" t="str">
            <v>CS-SB009-YL-XXL</v>
          </cell>
          <cell r="B897" t="str">
            <v>CS-SB009</v>
          </cell>
        </row>
        <row r="898">
          <cell r="A898" t="str">
            <v>CS-SB010-WT-1</v>
          </cell>
          <cell r="B898" t="str">
            <v>CS-SB010</v>
          </cell>
        </row>
        <row r="899">
          <cell r="A899" t="str">
            <v>CS-SB010-WT-2</v>
          </cell>
          <cell r="B899" t="str">
            <v>CS-SB010</v>
          </cell>
        </row>
        <row r="900">
          <cell r="A900" t="str">
            <v>CS-SB010-WT-3</v>
          </cell>
          <cell r="B900" t="str">
            <v>CS-SB010</v>
          </cell>
        </row>
        <row r="901">
          <cell r="A901" t="str">
            <v>CS-SB010-WT-4</v>
          </cell>
          <cell r="B901" t="str">
            <v>CS-SB010</v>
          </cell>
        </row>
        <row r="902">
          <cell r="A902" t="str">
            <v>CS-SB010-WT-5</v>
          </cell>
          <cell r="B902" t="str">
            <v>CS-SB010</v>
          </cell>
        </row>
        <row r="903">
          <cell r="A903" t="str">
            <v>CS-SB010-WT-6</v>
          </cell>
          <cell r="B903" t="str">
            <v>CS-SB010</v>
          </cell>
        </row>
        <row r="904">
          <cell r="A904" t="str">
            <v>CS-SB010-WT-7</v>
          </cell>
          <cell r="B904" t="str">
            <v>CS-SB010</v>
          </cell>
        </row>
        <row r="905">
          <cell r="A905" t="str">
            <v>CS-SB010-WT-8</v>
          </cell>
          <cell r="B905" t="str">
            <v>CS-SB010</v>
          </cell>
        </row>
        <row r="906">
          <cell r="A906" t="str">
            <v>CS-SB010-WT-9</v>
          </cell>
          <cell r="B906" t="str">
            <v>CS-SB010</v>
          </cell>
        </row>
        <row r="907">
          <cell r="A907" t="str">
            <v>CS-SB172-BK-L</v>
          </cell>
          <cell r="B907" t="str">
            <v>CS-SB172</v>
          </cell>
        </row>
        <row r="908">
          <cell r="A908" t="str">
            <v>CS-SB172-BK-M</v>
          </cell>
          <cell r="B908" t="str">
            <v>CS-SB172</v>
          </cell>
        </row>
        <row r="909">
          <cell r="A909" t="str">
            <v>CS-SB172-BK-S</v>
          </cell>
          <cell r="B909" t="str">
            <v>CS-SB172</v>
          </cell>
        </row>
        <row r="910">
          <cell r="A910" t="str">
            <v>CS-SB172-BK-XL</v>
          </cell>
          <cell r="B910" t="str">
            <v>CS-SB172</v>
          </cell>
        </row>
        <row r="911">
          <cell r="A911" t="str">
            <v>CS-SB172-BK-XXL</v>
          </cell>
          <cell r="B911" t="str">
            <v>CS-SB172</v>
          </cell>
        </row>
        <row r="912">
          <cell r="A912" t="str">
            <v>CS-SB172-BL-L</v>
          </cell>
          <cell r="B912" t="str">
            <v>CS-SB172</v>
          </cell>
        </row>
        <row r="913">
          <cell r="A913" t="str">
            <v>CS-SB172-BL-M</v>
          </cell>
          <cell r="B913" t="str">
            <v>CS-SB172</v>
          </cell>
        </row>
        <row r="914">
          <cell r="A914" t="str">
            <v>CS-SB172-BL-S</v>
          </cell>
          <cell r="B914" t="str">
            <v>CS-SB172</v>
          </cell>
        </row>
        <row r="915">
          <cell r="A915" t="str">
            <v>CS-SB172-BL-XL</v>
          </cell>
          <cell r="B915" t="str">
            <v>CS-SB172</v>
          </cell>
        </row>
        <row r="916">
          <cell r="A916" t="str">
            <v>CS-SB172-BL-XXL</v>
          </cell>
          <cell r="B916" t="str">
            <v>CS-SB172</v>
          </cell>
        </row>
        <row r="917">
          <cell r="A917" t="str">
            <v>CS-SB172-GR-L</v>
          </cell>
          <cell r="B917" t="str">
            <v>CS-SB172</v>
          </cell>
        </row>
        <row r="918">
          <cell r="A918" t="str">
            <v>CS-SB172-GR-M</v>
          </cell>
          <cell r="B918" t="str">
            <v>CS-SB172</v>
          </cell>
        </row>
        <row r="919">
          <cell r="A919" t="str">
            <v>CS-SB172-GR-S</v>
          </cell>
          <cell r="B919" t="str">
            <v>CS-SB172</v>
          </cell>
        </row>
        <row r="920">
          <cell r="A920" t="str">
            <v>CS-SB172-GR-XL</v>
          </cell>
          <cell r="B920" t="str">
            <v>CS-SB172</v>
          </cell>
        </row>
        <row r="921">
          <cell r="A921" t="str">
            <v>CS-SB172-GR-XXL</v>
          </cell>
          <cell r="B921" t="str">
            <v>CS-SB172</v>
          </cell>
        </row>
        <row r="922">
          <cell r="A922" t="str">
            <v>CS-SB172-NY-L</v>
          </cell>
          <cell r="B922" t="str">
            <v>CS-SB172</v>
          </cell>
        </row>
        <row r="923">
          <cell r="A923" t="str">
            <v>CS-SB172-NY-M</v>
          </cell>
          <cell r="B923" t="str">
            <v>CS-SB172</v>
          </cell>
        </row>
        <row r="924">
          <cell r="A924" t="str">
            <v>CS-SB172-NY-S</v>
          </cell>
          <cell r="B924" t="str">
            <v>CS-SB172</v>
          </cell>
        </row>
        <row r="925">
          <cell r="A925" t="str">
            <v>CS-SB172-NY-XL</v>
          </cell>
          <cell r="B925" t="str">
            <v>CS-SB172</v>
          </cell>
        </row>
        <row r="926">
          <cell r="A926" t="str">
            <v>CS-SB172-NY-XXL</v>
          </cell>
          <cell r="B926" t="str">
            <v>CS-SB172</v>
          </cell>
        </row>
        <row r="927">
          <cell r="A927" t="str">
            <v>CS-SB172-PK-L</v>
          </cell>
          <cell r="B927" t="str">
            <v>CS-SB172</v>
          </cell>
        </row>
        <row r="928">
          <cell r="A928" t="str">
            <v>CS-SB172-PK-M</v>
          </cell>
          <cell r="B928" t="str">
            <v>CS-SB172</v>
          </cell>
        </row>
        <row r="929">
          <cell r="A929" t="str">
            <v>CS-SB172-PK-S</v>
          </cell>
          <cell r="B929" t="str">
            <v>CS-SB172</v>
          </cell>
        </row>
        <row r="930">
          <cell r="A930" t="str">
            <v>CS-SB172-PK-XL</v>
          </cell>
          <cell r="B930" t="str">
            <v>CS-SB172</v>
          </cell>
        </row>
        <row r="931">
          <cell r="A931" t="str">
            <v>CS-SB172-PK-XXL</v>
          </cell>
          <cell r="B931" t="str">
            <v>CS-SB172</v>
          </cell>
        </row>
        <row r="932">
          <cell r="A932" t="str">
            <v>CS-SB172-PP-L</v>
          </cell>
          <cell r="B932" t="str">
            <v>CS-SB172</v>
          </cell>
        </row>
        <row r="933">
          <cell r="A933" t="str">
            <v>CS-SB172-PP-M</v>
          </cell>
          <cell r="B933" t="str">
            <v>CS-SB172</v>
          </cell>
        </row>
        <row r="934">
          <cell r="A934" t="str">
            <v>CS-SB172-PP-S</v>
          </cell>
          <cell r="B934" t="str">
            <v>CS-SB172</v>
          </cell>
        </row>
        <row r="935">
          <cell r="A935" t="str">
            <v>CS-SB172-PP-XL</v>
          </cell>
          <cell r="B935" t="str">
            <v>CS-SB172</v>
          </cell>
        </row>
        <row r="936">
          <cell r="A936" t="str">
            <v>CS-SB172-PP-XXL</v>
          </cell>
          <cell r="B936" t="str">
            <v>CS-SB172</v>
          </cell>
        </row>
        <row r="937">
          <cell r="A937" t="str">
            <v>CS-SB172-WR-L</v>
          </cell>
          <cell r="B937" t="str">
            <v>CS-SB172</v>
          </cell>
        </row>
        <row r="938">
          <cell r="A938" t="str">
            <v>CS-SB172-WR-M</v>
          </cell>
          <cell r="B938" t="str">
            <v>CS-SB172</v>
          </cell>
        </row>
        <row r="939">
          <cell r="A939" t="str">
            <v>CS-SB172-WR-S</v>
          </cell>
          <cell r="B939" t="str">
            <v>CS-SB172</v>
          </cell>
        </row>
        <row r="940">
          <cell r="A940" t="str">
            <v>CS-SB172-WR-XL</v>
          </cell>
          <cell r="B940" t="str">
            <v>CS-SB172</v>
          </cell>
        </row>
        <row r="941">
          <cell r="A941" t="str">
            <v>CS-SB172-WR-XXL</v>
          </cell>
          <cell r="B941" t="str">
            <v>CS-SB172</v>
          </cell>
        </row>
        <row r="942">
          <cell r="A942" t="str">
            <v>CS-SB172-WT1-L</v>
          </cell>
          <cell r="B942" t="str">
            <v>CS-SB172</v>
          </cell>
        </row>
        <row r="943">
          <cell r="A943" t="str">
            <v>CS-SB172-WT1-M</v>
          </cell>
          <cell r="B943" t="str">
            <v>CS-SB172</v>
          </cell>
        </row>
        <row r="944">
          <cell r="A944" t="str">
            <v>CS-SB172-WT1-S</v>
          </cell>
          <cell r="B944" t="str">
            <v>CS-SB172</v>
          </cell>
        </row>
        <row r="945">
          <cell r="A945" t="str">
            <v>CS-SB172-WT1-XL</v>
          </cell>
          <cell r="B945" t="str">
            <v>CS-SB172</v>
          </cell>
        </row>
        <row r="946">
          <cell r="A946" t="str">
            <v>CS-SB172-WT1-XXL</v>
          </cell>
          <cell r="B946" t="str">
            <v>CS-SB172</v>
          </cell>
        </row>
        <row r="947">
          <cell r="A947" t="str">
            <v>CS-SB172-WT2-L</v>
          </cell>
          <cell r="B947" t="str">
            <v>CS-SB172</v>
          </cell>
        </row>
        <row r="948">
          <cell r="A948" t="str">
            <v>CS-SB172-WT2-M</v>
          </cell>
          <cell r="B948" t="str">
            <v>CS-SB172</v>
          </cell>
        </row>
        <row r="949">
          <cell r="A949" t="str">
            <v>CS-SB172-WT2-S</v>
          </cell>
          <cell r="B949" t="str">
            <v>CS-SB172</v>
          </cell>
        </row>
        <row r="950">
          <cell r="A950" t="str">
            <v>CS-SB172-WT2-XL</v>
          </cell>
          <cell r="B950" t="str">
            <v>CS-SB172</v>
          </cell>
        </row>
        <row r="951">
          <cell r="A951" t="str">
            <v>CS-SB172-WT2-XXL</v>
          </cell>
          <cell r="B951" t="str">
            <v>CS-SB172</v>
          </cell>
        </row>
        <row r="952">
          <cell r="A952" t="str">
            <v>CS-SB173-BK-L</v>
          </cell>
          <cell r="B952" t="str">
            <v>CS-SB173</v>
          </cell>
        </row>
        <row r="953">
          <cell r="A953" t="str">
            <v>CS-SB173-BK-M</v>
          </cell>
          <cell r="B953" t="str">
            <v>CS-SB173</v>
          </cell>
        </row>
        <row r="954">
          <cell r="A954" t="str">
            <v>CS-SB173-BK-S</v>
          </cell>
          <cell r="B954" t="str">
            <v>CS-SB173</v>
          </cell>
        </row>
        <row r="955">
          <cell r="A955" t="str">
            <v>CS-SB173-BK-XL</v>
          </cell>
          <cell r="B955" t="str">
            <v>CS-SB173</v>
          </cell>
        </row>
        <row r="956">
          <cell r="A956" t="str">
            <v>CS-SB173-BK-XXL</v>
          </cell>
          <cell r="B956" t="str">
            <v>CS-SB173</v>
          </cell>
        </row>
        <row r="957">
          <cell r="A957" t="str">
            <v>CS-SB173-BL-L</v>
          </cell>
          <cell r="B957" t="str">
            <v>CS-SB173</v>
          </cell>
        </row>
        <row r="958">
          <cell r="A958" t="str">
            <v>CS-SB173-BL-M</v>
          </cell>
          <cell r="B958" t="str">
            <v>CS-SB173</v>
          </cell>
        </row>
        <row r="959">
          <cell r="A959" t="str">
            <v>CS-SB173-BL-S</v>
          </cell>
          <cell r="B959" t="str">
            <v>CS-SB173</v>
          </cell>
        </row>
        <row r="960">
          <cell r="A960" t="str">
            <v>CS-SB173-BL-XL</v>
          </cell>
          <cell r="B960" t="str">
            <v>CS-SB173</v>
          </cell>
        </row>
        <row r="961">
          <cell r="A961" t="str">
            <v>CS-SB173-BL-XXL</v>
          </cell>
          <cell r="B961" t="str">
            <v>CS-SB173</v>
          </cell>
        </row>
        <row r="962">
          <cell r="A962" t="str">
            <v>CS-SB173-GR-L</v>
          </cell>
          <cell r="B962" t="str">
            <v>CS-SB173</v>
          </cell>
        </row>
        <row r="963">
          <cell r="A963" t="str">
            <v>CS-SB173-GR-M</v>
          </cell>
          <cell r="B963" t="str">
            <v>CS-SB173</v>
          </cell>
        </row>
        <row r="964">
          <cell r="A964" t="str">
            <v>CS-SB173-GR-S</v>
          </cell>
          <cell r="B964" t="str">
            <v>CS-SB173</v>
          </cell>
        </row>
        <row r="965">
          <cell r="A965" t="str">
            <v>CS-SB173-GR-XL</v>
          </cell>
          <cell r="B965" t="str">
            <v>CS-SB173</v>
          </cell>
        </row>
        <row r="966">
          <cell r="A966" t="str">
            <v>CS-SB173-GR-XXL</v>
          </cell>
          <cell r="B966" t="str">
            <v>CS-SB173</v>
          </cell>
        </row>
        <row r="967">
          <cell r="A967" t="str">
            <v>CS-SB173-NY-L</v>
          </cell>
          <cell r="B967" t="str">
            <v>CS-SB173</v>
          </cell>
        </row>
        <row r="968">
          <cell r="A968" t="str">
            <v>CS-SB173-NY-M</v>
          </cell>
          <cell r="B968" t="str">
            <v>CS-SB173</v>
          </cell>
        </row>
        <row r="969">
          <cell r="A969" t="str">
            <v>CS-SB173-NY-S</v>
          </cell>
          <cell r="B969" t="str">
            <v>CS-SB173</v>
          </cell>
        </row>
        <row r="970">
          <cell r="A970" t="str">
            <v>CS-SB173-NY-XL</v>
          </cell>
          <cell r="B970" t="str">
            <v>CS-SB173</v>
          </cell>
        </row>
        <row r="971">
          <cell r="A971" t="str">
            <v>CS-SB173-NY-XXL</v>
          </cell>
          <cell r="B971" t="str">
            <v>CS-SB173</v>
          </cell>
        </row>
        <row r="972">
          <cell r="A972" t="str">
            <v>CS-SB173-PK-L</v>
          </cell>
          <cell r="B972" t="str">
            <v>CS-SB173</v>
          </cell>
        </row>
        <row r="973">
          <cell r="A973" t="str">
            <v>CS-SB173-PK-M</v>
          </cell>
          <cell r="B973" t="str">
            <v>CS-SB173</v>
          </cell>
        </row>
        <row r="974">
          <cell r="A974" t="str">
            <v>CS-SB173-PK-S</v>
          </cell>
          <cell r="B974" t="str">
            <v>CS-SB173</v>
          </cell>
        </row>
        <row r="975">
          <cell r="A975" t="str">
            <v>CS-SB173-PK-XL</v>
          </cell>
          <cell r="B975" t="str">
            <v>CS-SB173</v>
          </cell>
        </row>
        <row r="976">
          <cell r="A976" t="str">
            <v>CS-SB173-PK-XXL</v>
          </cell>
          <cell r="B976" t="str">
            <v>CS-SB173</v>
          </cell>
        </row>
        <row r="977">
          <cell r="A977" t="str">
            <v>CS-SB173-PP-L</v>
          </cell>
          <cell r="B977" t="str">
            <v>CS-SB173</v>
          </cell>
        </row>
        <row r="978">
          <cell r="A978" t="str">
            <v>CS-SB173-PP-M</v>
          </cell>
          <cell r="B978" t="str">
            <v>CS-SB173</v>
          </cell>
        </row>
        <row r="979">
          <cell r="A979" t="str">
            <v>CS-SB173-PP-S</v>
          </cell>
          <cell r="B979" t="str">
            <v>CS-SB173</v>
          </cell>
        </row>
        <row r="980">
          <cell r="A980" t="str">
            <v>CS-SB173-PP-XL</v>
          </cell>
          <cell r="B980" t="str">
            <v>CS-SB173</v>
          </cell>
        </row>
        <row r="981">
          <cell r="A981" t="str">
            <v>CS-SB173-PP-XXL</v>
          </cell>
          <cell r="B981" t="str">
            <v>CS-SB173</v>
          </cell>
        </row>
        <row r="982">
          <cell r="A982" t="str">
            <v>CS-SB173-WR-L</v>
          </cell>
          <cell r="B982" t="str">
            <v>CS-SB173</v>
          </cell>
        </row>
        <row r="983">
          <cell r="A983" t="str">
            <v>CS-SB173-WR-M</v>
          </cell>
          <cell r="B983" t="str">
            <v>CS-SB173</v>
          </cell>
        </row>
        <row r="984">
          <cell r="A984" t="str">
            <v>CS-SB173-WR-S</v>
          </cell>
          <cell r="B984" t="str">
            <v>CS-SB173</v>
          </cell>
        </row>
        <row r="985">
          <cell r="A985" t="str">
            <v>CS-SB173-WR-XL</v>
          </cell>
          <cell r="B985" t="str">
            <v>CS-SB173</v>
          </cell>
        </row>
        <row r="986">
          <cell r="A986" t="str">
            <v>CS-SB173-WR-XXL</v>
          </cell>
          <cell r="B986" t="str">
            <v>CS-SB173</v>
          </cell>
        </row>
        <row r="987">
          <cell r="A987" t="str">
            <v>CS-SB173-WT1-L</v>
          </cell>
          <cell r="B987" t="str">
            <v>CS-SB173</v>
          </cell>
        </row>
        <row r="988">
          <cell r="A988" t="str">
            <v>CS-SB173-WT1-M</v>
          </cell>
          <cell r="B988" t="str">
            <v>CS-SB173</v>
          </cell>
        </row>
        <row r="989">
          <cell r="A989" t="str">
            <v>CS-SB173-WT1-S</v>
          </cell>
          <cell r="B989" t="str">
            <v>CS-SB173</v>
          </cell>
        </row>
        <row r="990">
          <cell r="A990" t="str">
            <v>CS-SB173-WT1-XL</v>
          </cell>
          <cell r="B990" t="str">
            <v>CS-SB173</v>
          </cell>
        </row>
        <row r="991">
          <cell r="A991" t="str">
            <v>CS-SB173-WT1-XXL</v>
          </cell>
          <cell r="B991" t="str">
            <v>CS-SB173</v>
          </cell>
        </row>
        <row r="992">
          <cell r="A992" t="str">
            <v>CS-SB173-WT2-L</v>
          </cell>
          <cell r="B992" t="str">
            <v>CS-SB173</v>
          </cell>
        </row>
        <row r="993">
          <cell r="A993" t="str">
            <v>CS-SB173-WT2-M</v>
          </cell>
          <cell r="B993" t="str">
            <v>CS-SB173</v>
          </cell>
        </row>
        <row r="994">
          <cell r="A994" t="str">
            <v>CS-SB173-WT2-S</v>
          </cell>
          <cell r="B994" t="str">
            <v>CS-SB173</v>
          </cell>
        </row>
        <row r="995">
          <cell r="A995" t="str">
            <v>CS-SB173-WT2-XL</v>
          </cell>
          <cell r="B995" t="str">
            <v>CS-SB173</v>
          </cell>
        </row>
        <row r="996">
          <cell r="A996" t="str">
            <v>CS-SB173-WT2-XXL</v>
          </cell>
          <cell r="B996" t="str">
            <v>CS-SB173</v>
          </cell>
        </row>
        <row r="997">
          <cell r="A997" t="str">
            <v>CWB-PUHM021-CH-L</v>
          </cell>
          <cell r="B997" t="str">
            <v>CWB-PUHM021</v>
          </cell>
        </row>
        <row r="998">
          <cell r="A998" t="str">
            <v>CWB-PUHM021-CH-M</v>
          </cell>
          <cell r="B998" t="str">
            <v>CWB-PUHM021</v>
          </cell>
        </row>
        <row r="999">
          <cell r="A999" t="str">
            <v>CWB-PUHM021-CH-S</v>
          </cell>
          <cell r="B999" t="str">
            <v>CWB-PUHM021</v>
          </cell>
        </row>
        <row r="1000">
          <cell r="A1000" t="str">
            <v>CWB-PUHM021-CH-XL</v>
          </cell>
          <cell r="B1000" t="str">
            <v>CWB-PUHM021</v>
          </cell>
        </row>
        <row r="1001">
          <cell r="A1001" t="str">
            <v>CWB-PUHM021-MC-L</v>
          </cell>
          <cell r="B1001" t="str">
            <v>CWB-PUHM021</v>
          </cell>
        </row>
        <row r="1002">
          <cell r="A1002" t="str">
            <v>CWB-PUHM021-MC-M</v>
          </cell>
          <cell r="B1002" t="str">
            <v>CWB-PUHM021</v>
          </cell>
        </row>
        <row r="1003">
          <cell r="A1003" t="str">
            <v>CWB-PUHM021-MC-S</v>
          </cell>
          <cell r="B1003" t="str">
            <v>CWB-PUHM021</v>
          </cell>
        </row>
        <row r="1004">
          <cell r="A1004" t="str">
            <v>CWB-PUHM021-MC-XL</v>
          </cell>
          <cell r="B1004" t="str">
            <v>CWB-PUHM021</v>
          </cell>
        </row>
        <row r="1005">
          <cell r="A1005" t="str">
            <v>CWB-PUHM021-TW-L</v>
          </cell>
          <cell r="B1005" t="str">
            <v>CWB-PUHM021</v>
          </cell>
        </row>
        <row r="1006">
          <cell r="A1006" t="str">
            <v>CWB-PUHM021-TW-M</v>
          </cell>
          <cell r="B1006" t="str">
            <v>CWB-PUHM021</v>
          </cell>
        </row>
        <row r="1007">
          <cell r="A1007" t="str">
            <v>CWB-PUHM021-TW-S</v>
          </cell>
          <cell r="B1007" t="str">
            <v>CWB-PUHM021</v>
          </cell>
        </row>
        <row r="1008">
          <cell r="A1008" t="str">
            <v>CWB-PUHM021-TW-XL</v>
          </cell>
          <cell r="B1008" t="str">
            <v>CWB-PUHM021</v>
          </cell>
        </row>
        <row r="1009">
          <cell r="A1009" t="str">
            <v>CWDZ-IULHY-BONE-KK-L</v>
          </cell>
          <cell r="B1009" t="str">
            <v>CWDZ-IULHY</v>
          </cell>
        </row>
        <row r="1010">
          <cell r="A1010" t="str">
            <v>CWDZ-IULHY-BONE-KK-M</v>
          </cell>
          <cell r="B1010" t="str">
            <v>CWDZ-IULHY</v>
          </cell>
        </row>
        <row r="1011">
          <cell r="A1011" t="str">
            <v>CWDZ-IULHY-BONE-KK-XL</v>
          </cell>
          <cell r="B1011" t="str">
            <v>CWDZ-IULHY</v>
          </cell>
        </row>
        <row r="1012">
          <cell r="A1012" t="str">
            <v>CWDZ-IULHY-BONE-PK-L</v>
          </cell>
          <cell r="B1012" t="str">
            <v>CWDZ-IULHY</v>
          </cell>
        </row>
        <row r="1013">
          <cell r="A1013" t="str">
            <v>CWDZ-IULHY-BONE-PK-M</v>
          </cell>
          <cell r="B1013" t="str">
            <v>CWDZ-IULHY</v>
          </cell>
        </row>
        <row r="1014">
          <cell r="A1014" t="str">
            <v>CWDZ-IULHY-BONE-PK-XL</v>
          </cell>
          <cell r="B1014" t="str">
            <v>CWDZ-IULHY</v>
          </cell>
        </row>
        <row r="1015">
          <cell r="A1015" t="str">
            <v>CWDZ-IULHY-BONE-PP-L</v>
          </cell>
          <cell r="B1015" t="str">
            <v>CWDZ-IULHY</v>
          </cell>
        </row>
        <row r="1016">
          <cell r="A1016" t="str">
            <v>CWDZ-IULHY-BONE-PP-M</v>
          </cell>
          <cell r="B1016" t="str">
            <v>CWDZ-IULHY</v>
          </cell>
        </row>
        <row r="1017">
          <cell r="A1017" t="str">
            <v>CWDZ-IULHY-BONE-PP-XL</v>
          </cell>
          <cell r="B1017" t="str">
            <v>CWDZ-IULHY</v>
          </cell>
        </row>
        <row r="1018">
          <cell r="A1018" t="str">
            <v>CWDZ-IULHY-DOT2-CF-L</v>
          </cell>
          <cell r="B1018" t="str">
            <v>CWDZ-IULHY</v>
          </cell>
        </row>
        <row r="1019">
          <cell r="A1019" t="str">
            <v>CWDZ-IULHY-DOT2-CF-M</v>
          </cell>
          <cell r="B1019" t="str">
            <v>CWDZ-IULHY</v>
          </cell>
        </row>
        <row r="1020">
          <cell r="A1020" t="str">
            <v>CWDZ-IULHY-DOT2-CF-XL</v>
          </cell>
          <cell r="B1020" t="str">
            <v>CWDZ-IULHY</v>
          </cell>
        </row>
        <row r="1021">
          <cell r="A1021" t="str">
            <v>CWDZ-IULHY-DOT2-PK-L</v>
          </cell>
          <cell r="B1021" t="str">
            <v>CWDZ-IULHY</v>
          </cell>
        </row>
        <row r="1022">
          <cell r="A1022" t="str">
            <v>CWDZ-IULHY-DOT2-PK-M</v>
          </cell>
          <cell r="B1022" t="str">
            <v>CWDZ-IULHY</v>
          </cell>
        </row>
        <row r="1023">
          <cell r="A1023" t="str">
            <v>CWDZ-IULHY-DOT2-PK-XL</v>
          </cell>
          <cell r="B1023" t="str">
            <v>CWDZ-IULHY</v>
          </cell>
        </row>
        <row r="1024">
          <cell r="A1024" t="str">
            <v>CWDZ-IULHY-DOT2-WT-L</v>
          </cell>
          <cell r="B1024" t="str">
            <v>CWDZ-IULHY</v>
          </cell>
        </row>
        <row r="1025">
          <cell r="A1025" t="str">
            <v>CWDZ-IULHY-DOT2-WT-M</v>
          </cell>
          <cell r="B1025" t="str">
            <v>CWDZ-IULHY</v>
          </cell>
        </row>
        <row r="1026">
          <cell r="A1026" t="str">
            <v>CWDZ-IULHY-DOT2-WT-XL</v>
          </cell>
          <cell r="B1026" t="str">
            <v>CWDZ-IULHY</v>
          </cell>
        </row>
        <row r="1027">
          <cell r="A1027" t="str">
            <v>CWDZ-IULHY-DOT-BL-L</v>
          </cell>
          <cell r="B1027" t="str">
            <v>CWDZ-IULHY</v>
          </cell>
        </row>
        <row r="1028">
          <cell r="A1028" t="str">
            <v>CWDZ-IULHY-DOT-BL-M</v>
          </cell>
          <cell r="B1028" t="str">
            <v>CWDZ-IULHY</v>
          </cell>
        </row>
        <row r="1029">
          <cell r="A1029" t="str">
            <v>CWDZ-IULHY-DOT-BL-XL</v>
          </cell>
          <cell r="B1029" t="str">
            <v>CWDZ-IULHY</v>
          </cell>
        </row>
        <row r="1030">
          <cell r="A1030" t="str">
            <v>CWDZ-IULHY-DOT-NY-L</v>
          </cell>
          <cell r="B1030" t="str">
            <v>CWDZ-IULHY</v>
          </cell>
        </row>
        <row r="1031">
          <cell r="A1031" t="str">
            <v>CWDZ-IULHY-DOT-NY-M</v>
          </cell>
          <cell r="B1031" t="str">
            <v>CWDZ-IULHY</v>
          </cell>
        </row>
        <row r="1032">
          <cell r="A1032" t="str">
            <v>CWDZ-IULHY-DOT-NY-XL</v>
          </cell>
          <cell r="B1032" t="str">
            <v>CWDZ-IULHY</v>
          </cell>
        </row>
        <row r="1033">
          <cell r="A1033" t="str">
            <v>CWDZ-IULHY-DOT-PP-L</v>
          </cell>
          <cell r="B1033" t="str">
            <v>CWDZ-IULHY</v>
          </cell>
        </row>
        <row r="1034">
          <cell r="A1034" t="str">
            <v>CWDZ-IULHY-DOT-PP-M</v>
          </cell>
          <cell r="B1034" t="str">
            <v>CWDZ-IULHY</v>
          </cell>
        </row>
        <row r="1035">
          <cell r="A1035" t="str">
            <v>CWDZ-IULHY-DOT-PP-XL</v>
          </cell>
          <cell r="B1035" t="str">
            <v>CWDZ-IULHY</v>
          </cell>
        </row>
        <row r="1036">
          <cell r="A1036" t="str">
            <v>CWDZ-IULHY-ELPH-BL-L</v>
          </cell>
          <cell r="B1036" t="str">
            <v>CWDZ-IULHY</v>
          </cell>
        </row>
        <row r="1037">
          <cell r="A1037" t="str">
            <v>CWDZ-IULHY-ELPH-BL-M</v>
          </cell>
          <cell r="B1037" t="str">
            <v>CWDZ-IULHY</v>
          </cell>
        </row>
        <row r="1038">
          <cell r="A1038" t="str">
            <v>CWDZ-IULHY-ELPH-BL-XL</v>
          </cell>
          <cell r="B1038" t="str">
            <v>CWDZ-IULHY</v>
          </cell>
        </row>
        <row r="1039">
          <cell r="A1039" t="str">
            <v>CWDZ-IULHY-ELPH-PK-L</v>
          </cell>
          <cell r="B1039" t="str">
            <v>CWDZ-IULHY</v>
          </cell>
        </row>
        <row r="1040">
          <cell r="A1040" t="str">
            <v>CWDZ-IULHY-ELPH-PK-M</v>
          </cell>
          <cell r="B1040" t="str">
            <v>CWDZ-IULHY</v>
          </cell>
        </row>
        <row r="1041">
          <cell r="A1041" t="str">
            <v>CWDZ-IULHY-ELPH-PK-XL</v>
          </cell>
          <cell r="B1041" t="str">
            <v>CWDZ-IULHY</v>
          </cell>
        </row>
        <row r="1042">
          <cell r="A1042" t="str">
            <v>CWDZ-IULHY-ELPH-YL-L</v>
          </cell>
          <cell r="B1042" t="str">
            <v>CWDZ-IULHY</v>
          </cell>
        </row>
        <row r="1043">
          <cell r="A1043" t="str">
            <v>CWDZ-IULHY-ELPH-YL-M</v>
          </cell>
          <cell r="B1043" t="str">
            <v>CWDZ-IULHY</v>
          </cell>
        </row>
        <row r="1044">
          <cell r="A1044" t="str">
            <v>CWDZ-IULHY-ELPH-YL-XL</v>
          </cell>
          <cell r="B1044" t="str">
            <v>CWDZ-IULHY</v>
          </cell>
        </row>
        <row r="1045">
          <cell r="A1045" t="str">
            <v>CWDZ-IULHY-PAW-CF-L</v>
          </cell>
          <cell r="B1045" t="str">
            <v>CWDZ-IULHY</v>
          </cell>
        </row>
        <row r="1046">
          <cell r="A1046" t="str">
            <v>CWDZ-IULHY-PAW-CF-M</v>
          </cell>
          <cell r="B1046" t="str">
            <v>CWDZ-IULHY</v>
          </cell>
        </row>
        <row r="1047">
          <cell r="A1047" t="str">
            <v>CWDZ-IULHY-PAW-CF-XL</v>
          </cell>
          <cell r="B1047" t="str">
            <v>CWDZ-IULHY</v>
          </cell>
        </row>
        <row r="1048">
          <cell r="A1048" t="str">
            <v>CWDZ-IULHY-PAW-PK-L</v>
          </cell>
          <cell r="B1048" t="str">
            <v>CWDZ-IULHY</v>
          </cell>
        </row>
        <row r="1049">
          <cell r="A1049" t="str">
            <v>CWDZ-IULHY-PAW-PK-M</v>
          </cell>
          <cell r="B1049" t="str">
            <v>CWDZ-IULHY</v>
          </cell>
        </row>
        <row r="1050">
          <cell r="A1050" t="str">
            <v>CWDZ-IULHY-PAW-PK-XL</v>
          </cell>
          <cell r="B1050" t="str">
            <v>CWDZ-IULHY</v>
          </cell>
        </row>
        <row r="1051">
          <cell r="A1051" t="str">
            <v>CWDZ-IULHY-PAW-WT-L</v>
          </cell>
          <cell r="B1051" t="str">
            <v>CWDZ-IULHY</v>
          </cell>
        </row>
        <row r="1052">
          <cell r="A1052" t="str">
            <v>CWDZ-IULHY-PAW-WT-M</v>
          </cell>
          <cell r="B1052" t="str">
            <v>CWDZ-IULHY</v>
          </cell>
        </row>
        <row r="1053">
          <cell r="A1053" t="str">
            <v>CWDZ-IULHY-PAW-WT-XL</v>
          </cell>
          <cell r="B1053" t="str">
            <v>CWDZ-IULHY</v>
          </cell>
        </row>
        <row r="1054">
          <cell r="A1054" t="str">
            <v>CWDZ-IULHY-STAR-BL-L</v>
          </cell>
          <cell r="B1054" t="str">
            <v>CWDZ-IULHY</v>
          </cell>
        </row>
        <row r="1055">
          <cell r="A1055" t="str">
            <v>CWDZ-IULHY-STAR-BL-M</v>
          </cell>
          <cell r="B1055" t="str">
            <v>CWDZ-IULHY</v>
          </cell>
        </row>
        <row r="1056">
          <cell r="A1056" t="str">
            <v>CWDZ-IULHY-STAR-BL-XL</v>
          </cell>
          <cell r="B1056" t="str">
            <v>CWDZ-IULHY</v>
          </cell>
        </row>
        <row r="1057">
          <cell r="A1057" t="str">
            <v>CWDZ-IULHY-STAR-KK-L</v>
          </cell>
          <cell r="B1057" t="str">
            <v>CWDZ-IULHY</v>
          </cell>
        </row>
        <row r="1058">
          <cell r="A1058" t="str">
            <v>CWDZ-IULHY-STAR-KK-M</v>
          </cell>
          <cell r="B1058" t="str">
            <v>CWDZ-IULHY</v>
          </cell>
        </row>
        <row r="1059">
          <cell r="A1059" t="str">
            <v>CWDZ-IULHY-STAR-KK-XL</v>
          </cell>
          <cell r="B1059" t="str">
            <v>CWDZ-IULHY</v>
          </cell>
        </row>
        <row r="1060">
          <cell r="A1060" t="str">
            <v>CWDZ-IULHY-STAR-PK-L</v>
          </cell>
          <cell r="B1060" t="str">
            <v>CWDZ-IULHY</v>
          </cell>
        </row>
        <row r="1061">
          <cell r="A1061" t="str">
            <v>CWDZ-IULHY-STAR-PK-M</v>
          </cell>
          <cell r="B1061" t="str">
            <v>CWDZ-IULHY</v>
          </cell>
        </row>
        <row r="1062">
          <cell r="A1062" t="str">
            <v>CWDZ-IULHY-STAR-PK-XL</v>
          </cell>
          <cell r="B1062" t="str">
            <v>CWDZ-IULHY</v>
          </cell>
        </row>
        <row r="1063">
          <cell r="A1063" t="str">
            <v>CX-TW401-blue-L</v>
          </cell>
          <cell r="B1063" t="str">
            <v>CX-TW401</v>
          </cell>
        </row>
        <row r="1064">
          <cell r="A1064" t="str">
            <v>CX-TW401-blue-M</v>
          </cell>
          <cell r="B1064" t="str">
            <v>CX-TW401</v>
          </cell>
        </row>
        <row r="1065">
          <cell r="A1065" t="str">
            <v>CX-TW401-blue-S</v>
          </cell>
          <cell r="B1065" t="str">
            <v>CX-TW401</v>
          </cell>
        </row>
        <row r="1066">
          <cell r="A1066" t="str">
            <v>CX-TW401-blue-XL</v>
          </cell>
          <cell r="B1066" t="str">
            <v>CX-TW401</v>
          </cell>
        </row>
        <row r="1067">
          <cell r="A1067" t="str">
            <v>CX-TW401-coffee-L</v>
          </cell>
          <cell r="B1067" t="str">
            <v>CX-TW401</v>
          </cell>
        </row>
        <row r="1068">
          <cell r="A1068" t="str">
            <v>CX-TW401-coffee-L-MX</v>
          </cell>
          <cell r="B1068" t="str">
            <v>CX-TW401</v>
          </cell>
        </row>
        <row r="1069">
          <cell r="A1069" t="str">
            <v>CX-TW401-coffee-M</v>
          </cell>
          <cell r="B1069" t="str">
            <v>CX-TW401</v>
          </cell>
        </row>
        <row r="1070">
          <cell r="A1070" t="str">
            <v>CX-TW401-coffee-M-MX</v>
          </cell>
          <cell r="B1070" t="str">
            <v>CX-TW401</v>
          </cell>
        </row>
        <row r="1071">
          <cell r="A1071" t="str">
            <v>CX-TW401-coffee-S</v>
          </cell>
          <cell r="B1071" t="str">
            <v>CX-TW401</v>
          </cell>
        </row>
        <row r="1072">
          <cell r="A1072" t="str">
            <v>CX-TW401-coffee-S-MX</v>
          </cell>
          <cell r="B1072" t="str">
            <v>CX-TW401</v>
          </cell>
        </row>
        <row r="1073">
          <cell r="A1073" t="str">
            <v>CX-TW401-coffee-XL</v>
          </cell>
          <cell r="B1073" t="str">
            <v>CX-TW401</v>
          </cell>
        </row>
        <row r="1074">
          <cell r="A1074" t="str">
            <v>CX-TW401-coffee-XL-MX</v>
          </cell>
          <cell r="B1074" t="str">
            <v>CX-TW401</v>
          </cell>
        </row>
        <row r="1075">
          <cell r="A1075" t="str">
            <v>CX-TW401-green-L</v>
          </cell>
          <cell r="B1075" t="str">
            <v>CX-TW401</v>
          </cell>
        </row>
        <row r="1076">
          <cell r="A1076" t="str">
            <v>CX-TW401-green-L-MX</v>
          </cell>
          <cell r="B1076" t="str">
            <v>CX-TW401</v>
          </cell>
        </row>
        <row r="1077">
          <cell r="A1077" t="str">
            <v>CX-TW401-green-M</v>
          </cell>
          <cell r="B1077" t="str">
            <v>CX-TW401</v>
          </cell>
        </row>
        <row r="1078">
          <cell r="A1078" t="str">
            <v>CX-TW401-green-M-MX</v>
          </cell>
          <cell r="B1078" t="str">
            <v>CX-TW401</v>
          </cell>
        </row>
        <row r="1079">
          <cell r="A1079" t="str">
            <v>CX-TW401-green-S</v>
          </cell>
          <cell r="B1079" t="str">
            <v>CX-TW401</v>
          </cell>
        </row>
        <row r="1080">
          <cell r="A1080" t="str">
            <v>CX-TW401-green-S-MX</v>
          </cell>
          <cell r="B1080" t="str">
            <v>CX-TW401</v>
          </cell>
        </row>
        <row r="1081">
          <cell r="A1081" t="str">
            <v>CX-TW401-green-XL</v>
          </cell>
          <cell r="B1081" t="str">
            <v>CX-TW401</v>
          </cell>
        </row>
        <row r="1082">
          <cell r="A1082" t="str">
            <v>CX-TW401-green-XL-MX</v>
          </cell>
          <cell r="B1082" t="str">
            <v>CX-TW401</v>
          </cell>
        </row>
        <row r="1083">
          <cell r="A1083" t="str">
            <v>CX-TW401-grey-L</v>
          </cell>
          <cell r="B1083" t="str">
            <v>CX-TW401</v>
          </cell>
        </row>
        <row r="1084">
          <cell r="A1084" t="str">
            <v>CX-TW401-grey-L-MX</v>
          </cell>
          <cell r="B1084" t="str">
            <v>CX-TW401</v>
          </cell>
        </row>
        <row r="1085">
          <cell r="A1085" t="str">
            <v>CX-TW401-grey-M</v>
          </cell>
          <cell r="B1085" t="str">
            <v>CX-TW401</v>
          </cell>
        </row>
        <row r="1086">
          <cell r="A1086" t="str">
            <v>CX-TW401-grey-S</v>
          </cell>
          <cell r="B1086" t="str">
            <v>CX-TW401</v>
          </cell>
        </row>
        <row r="1087">
          <cell r="A1087" t="str">
            <v>CX-TW401-grey-XL</v>
          </cell>
          <cell r="B1087" t="str">
            <v>CX-TW401</v>
          </cell>
        </row>
        <row r="1088">
          <cell r="A1088" t="str">
            <v>CX-TW4600-blue-M</v>
          </cell>
          <cell r="B1088" t="str">
            <v>CX-TW4600</v>
          </cell>
        </row>
        <row r="1089">
          <cell r="A1089" t="str">
            <v>CX-TW4600-coffee-L</v>
          </cell>
          <cell r="B1089" t="str">
            <v>CX-TW4600</v>
          </cell>
        </row>
        <row r="1090">
          <cell r="A1090" t="str">
            <v>CX-TW4600-coffee-XL</v>
          </cell>
          <cell r="B1090" t="str">
            <v>CX-TW4600</v>
          </cell>
        </row>
        <row r="1091">
          <cell r="A1091" t="str">
            <v>CX-TW4600-green-XL</v>
          </cell>
          <cell r="B1091" t="str">
            <v>CX-TW4600</v>
          </cell>
        </row>
        <row r="1092">
          <cell r="A1092" t="str">
            <v>CX-TW4600-grey-L</v>
          </cell>
          <cell r="B1092" t="str">
            <v>CX-TW4600</v>
          </cell>
        </row>
        <row r="1093">
          <cell r="A1093" t="str">
            <v>CX-TW4600-grey-XL</v>
          </cell>
          <cell r="B1093" t="str">
            <v>CX-TW4600</v>
          </cell>
        </row>
        <row r="1094">
          <cell r="A1094" t="str">
            <v>DK-HM0280-OR-L</v>
          </cell>
          <cell r="B1094" t="str">
            <v>DK-HM0280</v>
          </cell>
        </row>
        <row r="1095">
          <cell r="A1095" t="str">
            <v>DK-HM0280-R0-L</v>
          </cell>
          <cell r="B1095" t="str">
            <v>DK-HM0280</v>
          </cell>
        </row>
        <row r="1096">
          <cell r="A1096" t="str">
            <v>DK-HM0280-R0-M</v>
          </cell>
          <cell r="B1096" t="str">
            <v>DK-HM0280</v>
          </cell>
        </row>
        <row r="1097">
          <cell r="A1097" t="str">
            <v>DK-HM0280-YH-L</v>
          </cell>
          <cell r="B1097" t="str">
            <v>DK-HM0280</v>
          </cell>
        </row>
        <row r="1098">
          <cell r="A1098" t="str">
            <v>DK-HM0280-YH-M</v>
          </cell>
          <cell r="B1098" t="str">
            <v>DK-HM0280</v>
          </cell>
        </row>
        <row r="1099">
          <cell r="A1099" t="str">
            <v>DK-HM1789</v>
          </cell>
          <cell r="B1099" t="str">
            <v>DK-HM1789</v>
          </cell>
        </row>
        <row r="1100">
          <cell r="A1100" t="str">
            <v>DK-HM1789-B0TW-2XL</v>
          </cell>
          <cell r="B1100" t="str">
            <v>DK-HM1789</v>
          </cell>
        </row>
        <row r="1101">
          <cell r="A1101" t="str">
            <v>DK-HM1789-B0TW-L</v>
          </cell>
          <cell r="B1101" t="str">
            <v>DK-HM1789</v>
          </cell>
        </row>
        <row r="1102">
          <cell r="A1102" t="str">
            <v>DK-HM1789-B0TW-M</v>
          </cell>
          <cell r="B1102" t="str">
            <v>DK-HM1789</v>
          </cell>
        </row>
        <row r="1103">
          <cell r="A1103" t="str">
            <v>DK-HM1789-B0TW-S</v>
          </cell>
          <cell r="B1103" t="str">
            <v>DK-HM1789</v>
          </cell>
        </row>
        <row r="1104">
          <cell r="A1104" t="str">
            <v>DK-HM1789-B0TW-XL</v>
          </cell>
          <cell r="B1104" t="str">
            <v>DK-HM1789</v>
          </cell>
        </row>
        <row r="1105">
          <cell r="A1105" t="str">
            <v>DK-HM1789-B2-2XL</v>
          </cell>
          <cell r="B1105" t="str">
            <v>DK-HM1789</v>
          </cell>
        </row>
        <row r="1106">
          <cell r="A1106" t="str">
            <v>DK-HM1789-B2-L</v>
          </cell>
          <cell r="B1106" t="str">
            <v>DK-HM1789</v>
          </cell>
        </row>
        <row r="1107">
          <cell r="A1107" t="str">
            <v>DK-HM1789-B2-M</v>
          </cell>
          <cell r="B1107" t="str">
            <v>DK-HM1789</v>
          </cell>
        </row>
        <row r="1108">
          <cell r="A1108" t="str">
            <v>DK-HM1789-B2-S</v>
          </cell>
          <cell r="B1108" t="str">
            <v>DK-HM1789</v>
          </cell>
        </row>
        <row r="1109">
          <cell r="A1109" t="str">
            <v>DK-HM1789-B2-XL</v>
          </cell>
          <cell r="B1109" t="str">
            <v>DK-HM1789</v>
          </cell>
        </row>
        <row r="1110">
          <cell r="A1110" t="str">
            <v>DK-HM1789-BD-2XL</v>
          </cell>
          <cell r="B1110" t="str">
            <v>DK-HM1789</v>
          </cell>
        </row>
        <row r="1111">
          <cell r="A1111" t="str">
            <v>DK-HM1789-BD-L</v>
          </cell>
          <cell r="B1111" t="str">
            <v>DK-HM1789</v>
          </cell>
        </row>
        <row r="1112">
          <cell r="A1112" t="str">
            <v>DK-HM1789-BD-M</v>
          </cell>
          <cell r="B1112" t="str">
            <v>DK-HM1789</v>
          </cell>
        </row>
        <row r="1113">
          <cell r="A1113" t="str">
            <v>DK-HM1789-BD-S</v>
          </cell>
          <cell r="B1113" t="str">
            <v>DK-HM1789</v>
          </cell>
        </row>
        <row r="1114">
          <cell r="A1114" t="str">
            <v>DK-HM1789-BD-XL</v>
          </cell>
          <cell r="B1114" t="str">
            <v>DK-HM1789</v>
          </cell>
        </row>
        <row r="1115">
          <cell r="A1115" t="str">
            <v>DK-HM1789-FL-2XL</v>
          </cell>
          <cell r="B1115" t="str">
            <v>DK-HM1789</v>
          </cell>
        </row>
        <row r="1116">
          <cell r="A1116" t="str">
            <v>DK-HM1789-FL-L</v>
          </cell>
          <cell r="B1116" t="str">
            <v>DK-HM1789</v>
          </cell>
        </row>
        <row r="1117">
          <cell r="A1117" t="str">
            <v>DK-HM1789-FL-M</v>
          </cell>
          <cell r="B1117" t="str">
            <v>DK-HM1789</v>
          </cell>
        </row>
        <row r="1118">
          <cell r="A1118" t="str">
            <v>DK-HM1789-FL-S</v>
          </cell>
          <cell r="B1118" t="str">
            <v>DK-HM1789</v>
          </cell>
        </row>
        <row r="1119">
          <cell r="A1119" t="str">
            <v>DK-HM1789-FL-XL</v>
          </cell>
          <cell r="B1119" t="str">
            <v>DK-HM1789</v>
          </cell>
        </row>
        <row r="1120">
          <cell r="A1120" t="str">
            <v>DK-HM1789-GrTW-2XL</v>
          </cell>
          <cell r="B1120" t="str">
            <v>DK-HM1789</v>
          </cell>
        </row>
        <row r="1121">
          <cell r="A1121" t="str">
            <v>DK-HM1789-GrTW-L</v>
          </cell>
          <cell r="B1121" t="str">
            <v>DK-HM1789</v>
          </cell>
        </row>
        <row r="1122">
          <cell r="A1122" t="str">
            <v>DK-HM1789-GrTW-M</v>
          </cell>
          <cell r="B1122" t="str">
            <v>DK-HM1789</v>
          </cell>
        </row>
        <row r="1123">
          <cell r="A1123" t="str">
            <v>DK-HM1789-GrTW-S</v>
          </cell>
          <cell r="B1123" t="str">
            <v>DK-HM1789</v>
          </cell>
        </row>
        <row r="1124">
          <cell r="A1124" t="str">
            <v>DK-HM1789-GrTW-XL</v>
          </cell>
          <cell r="B1124" t="str">
            <v>DK-HM1789</v>
          </cell>
        </row>
        <row r="1125">
          <cell r="A1125" t="str">
            <v>DK-HM1789-GZ-2XL</v>
          </cell>
          <cell r="B1125" t="str">
            <v>DK-HM1789</v>
          </cell>
        </row>
        <row r="1126">
          <cell r="A1126" t="str">
            <v>DK-HM1789-GZ-L</v>
          </cell>
          <cell r="B1126" t="str">
            <v>DK-HM1789</v>
          </cell>
        </row>
        <row r="1127">
          <cell r="A1127" t="str">
            <v>DK-HM1789-GZ-M</v>
          </cell>
          <cell r="B1127" t="str">
            <v>DK-HM1789</v>
          </cell>
        </row>
        <row r="1128">
          <cell r="A1128" t="str">
            <v>DK-HM1789-GZ-S</v>
          </cell>
          <cell r="B1128" t="str">
            <v>DK-HM1789</v>
          </cell>
        </row>
        <row r="1129">
          <cell r="A1129" t="str">
            <v>DK-HM1789-GZ-XL</v>
          </cell>
          <cell r="B1129" t="str">
            <v>DK-HM1789</v>
          </cell>
        </row>
        <row r="1130">
          <cell r="A1130" t="str">
            <v>DK-HM1789-K0-2XL</v>
          </cell>
          <cell r="B1130" t="str">
            <v>DK-HM1789</v>
          </cell>
        </row>
        <row r="1131">
          <cell r="A1131" t="str">
            <v>DK-HM1789-K0-L</v>
          </cell>
          <cell r="B1131" t="str">
            <v>DK-HM1789</v>
          </cell>
        </row>
        <row r="1132">
          <cell r="A1132" t="str">
            <v>DK-HM1789-K0-M</v>
          </cell>
          <cell r="B1132" t="str">
            <v>DK-HM1789</v>
          </cell>
        </row>
        <row r="1133">
          <cell r="A1133" t="str">
            <v>DK-HM1789-K0-S</v>
          </cell>
          <cell r="B1133" t="str">
            <v>DK-HM1789</v>
          </cell>
        </row>
        <row r="1134">
          <cell r="A1134" t="str">
            <v>DK-HM1789-K0-XL</v>
          </cell>
          <cell r="B1134" t="str">
            <v>DK-HM1789</v>
          </cell>
        </row>
        <row r="1135">
          <cell r="A1135" t="str">
            <v>DK-HM1789-PI-2XL</v>
          </cell>
          <cell r="B1135" t="str">
            <v>DK-HM1789</v>
          </cell>
        </row>
        <row r="1136">
          <cell r="A1136" t="str">
            <v>DK-HM1789-PI-L</v>
          </cell>
          <cell r="B1136" t="str">
            <v>DK-HM1789</v>
          </cell>
        </row>
        <row r="1137">
          <cell r="A1137" t="str">
            <v>DK-HM1789-PI-M</v>
          </cell>
          <cell r="B1137" t="str">
            <v>DK-HM1789</v>
          </cell>
        </row>
        <row r="1138">
          <cell r="A1138" t="str">
            <v>DK-HM1789-PI-S</v>
          </cell>
          <cell r="B1138" t="str">
            <v>DK-HM1789</v>
          </cell>
        </row>
        <row r="1139">
          <cell r="A1139" t="str">
            <v>DK-HM1789-PiTW-2XL</v>
          </cell>
          <cell r="B1139" t="str">
            <v>DK-HM1789</v>
          </cell>
        </row>
        <row r="1140">
          <cell r="A1140" t="str">
            <v>DK-HM1789-PiTW-L</v>
          </cell>
          <cell r="B1140" t="str">
            <v>DK-HM1789</v>
          </cell>
        </row>
        <row r="1141">
          <cell r="A1141" t="str">
            <v>DK-HM1789-PiTW-M</v>
          </cell>
          <cell r="B1141" t="str">
            <v>DK-HM1789</v>
          </cell>
        </row>
        <row r="1142">
          <cell r="A1142" t="str">
            <v>DK-HM1789-PiTW-S</v>
          </cell>
          <cell r="B1142" t="str">
            <v>DK-HM1789</v>
          </cell>
        </row>
        <row r="1143">
          <cell r="A1143" t="str">
            <v>DK-HM1789-PiTW-XL</v>
          </cell>
          <cell r="B1143" t="str">
            <v>DK-HM1789</v>
          </cell>
        </row>
        <row r="1144">
          <cell r="A1144" t="str">
            <v>DK-HM1789-PI-XL</v>
          </cell>
          <cell r="B1144" t="str">
            <v>DK-HM1789</v>
          </cell>
        </row>
        <row r="1145">
          <cell r="A1145" t="str">
            <v>DK-HM1789-PP-2XL</v>
          </cell>
          <cell r="B1145" t="str">
            <v>DK-HM1789</v>
          </cell>
        </row>
        <row r="1146">
          <cell r="A1146" t="str">
            <v>DK-HM1789-PP-L</v>
          </cell>
          <cell r="B1146" t="str">
            <v>DK-HM1789</v>
          </cell>
        </row>
        <row r="1147">
          <cell r="A1147" t="str">
            <v>DK-HM1789-PP-M</v>
          </cell>
          <cell r="B1147" t="str">
            <v>DK-HM1789</v>
          </cell>
        </row>
        <row r="1148">
          <cell r="A1148" t="str">
            <v>DK-HM1789-PP-S</v>
          </cell>
          <cell r="B1148" t="str">
            <v>DK-HM1789</v>
          </cell>
        </row>
        <row r="1149">
          <cell r="A1149" t="str">
            <v>DK-HM1789-PP-XL</v>
          </cell>
          <cell r="B1149" t="str">
            <v>DK-HM1789</v>
          </cell>
        </row>
        <row r="1150">
          <cell r="A1150" t="str">
            <v>DK-HM1789-R2-2XL</v>
          </cell>
          <cell r="B1150" t="str">
            <v>DK-HM1789</v>
          </cell>
        </row>
        <row r="1151">
          <cell r="A1151" t="str">
            <v>DK-HM1789-R2-L</v>
          </cell>
          <cell r="B1151" t="str">
            <v>DK-HM1789</v>
          </cell>
        </row>
        <row r="1152">
          <cell r="A1152" t="str">
            <v>DK-HM1789-R2-M</v>
          </cell>
          <cell r="B1152" t="str">
            <v>DK-HM1789</v>
          </cell>
        </row>
        <row r="1153">
          <cell r="A1153" t="str">
            <v>DK-HM1789-R2-S</v>
          </cell>
          <cell r="B1153" t="str">
            <v>DK-HM1789</v>
          </cell>
        </row>
        <row r="1154">
          <cell r="A1154" t="str">
            <v>DK-HM1789-R2-XL</v>
          </cell>
          <cell r="B1154" t="str">
            <v>DK-HM1789</v>
          </cell>
        </row>
        <row r="1155">
          <cell r="A1155" t="str">
            <v>DK-HM1789-W0-2XL</v>
          </cell>
          <cell r="B1155" t="str">
            <v>DK-HM1789</v>
          </cell>
        </row>
        <row r="1156">
          <cell r="A1156" t="str">
            <v>DK-HM1789-W0-L</v>
          </cell>
          <cell r="B1156" t="str">
            <v>DK-HM1789</v>
          </cell>
        </row>
        <row r="1157">
          <cell r="A1157" t="str">
            <v>DK-HM1789-W0-M</v>
          </cell>
          <cell r="B1157" t="str">
            <v>DK-HM1789</v>
          </cell>
        </row>
        <row r="1158">
          <cell r="A1158" t="str">
            <v>DK-HM1789-W0-S</v>
          </cell>
          <cell r="B1158" t="str">
            <v>DK-HM1789</v>
          </cell>
        </row>
        <row r="1159">
          <cell r="A1159" t="str">
            <v>DK-HM1789-W0-XL</v>
          </cell>
          <cell r="B1159" t="str">
            <v>DK-HM1789</v>
          </cell>
        </row>
        <row r="1160">
          <cell r="A1160" t="str">
            <v>DK-HM1789-Y0-L</v>
          </cell>
          <cell r="B1160" t="str">
            <v>DK-HM1789</v>
          </cell>
        </row>
        <row r="1161">
          <cell r="A1161" t="str">
            <v>DK-HM1789-Y0-M</v>
          </cell>
          <cell r="B1161" t="str">
            <v>DK-HM1789</v>
          </cell>
        </row>
        <row r="1162">
          <cell r="A1162" t="str">
            <v>DK-HM1789-Y0-S</v>
          </cell>
          <cell r="B1162" t="str">
            <v>DK-HM1789</v>
          </cell>
        </row>
        <row r="1163">
          <cell r="A1163" t="str">
            <v>DK-HM1789-Y0-XL</v>
          </cell>
          <cell r="B1163" t="str">
            <v>DK-HM1789</v>
          </cell>
        </row>
        <row r="1164">
          <cell r="A1164" t="str">
            <v>DK-HM1789-ZL-2XL</v>
          </cell>
          <cell r="B1164" t="str">
            <v>DK-HM1789</v>
          </cell>
        </row>
        <row r="1165">
          <cell r="A1165" t="str">
            <v>DK-HM1789-ZL-2XL-GM</v>
          </cell>
          <cell r="B1165" t="str">
            <v>DK-HM1789</v>
          </cell>
        </row>
        <row r="1166">
          <cell r="A1166" t="str">
            <v>DK-HM1789-ZL-L</v>
          </cell>
          <cell r="B1166" t="str">
            <v>DK-HM1789</v>
          </cell>
        </row>
        <row r="1167">
          <cell r="A1167" t="str">
            <v>DK-HM1789-ZL-M</v>
          </cell>
          <cell r="B1167" t="str">
            <v>DK-HM1789</v>
          </cell>
        </row>
        <row r="1168">
          <cell r="A1168" t="str">
            <v>DK-HM1789-ZL-S</v>
          </cell>
          <cell r="B1168" t="str">
            <v>DK-HM1789</v>
          </cell>
        </row>
        <row r="1169">
          <cell r="A1169" t="str">
            <v>DK-HM1789-ZL-XL</v>
          </cell>
          <cell r="B1169" t="str">
            <v>DK-HM1789</v>
          </cell>
        </row>
        <row r="1170">
          <cell r="A1170" t="str">
            <v>DK-LY110-KQ-29-GM</v>
          </cell>
          <cell r="B1170" t="str">
            <v>DK-LY110</v>
          </cell>
        </row>
        <row r="1171">
          <cell r="A1171" t="str">
            <v>DK-LY110-KQ-30-GM</v>
          </cell>
          <cell r="B1171" t="str">
            <v>DK-LY110</v>
          </cell>
        </row>
        <row r="1172">
          <cell r="A1172" t="str">
            <v>DK-LY110-KQ-31-GM</v>
          </cell>
          <cell r="B1172" t="str">
            <v>DK-LY110</v>
          </cell>
        </row>
        <row r="1173">
          <cell r="A1173" t="str">
            <v>DK-LY110-KQ-32-GM</v>
          </cell>
          <cell r="B1173" t="str">
            <v>DK-LY110</v>
          </cell>
        </row>
        <row r="1174">
          <cell r="A1174" t="str">
            <v>DK-LY110-KQ-33-GM</v>
          </cell>
          <cell r="B1174" t="str">
            <v>DK-LY110</v>
          </cell>
        </row>
        <row r="1175">
          <cell r="A1175" t="str">
            <v>DK-LY110-KQ-34-GM</v>
          </cell>
          <cell r="B1175" t="str">
            <v>DK-LY110</v>
          </cell>
        </row>
        <row r="1176">
          <cell r="A1176" t="str">
            <v>DK-LY110-KQ-38-GM</v>
          </cell>
          <cell r="B1176" t="str">
            <v>DK-LY110</v>
          </cell>
        </row>
        <row r="1177">
          <cell r="A1177" t="str">
            <v>DK-LY110-KQ-38-GM-1</v>
          </cell>
          <cell r="B1177" t="str">
            <v>DK-LY110</v>
          </cell>
        </row>
        <row r="1178">
          <cell r="A1178" t="str">
            <v>DK-LY110-KQ-42-GM</v>
          </cell>
          <cell r="B1178" t="str">
            <v>DK-LY110</v>
          </cell>
        </row>
        <row r="1179">
          <cell r="A1179" t="str">
            <v>DK-LY110-KQ-44-GM</v>
          </cell>
          <cell r="B1179" t="str">
            <v>DK-LY110</v>
          </cell>
        </row>
        <row r="1180">
          <cell r="A1180" t="str">
            <v>DK-LY110-OR-29-GM</v>
          </cell>
          <cell r="B1180" t="str">
            <v>DK-LY110</v>
          </cell>
        </row>
        <row r="1181">
          <cell r="A1181" t="str">
            <v>DK-LY110-OR-30-GM</v>
          </cell>
          <cell r="B1181" t="str">
            <v>DK-LY110</v>
          </cell>
        </row>
        <row r="1182">
          <cell r="A1182" t="str">
            <v>DK-LY110-OR-31-GM</v>
          </cell>
          <cell r="B1182" t="str">
            <v>DK-LY110</v>
          </cell>
        </row>
        <row r="1183">
          <cell r="A1183" t="str">
            <v>DK-LY110-OR-32-GM</v>
          </cell>
          <cell r="B1183" t="str">
            <v>DK-LY110</v>
          </cell>
        </row>
        <row r="1184">
          <cell r="A1184" t="str">
            <v>DK-LY110-OR-33-GM</v>
          </cell>
          <cell r="B1184" t="str">
            <v>DK-LY110</v>
          </cell>
        </row>
        <row r="1185">
          <cell r="A1185" t="str">
            <v>DK-LY110-OR-34-GM</v>
          </cell>
          <cell r="B1185" t="str">
            <v>DK-LY110</v>
          </cell>
        </row>
        <row r="1186">
          <cell r="A1186" t="str">
            <v>DK-LY110-OR-36-GM</v>
          </cell>
          <cell r="B1186" t="str">
            <v>DK-LY110</v>
          </cell>
        </row>
        <row r="1187">
          <cell r="A1187" t="str">
            <v>DK-LY110-OR-38-GM</v>
          </cell>
          <cell r="B1187" t="str">
            <v>DK-LY110</v>
          </cell>
        </row>
        <row r="1188">
          <cell r="A1188" t="str">
            <v>DK-LY110-OR-40-GM</v>
          </cell>
          <cell r="B1188" t="str">
            <v>DK-LY110</v>
          </cell>
        </row>
        <row r="1189">
          <cell r="A1189" t="str">
            <v>DK-LY110-OR-42-GM</v>
          </cell>
          <cell r="B1189" t="str">
            <v>DK-LY110</v>
          </cell>
        </row>
        <row r="1190">
          <cell r="A1190" t="str">
            <v>DK-LY110-OR-44-GM</v>
          </cell>
          <cell r="B1190" t="str">
            <v>DK-LY110</v>
          </cell>
        </row>
        <row r="1191">
          <cell r="A1191" t="str">
            <v>DK-LY155-K0-30</v>
          </cell>
          <cell r="B1191" t="str">
            <v>DK-LY155</v>
          </cell>
        </row>
        <row r="1192">
          <cell r="A1192" t="str">
            <v>DK-LY155-K0-32</v>
          </cell>
          <cell r="B1192" t="str">
            <v>DK-LY155</v>
          </cell>
        </row>
        <row r="1193">
          <cell r="A1193" t="str">
            <v>DK-LY155-K0-34</v>
          </cell>
          <cell r="B1193" t="str">
            <v>DK-LY155</v>
          </cell>
        </row>
        <row r="1194">
          <cell r="A1194" t="str">
            <v>DK-LY155-K0-36</v>
          </cell>
          <cell r="B1194" t="str">
            <v>DK-LY155</v>
          </cell>
        </row>
        <row r="1195">
          <cell r="A1195" t="str">
            <v>DK-LY155-K0-38</v>
          </cell>
          <cell r="B1195" t="str">
            <v>DK-LY155</v>
          </cell>
        </row>
        <row r="1196">
          <cell r="A1196" t="str">
            <v>DK-LY155-K0-40</v>
          </cell>
          <cell r="B1196" t="str">
            <v>DK-LY155</v>
          </cell>
        </row>
        <row r="1197">
          <cell r="A1197" t="str">
            <v>DK-LY155-K0-42</v>
          </cell>
          <cell r="B1197" t="str">
            <v>DK-LY155</v>
          </cell>
        </row>
        <row r="1198">
          <cell r="A1198" t="str">
            <v>DK-LY155-KQ-30</v>
          </cell>
          <cell r="B1198" t="str">
            <v>DK-LY155</v>
          </cell>
        </row>
        <row r="1199">
          <cell r="A1199" t="str">
            <v>DK-LY155-KQ-32</v>
          </cell>
          <cell r="B1199" t="str">
            <v>DK-LY155</v>
          </cell>
        </row>
        <row r="1200">
          <cell r="A1200" t="str">
            <v>DK-LY155-KQ-34</v>
          </cell>
          <cell r="B1200" t="str">
            <v>DK-LY155</v>
          </cell>
        </row>
        <row r="1201">
          <cell r="A1201" t="str">
            <v>DK-LY155-KQ-36</v>
          </cell>
          <cell r="B1201" t="str">
            <v>DK-LY155</v>
          </cell>
        </row>
        <row r="1202">
          <cell r="A1202" t="str">
            <v>DK-LY155-KQ-38</v>
          </cell>
          <cell r="B1202" t="str">
            <v>DK-LY155</v>
          </cell>
        </row>
        <row r="1203">
          <cell r="A1203" t="str">
            <v>DK-LY155-KQ-40</v>
          </cell>
          <cell r="B1203" t="str">
            <v>DK-LY155</v>
          </cell>
        </row>
        <row r="1204">
          <cell r="A1204" t="str">
            <v>DK-LY155-KQ-42</v>
          </cell>
          <cell r="B1204" t="str">
            <v>DK-LY155</v>
          </cell>
        </row>
        <row r="1205">
          <cell r="A1205" t="str">
            <v>DK-LY155-N0-30</v>
          </cell>
          <cell r="B1205" t="str">
            <v>DK-LY155</v>
          </cell>
        </row>
        <row r="1206">
          <cell r="A1206" t="str">
            <v>DK-LY155-N0-32</v>
          </cell>
          <cell r="B1206" t="str">
            <v>DK-LY155</v>
          </cell>
        </row>
        <row r="1207">
          <cell r="A1207" t="str">
            <v>DK-LY155-N0-34</v>
          </cell>
          <cell r="B1207" t="str">
            <v>DK-LY155</v>
          </cell>
        </row>
        <row r="1208">
          <cell r="A1208" t="str">
            <v>DK-LY155-N0-38</v>
          </cell>
          <cell r="B1208" t="str">
            <v>DK-LY155</v>
          </cell>
        </row>
        <row r="1209">
          <cell r="A1209" t="str">
            <v>DK-LY155-N0-40</v>
          </cell>
          <cell r="B1209" t="str">
            <v>DK-LY155</v>
          </cell>
        </row>
        <row r="1210">
          <cell r="A1210" t="str">
            <v>DK-LY155-N0-42</v>
          </cell>
          <cell r="B1210" t="str">
            <v>DK-LY155</v>
          </cell>
        </row>
        <row r="1211">
          <cell r="A1211" t="str">
            <v>DK-LY-K157-AG-32</v>
          </cell>
          <cell r="B1211" t="str">
            <v>DK-LY-K157</v>
          </cell>
        </row>
        <row r="1212">
          <cell r="A1212" t="str">
            <v>DK-LY-K157-AG-34</v>
          </cell>
          <cell r="B1212" t="str">
            <v>DK-LY-K157</v>
          </cell>
        </row>
        <row r="1213">
          <cell r="A1213" t="str">
            <v>DK-LY-K157-AG-36</v>
          </cell>
          <cell r="B1213" t="str">
            <v>DK-LY-K157</v>
          </cell>
        </row>
        <row r="1214">
          <cell r="A1214" t="str">
            <v>DK-LY-K157-AG-38</v>
          </cell>
          <cell r="B1214" t="str">
            <v>DK-LY-K157</v>
          </cell>
        </row>
        <row r="1215">
          <cell r="A1215" t="str">
            <v>DK-LY-K157-AG-40</v>
          </cell>
          <cell r="B1215" t="str">
            <v>DK-LY-K157</v>
          </cell>
        </row>
        <row r="1216">
          <cell r="A1216" t="str">
            <v>DK-LY-K157-AG-42</v>
          </cell>
          <cell r="B1216" t="str">
            <v>DK-LY-K157</v>
          </cell>
        </row>
        <row r="1217">
          <cell r="A1217" t="str">
            <v>DK-LY-K157-AG-44</v>
          </cell>
          <cell r="B1217" t="str">
            <v>DK-LY-K157</v>
          </cell>
        </row>
        <row r="1218">
          <cell r="A1218" t="str">
            <v>DK-LY-K157-B0-32</v>
          </cell>
          <cell r="B1218" t="str">
            <v>DK-LY-K157</v>
          </cell>
        </row>
        <row r="1219">
          <cell r="A1219" t="str">
            <v>DK-LY-K157-B0-34</v>
          </cell>
          <cell r="B1219" t="str">
            <v>DK-LY-K157</v>
          </cell>
        </row>
        <row r="1220">
          <cell r="A1220" t="str">
            <v>DK-LY-K157-B0-36</v>
          </cell>
          <cell r="B1220" t="str">
            <v>DK-LY-K157</v>
          </cell>
        </row>
        <row r="1221">
          <cell r="A1221" t="str">
            <v>DK-LY-K157-B0-38</v>
          </cell>
          <cell r="B1221" t="str">
            <v>DK-LY-K157</v>
          </cell>
        </row>
        <row r="1222">
          <cell r="A1222" t="str">
            <v>DK-LY-K157-B0-40</v>
          </cell>
          <cell r="B1222" t="str">
            <v>DK-LY-K157</v>
          </cell>
        </row>
        <row r="1223">
          <cell r="A1223" t="str">
            <v>DK-LY-K157-B0-42</v>
          </cell>
          <cell r="B1223" t="str">
            <v>DK-LY-K157</v>
          </cell>
        </row>
        <row r="1224">
          <cell r="A1224" t="str">
            <v>DK-LY-K157-B0-44</v>
          </cell>
          <cell r="B1224" t="str">
            <v>DK-LY-K157</v>
          </cell>
        </row>
        <row r="1225">
          <cell r="A1225" t="str">
            <v>DK-LY-K157-K0-32</v>
          </cell>
          <cell r="B1225" t="str">
            <v>DK-LY-K157</v>
          </cell>
        </row>
        <row r="1226">
          <cell r="A1226" t="str">
            <v>DK-LY-K157-K0-34</v>
          </cell>
          <cell r="B1226" t="str">
            <v>DK-LY-K157</v>
          </cell>
        </row>
        <row r="1227">
          <cell r="A1227" t="str">
            <v>DK-LY-K157-K0-36</v>
          </cell>
          <cell r="B1227" t="str">
            <v>DK-LY-K157</v>
          </cell>
        </row>
        <row r="1228">
          <cell r="A1228" t="str">
            <v>DK-LY-K157-K0-38</v>
          </cell>
          <cell r="B1228" t="str">
            <v>DK-LY-K157</v>
          </cell>
        </row>
        <row r="1229">
          <cell r="A1229" t="str">
            <v>DK-LY-K157-K0-40</v>
          </cell>
          <cell r="B1229" t="str">
            <v>DK-LY-K157</v>
          </cell>
        </row>
        <row r="1230">
          <cell r="A1230" t="str">
            <v>DK-LY-K157-K0-42</v>
          </cell>
          <cell r="B1230" t="str">
            <v>DK-LY-K157</v>
          </cell>
        </row>
        <row r="1231">
          <cell r="A1231" t="str">
            <v>DK-LY-K157-K0-44</v>
          </cell>
          <cell r="B1231" t="str">
            <v>DK-LY-K157</v>
          </cell>
        </row>
        <row r="1232">
          <cell r="A1232" t="str">
            <v>DK-LY-K157-KQ-32</v>
          </cell>
          <cell r="B1232" t="str">
            <v>DK-LY-K157</v>
          </cell>
        </row>
        <row r="1233">
          <cell r="A1233" t="str">
            <v>DK-LY-K157-KQ-34</v>
          </cell>
          <cell r="B1233" t="str">
            <v>DK-LY-K157</v>
          </cell>
        </row>
        <row r="1234">
          <cell r="A1234" t="str">
            <v>DK-LY-K157-KQ-36</v>
          </cell>
          <cell r="B1234" t="str">
            <v>DK-LY-K157</v>
          </cell>
        </row>
        <row r="1235">
          <cell r="A1235" t="str">
            <v>DK-LY-K157-KQ-38</v>
          </cell>
          <cell r="B1235" t="str">
            <v>DK-LY-K157</v>
          </cell>
        </row>
        <row r="1236">
          <cell r="A1236" t="str">
            <v>DK-LY-K157-KQ-40</v>
          </cell>
          <cell r="B1236" t="str">
            <v>DK-LY-K157</v>
          </cell>
        </row>
        <row r="1237">
          <cell r="A1237" t="str">
            <v>DK-LY-K157-KQ-42</v>
          </cell>
          <cell r="B1237" t="str">
            <v>DK-LY-K157</v>
          </cell>
        </row>
        <row r="1238">
          <cell r="A1238" t="str">
            <v>DK-LY-K157-KQ-44</v>
          </cell>
          <cell r="B1238" t="str">
            <v>DK-LY-K157</v>
          </cell>
        </row>
        <row r="1239">
          <cell r="A1239" t="str">
            <v>DK-LY-K157-OR-32</v>
          </cell>
          <cell r="B1239" t="str">
            <v>DK-LY-K157</v>
          </cell>
        </row>
        <row r="1240">
          <cell r="A1240" t="str">
            <v>DK-LY-K157-OR-34</v>
          </cell>
          <cell r="B1240" t="str">
            <v>DK-LY-K157</v>
          </cell>
        </row>
        <row r="1241">
          <cell r="A1241" t="str">
            <v>DK-LY-K157-OR-36</v>
          </cell>
          <cell r="B1241" t="str">
            <v>DK-LY-K157</v>
          </cell>
        </row>
        <row r="1242">
          <cell r="A1242" t="str">
            <v>DK-LY-K157-OR-38</v>
          </cell>
          <cell r="B1242" t="str">
            <v>DK-LY-K157</v>
          </cell>
        </row>
        <row r="1243">
          <cell r="A1243" t="str">
            <v>DK-LY-K157-OR-40</v>
          </cell>
          <cell r="B1243" t="str">
            <v>DK-LY-K157</v>
          </cell>
        </row>
        <row r="1244">
          <cell r="A1244" t="str">
            <v>DK-LY-K157-OR-42</v>
          </cell>
          <cell r="B1244" t="str">
            <v>DK-LY-K157</v>
          </cell>
        </row>
        <row r="1245">
          <cell r="A1245" t="str">
            <v>DK-LY-K157-OR-44</v>
          </cell>
          <cell r="B1245" t="str">
            <v>DK-LY-K157</v>
          </cell>
        </row>
        <row r="1246">
          <cell r="A1246" t="str">
            <v>DK-LY-K518-B0-32</v>
          </cell>
          <cell r="B1246" t="str">
            <v>DK-LY-K518</v>
          </cell>
        </row>
        <row r="1247">
          <cell r="A1247" t="str">
            <v>DK-LY-K518-B0-34</v>
          </cell>
          <cell r="B1247" t="str">
            <v>DK-LY-K518</v>
          </cell>
        </row>
        <row r="1248">
          <cell r="A1248" t="str">
            <v>DK-LY-K518-B0-36</v>
          </cell>
          <cell r="B1248" t="str">
            <v>DK-LY-K518</v>
          </cell>
        </row>
        <row r="1249">
          <cell r="A1249" t="str">
            <v>DK-LY-K518-B0-38</v>
          </cell>
          <cell r="B1249" t="str">
            <v>DK-LY-K518</v>
          </cell>
        </row>
        <row r="1250">
          <cell r="A1250" t="str">
            <v>DK-LY-K518-B0-40</v>
          </cell>
          <cell r="B1250" t="str">
            <v>DK-LY-K518</v>
          </cell>
        </row>
        <row r="1251">
          <cell r="A1251" t="str">
            <v>DK-LY-K518-B0-42</v>
          </cell>
          <cell r="B1251" t="str">
            <v>DK-LY-K518</v>
          </cell>
        </row>
        <row r="1252">
          <cell r="A1252" t="str">
            <v>DK-LY-K518-B0-44</v>
          </cell>
          <cell r="B1252" t="str">
            <v>DK-LY-K518</v>
          </cell>
        </row>
        <row r="1253">
          <cell r="A1253" t="str">
            <v>DK-LY-K518-G0-32</v>
          </cell>
          <cell r="B1253" t="str">
            <v>DK-LY-K518</v>
          </cell>
        </row>
        <row r="1254">
          <cell r="A1254" t="str">
            <v>DK-LY-K518-G0-34</v>
          </cell>
          <cell r="B1254" t="str">
            <v>DK-LY-K518</v>
          </cell>
        </row>
        <row r="1255">
          <cell r="A1255" t="str">
            <v>DK-LY-K518-G0-36</v>
          </cell>
          <cell r="B1255" t="str">
            <v>DK-LY-K518</v>
          </cell>
        </row>
        <row r="1256">
          <cell r="A1256" t="str">
            <v>DK-LY-K518-G0-38</v>
          </cell>
          <cell r="B1256" t="str">
            <v>DK-LY-K518</v>
          </cell>
        </row>
        <row r="1257">
          <cell r="A1257" t="str">
            <v>DK-LY-K518-G0-40</v>
          </cell>
          <cell r="B1257" t="str">
            <v>DK-LY-K518</v>
          </cell>
        </row>
        <row r="1258">
          <cell r="A1258" t="str">
            <v>DK-LY-K518-G0-42</v>
          </cell>
          <cell r="B1258" t="str">
            <v>DK-LY-K518</v>
          </cell>
        </row>
        <row r="1259">
          <cell r="A1259" t="str">
            <v>DK-LY-K518-G0-44</v>
          </cell>
          <cell r="B1259" t="str">
            <v>DK-LY-K518</v>
          </cell>
        </row>
        <row r="1260">
          <cell r="A1260" t="str">
            <v>DK-LY-K518-K0-32</v>
          </cell>
          <cell r="B1260" t="str">
            <v>DK-LY-K518</v>
          </cell>
        </row>
        <row r="1261">
          <cell r="A1261" t="str">
            <v>DK-LY-K518-K0-34</v>
          </cell>
          <cell r="B1261" t="str">
            <v>DK-LY-K518</v>
          </cell>
        </row>
        <row r="1262">
          <cell r="A1262" t="str">
            <v>DK-LY-K518-K0-36</v>
          </cell>
          <cell r="B1262" t="str">
            <v>DK-LY-K518</v>
          </cell>
        </row>
        <row r="1263">
          <cell r="A1263" t="str">
            <v>DK-LY-K518-K0-38</v>
          </cell>
          <cell r="B1263" t="str">
            <v>DK-LY-K518</v>
          </cell>
        </row>
        <row r="1264">
          <cell r="A1264" t="str">
            <v>DK-LY-K518-K0-40</v>
          </cell>
          <cell r="B1264" t="str">
            <v>DK-LY-K518</v>
          </cell>
        </row>
        <row r="1265">
          <cell r="A1265" t="str">
            <v>DK-LY-K518-K0-42</v>
          </cell>
          <cell r="B1265" t="str">
            <v>DK-LY-K518</v>
          </cell>
        </row>
        <row r="1266">
          <cell r="A1266" t="str">
            <v>DK-LY-K518-K0-44</v>
          </cell>
          <cell r="B1266" t="str">
            <v>DK-LY-K518</v>
          </cell>
        </row>
        <row r="1267">
          <cell r="A1267" t="str">
            <v>DK-LY-K518-KQ-32</v>
          </cell>
          <cell r="B1267" t="str">
            <v>DK-LY-K518</v>
          </cell>
        </row>
        <row r="1268">
          <cell r="A1268" t="str">
            <v>DK-LY-K518-KQ-34</v>
          </cell>
          <cell r="B1268" t="str">
            <v>DK-LY-K518</v>
          </cell>
        </row>
        <row r="1269">
          <cell r="A1269" t="str">
            <v>DK-LY-K518-KQ-36</v>
          </cell>
          <cell r="B1269" t="str">
            <v>DK-LY-K518</v>
          </cell>
        </row>
        <row r="1270">
          <cell r="A1270" t="str">
            <v>DK-LY-K518-KQ-38</v>
          </cell>
          <cell r="B1270" t="str">
            <v>DK-LY-K518</v>
          </cell>
        </row>
        <row r="1271">
          <cell r="A1271" t="str">
            <v>DK-LY-K518-KQ-40</v>
          </cell>
          <cell r="B1271" t="str">
            <v>DK-LY-K518</v>
          </cell>
        </row>
        <row r="1272">
          <cell r="A1272" t="str">
            <v>DK-LY-K518-KQ-42</v>
          </cell>
          <cell r="B1272" t="str">
            <v>DK-LY-K518</v>
          </cell>
        </row>
        <row r="1273">
          <cell r="A1273" t="str">
            <v>DK-LY-K518-KQ-44</v>
          </cell>
          <cell r="B1273" t="str">
            <v>DK-LY-K518</v>
          </cell>
        </row>
        <row r="1274">
          <cell r="A1274" t="str">
            <v>DK-LY-K518-OR-32</v>
          </cell>
          <cell r="B1274" t="str">
            <v>DK-LY-K518</v>
          </cell>
        </row>
        <row r="1275">
          <cell r="A1275" t="str">
            <v>DK-LY-K518-OR-34</v>
          </cell>
          <cell r="B1275" t="str">
            <v>DK-LY-K518</v>
          </cell>
        </row>
        <row r="1276">
          <cell r="A1276" t="str">
            <v>DK-LY-K518-OR-36</v>
          </cell>
          <cell r="B1276" t="str">
            <v>DK-LY-K518</v>
          </cell>
        </row>
        <row r="1277">
          <cell r="A1277" t="str">
            <v>DK-LY-K518-OR-38</v>
          </cell>
          <cell r="B1277" t="str">
            <v>DK-LY-K518</v>
          </cell>
        </row>
        <row r="1278">
          <cell r="A1278" t="str">
            <v>DK-LY-K518-OR-40</v>
          </cell>
          <cell r="B1278" t="str">
            <v>DK-LY-K518</v>
          </cell>
        </row>
        <row r="1279">
          <cell r="A1279" t="str">
            <v>DK-LY-K518-OR-42</v>
          </cell>
          <cell r="B1279" t="str">
            <v>DK-LY-K518</v>
          </cell>
        </row>
        <row r="1280">
          <cell r="A1280" t="str">
            <v>DK-LY-K518-OR-44</v>
          </cell>
          <cell r="B1280" t="str">
            <v>DK-LY-K518</v>
          </cell>
        </row>
        <row r="1281">
          <cell r="A1281" t="str">
            <v>DK-LY-K559-K0-32</v>
          </cell>
          <cell r="B1281" t="str">
            <v>DK-LY-K559</v>
          </cell>
        </row>
        <row r="1282">
          <cell r="A1282" t="str">
            <v>DK-LY-K559-K0-34</v>
          </cell>
          <cell r="B1282" t="str">
            <v>DK-LY-K559</v>
          </cell>
        </row>
        <row r="1283">
          <cell r="A1283" t="str">
            <v>DK-LY-K559-K0-36</v>
          </cell>
          <cell r="B1283" t="str">
            <v>DK-LY-K559</v>
          </cell>
        </row>
        <row r="1284">
          <cell r="A1284" t="str">
            <v>DK-LY-K559-K0-38</v>
          </cell>
          <cell r="B1284" t="str">
            <v>DK-LY-K559</v>
          </cell>
        </row>
        <row r="1285">
          <cell r="A1285" t="str">
            <v>DK-LY-K559-K0-40</v>
          </cell>
          <cell r="B1285" t="str">
            <v>DK-LY-K559</v>
          </cell>
        </row>
        <row r="1286">
          <cell r="A1286" t="str">
            <v>DK-LY-K559-K0-42</v>
          </cell>
          <cell r="B1286" t="str">
            <v>DK-LY-K559</v>
          </cell>
        </row>
        <row r="1287">
          <cell r="A1287" t="str">
            <v>DK-LY-K559-K0-44</v>
          </cell>
          <cell r="B1287" t="str">
            <v>DK-LY-K559</v>
          </cell>
        </row>
        <row r="1288">
          <cell r="A1288" t="str">
            <v>DK-LY-K559-KQ-32</v>
          </cell>
          <cell r="B1288" t="str">
            <v>DK-LY-K559</v>
          </cell>
        </row>
        <row r="1289">
          <cell r="A1289" t="str">
            <v>DK-LY-K559-KQ-34</v>
          </cell>
          <cell r="B1289" t="str">
            <v>DK-LY-K559</v>
          </cell>
        </row>
        <row r="1290">
          <cell r="A1290" t="str">
            <v>DK-LY-K559-KQ-36</v>
          </cell>
          <cell r="B1290" t="str">
            <v>DK-LY-K559</v>
          </cell>
        </row>
        <row r="1291">
          <cell r="A1291" t="str">
            <v>DK-LY-K559-KQ-38</v>
          </cell>
          <cell r="B1291" t="str">
            <v>DK-LY-K559</v>
          </cell>
        </row>
        <row r="1292">
          <cell r="A1292" t="str">
            <v>DK-LY-K559-KQ-40</v>
          </cell>
          <cell r="B1292" t="str">
            <v>DK-LY-K559</v>
          </cell>
        </row>
        <row r="1293">
          <cell r="A1293" t="str">
            <v>DK-LY-K559-KQ-42</v>
          </cell>
          <cell r="B1293" t="str">
            <v>DK-LY-K559</v>
          </cell>
        </row>
        <row r="1294">
          <cell r="A1294" t="str">
            <v>DK-LY-K559-KQ-44</v>
          </cell>
          <cell r="B1294" t="str">
            <v>DK-LY-K559</v>
          </cell>
        </row>
        <row r="1295">
          <cell r="A1295" t="str">
            <v>DK-LY-K559-LB-32</v>
          </cell>
          <cell r="B1295" t="str">
            <v>DK-LY-K559</v>
          </cell>
        </row>
        <row r="1296">
          <cell r="A1296" t="str">
            <v>DK-LY-K559-LB-34</v>
          </cell>
          <cell r="B1296" t="str">
            <v>DK-LY-K559</v>
          </cell>
        </row>
        <row r="1297">
          <cell r="A1297" t="str">
            <v>DK-LY-K559-LB-36</v>
          </cell>
          <cell r="B1297" t="str">
            <v>DK-LY-K559</v>
          </cell>
        </row>
        <row r="1298">
          <cell r="A1298" t="str">
            <v>DK-LY-K559-LB-38</v>
          </cell>
          <cell r="B1298" t="str">
            <v>DK-LY-K559</v>
          </cell>
        </row>
        <row r="1299">
          <cell r="A1299" t="str">
            <v>DK-LY-K559-LB-40</v>
          </cell>
          <cell r="B1299" t="str">
            <v>DK-LY-K559</v>
          </cell>
        </row>
        <row r="1300">
          <cell r="A1300" t="str">
            <v>DK-LY-K559-LB-42</v>
          </cell>
          <cell r="B1300" t="str">
            <v>DK-LY-K559</v>
          </cell>
        </row>
        <row r="1301">
          <cell r="A1301" t="str">
            <v>DK-LY-K559-LB-44</v>
          </cell>
          <cell r="B1301" t="str">
            <v>DK-LY-K559</v>
          </cell>
        </row>
        <row r="1302">
          <cell r="A1302" t="str">
            <v>DK-LY-K559-OR-32</v>
          </cell>
          <cell r="B1302" t="str">
            <v>DK-LY-K559</v>
          </cell>
        </row>
        <row r="1303">
          <cell r="A1303" t="str">
            <v>DK-LY-K559-OR-34</v>
          </cell>
          <cell r="B1303" t="str">
            <v>DK-LY-K559</v>
          </cell>
        </row>
        <row r="1304">
          <cell r="A1304" t="str">
            <v>DK-LY-K559-OR-36</v>
          </cell>
          <cell r="B1304" t="str">
            <v>DK-LY-K559</v>
          </cell>
        </row>
        <row r="1305">
          <cell r="A1305" t="str">
            <v>DK-LY-K559-OR-38</v>
          </cell>
          <cell r="B1305" t="str">
            <v>DK-LY-K559</v>
          </cell>
        </row>
        <row r="1306">
          <cell r="A1306" t="str">
            <v>DK-LY-K559-OR-40</v>
          </cell>
          <cell r="B1306" t="str">
            <v>DK-LY-K559</v>
          </cell>
        </row>
        <row r="1307">
          <cell r="A1307" t="str">
            <v>DK-LY-K559-OR-42</v>
          </cell>
          <cell r="B1307" t="str">
            <v>DK-LY-K559</v>
          </cell>
        </row>
        <row r="1308">
          <cell r="A1308" t="str">
            <v>DK-LY-K559-OR-44</v>
          </cell>
          <cell r="B1308" t="str">
            <v>DK-LY-K559</v>
          </cell>
        </row>
        <row r="1309">
          <cell r="A1309" t="str">
            <v>DK-LY-K559-R0-32</v>
          </cell>
          <cell r="B1309" t="str">
            <v>DK-LY-K559</v>
          </cell>
        </row>
        <row r="1310">
          <cell r="A1310" t="str">
            <v>DK-LY-K559-R0-34</v>
          </cell>
          <cell r="B1310" t="str">
            <v>DK-LY-K559</v>
          </cell>
        </row>
        <row r="1311">
          <cell r="A1311" t="str">
            <v>DK-LY-K559-R0-36</v>
          </cell>
          <cell r="B1311" t="str">
            <v>DK-LY-K559</v>
          </cell>
        </row>
        <row r="1312">
          <cell r="A1312" t="str">
            <v>DK-LY-K559-R0-38</v>
          </cell>
          <cell r="B1312" t="str">
            <v>DK-LY-K559</v>
          </cell>
        </row>
        <row r="1313">
          <cell r="A1313" t="str">
            <v>DK-LY-K559-R0-40</v>
          </cell>
          <cell r="B1313" t="str">
            <v>DK-LY-K559</v>
          </cell>
        </row>
        <row r="1314">
          <cell r="A1314" t="str">
            <v>DK-LY-K559-R0-42</v>
          </cell>
          <cell r="B1314" t="str">
            <v>DK-LY-K559</v>
          </cell>
        </row>
        <row r="1315">
          <cell r="A1315" t="str">
            <v>DK-LY-K559-R0-44</v>
          </cell>
          <cell r="B1315" t="str">
            <v>DK-LY-K559</v>
          </cell>
        </row>
        <row r="1316">
          <cell r="A1316" t="str">
            <v>DS002</v>
          </cell>
          <cell r="B1316" t="str">
            <v>DS002</v>
          </cell>
        </row>
        <row r="1317">
          <cell r="A1317" t="str">
            <v>DX-TW410</v>
          </cell>
          <cell r="B1317" t="str">
            <v>DX-TW410</v>
          </cell>
        </row>
        <row r="1318">
          <cell r="A1318" t="str">
            <v>DX-TW410-K0-2X</v>
          </cell>
          <cell r="B1318" t="str">
            <v>DX-TW410</v>
          </cell>
        </row>
        <row r="1319">
          <cell r="A1319" t="str">
            <v>DX-TW410-K0-L</v>
          </cell>
          <cell r="B1319" t="str">
            <v>DX-TW410</v>
          </cell>
        </row>
        <row r="1320">
          <cell r="A1320" t="str">
            <v>DX-TW410-K0-M</v>
          </cell>
          <cell r="B1320" t="str">
            <v>DX-TW410</v>
          </cell>
        </row>
        <row r="1321">
          <cell r="A1321" t="str">
            <v>DX-TW410-K0-S</v>
          </cell>
          <cell r="B1321" t="str">
            <v>DX-TW410</v>
          </cell>
        </row>
        <row r="1322">
          <cell r="A1322" t="str">
            <v>DX-TW410-K0-XL</v>
          </cell>
          <cell r="B1322" t="str">
            <v>DX-TW410</v>
          </cell>
        </row>
        <row r="1323">
          <cell r="A1323" t="str">
            <v>DX-TW410-K0-XS</v>
          </cell>
          <cell r="B1323" t="str">
            <v>DX-TW410</v>
          </cell>
        </row>
        <row r="1324">
          <cell r="A1324" t="str">
            <v>DZ-IUYL200-BK</v>
          </cell>
          <cell r="B1324" t="str">
            <v>DZ-IUYL200</v>
          </cell>
        </row>
        <row r="1325">
          <cell r="A1325" t="str">
            <v>DZ-IUYL200-GR</v>
          </cell>
          <cell r="B1325" t="str">
            <v>DZ-IUYL200</v>
          </cell>
        </row>
        <row r="1326">
          <cell r="A1326" t="str">
            <v>DZ-IUYL210-BK</v>
          </cell>
          <cell r="B1326" t="str">
            <v>DZ-IUYL210</v>
          </cell>
        </row>
        <row r="1327">
          <cell r="A1327" t="str">
            <v>DZ-IUYL210-CF</v>
          </cell>
          <cell r="B1327" t="str">
            <v>DZ-IUYL210</v>
          </cell>
        </row>
        <row r="1328">
          <cell r="A1328" t="str">
            <v>DZ-IUYL210-GR</v>
          </cell>
          <cell r="B1328" t="str">
            <v>DZ-IUYL210</v>
          </cell>
        </row>
        <row r="1329">
          <cell r="A1329" t="str">
            <v>DZ-IUYL210-KK</v>
          </cell>
          <cell r="B1329" t="str">
            <v>DZ-IUYL210</v>
          </cell>
        </row>
        <row r="1330">
          <cell r="A1330" t="str">
            <v>DZ-IUYL220-BK</v>
          </cell>
          <cell r="B1330" t="str">
            <v>DZ-IUYL220</v>
          </cell>
        </row>
        <row r="1331">
          <cell r="A1331" t="str">
            <v>DZ-IUYL220-GR</v>
          </cell>
          <cell r="B1331" t="str">
            <v>DZ-IUYL220</v>
          </cell>
        </row>
        <row r="1332">
          <cell r="A1332" t="str">
            <v>FBA-YZ5505Da0L</v>
          </cell>
          <cell r="B1332" t="str">
            <v>YZ5505</v>
          </cell>
        </row>
        <row r="1333">
          <cell r="A1333" t="str">
            <v>FBA-YZ5505Da2L</v>
          </cell>
          <cell r="B1333" t="str">
            <v>YZ5505</v>
          </cell>
        </row>
        <row r="1334">
          <cell r="A1334" t="str">
            <v>FBA-YZ5505DaM</v>
          </cell>
          <cell r="B1334" t="str">
            <v>YZ5505</v>
          </cell>
        </row>
        <row r="1335">
          <cell r="A1335" t="str">
            <v>FBA-YZ5505DaS</v>
          </cell>
          <cell r="B1335" t="str">
            <v>YZ5505</v>
          </cell>
        </row>
        <row r="1336">
          <cell r="A1336" t="str">
            <v>FBA-YZ5505DaXL</v>
          </cell>
          <cell r="B1336" t="str">
            <v>YZ5505</v>
          </cell>
        </row>
        <row r="1337">
          <cell r="A1337" t="str">
            <v>FBA-YZ5505DaXS</v>
          </cell>
          <cell r="B1337" t="str">
            <v>YZ5505</v>
          </cell>
        </row>
        <row r="1338">
          <cell r="A1338" t="str">
            <v>FT5505</v>
          </cell>
          <cell r="B1338" t="str">
            <v>FT5505</v>
          </cell>
        </row>
        <row r="1339">
          <cell r="A1339" t="str">
            <v>GM-0012L-ZJ</v>
          </cell>
          <cell r="B1339" t="str">
            <v>GM-001</v>
          </cell>
        </row>
        <row r="1340">
          <cell r="A1340" t="str">
            <v>GM-0013L</v>
          </cell>
          <cell r="B1340" t="str">
            <v>GM-001</v>
          </cell>
        </row>
        <row r="1341">
          <cell r="A1341" t="str">
            <v>GM-0014L-C</v>
          </cell>
          <cell r="B1341" t="str">
            <v>GM-001</v>
          </cell>
        </row>
        <row r="1342">
          <cell r="A1342" t="str">
            <v>GM-001L</v>
          </cell>
          <cell r="B1342" t="str">
            <v>GM-001</v>
          </cell>
        </row>
        <row r="1343">
          <cell r="A1343" t="str">
            <v>GM-001L-ZJ</v>
          </cell>
          <cell r="B1343" t="str">
            <v>GM-001</v>
          </cell>
        </row>
        <row r="1344">
          <cell r="A1344" t="str">
            <v>GM-001M-ZJ</v>
          </cell>
          <cell r="B1344" t="str">
            <v>GM-001</v>
          </cell>
        </row>
        <row r="1345">
          <cell r="A1345" t="str">
            <v>GM-001XL-ZJ</v>
          </cell>
          <cell r="B1345" t="str">
            <v>GM-001</v>
          </cell>
        </row>
        <row r="1346">
          <cell r="A1346" t="str">
            <v>GM-AC</v>
          </cell>
          <cell r="B1346" t="str">
            <v>GM-AC</v>
          </cell>
        </row>
        <row r="1347">
          <cell r="A1347" t="str">
            <v>GM-SJ002</v>
          </cell>
          <cell r="B1347" t="str">
            <v>GM-SJ002</v>
          </cell>
        </row>
        <row r="1348">
          <cell r="A1348" t="str">
            <v>GM-SJ002B0</v>
          </cell>
          <cell r="B1348" t="str">
            <v>GM-SJ002</v>
          </cell>
        </row>
        <row r="1349">
          <cell r="A1349" t="str">
            <v>GM-SJ002B0-GM</v>
          </cell>
          <cell r="B1349" t="str">
            <v>GM-SJ002</v>
          </cell>
        </row>
        <row r="1350">
          <cell r="A1350" t="str">
            <v>GM-SJ002BW</v>
          </cell>
          <cell r="B1350" t="str">
            <v>GM-SJ002</v>
          </cell>
        </row>
        <row r="1351">
          <cell r="A1351" t="str">
            <v>GM-SJ002G0</v>
          </cell>
          <cell r="B1351" t="str">
            <v>GM-SJ002</v>
          </cell>
        </row>
        <row r="1352">
          <cell r="A1352" t="str">
            <v>GM-SJ002-Pi</v>
          </cell>
          <cell r="B1352" t="str">
            <v>GM-SJ002</v>
          </cell>
        </row>
        <row r="1353">
          <cell r="A1353" t="str">
            <v>GM-SJ002W0</v>
          </cell>
          <cell r="B1353" t="str">
            <v>GM-SJ002</v>
          </cell>
        </row>
        <row r="1354">
          <cell r="A1354" t="str">
            <v>GM-SJ002W0-GM</v>
          </cell>
          <cell r="B1354" t="str">
            <v>GM-SJ002</v>
          </cell>
        </row>
        <row r="1355">
          <cell r="A1355" t="str">
            <v>GS-IUYL270</v>
          </cell>
          <cell r="B1355" t="str">
            <v>GS-IUYL270</v>
          </cell>
        </row>
        <row r="1356">
          <cell r="A1356" t="str">
            <v>GS-IUYL280-1</v>
          </cell>
          <cell r="B1356" t="str">
            <v>GS-IUYL280</v>
          </cell>
        </row>
        <row r="1357">
          <cell r="A1357" t="str">
            <v>GS-IUYL280-2</v>
          </cell>
          <cell r="B1357" t="str">
            <v>GS-IUYL280</v>
          </cell>
        </row>
        <row r="1358">
          <cell r="A1358" t="str">
            <v>GS-IUYL280-3</v>
          </cell>
          <cell r="B1358" t="str">
            <v>GS-IUYL280</v>
          </cell>
        </row>
        <row r="1359">
          <cell r="A1359" t="str">
            <v>GS-PUHM019-B0-L</v>
          </cell>
          <cell r="B1359" t="str">
            <v>GS-PUHM019</v>
          </cell>
        </row>
        <row r="1360">
          <cell r="A1360" t="str">
            <v>GS-PUHM019-B0-M</v>
          </cell>
          <cell r="B1360" t="str">
            <v>GS-PUHM019</v>
          </cell>
        </row>
        <row r="1361">
          <cell r="A1361" t="str">
            <v>GS-PUHM019-B0-S</v>
          </cell>
          <cell r="B1361" t="str">
            <v>GS-PUHM019</v>
          </cell>
        </row>
        <row r="1362">
          <cell r="A1362" t="str">
            <v>GS-PUHM019-B0-XL</v>
          </cell>
          <cell r="B1362" t="str">
            <v>GS-PUHM019</v>
          </cell>
        </row>
        <row r="1363">
          <cell r="A1363" t="str">
            <v>GS-PUHM019-K0-L</v>
          </cell>
          <cell r="B1363" t="str">
            <v>GS-PUHM019</v>
          </cell>
        </row>
        <row r="1364">
          <cell r="A1364" t="str">
            <v>GS-PUHM019-K0-M</v>
          </cell>
          <cell r="B1364" t="str">
            <v>GS-PUHM019</v>
          </cell>
        </row>
        <row r="1365">
          <cell r="A1365" t="str">
            <v>GS-PUHM019-K0-S</v>
          </cell>
          <cell r="B1365" t="str">
            <v>GS-PUHM019</v>
          </cell>
        </row>
        <row r="1366">
          <cell r="A1366" t="str">
            <v>GS-PUHM019-K0-XL</v>
          </cell>
          <cell r="B1366" t="str">
            <v>GS-PUHM019</v>
          </cell>
        </row>
        <row r="1367">
          <cell r="A1367" t="str">
            <v>GS-PUHM019-R0-L</v>
          </cell>
          <cell r="B1367" t="str">
            <v>GS-PUHM019</v>
          </cell>
        </row>
        <row r="1368">
          <cell r="A1368" t="str">
            <v>GS-PUHM019-R0-M</v>
          </cell>
          <cell r="B1368" t="str">
            <v>GS-PUHM019</v>
          </cell>
        </row>
        <row r="1369">
          <cell r="A1369" t="str">
            <v>GS-PUHM019-R0-S</v>
          </cell>
          <cell r="B1369" t="str">
            <v>GS-PUHM019</v>
          </cell>
        </row>
        <row r="1370">
          <cell r="A1370" t="str">
            <v>GS-PUHM019-R0-XL</v>
          </cell>
          <cell r="B1370" t="str">
            <v>GS-PUHM019</v>
          </cell>
        </row>
        <row r="1371">
          <cell r="A1371" t="str">
            <v>GW-IUHM-BONE-BK-L</v>
          </cell>
          <cell r="B1371" t="str">
            <v>GW-IUHM</v>
          </cell>
        </row>
        <row r="1372">
          <cell r="A1372" t="str">
            <v>GW-IUHM-BONE-BK-M</v>
          </cell>
          <cell r="B1372" t="str">
            <v>GW-IUHM</v>
          </cell>
        </row>
        <row r="1373">
          <cell r="A1373" t="str">
            <v>GW-IUHM-BONE-BK-S</v>
          </cell>
          <cell r="B1373" t="str">
            <v>GW-IUHM</v>
          </cell>
        </row>
        <row r="1374">
          <cell r="A1374" t="str">
            <v>GW-IUHM-BONE-BK-XL</v>
          </cell>
          <cell r="B1374" t="str">
            <v>GW-IUHM</v>
          </cell>
        </row>
        <row r="1375">
          <cell r="A1375" t="str">
            <v>GW-IUHM-BONE-CF-L</v>
          </cell>
          <cell r="B1375" t="str">
            <v>GW-IUHM</v>
          </cell>
        </row>
        <row r="1376">
          <cell r="A1376" t="str">
            <v>GW-IUHM-BONE-CF-M</v>
          </cell>
          <cell r="B1376" t="str">
            <v>GW-IUHM</v>
          </cell>
        </row>
        <row r="1377">
          <cell r="A1377" t="str">
            <v>GW-IUHM-BONE-CF-S</v>
          </cell>
          <cell r="B1377" t="str">
            <v>GW-IUHM</v>
          </cell>
        </row>
        <row r="1378">
          <cell r="A1378" t="str">
            <v>GW-IUHM-BONE-CF-XL</v>
          </cell>
          <cell r="B1378" t="str">
            <v>GW-IUHM</v>
          </cell>
        </row>
        <row r="1379">
          <cell r="A1379" t="str">
            <v>GW-IUHM-BONE-GR-L</v>
          </cell>
          <cell r="B1379" t="str">
            <v>GW-IUHM</v>
          </cell>
        </row>
        <row r="1380">
          <cell r="A1380" t="str">
            <v>GW-IUHM-BONE-GR-M</v>
          </cell>
          <cell r="B1380" t="str">
            <v>GW-IUHM</v>
          </cell>
        </row>
        <row r="1381">
          <cell r="A1381" t="str">
            <v>GW-IUHM-BONE-GR-S</v>
          </cell>
          <cell r="B1381" t="str">
            <v>GW-IUHM</v>
          </cell>
        </row>
        <row r="1382">
          <cell r="A1382" t="str">
            <v>GW-IUHM-BONE-GR-XL</v>
          </cell>
          <cell r="B1382" t="str">
            <v>GW-IUHM</v>
          </cell>
        </row>
        <row r="1383">
          <cell r="A1383" t="str">
            <v>GW-IUHM-BONE-LB-L</v>
          </cell>
          <cell r="B1383" t="str">
            <v>GW-IUHM</v>
          </cell>
        </row>
        <row r="1384">
          <cell r="A1384" t="str">
            <v>GW-IUHM-BONE-LB-M</v>
          </cell>
          <cell r="B1384" t="str">
            <v>GW-IUHM</v>
          </cell>
        </row>
        <row r="1385">
          <cell r="A1385" t="str">
            <v>GW-IUHM-BONE-LB-S</v>
          </cell>
          <cell r="B1385" t="str">
            <v>GW-IUHM</v>
          </cell>
        </row>
        <row r="1386">
          <cell r="A1386" t="str">
            <v>GW-IUHM-BONE-LB-XL</v>
          </cell>
          <cell r="B1386" t="str">
            <v>GW-IUHM</v>
          </cell>
        </row>
        <row r="1387">
          <cell r="A1387" t="str">
            <v>GW-IUHM-BONE-PK-L</v>
          </cell>
          <cell r="B1387" t="str">
            <v>GW-IUHM</v>
          </cell>
        </row>
        <row r="1388">
          <cell r="A1388" t="str">
            <v>GW-IUHM-BONE-PK-M</v>
          </cell>
          <cell r="B1388" t="str">
            <v>GW-IUHM</v>
          </cell>
        </row>
        <row r="1389">
          <cell r="A1389" t="str">
            <v>GW-IUHM-BONE-PK-S</v>
          </cell>
          <cell r="B1389" t="str">
            <v>GW-IUHM</v>
          </cell>
        </row>
        <row r="1390">
          <cell r="A1390" t="str">
            <v>GW-IUHM-BONE-PK-XL</v>
          </cell>
          <cell r="B1390" t="str">
            <v>GW-IUHM</v>
          </cell>
        </row>
        <row r="1391">
          <cell r="A1391" t="str">
            <v>GW-IUHM-PAW-CF-L</v>
          </cell>
          <cell r="B1391" t="str">
            <v>GW-IUHM</v>
          </cell>
        </row>
        <row r="1392">
          <cell r="A1392" t="str">
            <v>GW-IUHM-PAW-CF-M</v>
          </cell>
          <cell r="B1392" t="str">
            <v>GW-IUHM</v>
          </cell>
        </row>
        <row r="1393">
          <cell r="A1393" t="str">
            <v>GW-IUHM-PAW-CF-S</v>
          </cell>
          <cell r="B1393" t="str">
            <v>GW-IUHM</v>
          </cell>
        </row>
        <row r="1394">
          <cell r="A1394" t="str">
            <v>GW-IUHM-PAW-CF-XL</v>
          </cell>
          <cell r="B1394" t="str">
            <v>GW-IUHM</v>
          </cell>
        </row>
        <row r="1395">
          <cell r="A1395" t="str">
            <v>GW-IUHM-PAW-GN-L</v>
          </cell>
          <cell r="B1395" t="str">
            <v>GW-IUHM</v>
          </cell>
        </row>
        <row r="1396">
          <cell r="A1396" t="str">
            <v>GW-IUHM-PAW-GN-M</v>
          </cell>
          <cell r="B1396" t="str">
            <v>GW-IUHM</v>
          </cell>
        </row>
        <row r="1397">
          <cell r="A1397" t="str">
            <v>GW-IUHM-PAW-GN-S</v>
          </cell>
          <cell r="B1397" t="str">
            <v>GW-IUHM</v>
          </cell>
        </row>
        <row r="1398">
          <cell r="A1398" t="str">
            <v>GW-IUHM-PAW-GN-XL</v>
          </cell>
          <cell r="B1398" t="str">
            <v>GW-IUHM</v>
          </cell>
        </row>
        <row r="1399">
          <cell r="A1399" t="str">
            <v>GW-IUHM-PAW-LB-L</v>
          </cell>
          <cell r="B1399" t="str">
            <v>GW-IUHM</v>
          </cell>
        </row>
        <row r="1400">
          <cell r="A1400" t="str">
            <v>GW-IUHM-PAW-LB-M</v>
          </cell>
          <cell r="B1400" t="str">
            <v>GW-IUHM</v>
          </cell>
        </row>
        <row r="1401">
          <cell r="A1401" t="str">
            <v>GW-IUHM-PAW-LB-S</v>
          </cell>
          <cell r="B1401" t="str">
            <v>GW-IUHM</v>
          </cell>
        </row>
        <row r="1402">
          <cell r="A1402" t="str">
            <v>GW-IUHM-PAW-LB-XL</v>
          </cell>
          <cell r="B1402" t="str">
            <v>GW-IUHM</v>
          </cell>
        </row>
        <row r="1403">
          <cell r="A1403" t="str">
            <v>GW-IUHM-PAW-OR-L</v>
          </cell>
          <cell r="B1403" t="str">
            <v>GW-IUHM</v>
          </cell>
        </row>
        <row r="1404">
          <cell r="A1404" t="str">
            <v>GW-IUHM-PAW-OR-M</v>
          </cell>
          <cell r="B1404" t="str">
            <v>GW-IUHM</v>
          </cell>
        </row>
        <row r="1405">
          <cell r="A1405" t="str">
            <v>GW-IUHM-PAW-OR-S</v>
          </cell>
          <cell r="B1405" t="str">
            <v>GW-IUHM</v>
          </cell>
        </row>
        <row r="1406">
          <cell r="A1406" t="str">
            <v>GW-IUHM-PAW-OR-XL</v>
          </cell>
          <cell r="B1406" t="str">
            <v>GW-IUHM</v>
          </cell>
        </row>
        <row r="1407">
          <cell r="A1407" t="str">
            <v>GW-IUHM-PAW-PK-L</v>
          </cell>
          <cell r="B1407" t="str">
            <v>GW-IUHM</v>
          </cell>
        </row>
        <row r="1408">
          <cell r="A1408" t="str">
            <v>GW-IUHM-PAW-PK-M</v>
          </cell>
          <cell r="B1408" t="str">
            <v>GW-IUHM</v>
          </cell>
        </row>
        <row r="1409">
          <cell r="A1409" t="str">
            <v>GW-IUHM-PAW-PK-S</v>
          </cell>
          <cell r="B1409" t="str">
            <v>GW-IUHM</v>
          </cell>
        </row>
        <row r="1410">
          <cell r="A1410" t="str">
            <v>GW-IUHM-PAW-PK-XL</v>
          </cell>
          <cell r="B1410" t="str">
            <v>GW-IUHM</v>
          </cell>
        </row>
        <row r="1411">
          <cell r="A1411" t="str">
            <v>GW-LULHY-10</v>
          </cell>
          <cell r="B1411" t="str">
            <v>GW-LULHY</v>
          </cell>
        </row>
        <row r="1412">
          <cell r="A1412" t="str">
            <v>GW-LULHY-4.5</v>
          </cell>
          <cell r="B1412" t="str">
            <v>GW-LULHY</v>
          </cell>
        </row>
        <row r="1413">
          <cell r="A1413" t="str">
            <v>GW-LULHY-5.1</v>
          </cell>
          <cell r="B1413" t="str">
            <v>GW-LULHY</v>
          </cell>
        </row>
        <row r="1414">
          <cell r="A1414" t="str">
            <v>GW-LULHY-6.2</v>
          </cell>
          <cell r="B1414" t="str">
            <v>GW-LULHY</v>
          </cell>
        </row>
        <row r="1415">
          <cell r="A1415" t="str">
            <v>GW-LULHY-7.6</v>
          </cell>
          <cell r="B1415" t="str">
            <v>GW-LULHY</v>
          </cell>
        </row>
        <row r="1416">
          <cell r="A1416" t="str">
            <v>GW-LULHY-8.8</v>
          </cell>
          <cell r="B1416" t="str">
            <v>GW-LULHY</v>
          </cell>
        </row>
        <row r="1417">
          <cell r="A1417" t="str">
            <v>HZB-QJTZ-IUYL300310</v>
          </cell>
          <cell r="B1417" t="str">
            <v>HZB-QJTZ-IUYL300310</v>
          </cell>
        </row>
        <row r="1418">
          <cell r="A1418" t="str">
            <v>JK-CL0137</v>
          </cell>
          <cell r="B1418" t="str">
            <v>JK-CL0137</v>
          </cell>
        </row>
        <row r="1419">
          <cell r="A1419" t="str">
            <v>JK-CL0137-BD-2XL</v>
          </cell>
          <cell r="B1419" t="str">
            <v>JK-CL0137</v>
          </cell>
        </row>
        <row r="1420">
          <cell r="A1420" t="str">
            <v>JK-CL0137-BD-3XL</v>
          </cell>
          <cell r="B1420" t="str">
            <v>JK-CL0137</v>
          </cell>
        </row>
        <row r="1421">
          <cell r="A1421" t="str">
            <v>JK-CL0137-BD-L</v>
          </cell>
          <cell r="B1421" t="str">
            <v>JK-CL0137</v>
          </cell>
        </row>
        <row r="1422">
          <cell r="A1422" t="str">
            <v>JK-CL0137-BD-M</v>
          </cell>
          <cell r="B1422" t="str">
            <v>JK-CL0137</v>
          </cell>
        </row>
        <row r="1423">
          <cell r="A1423" t="str">
            <v>JK-CL0137-BD-S</v>
          </cell>
          <cell r="B1423" t="str">
            <v>JK-CL0137</v>
          </cell>
        </row>
        <row r="1424">
          <cell r="A1424" t="str">
            <v>JK-CL0137-BD-XL</v>
          </cell>
          <cell r="B1424" t="str">
            <v>JK-CL0137</v>
          </cell>
        </row>
        <row r="1425">
          <cell r="A1425" t="str">
            <v>JK-CL0137-G7-2XL</v>
          </cell>
          <cell r="B1425" t="str">
            <v>JK-CL0137</v>
          </cell>
        </row>
        <row r="1426">
          <cell r="A1426" t="str">
            <v>JK-CL0137-G7-3XL</v>
          </cell>
          <cell r="B1426" t="str">
            <v>JK-CL0137</v>
          </cell>
        </row>
        <row r="1427">
          <cell r="A1427" t="str">
            <v>JK-CL0137-G7-L</v>
          </cell>
          <cell r="B1427" t="str">
            <v>JK-CL0137</v>
          </cell>
        </row>
        <row r="1428">
          <cell r="A1428" t="str">
            <v>JK-CL0137-G7-M</v>
          </cell>
          <cell r="B1428" t="str">
            <v>JK-CL0137</v>
          </cell>
        </row>
        <row r="1429">
          <cell r="A1429" t="str">
            <v>JK-CL0137-G7-S</v>
          </cell>
          <cell r="B1429" t="str">
            <v>JK-CL0137</v>
          </cell>
        </row>
        <row r="1430">
          <cell r="A1430" t="str">
            <v>JK-CL0137-G7-XL</v>
          </cell>
          <cell r="B1430" t="str">
            <v>JK-CL0137</v>
          </cell>
        </row>
        <row r="1431">
          <cell r="A1431" t="str">
            <v>JK-CL0137-K0-2XL</v>
          </cell>
          <cell r="B1431" t="str">
            <v>JK-CL0137</v>
          </cell>
        </row>
        <row r="1432">
          <cell r="A1432" t="str">
            <v>JK-CL0137-K0-3XL</v>
          </cell>
          <cell r="B1432" t="str">
            <v>JK-CL0137</v>
          </cell>
        </row>
        <row r="1433">
          <cell r="A1433" t="str">
            <v>JK-CL0137-K0-L</v>
          </cell>
          <cell r="B1433" t="str">
            <v>JK-CL0137</v>
          </cell>
        </row>
        <row r="1434">
          <cell r="A1434" t="str">
            <v>JK-CL0137-K0-M</v>
          </cell>
          <cell r="B1434" t="str">
            <v>JK-CL0137</v>
          </cell>
        </row>
        <row r="1435">
          <cell r="A1435" t="str">
            <v>JK-CL0137-K0-S</v>
          </cell>
          <cell r="B1435" t="str">
            <v>JK-CL0137</v>
          </cell>
        </row>
        <row r="1436">
          <cell r="A1436" t="str">
            <v>JK-CL0137-K0-XL</v>
          </cell>
          <cell r="B1436" t="str">
            <v>JK-CL0137</v>
          </cell>
        </row>
        <row r="1437">
          <cell r="A1437" t="str">
            <v>JK-CL0137-ZL-2XL</v>
          </cell>
          <cell r="B1437" t="str">
            <v>JK-CL0137</v>
          </cell>
        </row>
        <row r="1438">
          <cell r="A1438" t="str">
            <v>JK-CL0137-ZL-3XL</v>
          </cell>
          <cell r="B1438" t="str">
            <v>JK-CL0137</v>
          </cell>
        </row>
        <row r="1439">
          <cell r="A1439" t="str">
            <v>JK-CL0137-ZL-L</v>
          </cell>
          <cell r="B1439" t="str">
            <v>JK-CL0137</v>
          </cell>
        </row>
        <row r="1440">
          <cell r="A1440" t="str">
            <v>JK-CL0137-ZL-M</v>
          </cell>
          <cell r="B1440" t="str">
            <v>JK-CL0137</v>
          </cell>
        </row>
        <row r="1441">
          <cell r="A1441" t="str">
            <v>JK-CL0137-ZL-S</v>
          </cell>
          <cell r="B1441" t="str">
            <v>JK-CL0137</v>
          </cell>
        </row>
        <row r="1442">
          <cell r="A1442" t="str">
            <v>JK-CL0137-ZL-XL</v>
          </cell>
          <cell r="B1442" t="str">
            <v>JK-CL0137</v>
          </cell>
        </row>
        <row r="1443">
          <cell r="A1443" t="str">
            <v>JK-SB015-DG-L</v>
          </cell>
          <cell r="B1443" t="str">
            <v>JK-SB015</v>
          </cell>
        </row>
        <row r="1444">
          <cell r="A1444" t="str">
            <v>JK-SB015-DG-M</v>
          </cell>
          <cell r="B1444" t="str">
            <v>JK-SB015</v>
          </cell>
        </row>
        <row r="1445">
          <cell r="A1445" t="str">
            <v>JK-SB015-DG-S</v>
          </cell>
          <cell r="B1445" t="str">
            <v>JK-SB015</v>
          </cell>
        </row>
        <row r="1446">
          <cell r="A1446" t="str">
            <v>JK-SB015-DG-XL</v>
          </cell>
          <cell r="B1446" t="str">
            <v>JK-SB015</v>
          </cell>
        </row>
        <row r="1447">
          <cell r="A1447" t="str">
            <v>JK-SB015-DG-XXL</v>
          </cell>
          <cell r="B1447" t="str">
            <v>JK-SB015</v>
          </cell>
        </row>
        <row r="1448">
          <cell r="A1448" t="str">
            <v>JK-SB015-KK-L</v>
          </cell>
          <cell r="B1448" t="str">
            <v>JK-SB015</v>
          </cell>
        </row>
        <row r="1449">
          <cell r="A1449" t="str">
            <v>JK-SB015-KK-M</v>
          </cell>
          <cell r="B1449" t="str">
            <v>JK-SB015</v>
          </cell>
        </row>
        <row r="1450">
          <cell r="A1450" t="str">
            <v>JK-SB015-KK-S</v>
          </cell>
          <cell r="B1450" t="str">
            <v>JK-SB015</v>
          </cell>
        </row>
        <row r="1451">
          <cell r="A1451" t="str">
            <v>JK-SB015-KK-XL</v>
          </cell>
          <cell r="B1451" t="str">
            <v>JK-SB015</v>
          </cell>
        </row>
        <row r="1452">
          <cell r="A1452" t="str">
            <v>JK-SB015-KK-XXL</v>
          </cell>
          <cell r="B1452" t="str">
            <v>JK-SB015</v>
          </cell>
        </row>
        <row r="1453">
          <cell r="A1453" t="str">
            <v>JK-SB015-LG-L</v>
          </cell>
          <cell r="B1453" t="str">
            <v>JK-SB015</v>
          </cell>
        </row>
        <row r="1454">
          <cell r="A1454" t="str">
            <v>JK-SB015-LG-M</v>
          </cell>
          <cell r="B1454" t="str">
            <v>JK-SB015</v>
          </cell>
        </row>
        <row r="1455">
          <cell r="A1455" t="str">
            <v>JK-SB015-LG-S</v>
          </cell>
          <cell r="B1455" t="str">
            <v>JK-SB015</v>
          </cell>
        </row>
        <row r="1456">
          <cell r="A1456" t="str">
            <v>JK-SB015-LG-XL</v>
          </cell>
          <cell r="B1456" t="str">
            <v>JK-SB015</v>
          </cell>
        </row>
        <row r="1457">
          <cell r="A1457" t="str">
            <v>JK-SB015-LG-XXL</v>
          </cell>
          <cell r="B1457" t="str">
            <v>JK-SB015</v>
          </cell>
        </row>
        <row r="1458">
          <cell r="A1458" t="str">
            <v>JK-SB016-BK-L</v>
          </cell>
          <cell r="B1458" t="str">
            <v>JK-SB016</v>
          </cell>
        </row>
        <row r="1459">
          <cell r="A1459" t="str">
            <v>JK-SB016-BK-M</v>
          </cell>
          <cell r="B1459" t="str">
            <v>JK-SB016</v>
          </cell>
        </row>
        <row r="1460">
          <cell r="A1460" t="str">
            <v>JK-SB016-BK-S</v>
          </cell>
          <cell r="B1460" t="str">
            <v>JK-SB016</v>
          </cell>
        </row>
        <row r="1461">
          <cell r="A1461" t="str">
            <v>JK-SB016-BK-XL</v>
          </cell>
          <cell r="B1461" t="str">
            <v>JK-SB016</v>
          </cell>
        </row>
        <row r="1462">
          <cell r="A1462" t="str">
            <v>JK-SB016-BK-XXL</v>
          </cell>
          <cell r="B1462" t="str">
            <v>JK-SB016</v>
          </cell>
        </row>
        <row r="1463">
          <cell r="A1463" t="str">
            <v>JK-SB016-CF-L</v>
          </cell>
          <cell r="B1463" t="str">
            <v>JK-SB016</v>
          </cell>
        </row>
        <row r="1464">
          <cell r="A1464" t="str">
            <v>JK-SB016-CF-M</v>
          </cell>
          <cell r="B1464" t="str">
            <v>JK-SB016</v>
          </cell>
        </row>
        <row r="1465">
          <cell r="A1465" t="str">
            <v>JK-SB016-CF-S</v>
          </cell>
          <cell r="B1465" t="str">
            <v>JK-SB016</v>
          </cell>
        </row>
        <row r="1466">
          <cell r="A1466" t="str">
            <v>JK-SB016-CF-XL</v>
          </cell>
          <cell r="B1466" t="str">
            <v>JK-SB016</v>
          </cell>
        </row>
        <row r="1467">
          <cell r="A1467" t="str">
            <v>JK-SB016-CF-XXL</v>
          </cell>
          <cell r="B1467" t="str">
            <v>JK-SB016</v>
          </cell>
        </row>
        <row r="1468">
          <cell r="A1468" t="str">
            <v>JK-SB016-GR-L</v>
          </cell>
          <cell r="B1468" t="str">
            <v>JK-SB016</v>
          </cell>
        </row>
        <row r="1469">
          <cell r="A1469" t="str">
            <v>JK-SB016-GR-M</v>
          </cell>
          <cell r="B1469" t="str">
            <v>JK-SB016</v>
          </cell>
        </row>
        <row r="1470">
          <cell r="A1470" t="str">
            <v>JK-SB016-GR-S</v>
          </cell>
          <cell r="B1470" t="str">
            <v>JK-SB016</v>
          </cell>
        </row>
        <row r="1471">
          <cell r="A1471" t="str">
            <v>JK-SB016-GR-XL</v>
          </cell>
          <cell r="B1471" t="str">
            <v>JK-SB016</v>
          </cell>
        </row>
        <row r="1472">
          <cell r="A1472" t="str">
            <v>JK-SB016-GR-XXL</v>
          </cell>
          <cell r="B1472" t="str">
            <v>JK-SB016</v>
          </cell>
        </row>
        <row r="1473">
          <cell r="A1473" t="str">
            <v>KZ-LY021-BK-32</v>
          </cell>
          <cell r="B1473" t="str">
            <v>KZ-LY021</v>
          </cell>
        </row>
        <row r="1474">
          <cell r="A1474" t="str">
            <v>KZ-LY021-BK-34</v>
          </cell>
          <cell r="B1474" t="str">
            <v>KZ-LY021</v>
          </cell>
        </row>
        <row r="1475">
          <cell r="A1475" t="str">
            <v>KZ-LY021-BK-36</v>
          </cell>
          <cell r="B1475" t="str">
            <v>KZ-LY021</v>
          </cell>
        </row>
        <row r="1476">
          <cell r="A1476" t="str">
            <v>KZ-LY021-BK-38</v>
          </cell>
          <cell r="B1476" t="str">
            <v>KZ-LY021</v>
          </cell>
        </row>
        <row r="1477">
          <cell r="A1477" t="str">
            <v>KZ-LY021-BK-40</v>
          </cell>
          <cell r="B1477" t="str">
            <v>KZ-LY021</v>
          </cell>
        </row>
        <row r="1478">
          <cell r="A1478" t="str">
            <v>KZ-LY021-BL-32</v>
          </cell>
          <cell r="B1478" t="str">
            <v>KZ-LY021</v>
          </cell>
        </row>
        <row r="1479">
          <cell r="A1479" t="str">
            <v>KZ-LY021-BL-34</v>
          </cell>
          <cell r="B1479" t="str">
            <v>KZ-LY021</v>
          </cell>
        </row>
        <row r="1480">
          <cell r="A1480" t="str">
            <v>KZ-LY021-BL-36</v>
          </cell>
          <cell r="B1480" t="str">
            <v>KZ-LY021</v>
          </cell>
        </row>
        <row r="1481">
          <cell r="A1481" t="str">
            <v>KZ-LY021-BL-38</v>
          </cell>
          <cell r="B1481" t="str">
            <v>KZ-LY021</v>
          </cell>
        </row>
        <row r="1482">
          <cell r="A1482" t="str">
            <v>KZ-LY021-BL-40</v>
          </cell>
          <cell r="B1482" t="str">
            <v>KZ-LY021</v>
          </cell>
        </row>
        <row r="1483">
          <cell r="A1483" t="str">
            <v>KZ-LY021-GY-32</v>
          </cell>
          <cell r="B1483" t="str">
            <v>KZ-LY021</v>
          </cell>
        </row>
        <row r="1484">
          <cell r="A1484" t="str">
            <v>KZ-LY021-GY-34</v>
          </cell>
          <cell r="B1484" t="str">
            <v>KZ-LY021</v>
          </cell>
        </row>
        <row r="1485">
          <cell r="A1485" t="str">
            <v>KZ-LY021-GY-36</v>
          </cell>
          <cell r="B1485" t="str">
            <v>KZ-LY021</v>
          </cell>
        </row>
        <row r="1486">
          <cell r="A1486" t="str">
            <v>KZ-LY021-GY-38</v>
          </cell>
          <cell r="B1486" t="str">
            <v>KZ-LY021</v>
          </cell>
        </row>
        <row r="1487">
          <cell r="A1487" t="str">
            <v>KZ-LY021-GY-40</v>
          </cell>
          <cell r="B1487" t="str">
            <v>KZ-LY021</v>
          </cell>
        </row>
        <row r="1488">
          <cell r="A1488" t="str">
            <v>KZ-LY021-KK-32</v>
          </cell>
          <cell r="B1488" t="str">
            <v>KZ-LY021</v>
          </cell>
        </row>
        <row r="1489">
          <cell r="A1489" t="str">
            <v>KZ-LY021-KK-34</v>
          </cell>
          <cell r="B1489" t="str">
            <v>KZ-LY021</v>
          </cell>
        </row>
        <row r="1490">
          <cell r="A1490" t="str">
            <v>KZ-LY021-KK-36</v>
          </cell>
          <cell r="B1490" t="str">
            <v>KZ-LY021</v>
          </cell>
        </row>
        <row r="1491">
          <cell r="A1491" t="str">
            <v>KZ-LY021-KK-38</v>
          </cell>
          <cell r="B1491" t="str">
            <v>KZ-LY021</v>
          </cell>
        </row>
        <row r="1492">
          <cell r="A1492" t="str">
            <v>KZ-LY021-KK-40</v>
          </cell>
          <cell r="B1492" t="str">
            <v>KZ-LY021</v>
          </cell>
        </row>
        <row r="1493">
          <cell r="A1493" t="str">
            <v>KZ-LY021-NY-32</v>
          </cell>
          <cell r="B1493" t="str">
            <v>KZ-LY021</v>
          </cell>
        </row>
        <row r="1494">
          <cell r="A1494" t="str">
            <v>KZ-LY021-NY-34</v>
          </cell>
          <cell r="B1494" t="str">
            <v>KZ-LY021</v>
          </cell>
        </row>
        <row r="1495">
          <cell r="A1495" t="str">
            <v>KZ-LY021-NY-36</v>
          </cell>
          <cell r="B1495" t="str">
            <v>KZ-LY021</v>
          </cell>
        </row>
        <row r="1496">
          <cell r="A1496" t="str">
            <v>KZ-LY021-NY-38</v>
          </cell>
          <cell r="B1496" t="str">
            <v>KZ-LY021</v>
          </cell>
        </row>
        <row r="1497">
          <cell r="A1497" t="str">
            <v>KZ-LY021-NY-40</v>
          </cell>
          <cell r="B1497" t="str">
            <v>KZ-LY021</v>
          </cell>
        </row>
        <row r="1498">
          <cell r="A1498" t="str">
            <v>KZ-LY021-WR-32</v>
          </cell>
          <cell r="B1498" t="str">
            <v>KZ-LY021</v>
          </cell>
        </row>
        <row r="1499">
          <cell r="A1499" t="str">
            <v>KZ-LY021-WR-34</v>
          </cell>
          <cell r="B1499" t="str">
            <v>KZ-LY021</v>
          </cell>
        </row>
        <row r="1500">
          <cell r="A1500" t="str">
            <v>KZ-LY021-WR-36</v>
          </cell>
          <cell r="B1500" t="str">
            <v>KZ-LY021</v>
          </cell>
        </row>
        <row r="1501">
          <cell r="A1501" t="str">
            <v>KZ-LY021-WR-38</v>
          </cell>
          <cell r="B1501" t="str">
            <v>KZ-LY021</v>
          </cell>
        </row>
        <row r="1502">
          <cell r="A1502" t="str">
            <v>KZ-LY021-WR-40</v>
          </cell>
          <cell r="B1502" t="str">
            <v>KZ-LY021</v>
          </cell>
        </row>
        <row r="1503">
          <cell r="A1503" t="str">
            <v>LGQ-IUYL100-BL</v>
          </cell>
          <cell r="B1503" t="str">
            <v>LGQ-IUYL100</v>
          </cell>
        </row>
        <row r="1504">
          <cell r="A1504" t="str">
            <v>LGQ-IUYL100-GN</v>
          </cell>
          <cell r="B1504" t="str">
            <v>LGQ-IUYL100</v>
          </cell>
        </row>
        <row r="1505">
          <cell r="A1505" t="str">
            <v>LGQ-IUYL100-PK</v>
          </cell>
          <cell r="B1505" t="str">
            <v>LGQ-IUYL100</v>
          </cell>
        </row>
        <row r="1506">
          <cell r="A1506" t="str">
            <v>LGQ-IUYL100-RD</v>
          </cell>
          <cell r="B1506" t="str">
            <v>LGQ-IUYL100</v>
          </cell>
        </row>
        <row r="1507">
          <cell r="A1507" t="str">
            <v>LGQ-IUYL100-WT</v>
          </cell>
          <cell r="B1507" t="str">
            <v>LGQ-IUYL100</v>
          </cell>
        </row>
        <row r="1508">
          <cell r="A1508" t="str">
            <v>LGQ-IUYL100-YL</v>
          </cell>
          <cell r="B1508" t="str">
            <v>LGQ-IUYL100</v>
          </cell>
        </row>
        <row r="1509">
          <cell r="A1509" t="str">
            <v>LYQ-1010</v>
          </cell>
          <cell r="B1509" t="str">
            <v>LYQ-1010</v>
          </cell>
        </row>
        <row r="1510">
          <cell r="A1510" t="str">
            <v>LYQ-1010K02L</v>
          </cell>
          <cell r="B1510" t="str">
            <v>LYQ-1010</v>
          </cell>
        </row>
        <row r="1511">
          <cell r="A1511" t="str">
            <v>LYQ-1010K02L-MX</v>
          </cell>
          <cell r="B1511" t="str">
            <v>LYQ-1010</v>
          </cell>
        </row>
        <row r="1512">
          <cell r="A1512" t="str">
            <v>LYQ-1010K03L</v>
          </cell>
          <cell r="B1512" t="str">
            <v>LYQ-1010</v>
          </cell>
        </row>
        <row r="1513">
          <cell r="A1513" t="str">
            <v>LYQ-1010K03L-MX</v>
          </cell>
          <cell r="B1513" t="str">
            <v>LYQ-1010</v>
          </cell>
        </row>
        <row r="1514">
          <cell r="A1514" t="str">
            <v>LYQ-1010K0L</v>
          </cell>
          <cell r="B1514" t="str">
            <v>LYQ-1010</v>
          </cell>
        </row>
        <row r="1515">
          <cell r="A1515" t="str">
            <v>LYQ-1010K0L-MX</v>
          </cell>
          <cell r="B1515" t="str">
            <v>LYQ-1010</v>
          </cell>
        </row>
        <row r="1516">
          <cell r="A1516" t="str">
            <v>LYQ-1010K0M</v>
          </cell>
          <cell r="B1516" t="str">
            <v>LYQ-1010</v>
          </cell>
        </row>
        <row r="1517">
          <cell r="A1517" t="str">
            <v>LYQ-1010K0M-MX</v>
          </cell>
          <cell r="B1517" t="str">
            <v>LYQ-1010</v>
          </cell>
        </row>
        <row r="1518">
          <cell r="A1518" t="str">
            <v>LYQ-1010K0S</v>
          </cell>
          <cell r="B1518" t="str">
            <v>LYQ-1010</v>
          </cell>
        </row>
        <row r="1519">
          <cell r="A1519" t="str">
            <v>LYQ-1010K0S-MX</v>
          </cell>
          <cell r="B1519" t="str">
            <v>LYQ-1010</v>
          </cell>
        </row>
        <row r="1520">
          <cell r="A1520" t="str">
            <v>LYQ-1010K0XL</v>
          </cell>
          <cell r="B1520" t="str">
            <v>LYQ-1010</v>
          </cell>
        </row>
        <row r="1521">
          <cell r="A1521" t="str">
            <v>LYQ-1010K0XL-MX</v>
          </cell>
          <cell r="B1521" t="str">
            <v>LYQ-1010</v>
          </cell>
        </row>
        <row r="1522">
          <cell r="A1522" t="str">
            <v>LYQ-1010N02L</v>
          </cell>
          <cell r="B1522" t="str">
            <v>LYQ-1010</v>
          </cell>
        </row>
        <row r="1523">
          <cell r="A1523" t="str">
            <v>LYQ-1010N03L</v>
          </cell>
          <cell r="B1523" t="str">
            <v>LYQ-1010</v>
          </cell>
        </row>
        <row r="1524">
          <cell r="A1524" t="str">
            <v>LYQ-1010N0L</v>
          </cell>
          <cell r="B1524" t="str">
            <v>LYQ-1010</v>
          </cell>
        </row>
        <row r="1525">
          <cell r="A1525" t="str">
            <v>LYQ-1010N0M</v>
          </cell>
          <cell r="B1525" t="str">
            <v>LYQ-1010</v>
          </cell>
        </row>
        <row r="1526">
          <cell r="A1526" t="str">
            <v>LYQ-1010N0S</v>
          </cell>
          <cell r="B1526" t="str">
            <v>LYQ-1010</v>
          </cell>
        </row>
        <row r="1527">
          <cell r="A1527" t="str">
            <v>LYQ-1010N0S-New</v>
          </cell>
          <cell r="B1527" t="str">
            <v>LYQ-1010</v>
          </cell>
        </row>
        <row r="1528">
          <cell r="A1528" t="str">
            <v>LYQ-1010N0XL</v>
          </cell>
          <cell r="B1528" t="str">
            <v>LYQ-1010</v>
          </cell>
        </row>
        <row r="1529">
          <cell r="A1529" t="str">
            <v>LYQ-1010P02L</v>
          </cell>
          <cell r="B1529" t="str">
            <v>LYQ-1010</v>
          </cell>
        </row>
        <row r="1530">
          <cell r="A1530" t="str">
            <v>LYQ-1010P02L-MX</v>
          </cell>
          <cell r="B1530" t="str">
            <v>LYQ-1010</v>
          </cell>
        </row>
        <row r="1531">
          <cell r="A1531" t="str">
            <v>LYQ-1010P03L</v>
          </cell>
          <cell r="B1531" t="str">
            <v>LYQ-1010</v>
          </cell>
        </row>
        <row r="1532">
          <cell r="A1532" t="str">
            <v>LYQ-1010P03L-MX</v>
          </cell>
          <cell r="B1532" t="str">
            <v>LYQ-1010</v>
          </cell>
        </row>
        <row r="1533">
          <cell r="A1533" t="str">
            <v>LYQ-1010P0L</v>
          </cell>
          <cell r="B1533" t="str">
            <v>LYQ-1010</v>
          </cell>
        </row>
        <row r="1534">
          <cell r="A1534" t="str">
            <v>LYQ-1010P0L-MX</v>
          </cell>
          <cell r="B1534" t="str">
            <v>LYQ-1010</v>
          </cell>
        </row>
        <row r="1535">
          <cell r="A1535" t="str">
            <v>LYQ-1010P0M</v>
          </cell>
          <cell r="B1535" t="str">
            <v>LYQ-1010</v>
          </cell>
        </row>
        <row r="1536">
          <cell r="A1536" t="str">
            <v>LYQ-1010P0M-MX</v>
          </cell>
          <cell r="B1536" t="str">
            <v>LYQ-1010</v>
          </cell>
        </row>
        <row r="1537">
          <cell r="A1537" t="str">
            <v>LYQ-1010P0S</v>
          </cell>
          <cell r="B1537" t="str">
            <v>LYQ-1010</v>
          </cell>
        </row>
        <row r="1538">
          <cell r="A1538" t="str">
            <v>LYQ-1010P0S-MX</v>
          </cell>
          <cell r="B1538" t="str">
            <v>LYQ-1010</v>
          </cell>
        </row>
        <row r="1539">
          <cell r="A1539" t="str">
            <v>LYQ-1010P0XL</v>
          </cell>
          <cell r="B1539" t="str">
            <v>LYQ-1010</v>
          </cell>
        </row>
        <row r="1540">
          <cell r="A1540" t="str">
            <v>LYQ-1010P0XL-MX</v>
          </cell>
          <cell r="B1540" t="str">
            <v>LYQ-1010</v>
          </cell>
        </row>
        <row r="1541">
          <cell r="A1541" t="str">
            <v>LYQ-1010W02L</v>
          </cell>
          <cell r="B1541" t="str">
            <v>LYQ-1010</v>
          </cell>
        </row>
        <row r="1542">
          <cell r="A1542" t="str">
            <v>LYQ-1010W03L</v>
          </cell>
          <cell r="B1542" t="str">
            <v>LYQ-1010</v>
          </cell>
        </row>
        <row r="1543">
          <cell r="A1543" t="str">
            <v>LYQ-1010W0L</v>
          </cell>
          <cell r="B1543" t="str">
            <v>LYQ-1010</v>
          </cell>
        </row>
        <row r="1544">
          <cell r="A1544" t="str">
            <v>LYQ-1010W0M</v>
          </cell>
          <cell r="B1544" t="str">
            <v>LYQ-1010</v>
          </cell>
        </row>
        <row r="1545">
          <cell r="A1545" t="str">
            <v>LYQ-1010W0M-GM</v>
          </cell>
          <cell r="B1545" t="str">
            <v>LYQ-1010</v>
          </cell>
        </row>
        <row r="1546">
          <cell r="A1546" t="str">
            <v>LYQ-1010W0S</v>
          </cell>
          <cell r="B1546" t="str">
            <v>LYQ-1010</v>
          </cell>
        </row>
        <row r="1547">
          <cell r="A1547" t="str">
            <v>LYQ-1010W0XL</v>
          </cell>
          <cell r="B1547" t="str">
            <v>LYQ-1010</v>
          </cell>
        </row>
        <row r="1548">
          <cell r="A1548" t="str">
            <v>LYQ2015B0</v>
          </cell>
          <cell r="B1548" t="str">
            <v>LYQ2015</v>
          </cell>
        </row>
        <row r="1549">
          <cell r="A1549" t="str">
            <v>LYQ2015FB</v>
          </cell>
          <cell r="B1549" t="str">
            <v>LYQ2015</v>
          </cell>
        </row>
        <row r="1550">
          <cell r="A1550" t="str">
            <v>LYQ2015G0</v>
          </cell>
          <cell r="B1550" t="str">
            <v>LYQ2015</v>
          </cell>
        </row>
        <row r="1551">
          <cell r="A1551" t="str">
            <v>LYQ2015K0</v>
          </cell>
          <cell r="B1551" t="str">
            <v>LYQ2015</v>
          </cell>
        </row>
        <row r="1552">
          <cell r="A1552" t="str">
            <v>LYQ2015P0</v>
          </cell>
          <cell r="B1552" t="str">
            <v>LYQ2015</v>
          </cell>
        </row>
        <row r="1553">
          <cell r="A1553" t="str">
            <v>LYQ2015R0</v>
          </cell>
          <cell r="B1553" t="str">
            <v>LYQ2015</v>
          </cell>
        </row>
        <row r="1554">
          <cell r="A1554" t="str">
            <v>LYQ2015W0</v>
          </cell>
          <cell r="B1554" t="str">
            <v>LYQ2015</v>
          </cell>
        </row>
        <row r="1555">
          <cell r="A1555" t="str">
            <v>LYQ2015W0-GM</v>
          </cell>
          <cell r="B1555" t="str">
            <v>LYQ2015</v>
          </cell>
        </row>
        <row r="1556">
          <cell r="A1556" t="str">
            <v>LYQ-29CA-BD-L</v>
          </cell>
          <cell r="B1556" t="str">
            <v>LYQ-29CA</v>
          </cell>
        </row>
        <row r="1557">
          <cell r="A1557" t="str">
            <v>LYQ-29CA-BD-S</v>
          </cell>
          <cell r="B1557" t="str">
            <v>LYQ-29CA</v>
          </cell>
        </row>
        <row r="1558">
          <cell r="A1558" t="str">
            <v>LYQ-29CA-BD-XL</v>
          </cell>
          <cell r="B1558" t="str">
            <v>LYQ-29CA</v>
          </cell>
        </row>
        <row r="1559">
          <cell r="A1559" t="str">
            <v>LYQ-29CA-G7-L</v>
          </cell>
          <cell r="B1559" t="str">
            <v>LYQ-29CA</v>
          </cell>
        </row>
        <row r="1560">
          <cell r="A1560" t="str">
            <v>LYQ-29CA-G7-M</v>
          </cell>
          <cell r="B1560" t="str">
            <v>LYQ-29CA</v>
          </cell>
        </row>
        <row r="1561">
          <cell r="A1561" t="str">
            <v>LYQ-29CA-G7-S</v>
          </cell>
          <cell r="B1561" t="str">
            <v>LYQ-29CA</v>
          </cell>
        </row>
        <row r="1562">
          <cell r="A1562" t="str">
            <v>LYQ-29CA-G7-XL</v>
          </cell>
          <cell r="B1562" t="str">
            <v>LYQ-29CA</v>
          </cell>
        </row>
        <row r="1563">
          <cell r="A1563" t="str">
            <v>LYQ-29CA-K0-L</v>
          </cell>
          <cell r="B1563" t="str">
            <v>LYQ-29CA</v>
          </cell>
        </row>
        <row r="1564">
          <cell r="A1564" t="str">
            <v>LYQ-29CA-K0-M</v>
          </cell>
          <cell r="B1564" t="str">
            <v>LYQ-29CA</v>
          </cell>
        </row>
        <row r="1565">
          <cell r="A1565" t="str">
            <v>LYQ-29CA-K0-S</v>
          </cell>
          <cell r="B1565" t="str">
            <v>LYQ-29CA</v>
          </cell>
        </row>
        <row r="1566">
          <cell r="A1566" t="str">
            <v>LYQ-29CA-K0-XL</v>
          </cell>
          <cell r="B1566" t="str">
            <v>LYQ-29CA</v>
          </cell>
        </row>
        <row r="1567">
          <cell r="A1567" t="str">
            <v>LYQ-29PHJ-BD-L</v>
          </cell>
          <cell r="B1567" t="str">
            <v>LYQ-29PHJ</v>
          </cell>
        </row>
        <row r="1568">
          <cell r="A1568" t="str">
            <v>LYQ-29PHJ-BD-L-MX</v>
          </cell>
          <cell r="B1568" t="str">
            <v>LYQ-29PHJ</v>
          </cell>
        </row>
        <row r="1569">
          <cell r="A1569" t="str">
            <v>LYQ-29PHJ-BD-M</v>
          </cell>
          <cell r="B1569" t="str">
            <v>LYQ-29PHJ</v>
          </cell>
        </row>
        <row r="1570">
          <cell r="A1570" t="str">
            <v>LYQ-29PHJ-BD-M-MX</v>
          </cell>
          <cell r="B1570" t="str">
            <v>LYQ-29PHJ</v>
          </cell>
        </row>
        <row r="1571">
          <cell r="A1571" t="str">
            <v>LYQ-29PHJ-BD-S</v>
          </cell>
          <cell r="B1571" t="str">
            <v>LYQ-29PHJ</v>
          </cell>
        </row>
        <row r="1572">
          <cell r="A1572" t="str">
            <v>LYQ-29PHJ-BD-XL</v>
          </cell>
          <cell r="B1572" t="str">
            <v>LYQ-29PHJ</v>
          </cell>
        </row>
        <row r="1573">
          <cell r="A1573" t="str">
            <v>LYQ-29PHJ-BD-XL-MX</v>
          </cell>
          <cell r="B1573" t="str">
            <v>LYQ-29PHJ</v>
          </cell>
        </row>
        <row r="1574">
          <cell r="A1574" t="str">
            <v>LYQ-29PHJ-C0-L</v>
          </cell>
          <cell r="B1574" t="str">
            <v>LYQ-29PHJ</v>
          </cell>
        </row>
        <row r="1575">
          <cell r="A1575" t="str">
            <v>LYQ-29PHJ-C0-M</v>
          </cell>
          <cell r="B1575" t="str">
            <v>LYQ-29PHJ</v>
          </cell>
        </row>
        <row r="1576">
          <cell r="A1576" t="str">
            <v>LYQ-29PHJ-C0-S</v>
          </cell>
          <cell r="B1576" t="str">
            <v>LYQ-29PHJ</v>
          </cell>
        </row>
        <row r="1577">
          <cell r="A1577" t="str">
            <v>LYQ-29PHJ-C0-XL</v>
          </cell>
          <cell r="B1577" t="str">
            <v>LYQ-29PHJ</v>
          </cell>
        </row>
        <row r="1578">
          <cell r="A1578" t="str">
            <v>LYQ-29PHJ-G7-L</v>
          </cell>
          <cell r="B1578" t="str">
            <v>LYQ-29PHJ</v>
          </cell>
        </row>
        <row r="1579">
          <cell r="A1579" t="str">
            <v>LYQ-29PHJ-G7-L-MX</v>
          </cell>
          <cell r="B1579" t="str">
            <v>LYQ-29PHJ</v>
          </cell>
        </row>
        <row r="1580">
          <cell r="A1580" t="str">
            <v>LYQ-29PHJ-G7-M</v>
          </cell>
          <cell r="B1580" t="str">
            <v>LYQ-29PHJ</v>
          </cell>
        </row>
        <row r="1581">
          <cell r="A1581" t="str">
            <v>LYQ-29PHJ-G7-M-MX</v>
          </cell>
          <cell r="B1581" t="str">
            <v>LYQ-29PHJ</v>
          </cell>
        </row>
        <row r="1582">
          <cell r="A1582" t="str">
            <v>LYQ-29PHJ-G7-S</v>
          </cell>
          <cell r="B1582" t="str">
            <v>LYQ-29PHJ</v>
          </cell>
        </row>
        <row r="1583">
          <cell r="A1583" t="str">
            <v>LYQ-29PHJ-G7-S-MX</v>
          </cell>
          <cell r="B1583" t="str">
            <v>LYQ-29PHJ</v>
          </cell>
        </row>
        <row r="1584">
          <cell r="A1584" t="str">
            <v>LYQ-29PHJ-G7-XL</v>
          </cell>
          <cell r="B1584" t="str">
            <v>LYQ-29PHJ</v>
          </cell>
        </row>
        <row r="1585">
          <cell r="A1585" t="str">
            <v>LYQ-29PHJ-G7-XL-MX</v>
          </cell>
          <cell r="B1585" t="str">
            <v>LYQ-29PHJ</v>
          </cell>
        </row>
        <row r="1586">
          <cell r="A1586" t="str">
            <v>LYQ-29PHJ-K0-L</v>
          </cell>
          <cell r="B1586" t="str">
            <v>LYQ-29PHJ</v>
          </cell>
        </row>
        <row r="1587">
          <cell r="A1587" t="str">
            <v>LYQ-29PHJ-K0-L-MX</v>
          </cell>
          <cell r="B1587" t="str">
            <v>LYQ-29PHJ</v>
          </cell>
        </row>
        <row r="1588">
          <cell r="A1588" t="str">
            <v>LYQ-29PHJ-K0-M</v>
          </cell>
          <cell r="B1588" t="str">
            <v>LYQ-29PHJ</v>
          </cell>
        </row>
        <row r="1589">
          <cell r="A1589" t="str">
            <v>LYQ-29PHJ-K0-S</v>
          </cell>
          <cell r="B1589" t="str">
            <v>LYQ-29PHJ</v>
          </cell>
        </row>
        <row r="1590">
          <cell r="A1590" t="str">
            <v>LYQ-29PHJ-K0-XL</v>
          </cell>
          <cell r="B1590" t="str">
            <v>LYQ-29PHJ</v>
          </cell>
        </row>
        <row r="1591">
          <cell r="A1591" t="str">
            <v>LYQ-29PHJ-X0-L</v>
          </cell>
          <cell r="B1591" t="str">
            <v>LYQ-29PHJ</v>
          </cell>
        </row>
        <row r="1592">
          <cell r="A1592" t="str">
            <v>LYQ-29PHJ-X0-L-MX</v>
          </cell>
          <cell r="B1592" t="str">
            <v>LYQ-29PHJ</v>
          </cell>
        </row>
        <row r="1593">
          <cell r="A1593" t="str">
            <v>LYQ-29PHJ-X0-M</v>
          </cell>
          <cell r="B1593" t="str">
            <v>LYQ-29PHJ</v>
          </cell>
        </row>
        <row r="1594">
          <cell r="A1594" t="str">
            <v>LYQ-29PHJ-X0-S</v>
          </cell>
          <cell r="B1594" t="str">
            <v>LYQ-29PHJ</v>
          </cell>
        </row>
        <row r="1595">
          <cell r="A1595" t="str">
            <v>LYQ-29PHJ-X0-XL</v>
          </cell>
          <cell r="B1595" t="str">
            <v>LYQ-29PHJ</v>
          </cell>
        </row>
        <row r="1596">
          <cell r="A1596" t="str">
            <v>LYQ-29PHJ-ZL-L</v>
          </cell>
          <cell r="B1596" t="str">
            <v>LYQ-29PHJ</v>
          </cell>
        </row>
        <row r="1597">
          <cell r="A1597" t="str">
            <v>LYQ-29PHJ-ZL-M</v>
          </cell>
          <cell r="B1597" t="str">
            <v>LYQ-29PHJ</v>
          </cell>
        </row>
        <row r="1598">
          <cell r="A1598" t="str">
            <v>LYQ-29PHJ-ZL-S</v>
          </cell>
          <cell r="B1598" t="str">
            <v>LYQ-29PHJ</v>
          </cell>
        </row>
        <row r="1599">
          <cell r="A1599" t="str">
            <v>LYQ-29PHJ-ZL-XL</v>
          </cell>
          <cell r="B1599" t="str">
            <v>LYQ-29PHJ</v>
          </cell>
        </row>
        <row r="1600">
          <cell r="A1600" t="str">
            <v>LYQ-CA1377-blue-L</v>
          </cell>
          <cell r="B1600" t="str">
            <v>LYQ-CA1377</v>
          </cell>
        </row>
        <row r="1601">
          <cell r="A1601" t="str">
            <v>LYQ-CA1377-blue-M</v>
          </cell>
          <cell r="B1601" t="str">
            <v>LYQ-CA1377</v>
          </cell>
        </row>
        <row r="1602">
          <cell r="A1602" t="str">
            <v>LYQ-CA1377-blue-S</v>
          </cell>
          <cell r="B1602" t="str">
            <v>LYQ-CA1377</v>
          </cell>
        </row>
        <row r="1603">
          <cell r="A1603" t="str">
            <v>LYQ-CA1377-blue-XL</v>
          </cell>
          <cell r="B1603" t="str">
            <v>LYQ-CA1377</v>
          </cell>
        </row>
        <row r="1604">
          <cell r="A1604" t="str">
            <v>LYQ-CA1377-grey0-L</v>
          </cell>
          <cell r="B1604" t="str">
            <v>LYQ-CA1377</v>
          </cell>
        </row>
        <row r="1605">
          <cell r="A1605" t="str">
            <v>LYQ-CA1377-grey0-M</v>
          </cell>
          <cell r="B1605" t="str">
            <v>LYQ-CA1377</v>
          </cell>
        </row>
        <row r="1606">
          <cell r="A1606" t="str">
            <v>LYQ-CA1377-grey0-S</v>
          </cell>
          <cell r="B1606" t="str">
            <v>LYQ-CA1377</v>
          </cell>
        </row>
        <row r="1607">
          <cell r="A1607" t="str">
            <v>LYQ-CA1377-grey0-XL</v>
          </cell>
          <cell r="B1607" t="str">
            <v>LYQ-CA1377</v>
          </cell>
        </row>
        <row r="1608">
          <cell r="A1608" t="str">
            <v>LYQ-CA1377-grey1-L</v>
          </cell>
          <cell r="B1608" t="str">
            <v>LYQ-CA1377</v>
          </cell>
        </row>
        <row r="1609">
          <cell r="A1609" t="str">
            <v>LYQ-CA1377-grey1-M</v>
          </cell>
          <cell r="B1609" t="str">
            <v>LYQ-CA1377</v>
          </cell>
        </row>
        <row r="1610">
          <cell r="A1610" t="str">
            <v>LYQ-CA1377-grey1-S</v>
          </cell>
          <cell r="B1610" t="str">
            <v>LYQ-CA1377</v>
          </cell>
        </row>
        <row r="1611">
          <cell r="A1611" t="str">
            <v>LYQ-CA1377-grey1-XL</v>
          </cell>
          <cell r="B1611" t="str">
            <v>LYQ-CA1377</v>
          </cell>
        </row>
        <row r="1612">
          <cell r="A1612" t="str">
            <v>LYQ-CA1377-purple-L</v>
          </cell>
          <cell r="B1612" t="str">
            <v>LYQ-CA1377</v>
          </cell>
        </row>
        <row r="1613">
          <cell r="A1613" t="str">
            <v>LYQ-CA1377-purple-M</v>
          </cell>
          <cell r="B1613" t="str">
            <v>LYQ-CA1377</v>
          </cell>
        </row>
        <row r="1614">
          <cell r="A1614" t="str">
            <v>LYQ-CA1377-purple-S</v>
          </cell>
          <cell r="B1614" t="str">
            <v>LYQ-CA1377</v>
          </cell>
        </row>
        <row r="1615">
          <cell r="A1615" t="str">
            <v>LYQ-CA1377-rose-L</v>
          </cell>
          <cell r="B1615" t="str">
            <v>LYQ-CA1377</v>
          </cell>
        </row>
        <row r="1616">
          <cell r="A1616" t="str">
            <v>LYQ-CA1377-rose-M</v>
          </cell>
          <cell r="B1616" t="str">
            <v>LYQ-CA1377</v>
          </cell>
        </row>
        <row r="1617">
          <cell r="A1617" t="str">
            <v>LYQ-CA1377-rose-S</v>
          </cell>
          <cell r="B1617" t="str">
            <v>LYQ-CA1377</v>
          </cell>
        </row>
        <row r="1618">
          <cell r="A1618" t="str">
            <v>LYQ-CA1377-rose-XL</v>
          </cell>
          <cell r="B1618" t="str">
            <v>LYQ-CA1377</v>
          </cell>
        </row>
        <row r="1619">
          <cell r="A1619" t="str">
            <v>LYQ-CF0481-BK-2XL</v>
          </cell>
          <cell r="B1619" t="str">
            <v>LYQ-CF0481</v>
          </cell>
        </row>
        <row r="1620">
          <cell r="A1620" t="str">
            <v>LYQ-CF0481-BK-L</v>
          </cell>
          <cell r="B1620" t="str">
            <v>LYQ-CF0481</v>
          </cell>
        </row>
        <row r="1621">
          <cell r="A1621" t="str">
            <v>LYQ-CF0481-BK-M</v>
          </cell>
          <cell r="B1621" t="str">
            <v>LYQ-CF0481</v>
          </cell>
        </row>
        <row r="1622">
          <cell r="A1622" t="str">
            <v>LYQ-CF0481-BK-S</v>
          </cell>
          <cell r="B1622" t="str">
            <v>LYQ-CF0481</v>
          </cell>
        </row>
        <row r="1623">
          <cell r="A1623" t="str">
            <v>LYQ-CF0481-BK-XL</v>
          </cell>
          <cell r="B1623" t="str">
            <v>LYQ-CF0481</v>
          </cell>
        </row>
        <row r="1624">
          <cell r="A1624" t="str">
            <v>LYQ-CF352-LTBU-L</v>
          </cell>
          <cell r="B1624" t="str">
            <v>LYQ-CF352</v>
          </cell>
        </row>
        <row r="1625">
          <cell r="A1625" t="str">
            <v>LYQ-CF352-LTBU-M</v>
          </cell>
          <cell r="B1625" t="str">
            <v>LYQ-CF352</v>
          </cell>
        </row>
        <row r="1626">
          <cell r="A1626" t="str">
            <v>LYQ-CF352-LTBU-S</v>
          </cell>
          <cell r="B1626" t="str">
            <v>LYQ-CF352</v>
          </cell>
        </row>
        <row r="1627">
          <cell r="A1627" t="str">
            <v>LYQ-CF352-LTBU-XL</v>
          </cell>
          <cell r="B1627" t="str">
            <v>LYQ-CF352</v>
          </cell>
        </row>
        <row r="1628">
          <cell r="A1628" t="str">
            <v>LYQ-CF352-OR-L</v>
          </cell>
          <cell r="B1628" t="str">
            <v>LYQ-CF352</v>
          </cell>
        </row>
        <row r="1629">
          <cell r="A1629" t="str">
            <v>LYQ-CF352-OR-M</v>
          </cell>
          <cell r="B1629" t="str">
            <v>LYQ-CF352</v>
          </cell>
        </row>
        <row r="1630">
          <cell r="A1630" t="str">
            <v>LYQ-CF352-OR-S</v>
          </cell>
          <cell r="B1630" t="str">
            <v>LYQ-CF352</v>
          </cell>
        </row>
        <row r="1631">
          <cell r="A1631" t="str">
            <v>LYQ-CF352-OR-XL</v>
          </cell>
          <cell r="B1631" t="str">
            <v>LYQ-CF352</v>
          </cell>
        </row>
        <row r="1632">
          <cell r="A1632" t="str">
            <v>LYQ-CF352-PU-L</v>
          </cell>
          <cell r="B1632" t="str">
            <v>LYQ-CF352</v>
          </cell>
        </row>
        <row r="1633">
          <cell r="A1633" t="str">
            <v>LYQ-CF352-PU-M</v>
          </cell>
          <cell r="B1633" t="str">
            <v>LYQ-CF352</v>
          </cell>
        </row>
        <row r="1634">
          <cell r="A1634" t="str">
            <v>LYQ-CF352-PU-S</v>
          </cell>
          <cell r="B1634" t="str">
            <v>LYQ-CF352</v>
          </cell>
        </row>
        <row r="1635">
          <cell r="A1635" t="str">
            <v>LYQ-CF352-PU-XL</v>
          </cell>
          <cell r="B1635" t="str">
            <v>LYQ-CF352</v>
          </cell>
        </row>
        <row r="1636">
          <cell r="A1636" t="str">
            <v>LYQ-CF352-RD-L</v>
          </cell>
          <cell r="B1636" t="str">
            <v>LYQ-CF352</v>
          </cell>
        </row>
        <row r="1637">
          <cell r="A1637" t="str">
            <v>LYQ-CF352-RD-M</v>
          </cell>
          <cell r="B1637" t="str">
            <v>LYQ-CF352</v>
          </cell>
        </row>
        <row r="1638">
          <cell r="A1638" t="str">
            <v>LYQ-CF352-RD-XL</v>
          </cell>
          <cell r="B1638" t="str">
            <v>LYQ-CF352</v>
          </cell>
        </row>
        <row r="1639">
          <cell r="A1639" t="str">
            <v>LYQ-CF8215-BK-3XL</v>
          </cell>
          <cell r="B1639" t="str">
            <v>LYQ-CF8215</v>
          </cell>
        </row>
        <row r="1640">
          <cell r="A1640" t="str">
            <v>LYQ-CF8215-BK-L</v>
          </cell>
          <cell r="B1640" t="str">
            <v>LYQ-CF8215</v>
          </cell>
        </row>
        <row r="1641">
          <cell r="A1641" t="str">
            <v>LYQ-CF8215-BK-M</v>
          </cell>
          <cell r="B1641" t="str">
            <v>LYQ-CF8215</v>
          </cell>
        </row>
        <row r="1642">
          <cell r="A1642" t="str">
            <v>LYQ-CF8215-BK-XL</v>
          </cell>
          <cell r="B1642" t="str">
            <v>LYQ-CF8215</v>
          </cell>
        </row>
        <row r="1643">
          <cell r="A1643" t="str">
            <v>LYQ-CF8215-ZL-L</v>
          </cell>
          <cell r="B1643" t="str">
            <v>LYQ-CF8215</v>
          </cell>
        </row>
        <row r="1644">
          <cell r="A1644" t="str">
            <v>LYQ-CF8215-ZL-M</v>
          </cell>
          <cell r="B1644" t="str">
            <v>LYQ-CF8215</v>
          </cell>
        </row>
        <row r="1645">
          <cell r="A1645" t="str">
            <v>LYQ-CF8215-ZL-S</v>
          </cell>
          <cell r="B1645" t="str">
            <v>LYQ-CF8215</v>
          </cell>
        </row>
        <row r="1646">
          <cell r="A1646" t="str">
            <v>LYQ-CF8215-ZL-XL</v>
          </cell>
          <cell r="B1646" t="str">
            <v>LYQ-CF8215</v>
          </cell>
        </row>
        <row r="1647">
          <cell r="A1647" t="str">
            <v>LYQ-CF8501-AMGR-L</v>
          </cell>
          <cell r="B1647" t="str">
            <v>LYQ-CF8501</v>
          </cell>
        </row>
        <row r="1648">
          <cell r="A1648" t="str">
            <v>LYQ-CF8501-AMGR-M</v>
          </cell>
          <cell r="B1648" t="str">
            <v>LYQ-CF8501</v>
          </cell>
        </row>
        <row r="1649">
          <cell r="A1649" t="str">
            <v>LYQ-CF8501-AMGR-S</v>
          </cell>
          <cell r="B1649" t="str">
            <v>LYQ-CF8501</v>
          </cell>
        </row>
        <row r="1650">
          <cell r="A1650" t="str">
            <v>LYQ-CF8501-BK-2XL</v>
          </cell>
          <cell r="B1650" t="str">
            <v>LYQ-CF8501</v>
          </cell>
        </row>
        <row r="1651">
          <cell r="A1651" t="str">
            <v>LYQ-CF8501-BK-3XL</v>
          </cell>
          <cell r="B1651" t="str">
            <v>LYQ-CF8501</v>
          </cell>
        </row>
        <row r="1652">
          <cell r="A1652" t="str">
            <v>LYQ-CF8501-BK-L</v>
          </cell>
          <cell r="B1652" t="str">
            <v>LYQ-CF8501</v>
          </cell>
        </row>
        <row r="1653">
          <cell r="A1653" t="str">
            <v>LYQ-CF8501-BK-M</v>
          </cell>
          <cell r="B1653" t="str">
            <v>LYQ-CF8501</v>
          </cell>
        </row>
        <row r="1654">
          <cell r="A1654" t="str">
            <v>LYQ-CF8501-BK-S</v>
          </cell>
          <cell r="B1654" t="str">
            <v>LYQ-CF8501</v>
          </cell>
        </row>
        <row r="1655">
          <cell r="A1655" t="str">
            <v>LYQ-CF8501-BK-XL</v>
          </cell>
          <cell r="B1655" t="str">
            <v>LYQ-CF8501</v>
          </cell>
        </row>
        <row r="1656">
          <cell r="A1656" t="str">
            <v>LYQ-CF8501-DKGY-4XL</v>
          </cell>
          <cell r="B1656" t="str">
            <v>LYQ-CF8501</v>
          </cell>
        </row>
        <row r="1657">
          <cell r="A1657" t="str">
            <v>LYQ-CF8501-WI-2XL</v>
          </cell>
          <cell r="B1657" t="str">
            <v>LYQ-CF8501</v>
          </cell>
        </row>
        <row r="1658">
          <cell r="A1658" t="str">
            <v>LYQ-CF8501-WI-3XL</v>
          </cell>
          <cell r="B1658" t="str">
            <v>LYQ-CF8501</v>
          </cell>
        </row>
        <row r="1659">
          <cell r="A1659" t="str">
            <v>LYQ-CF8501-WI-L</v>
          </cell>
          <cell r="B1659" t="str">
            <v>LYQ-CF8501</v>
          </cell>
        </row>
        <row r="1660">
          <cell r="A1660" t="str">
            <v>LYQ-CF8501-WI-M</v>
          </cell>
          <cell r="B1660" t="str">
            <v>LYQ-CF8501</v>
          </cell>
        </row>
        <row r="1661">
          <cell r="A1661" t="str">
            <v>LYQ-CF8501-WI-S</v>
          </cell>
          <cell r="B1661" t="str">
            <v>LYQ-CF8501</v>
          </cell>
        </row>
        <row r="1662">
          <cell r="A1662" t="str">
            <v>LYQ-CF8501-WI-XL</v>
          </cell>
          <cell r="B1662" t="str">
            <v>LYQ-CF8501</v>
          </cell>
        </row>
        <row r="1663">
          <cell r="A1663" t="str">
            <v>LYQ-CF8512-BK-L</v>
          </cell>
          <cell r="B1663" t="str">
            <v>LYQ-CF8512</v>
          </cell>
        </row>
        <row r="1664">
          <cell r="A1664" t="str">
            <v>LYQ-CF8512-BK-M</v>
          </cell>
          <cell r="B1664" t="str">
            <v>LYQ-CF8512</v>
          </cell>
        </row>
        <row r="1665">
          <cell r="A1665" t="str">
            <v>LYQ-CF8512-BK-S</v>
          </cell>
          <cell r="B1665" t="str">
            <v>LYQ-CF8512</v>
          </cell>
        </row>
        <row r="1666">
          <cell r="A1666" t="str">
            <v>LYQ-CF8512-BK-XL</v>
          </cell>
          <cell r="B1666" t="str">
            <v>LYQ-CF8512</v>
          </cell>
        </row>
        <row r="1667">
          <cell r="A1667" t="str">
            <v>LYQ-CF8512-BK-XXL</v>
          </cell>
          <cell r="B1667" t="str">
            <v>LYQ-CF8512</v>
          </cell>
        </row>
        <row r="1668">
          <cell r="A1668" t="str">
            <v>LYQ-CF8512-BU-L</v>
          </cell>
          <cell r="B1668" t="str">
            <v>LYQ-CF8512</v>
          </cell>
        </row>
        <row r="1669">
          <cell r="A1669" t="str">
            <v>LYQ-CF8512-BU-M</v>
          </cell>
          <cell r="B1669" t="str">
            <v>LYQ-CF8512</v>
          </cell>
        </row>
        <row r="1670">
          <cell r="A1670" t="str">
            <v>LYQ-CF8512-BU-S</v>
          </cell>
          <cell r="B1670" t="str">
            <v>LYQ-CF8512</v>
          </cell>
        </row>
        <row r="1671">
          <cell r="A1671" t="str">
            <v>LYQ-CF8512-BU-XL</v>
          </cell>
          <cell r="B1671" t="str">
            <v>LYQ-CF8512</v>
          </cell>
        </row>
        <row r="1672">
          <cell r="A1672" t="str">
            <v>LYQ-CF8512-BU-XXL</v>
          </cell>
          <cell r="B1672" t="str">
            <v>LYQ-CF8512</v>
          </cell>
        </row>
        <row r="1673">
          <cell r="A1673" t="str">
            <v>LYQ-CF8512-DKGR-L</v>
          </cell>
          <cell r="B1673" t="str">
            <v>LYQ-CF8512</v>
          </cell>
        </row>
        <row r="1674">
          <cell r="A1674" t="str">
            <v>LYQ-CF8512-DKGR-M</v>
          </cell>
          <cell r="B1674" t="str">
            <v>LYQ-CF8512</v>
          </cell>
        </row>
        <row r="1675">
          <cell r="A1675" t="str">
            <v>LYQ-CF8512-DKGR-S</v>
          </cell>
          <cell r="B1675" t="str">
            <v>LYQ-CF8512</v>
          </cell>
        </row>
        <row r="1676">
          <cell r="A1676" t="str">
            <v>LYQ-CF8512-DKGR-XL</v>
          </cell>
          <cell r="B1676" t="str">
            <v>LYQ-CF8512</v>
          </cell>
        </row>
        <row r="1677">
          <cell r="A1677" t="str">
            <v>LYQ-CF8512-DKGR-XXL</v>
          </cell>
          <cell r="B1677" t="str">
            <v>LYQ-CF8512</v>
          </cell>
        </row>
        <row r="1678">
          <cell r="A1678" t="str">
            <v>LYQ-CF8512-GR-L</v>
          </cell>
          <cell r="B1678" t="str">
            <v>LYQ-CF8512</v>
          </cell>
        </row>
        <row r="1679">
          <cell r="A1679" t="str">
            <v>LYQ-CF8512-GR-M</v>
          </cell>
          <cell r="B1679" t="str">
            <v>LYQ-CF8512</v>
          </cell>
        </row>
        <row r="1680">
          <cell r="A1680" t="str">
            <v>LYQ-CF8512-GR-S</v>
          </cell>
          <cell r="B1680" t="str">
            <v>LYQ-CF8512</v>
          </cell>
        </row>
        <row r="1681">
          <cell r="A1681" t="str">
            <v>LYQ-CF8512-GR-XL</v>
          </cell>
          <cell r="B1681" t="str">
            <v>LYQ-CF8512</v>
          </cell>
        </row>
        <row r="1682">
          <cell r="A1682" t="str">
            <v>LYQ-CF8512-GR-XXL</v>
          </cell>
          <cell r="B1682" t="str">
            <v>LYQ-CF8512</v>
          </cell>
        </row>
        <row r="1683">
          <cell r="A1683" t="str">
            <v>LYQ-CF8512-NAVY-L</v>
          </cell>
          <cell r="B1683" t="str">
            <v>LYQ-CF8512</v>
          </cell>
        </row>
        <row r="1684">
          <cell r="A1684" t="str">
            <v>LYQ-CF8512-NAVY-M</v>
          </cell>
          <cell r="B1684" t="str">
            <v>LYQ-CF8512</v>
          </cell>
        </row>
        <row r="1685">
          <cell r="A1685" t="str">
            <v>LYQ-CF8512-NAVY-S</v>
          </cell>
          <cell r="B1685" t="str">
            <v>LYQ-CF8512</v>
          </cell>
        </row>
        <row r="1686">
          <cell r="A1686" t="str">
            <v>LYQ-CF8512-NAVY-XL</v>
          </cell>
          <cell r="B1686" t="str">
            <v>LYQ-CF8512</v>
          </cell>
        </row>
        <row r="1687">
          <cell r="A1687" t="str">
            <v>LYQ-CF8512-NAVY-XXL</v>
          </cell>
          <cell r="B1687" t="str">
            <v>LYQ-CF8512</v>
          </cell>
        </row>
        <row r="1688">
          <cell r="A1688" t="str">
            <v>LYQ-CF8512-WI-L</v>
          </cell>
          <cell r="B1688" t="str">
            <v>LYQ-CF8512</v>
          </cell>
        </row>
        <row r="1689">
          <cell r="A1689" t="str">
            <v>LYQ-CF8512-WI-M</v>
          </cell>
          <cell r="B1689" t="str">
            <v>LYQ-CF8512</v>
          </cell>
        </row>
        <row r="1690">
          <cell r="A1690" t="str">
            <v>LYQ-CF8512-WI-S</v>
          </cell>
          <cell r="B1690" t="str">
            <v>LYQ-CF8512</v>
          </cell>
        </row>
        <row r="1691">
          <cell r="A1691" t="str">
            <v>LYQ-CF8512-WI-XL</v>
          </cell>
          <cell r="B1691" t="str">
            <v>LYQ-CF8512</v>
          </cell>
        </row>
        <row r="1692">
          <cell r="A1692" t="str">
            <v>LYQ-CF8512-WI-XXL</v>
          </cell>
          <cell r="B1692" t="str">
            <v>LYQ-CF8512</v>
          </cell>
        </row>
        <row r="1693">
          <cell r="A1693" t="str">
            <v>LYQ-CFB0516-RDPO-S</v>
          </cell>
          <cell r="B1693" t="str">
            <v>LYQ-CFB0516</v>
          </cell>
        </row>
        <row r="1694">
          <cell r="A1694" t="str">
            <v>LYQ-CFL02-BK-2XL</v>
          </cell>
          <cell r="B1694" t="str">
            <v>LYQ-CFL02</v>
          </cell>
        </row>
        <row r="1695">
          <cell r="A1695" t="str">
            <v>LYQ-CFL02-BK-L</v>
          </cell>
          <cell r="B1695" t="str">
            <v>LYQ-CFL02</v>
          </cell>
        </row>
        <row r="1696">
          <cell r="A1696" t="str">
            <v>LYQ-CFL02-BK-M</v>
          </cell>
          <cell r="B1696" t="str">
            <v>LYQ-CFL02</v>
          </cell>
        </row>
        <row r="1697">
          <cell r="A1697" t="str">
            <v>LYQ-CFL02-BK-S</v>
          </cell>
          <cell r="B1697" t="str">
            <v>LYQ-CFL02</v>
          </cell>
        </row>
        <row r="1698">
          <cell r="A1698" t="str">
            <v>LYQ-CFL02-BK-XL</v>
          </cell>
          <cell r="B1698" t="str">
            <v>LYQ-CFL02</v>
          </cell>
        </row>
        <row r="1699">
          <cell r="A1699" t="str">
            <v>LYQ-CL0045-K0-L</v>
          </cell>
          <cell r="B1699" t="str">
            <v>LYQ-CL0045</v>
          </cell>
        </row>
        <row r="1700">
          <cell r="A1700" t="str">
            <v>LYQ-CL0045-K0-M</v>
          </cell>
          <cell r="B1700" t="str">
            <v>LYQ-CL0045</v>
          </cell>
        </row>
        <row r="1701">
          <cell r="A1701" t="str">
            <v>LYQ-CL0045-K0-S</v>
          </cell>
          <cell r="B1701" t="str">
            <v>LYQ-CL0045</v>
          </cell>
        </row>
        <row r="1702">
          <cell r="A1702" t="str">
            <v>LYQ-CL0045-K0-XL</v>
          </cell>
          <cell r="B1702" t="str">
            <v>LYQ-CL0045</v>
          </cell>
        </row>
        <row r="1703">
          <cell r="A1703" t="str">
            <v>LYQ-CL0045-Y0-L</v>
          </cell>
          <cell r="B1703" t="str">
            <v>LYQ-CL0045</v>
          </cell>
        </row>
        <row r="1704">
          <cell r="A1704" t="str">
            <v>LYQ-CL0045-Y0-M</v>
          </cell>
          <cell r="B1704" t="str">
            <v>LYQ-CL0045</v>
          </cell>
        </row>
        <row r="1705">
          <cell r="A1705" t="str">
            <v>LYQ-CL0045-Y0-S</v>
          </cell>
          <cell r="B1705" t="str">
            <v>LYQ-CL0045</v>
          </cell>
        </row>
        <row r="1706">
          <cell r="A1706" t="str">
            <v>LYQ-CL0045-Y0-XL</v>
          </cell>
          <cell r="B1706" t="str">
            <v>LYQ-CL0045</v>
          </cell>
        </row>
        <row r="1707">
          <cell r="A1707" t="str">
            <v>LYQ-CL0127</v>
          </cell>
          <cell r="B1707" t="str">
            <v>LYQ-CL0127</v>
          </cell>
        </row>
        <row r="1708">
          <cell r="A1708" t="str">
            <v>LYQ-CL0127-B0-2XL</v>
          </cell>
          <cell r="B1708" t="str">
            <v>LYQ-CL0127</v>
          </cell>
        </row>
        <row r="1709">
          <cell r="A1709" t="str">
            <v>LYQ-CL0127-B0-3XL</v>
          </cell>
          <cell r="B1709" t="str">
            <v>LYQ-CL0127</v>
          </cell>
        </row>
        <row r="1710">
          <cell r="A1710" t="str">
            <v>LYQ-CL0127-B0-XL</v>
          </cell>
          <cell r="B1710" t="str">
            <v>LYQ-CL0127</v>
          </cell>
        </row>
        <row r="1711">
          <cell r="A1711" t="str">
            <v>LYQ-CL0127-KQ-2XL</v>
          </cell>
          <cell r="B1711" t="str">
            <v>LYQ-CL0127</v>
          </cell>
        </row>
        <row r="1712">
          <cell r="A1712" t="str">
            <v>LYQ-CL0127-KQ-3XL</v>
          </cell>
          <cell r="B1712" t="str">
            <v>LYQ-CL0127</v>
          </cell>
        </row>
        <row r="1713">
          <cell r="A1713" t="str">
            <v>LYQ-CL0127-KQ-XL</v>
          </cell>
          <cell r="B1713" t="str">
            <v>LYQ-CL0127</v>
          </cell>
        </row>
        <row r="1714">
          <cell r="A1714" t="str">
            <v>LYQ-CL0127-R2-2XL</v>
          </cell>
          <cell r="B1714" t="str">
            <v>LYQ-CL0127</v>
          </cell>
        </row>
        <row r="1715">
          <cell r="A1715" t="str">
            <v>LYQ-CL0127-R2-3XL</v>
          </cell>
          <cell r="B1715" t="str">
            <v>LYQ-CL0127</v>
          </cell>
        </row>
        <row r="1716">
          <cell r="A1716" t="str">
            <v>LYQ-CL0127-R2-XL</v>
          </cell>
          <cell r="B1716" t="str">
            <v>LYQ-CL0127</v>
          </cell>
        </row>
        <row r="1717">
          <cell r="A1717" t="str">
            <v>LYQ-CL430-K0-M</v>
          </cell>
          <cell r="B1717" t="str">
            <v>LYQ-CL430</v>
          </cell>
        </row>
        <row r="1718">
          <cell r="A1718" t="str">
            <v>LYQ-CL435-W0-XL</v>
          </cell>
          <cell r="B1718" t="str">
            <v>LYQ-CL435</v>
          </cell>
        </row>
        <row r="1719">
          <cell r="A1719" t="str">
            <v>LYQ-CL61652-R6-L</v>
          </cell>
          <cell r="B1719" t="str">
            <v>LYQ-CL61652</v>
          </cell>
        </row>
        <row r="1720">
          <cell r="A1720" t="str">
            <v>LYQ-CL61652-R6-M</v>
          </cell>
          <cell r="B1720" t="str">
            <v>LYQ-CL61652</v>
          </cell>
        </row>
        <row r="1721">
          <cell r="A1721" t="str">
            <v>LYQ-CL61652-R6-S</v>
          </cell>
          <cell r="B1721" t="str">
            <v>LYQ-CL61652</v>
          </cell>
        </row>
        <row r="1722">
          <cell r="A1722" t="str">
            <v>LYQ-CL61652-R6-XL</v>
          </cell>
          <cell r="B1722" t="str">
            <v>LYQ-CL61652</v>
          </cell>
        </row>
        <row r="1723">
          <cell r="A1723" t="str">
            <v>LYQ-CL6287-B0-L</v>
          </cell>
          <cell r="B1723" t="str">
            <v>LYQ-CL6287</v>
          </cell>
        </row>
        <row r="1724">
          <cell r="A1724" t="str">
            <v>LYQ-CL6287-FB-L</v>
          </cell>
          <cell r="B1724" t="str">
            <v>LYQ-CL6287</v>
          </cell>
        </row>
        <row r="1725">
          <cell r="A1725" t="str">
            <v>LYQ-CL6287-FB-XL</v>
          </cell>
          <cell r="B1725" t="str">
            <v>LYQ-CL6287</v>
          </cell>
        </row>
        <row r="1726">
          <cell r="A1726" t="str">
            <v>LYQ-CL6287-G7-L</v>
          </cell>
          <cell r="B1726" t="str">
            <v>LYQ-CL6287</v>
          </cell>
        </row>
        <row r="1727">
          <cell r="A1727" t="str">
            <v>LYQ-CL6287-G7-M</v>
          </cell>
          <cell r="B1727" t="str">
            <v>LYQ-CL6287</v>
          </cell>
        </row>
        <row r="1728">
          <cell r="A1728" t="str">
            <v>LYQ-CL6287-K0-L</v>
          </cell>
          <cell r="B1728" t="str">
            <v>LYQ-CL6287</v>
          </cell>
        </row>
        <row r="1729">
          <cell r="A1729" t="str">
            <v>LYQ-CL6287-K0-M</v>
          </cell>
          <cell r="B1729" t="str">
            <v>LYQ-CL6287</v>
          </cell>
        </row>
        <row r="1730">
          <cell r="A1730" t="str">
            <v>LYQ-CL6287-K0-XL</v>
          </cell>
          <cell r="B1730" t="str">
            <v>LYQ-CL6287</v>
          </cell>
        </row>
        <row r="1731">
          <cell r="A1731" t="str">
            <v>LYQ-CL6408NO-G0-L</v>
          </cell>
          <cell r="B1731" t="str">
            <v>LYQ-CL6408</v>
          </cell>
        </row>
        <row r="1732">
          <cell r="A1732" t="str">
            <v>LYQ-CL6408NO-K0-L</v>
          </cell>
          <cell r="B1732" t="str">
            <v>LYQ-CL6408</v>
          </cell>
        </row>
        <row r="1733">
          <cell r="A1733" t="str">
            <v>LYQ-CL6408SL-G0XL</v>
          </cell>
          <cell r="B1733" t="str">
            <v>LYQ-CL6408</v>
          </cell>
        </row>
        <row r="1734">
          <cell r="A1734" t="str">
            <v>LYQ-CL6408SL-K0XL</v>
          </cell>
          <cell r="B1734" t="str">
            <v>LYQ-CL6408</v>
          </cell>
        </row>
        <row r="1735">
          <cell r="A1735" t="str">
            <v>LYQ-CL7232M</v>
          </cell>
          <cell r="B1735" t="str">
            <v>LYQ-CL7232M</v>
          </cell>
        </row>
        <row r="1736">
          <cell r="A1736" t="str">
            <v>LYQ-CL90501</v>
          </cell>
          <cell r="B1736" t="str">
            <v>LYQ-CL90501</v>
          </cell>
        </row>
        <row r="1737">
          <cell r="A1737" t="str">
            <v>LYQ-CL90501-G7-2XL</v>
          </cell>
          <cell r="B1737" t="str">
            <v>LYQ-CL90501</v>
          </cell>
        </row>
        <row r="1738">
          <cell r="A1738" t="str">
            <v>LYQ-CL90501-G7-L</v>
          </cell>
          <cell r="B1738" t="str">
            <v>LYQ-CL90501</v>
          </cell>
        </row>
        <row r="1739">
          <cell r="A1739" t="str">
            <v>LYQ-CL90501-G7-M</v>
          </cell>
          <cell r="B1739" t="str">
            <v>LYQ-CL90501</v>
          </cell>
        </row>
        <row r="1740">
          <cell r="A1740" t="str">
            <v>LYQ-CL90501-G7-S</v>
          </cell>
          <cell r="B1740" t="str">
            <v>LYQ-CL90501</v>
          </cell>
        </row>
        <row r="1741">
          <cell r="A1741" t="str">
            <v>LYQ-CL90501-G7-XL</v>
          </cell>
          <cell r="B1741" t="str">
            <v>LYQ-CL90501</v>
          </cell>
        </row>
        <row r="1742">
          <cell r="A1742" t="str">
            <v>LYQ-CLA6005-BD-XL</v>
          </cell>
          <cell r="B1742" t="str">
            <v>LYQ-CLA6005</v>
          </cell>
        </row>
        <row r="1743">
          <cell r="A1743" t="str">
            <v>LYQ-CLAM035-FL-S</v>
          </cell>
          <cell r="B1743" t="str">
            <v>LYQ-CLAM035</v>
          </cell>
        </row>
        <row r="1744">
          <cell r="A1744" t="str">
            <v>LYQ-CLBAH002-L</v>
          </cell>
          <cell r="B1744" t="str">
            <v>LYQ-CLBAH002</v>
          </cell>
        </row>
        <row r="1745">
          <cell r="A1745" t="str">
            <v>LYQ-CLBAH002-M</v>
          </cell>
          <cell r="B1745" t="str">
            <v>LYQ-CLBAH002</v>
          </cell>
        </row>
        <row r="1746">
          <cell r="A1746" t="str">
            <v>LYQ-CLBAH002-S</v>
          </cell>
          <cell r="B1746" t="str">
            <v>LYQ-CLBAH002</v>
          </cell>
        </row>
        <row r="1747">
          <cell r="A1747" t="str">
            <v>LYQ-CLBAH002-XL</v>
          </cell>
          <cell r="B1747" t="str">
            <v>LYQ-CLBAH002</v>
          </cell>
        </row>
        <row r="1748">
          <cell r="A1748" t="str">
            <v>LYQ-CLZ095E02L</v>
          </cell>
          <cell r="B1748" t="str">
            <v>LYQ-CLZ095</v>
          </cell>
        </row>
        <row r="1749">
          <cell r="A1749" t="str">
            <v>LYQ-CLZ095E0L</v>
          </cell>
          <cell r="B1749" t="str">
            <v>LYQ-CLZ095</v>
          </cell>
        </row>
        <row r="1750">
          <cell r="A1750" t="str">
            <v>LYQ-CLZ095E0M</v>
          </cell>
          <cell r="B1750" t="str">
            <v>LYQ-CLZ095</v>
          </cell>
        </row>
        <row r="1751">
          <cell r="A1751" t="str">
            <v>LYQ-CLZ095E0S</v>
          </cell>
          <cell r="B1751" t="str">
            <v>LYQ-CLZ095</v>
          </cell>
        </row>
        <row r="1752">
          <cell r="A1752" t="str">
            <v>LYQ-CLZ095E0XL</v>
          </cell>
          <cell r="B1752" t="str">
            <v>LYQ-CLZ095</v>
          </cell>
        </row>
        <row r="1753">
          <cell r="A1753" t="str">
            <v>LYQ-CLZ095K02L</v>
          </cell>
          <cell r="B1753" t="str">
            <v>LYQ-CLZ095</v>
          </cell>
        </row>
        <row r="1754">
          <cell r="A1754" t="str">
            <v>LYQ-CLZ095K0L</v>
          </cell>
          <cell r="B1754" t="str">
            <v>LYQ-CLZ095</v>
          </cell>
        </row>
        <row r="1755">
          <cell r="A1755" t="str">
            <v>LYQ-CLZ095K0M</v>
          </cell>
          <cell r="B1755" t="str">
            <v>LYQ-CLZ095</v>
          </cell>
        </row>
        <row r="1756">
          <cell r="A1756" t="str">
            <v>LYQ-CLZ095R22L</v>
          </cell>
          <cell r="B1756" t="str">
            <v>LYQ-CLZ095</v>
          </cell>
        </row>
        <row r="1757">
          <cell r="A1757" t="str">
            <v>LYQ-CLZ095R2L</v>
          </cell>
          <cell r="B1757" t="str">
            <v>LYQ-CLZ095</v>
          </cell>
        </row>
        <row r="1758">
          <cell r="A1758" t="str">
            <v>LYQ-CLZ095R2M</v>
          </cell>
          <cell r="B1758" t="str">
            <v>LYQ-CLZ095</v>
          </cell>
        </row>
        <row r="1759">
          <cell r="A1759" t="str">
            <v>LYQ-CLZ095R2S</v>
          </cell>
          <cell r="B1759" t="str">
            <v>LYQ-CLZ095</v>
          </cell>
        </row>
        <row r="1760">
          <cell r="A1760" t="str">
            <v>LYQ-CLZ095R2XL</v>
          </cell>
          <cell r="B1760" t="str">
            <v>LYQ-CLZ095</v>
          </cell>
        </row>
        <row r="1761">
          <cell r="A1761" t="str">
            <v>LYQ-CS04</v>
          </cell>
          <cell r="B1761" t="str">
            <v>LYQ-CS04</v>
          </cell>
        </row>
        <row r="1762">
          <cell r="A1762" t="str">
            <v>LYQ-CS04-CO-2XL</v>
          </cell>
          <cell r="B1762" t="str">
            <v>LYQ-CS04</v>
          </cell>
        </row>
        <row r="1763">
          <cell r="A1763" t="str">
            <v>LYQ-CS04-CO-L</v>
          </cell>
          <cell r="B1763" t="str">
            <v>LYQ-CS04</v>
          </cell>
        </row>
        <row r="1764">
          <cell r="A1764" t="str">
            <v>LYQ-CS04-CO-M</v>
          </cell>
          <cell r="B1764" t="str">
            <v>LYQ-CS04</v>
          </cell>
        </row>
        <row r="1765">
          <cell r="A1765" t="str">
            <v>LYQ-CS04-CO-S</v>
          </cell>
          <cell r="B1765" t="str">
            <v>LYQ-CS04</v>
          </cell>
        </row>
        <row r="1766">
          <cell r="A1766" t="str">
            <v>LYQ-CS04-CO-XL</v>
          </cell>
          <cell r="B1766" t="str">
            <v>LYQ-CS04</v>
          </cell>
        </row>
        <row r="1767">
          <cell r="A1767" t="str">
            <v>LYQ-CS04-G0-2XL</v>
          </cell>
          <cell r="B1767" t="str">
            <v>LYQ-CS04</v>
          </cell>
        </row>
        <row r="1768">
          <cell r="A1768" t="str">
            <v>LYQ-CS04-G0-L</v>
          </cell>
          <cell r="B1768" t="str">
            <v>LYQ-CS04</v>
          </cell>
        </row>
        <row r="1769">
          <cell r="A1769" t="str">
            <v>LYQ-CS04-G0-M</v>
          </cell>
          <cell r="B1769" t="str">
            <v>LYQ-CS04</v>
          </cell>
        </row>
        <row r="1770">
          <cell r="A1770" t="str">
            <v>LYQ-CS04-G0-S</v>
          </cell>
          <cell r="B1770" t="str">
            <v>LYQ-CS04</v>
          </cell>
        </row>
        <row r="1771">
          <cell r="A1771" t="str">
            <v>LYQ-CS04-G0-XL</v>
          </cell>
          <cell r="B1771" t="str">
            <v>LYQ-CS04</v>
          </cell>
        </row>
        <row r="1772">
          <cell r="A1772" t="str">
            <v>LYQ-CS04-GR-2XL</v>
          </cell>
          <cell r="B1772" t="str">
            <v>LYQ-CS04</v>
          </cell>
        </row>
        <row r="1773">
          <cell r="A1773" t="str">
            <v>LYQ-CS04-GR-L</v>
          </cell>
          <cell r="B1773" t="str">
            <v>LYQ-CS04</v>
          </cell>
        </row>
        <row r="1774">
          <cell r="A1774" t="str">
            <v>LYQ-CS04-GR-M</v>
          </cell>
          <cell r="B1774" t="str">
            <v>LYQ-CS04</v>
          </cell>
        </row>
        <row r="1775">
          <cell r="A1775" t="str">
            <v>LYQ-CS04-GR-S</v>
          </cell>
          <cell r="B1775" t="str">
            <v>LYQ-CS04</v>
          </cell>
        </row>
        <row r="1776">
          <cell r="A1776" t="str">
            <v>LYQ-CS04-GR-XL</v>
          </cell>
          <cell r="B1776" t="str">
            <v>LYQ-CS04</v>
          </cell>
        </row>
        <row r="1777">
          <cell r="A1777" t="str">
            <v>LYQ-CS04-K0-2XL</v>
          </cell>
          <cell r="B1777" t="str">
            <v>LYQ-CS04</v>
          </cell>
        </row>
        <row r="1778">
          <cell r="A1778" t="str">
            <v>LYQ-CS04-K0-L</v>
          </cell>
          <cell r="B1778" t="str">
            <v>LYQ-CS04</v>
          </cell>
        </row>
        <row r="1779">
          <cell r="A1779" t="str">
            <v>LYQ-CS04-K0-M</v>
          </cell>
          <cell r="B1779" t="str">
            <v>LYQ-CS04</v>
          </cell>
        </row>
        <row r="1780">
          <cell r="A1780" t="str">
            <v>LYQ-CS04-K0-S</v>
          </cell>
          <cell r="B1780" t="str">
            <v>LYQ-CS04</v>
          </cell>
        </row>
        <row r="1781">
          <cell r="A1781" t="str">
            <v>LYQ-CS04-K0-XL</v>
          </cell>
          <cell r="B1781" t="str">
            <v>LYQ-CS04</v>
          </cell>
        </row>
        <row r="1782">
          <cell r="A1782" t="str">
            <v>LYQ-CS04-Wi-2XL</v>
          </cell>
          <cell r="B1782" t="str">
            <v>LYQ-CS04</v>
          </cell>
        </row>
        <row r="1783">
          <cell r="A1783" t="str">
            <v>LYQ-CS04-Wi-L</v>
          </cell>
          <cell r="B1783" t="str">
            <v>LYQ-CS04</v>
          </cell>
        </row>
        <row r="1784">
          <cell r="A1784" t="str">
            <v>LYQ-CS04-Wi-M</v>
          </cell>
          <cell r="B1784" t="str">
            <v>LYQ-CS04</v>
          </cell>
        </row>
        <row r="1785">
          <cell r="A1785" t="str">
            <v>LYQ-CS04-Wi-S</v>
          </cell>
          <cell r="B1785" t="str">
            <v>LYQ-CS04</v>
          </cell>
        </row>
        <row r="1786">
          <cell r="A1786" t="str">
            <v>LYQ-CS04-Wi-XL</v>
          </cell>
          <cell r="B1786" t="str">
            <v>LYQ-CS04</v>
          </cell>
        </row>
        <row r="1787">
          <cell r="A1787" t="str">
            <v>LYQ-CSM048-G0-L</v>
          </cell>
          <cell r="B1787" t="str">
            <v>LYQ-CSM048</v>
          </cell>
        </row>
        <row r="1788">
          <cell r="A1788" t="str">
            <v>LYQ-CSM048-G0-M</v>
          </cell>
          <cell r="B1788" t="str">
            <v>LYQ-CSM048</v>
          </cell>
        </row>
        <row r="1789">
          <cell r="A1789" t="str">
            <v>LYQ-CSM048-G0-S</v>
          </cell>
          <cell r="B1789" t="str">
            <v>LYQ-CSM048</v>
          </cell>
        </row>
        <row r="1790">
          <cell r="A1790" t="str">
            <v>LYQ-CSM048-G0-XL</v>
          </cell>
          <cell r="B1790" t="str">
            <v>LYQ-CSM048</v>
          </cell>
        </row>
        <row r="1791">
          <cell r="A1791" t="str">
            <v>LYQ-CSM048-GR0-L</v>
          </cell>
          <cell r="B1791" t="str">
            <v>LYQ-CSM048</v>
          </cell>
        </row>
        <row r="1792">
          <cell r="A1792" t="str">
            <v>LYQ-CSM048-GR0-M</v>
          </cell>
          <cell r="B1792" t="str">
            <v>LYQ-CSM048</v>
          </cell>
        </row>
        <row r="1793">
          <cell r="A1793" t="str">
            <v>LYQ-CSM048-GR0-S</v>
          </cell>
          <cell r="B1793" t="str">
            <v>LYQ-CSM048</v>
          </cell>
        </row>
        <row r="1794">
          <cell r="A1794" t="str">
            <v>LYQ-CSM048-GR0-XL</v>
          </cell>
          <cell r="B1794" t="str">
            <v>LYQ-CSM048</v>
          </cell>
        </row>
        <row r="1795">
          <cell r="A1795" t="str">
            <v>LYQ-CSM048-GR1-L</v>
          </cell>
          <cell r="B1795" t="str">
            <v>LYQ-CSM048</v>
          </cell>
        </row>
        <row r="1796">
          <cell r="A1796" t="str">
            <v>LYQ-CSM048-GR1-M</v>
          </cell>
          <cell r="B1796" t="str">
            <v>LYQ-CSM048</v>
          </cell>
        </row>
        <row r="1797">
          <cell r="A1797" t="str">
            <v>LYQ-CSM048-GR1-S</v>
          </cell>
          <cell r="B1797" t="str">
            <v>LYQ-CSM048</v>
          </cell>
        </row>
        <row r="1798">
          <cell r="A1798" t="str">
            <v>LYQ-CSM048-GR1-XL</v>
          </cell>
          <cell r="B1798" t="str">
            <v>LYQ-CSM048</v>
          </cell>
        </row>
        <row r="1799">
          <cell r="A1799" t="str">
            <v>LYQ-CSM048-K0-L</v>
          </cell>
          <cell r="B1799" t="str">
            <v>LYQ-CSM048</v>
          </cell>
        </row>
        <row r="1800">
          <cell r="A1800" t="str">
            <v>LYQ-CSM048-K0-M</v>
          </cell>
          <cell r="B1800" t="str">
            <v>LYQ-CSM048</v>
          </cell>
        </row>
        <row r="1801">
          <cell r="A1801" t="str">
            <v>LYQ-CSM048-K0-S</v>
          </cell>
          <cell r="B1801" t="str">
            <v>LYQ-CSM048</v>
          </cell>
        </row>
        <row r="1802">
          <cell r="A1802" t="str">
            <v>LYQ-CSM048-K0-XL</v>
          </cell>
          <cell r="B1802" t="str">
            <v>LYQ-CSM048</v>
          </cell>
        </row>
        <row r="1803">
          <cell r="A1803" t="str">
            <v>LYQ-CSM048-R0-L</v>
          </cell>
          <cell r="B1803" t="str">
            <v>LYQ-CSM048</v>
          </cell>
        </row>
        <row r="1804">
          <cell r="A1804" t="str">
            <v>LYQ-CSM048-R0-M</v>
          </cell>
          <cell r="B1804" t="str">
            <v>LYQ-CSM048</v>
          </cell>
        </row>
        <row r="1805">
          <cell r="A1805" t="str">
            <v>LYQ-CSM048-R0-S</v>
          </cell>
          <cell r="B1805" t="str">
            <v>LYQ-CSM048</v>
          </cell>
        </row>
        <row r="1806">
          <cell r="A1806" t="str">
            <v>LYQ-CSM048-R0-XL</v>
          </cell>
          <cell r="B1806" t="str">
            <v>LYQ-CSM048</v>
          </cell>
        </row>
        <row r="1807">
          <cell r="A1807" t="str">
            <v>LYQ-CSM048-ZL-L</v>
          </cell>
          <cell r="B1807" t="str">
            <v>LYQ-CSM048</v>
          </cell>
        </row>
        <row r="1808">
          <cell r="A1808" t="str">
            <v>LYQ-CSM048-ZL-M</v>
          </cell>
          <cell r="B1808" t="str">
            <v>LYQ-CSM048</v>
          </cell>
        </row>
        <row r="1809">
          <cell r="A1809" t="str">
            <v>LYQ-CSM048-ZL-S</v>
          </cell>
          <cell r="B1809" t="str">
            <v>LYQ-CSM048</v>
          </cell>
        </row>
        <row r="1810">
          <cell r="A1810" t="str">
            <v>LYQ-CSM048-ZL-XL</v>
          </cell>
          <cell r="B1810" t="str">
            <v>LYQ-CSM048</v>
          </cell>
        </row>
        <row r="1811">
          <cell r="A1811" t="str">
            <v>LYQ-G003B02L</v>
          </cell>
          <cell r="B1811" t="str">
            <v>LYQ-G003</v>
          </cell>
        </row>
        <row r="1812">
          <cell r="A1812" t="str">
            <v>LYQ-G003B0L</v>
          </cell>
          <cell r="B1812" t="str">
            <v>LYQ-G003</v>
          </cell>
        </row>
        <row r="1813">
          <cell r="A1813" t="str">
            <v>LYQ-G003B0M</v>
          </cell>
          <cell r="B1813" t="str">
            <v>LYQ-G003</v>
          </cell>
        </row>
        <row r="1814">
          <cell r="A1814" t="str">
            <v>LYQ-G003B0S</v>
          </cell>
          <cell r="B1814" t="str">
            <v>LYQ-G003</v>
          </cell>
        </row>
        <row r="1815">
          <cell r="A1815" t="str">
            <v>LYQ-G003B0XL</v>
          </cell>
          <cell r="B1815" t="str">
            <v>LYQ-G003</v>
          </cell>
        </row>
        <row r="1816">
          <cell r="A1816" t="str">
            <v>LYQ-G003W12L</v>
          </cell>
          <cell r="B1816" t="str">
            <v>LYQ-G003</v>
          </cell>
        </row>
        <row r="1817">
          <cell r="A1817" t="str">
            <v>LYQ-G003W1L</v>
          </cell>
          <cell r="B1817" t="str">
            <v>LYQ-G003</v>
          </cell>
        </row>
        <row r="1818">
          <cell r="A1818" t="str">
            <v>LYQ-G003W1M</v>
          </cell>
          <cell r="B1818" t="str">
            <v>LYQ-G003</v>
          </cell>
        </row>
        <row r="1819">
          <cell r="A1819" t="str">
            <v>LYQ-G003W1S</v>
          </cell>
          <cell r="B1819" t="str">
            <v>LYQ-G003</v>
          </cell>
        </row>
        <row r="1820">
          <cell r="A1820" t="str">
            <v>LYQ-G003W1XL</v>
          </cell>
          <cell r="B1820" t="str">
            <v>LYQ-G003</v>
          </cell>
        </row>
        <row r="1821">
          <cell r="A1821" t="str">
            <v>LYQ-G003ZL2L</v>
          </cell>
          <cell r="B1821" t="str">
            <v>LYQ-G003</v>
          </cell>
        </row>
        <row r="1822">
          <cell r="A1822" t="str">
            <v>LYQ-G003ZLL</v>
          </cell>
          <cell r="B1822" t="str">
            <v>LYQ-G003</v>
          </cell>
        </row>
        <row r="1823">
          <cell r="A1823" t="str">
            <v>LYQ-G003ZLM</v>
          </cell>
          <cell r="B1823" t="str">
            <v>LYQ-G003</v>
          </cell>
        </row>
        <row r="1824">
          <cell r="A1824" t="str">
            <v>LYQ-G003ZLS</v>
          </cell>
          <cell r="B1824" t="str">
            <v>LYQ-G003</v>
          </cell>
        </row>
        <row r="1825">
          <cell r="A1825" t="str">
            <v>LYQ-G003ZLXL</v>
          </cell>
          <cell r="B1825" t="str">
            <v>LYQ-G003</v>
          </cell>
        </row>
        <row r="1826">
          <cell r="A1826" t="str">
            <v>LYQ-HB1377-blue-L</v>
          </cell>
          <cell r="B1826" t="str">
            <v>LYQ-HB1377</v>
          </cell>
        </row>
        <row r="1827">
          <cell r="A1827" t="str">
            <v>LYQ-HB1377-blue-M</v>
          </cell>
          <cell r="B1827" t="str">
            <v>LYQ-HB1377</v>
          </cell>
        </row>
        <row r="1828">
          <cell r="A1828" t="str">
            <v>LYQ-HB1377-blue-S</v>
          </cell>
          <cell r="B1828" t="str">
            <v>LYQ-HB1377</v>
          </cell>
        </row>
        <row r="1829">
          <cell r="A1829" t="str">
            <v>LYQ-HB1377-blue-XL</v>
          </cell>
          <cell r="B1829" t="str">
            <v>LYQ-HB1377</v>
          </cell>
        </row>
        <row r="1830">
          <cell r="A1830" t="str">
            <v>LYQ-HB1377-grey0-L</v>
          </cell>
          <cell r="B1830" t="str">
            <v>LYQ-HB1377</v>
          </cell>
        </row>
        <row r="1831">
          <cell r="A1831" t="str">
            <v>LYQ-HB1377-grey0-M</v>
          </cell>
          <cell r="B1831" t="str">
            <v>LYQ-HB1377</v>
          </cell>
        </row>
        <row r="1832">
          <cell r="A1832" t="str">
            <v>LYQ-HB1377-grey0-S</v>
          </cell>
          <cell r="B1832" t="str">
            <v>LYQ-HB1377</v>
          </cell>
        </row>
        <row r="1833">
          <cell r="A1833" t="str">
            <v>LYQ-HB1377-grey0-XL</v>
          </cell>
          <cell r="B1833" t="str">
            <v>LYQ-HB1377</v>
          </cell>
        </row>
        <row r="1834">
          <cell r="A1834" t="str">
            <v>LYQ-HB1377-grey1-L</v>
          </cell>
          <cell r="B1834" t="str">
            <v>LYQ-HB1377</v>
          </cell>
        </row>
        <row r="1835">
          <cell r="A1835" t="str">
            <v>LYQ-HB1377-grey1-M</v>
          </cell>
          <cell r="B1835" t="str">
            <v>LYQ-HB1377</v>
          </cell>
        </row>
        <row r="1836">
          <cell r="A1836" t="str">
            <v>LYQ-HB1377-grey1-S</v>
          </cell>
          <cell r="B1836" t="str">
            <v>LYQ-HB1377</v>
          </cell>
        </row>
        <row r="1837">
          <cell r="A1837" t="str">
            <v>LYQ-HB1377-grey1-XL</v>
          </cell>
          <cell r="B1837" t="str">
            <v>LYQ-HB1377</v>
          </cell>
        </row>
        <row r="1838">
          <cell r="A1838" t="str">
            <v>LYQ-HB1377-purple-L</v>
          </cell>
          <cell r="B1838" t="str">
            <v>LYQ-HB1377</v>
          </cell>
        </row>
        <row r="1839">
          <cell r="A1839" t="str">
            <v>LYQ-HB1377-purple-M</v>
          </cell>
          <cell r="B1839" t="str">
            <v>LYQ-HB1377</v>
          </cell>
        </row>
        <row r="1840">
          <cell r="A1840" t="str">
            <v>LYQ-HB1377-purple-S</v>
          </cell>
          <cell r="B1840" t="str">
            <v>LYQ-HB1377</v>
          </cell>
        </row>
        <row r="1841">
          <cell r="A1841" t="str">
            <v>LYQ-HB1377-purple-XL</v>
          </cell>
          <cell r="B1841" t="str">
            <v>LYQ-HB1377</v>
          </cell>
        </row>
        <row r="1842">
          <cell r="A1842" t="str">
            <v>LYQ-HB1377-rose-L</v>
          </cell>
          <cell r="B1842" t="str">
            <v>LYQ-HB1377</v>
          </cell>
        </row>
        <row r="1843">
          <cell r="A1843" t="str">
            <v>LYQ-HB1377-rose-M</v>
          </cell>
          <cell r="B1843" t="str">
            <v>LYQ-HB1377</v>
          </cell>
        </row>
        <row r="1844">
          <cell r="A1844" t="str">
            <v>LYQ-HB1377-rose-S</v>
          </cell>
          <cell r="B1844" t="str">
            <v>LYQ-HB1377</v>
          </cell>
        </row>
        <row r="1845">
          <cell r="A1845" t="str">
            <v>LYQ-HB1377-rose-XL</v>
          </cell>
          <cell r="B1845" t="str">
            <v>LYQ-HB1377</v>
          </cell>
        </row>
        <row r="1846">
          <cell r="A1846" t="str">
            <v>LYQ-HM010</v>
          </cell>
          <cell r="B1846" t="str">
            <v>LYQ-HM010</v>
          </cell>
        </row>
        <row r="1847">
          <cell r="A1847" t="str">
            <v>LYQ-HM010-B0YH-L</v>
          </cell>
          <cell r="B1847" t="str">
            <v>LYQ-HM010</v>
          </cell>
        </row>
        <row r="1848">
          <cell r="A1848" t="str">
            <v>LYQ-HM010-B0YH-M</v>
          </cell>
          <cell r="B1848" t="str">
            <v>LYQ-HM010</v>
          </cell>
        </row>
        <row r="1849">
          <cell r="A1849" t="str">
            <v>LYQ-HM010-K0-M</v>
          </cell>
          <cell r="B1849" t="str">
            <v>LYQ-HM010</v>
          </cell>
        </row>
        <row r="1850">
          <cell r="A1850" t="str">
            <v>LYQ-HM049</v>
          </cell>
          <cell r="B1850" t="str">
            <v>LYQ-HM049</v>
          </cell>
        </row>
        <row r="1851">
          <cell r="A1851" t="str">
            <v>LYQ-HM049-G0-XL</v>
          </cell>
          <cell r="B1851" t="str">
            <v>LYQ-HM049</v>
          </cell>
        </row>
        <row r="1852">
          <cell r="A1852" t="str">
            <v>LYQ-HM049-K0-L</v>
          </cell>
          <cell r="B1852" t="str">
            <v>LYQ-HM049</v>
          </cell>
        </row>
        <row r="1853">
          <cell r="A1853" t="str">
            <v>LYQ-HM049-K0-M</v>
          </cell>
          <cell r="B1853" t="str">
            <v>LYQ-HM049</v>
          </cell>
        </row>
        <row r="1854">
          <cell r="A1854" t="str">
            <v>LYQ-HM049-K0-XL</v>
          </cell>
          <cell r="B1854" t="str">
            <v>LYQ-HM049</v>
          </cell>
        </row>
        <row r="1855">
          <cell r="A1855" t="str">
            <v>LYQ-HM049-ZL-L</v>
          </cell>
          <cell r="B1855" t="str">
            <v>LYQ-HM049</v>
          </cell>
        </row>
        <row r="1856">
          <cell r="A1856" t="str">
            <v>LYQ-HM049-ZL-S</v>
          </cell>
          <cell r="B1856" t="str">
            <v>LYQ-HM049</v>
          </cell>
        </row>
        <row r="1857">
          <cell r="A1857" t="str">
            <v>LYQ-HM049-ZL-XL</v>
          </cell>
          <cell r="B1857" t="str">
            <v>LYQ-HM049</v>
          </cell>
        </row>
        <row r="1858">
          <cell r="A1858" t="str">
            <v>LYQ-HM0505-W0-2XL</v>
          </cell>
          <cell r="B1858" t="str">
            <v>LYQ-HM0505</v>
          </cell>
        </row>
        <row r="1859">
          <cell r="A1859" t="str">
            <v>LYQ-HM0505-W0-3XL</v>
          </cell>
          <cell r="B1859" t="str">
            <v>LYQ-HM0505</v>
          </cell>
        </row>
        <row r="1860">
          <cell r="A1860" t="str">
            <v>LYQ-HM0831-R0-L</v>
          </cell>
          <cell r="B1860" t="str">
            <v>LYQ-HM0831</v>
          </cell>
        </row>
        <row r="1861">
          <cell r="A1861" t="str">
            <v>LYQ-HM0831-R0-M</v>
          </cell>
          <cell r="B1861" t="str">
            <v>LYQ-HM0831</v>
          </cell>
        </row>
        <row r="1862">
          <cell r="A1862" t="str">
            <v>LYQ-HM1205-BR-L</v>
          </cell>
          <cell r="B1862" t="str">
            <v>LYQ-HM1205</v>
          </cell>
        </row>
        <row r="1863">
          <cell r="A1863" t="str">
            <v>LYQ-HM1205-BR-L-CA</v>
          </cell>
          <cell r="B1863" t="str">
            <v>LYQ-HM1205</v>
          </cell>
        </row>
        <row r="1864">
          <cell r="A1864" t="str">
            <v>LYQ-HM1205-BR-M</v>
          </cell>
          <cell r="B1864" t="str">
            <v>LYQ-HM1205</v>
          </cell>
        </row>
        <row r="1865">
          <cell r="A1865" t="str">
            <v>LYQ-HM1205-BR-M-CA</v>
          </cell>
          <cell r="B1865" t="str">
            <v>LYQ-HM1205</v>
          </cell>
        </row>
        <row r="1866">
          <cell r="A1866" t="str">
            <v>LYQ-HM1205-BR-S</v>
          </cell>
          <cell r="B1866" t="str">
            <v>LYQ-HM1205</v>
          </cell>
        </row>
        <row r="1867">
          <cell r="A1867" t="str">
            <v>LYQ-HM1205-BR-S-CA</v>
          </cell>
          <cell r="B1867" t="str">
            <v>LYQ-HM1205</v>
          </cell>
        </row>
        <row r="1868">
          <cell r="A1868" t="str">
            <v>LYQ-HM1205-BR-XL</v>
          </cell>
          <cell r="B1868" t="str">
            <v>LYQ-HM1205</v>
          </cell>
        </row>
        <row r="1869">
          <cell r="A1869" t="str">
            <v>LYQ-HM1205-BR-XL-CA</v>
          </cell>
          <cell r="B1869" t="str">
            <v>LYQ-HM1205</v>
          </cell>
        </row>
        <row r="1870">
          <cell r="A1870" t="str">
            <v>LYQ-HM1205-K0-L</v>
          </cell>
          <cell r="B1870" t="str">
            <v>LYQ-HM1205</v>
          </cell>
        </row>
        <row r="1871">
          <cell r="A1871" t="str">
            <v>LYQ-HM1205-K0-L-CA</v>
          </cell>
          <cell r="B1871" t="str">
            <v>LYQ-HM1205</v>
          </cell>
        </row>
        <row r="1872">
          <cell r="A1872" t="str">
            <v>LYQ-HM1205-K0-M</v>
          </cell>
          <cell r="B1872" t="str">
            <v>LYQ-HM1205</v>
          </cell>
        </row>
        <row r="1873">
          <cell r="A1873" t="str">
            <v>LYQ-HM1205-K0-M-CA</v>
          </cell>
          <cell r="B1873" t="str">
            <v>LYQ-HM1205</v>
          </cell>
        </row>
        <row r="1874">
          <cell r="A1874" t="str">
            <v>LYQ-HM1205-K0-S</v>
          </cell>
          <cell r="B1874" t="str">
            <v>LYQ-HM1205</v>
          </cell>
        </row>
        <row r="1875">
          <cell r="A1875" t="str">
            <v>LYQ-HM1205-K0-S-CA</v>
          </cell>
          <cell r="B1875" t="str">
            <v>LYQ-HM1205</v>
          </cell>
        </row>
        <row r="1876">
          <cell r="A1876" t="str">
            <v>LYQ-HM1205-K0-XL</v>
          </cell>
          <cell r="B1876" t="str">
            <v>LYQ-HM1205</v>
          </cell>
        </row>
        <row r="1877">
          <cell r="A1877" t="str">
            <v>LYQ-HM1205-K0-XL-CA</v>
          </cell>
          <cell r="B1877" t="str">
            <v>LYQ-HM1205</v>
          </cell>
        </row>
        <row r="1878">
          <cell r="A1878" t="str">
            <v>LYQ-HM1205-KH-L</v>
          </cell>
          <cell r="B1878" t="str">
            <v>LYQ-HM1205</v>
          </cell>
        </row>
        <row r="1879">
          <cell r="A1879" t="str">
            <v>LYQ-HM1205-KH-L-CA</v>
          </cell>
          <cell r="B1879" t="str">
            <v>LYQ-HM1205</v>
          </cell>
        </row>
        <row r="1880">
          <cell r="A1880" t="str">
            <v>LYQ-HM1205-KH-M</v>
          </cell>
          <cell r="B1880" t="str">
            <v>LYQ-HM1205</v>
          </cell>
        </row>
        <row r="1881">
          <cell r="A1881" t="str">
            <v>LYQ-HM1205-KH-M-CA</v>
          </cell>
          <cell r="B1881" t="str">
            <v>LYQ-HM1205</v>
          </cell>
        </row>
        <row r="1882">
          <cell r="A1882" t="str">
            <v>LYQ-HM1205-KH-S</v>
          </cell>
          <cell r="B1882" t="str">
            <v>LYQ-HM1205</v>
          </cell>
        </row>
        <row r="1883">
          <cell r="A1883" t="str">
            <v>LYQ-HM1205-KH-S-CA</v>
          </cell>
          <cell r="B1883" t="str">
            <v>LYQ-HM1205</v>
          </cell>
        </row>
        <row r="1884">
          <cell r="A1884" t="str">
            <v>LYQ-HM1205-KH-XL</v>
          </cell>
          <cell r="B1884" t="str">
            <v>LYQ-HM1205</v>
          </cell>
        </row>
        <row r="1885">
          <cell r="A1885" t="str">
            <v>LYQ-HM1205-KH-XL-CA</v>
          </cell>
          <cell r="B1885" t="str">
            <v>LYQ-HM1205</v>
          </cell>
        </row>
        <row r="1886">
          <cell r="A1886" t="str">
            <v>LYQ-HM1205-OR-L</v>
          </cell>
          <cell r="B1886" t="str">
            <v>LYQ-HM1205</v>
          </cell>
        </row>
        <row r="1887">
          <cell r="A1887" t="str">
            <v>LYQ-HM1205-OR-L-CA</v>
          </cell>
          <cell r="B1887" t="str">
            <v>LYQ-HM1205</v>
          </cell>
        </row>
        <row r="1888">
          <cell r="A1888" t="str">
            <v>LYQ-HM1205-OR-M</v>
          </cell>
          <cell r="B1888" t="str">
            <v>LYQ-HM1205</v>
          </cell>
        </row>
        <row r="1889">
          <cell r="A1889" t="str">
            <v>LYQ-HM1205-OR-M-CA</v>
          </cell>
          <cell r="B1889" t="str">
            <v>LYQ-HM1205</v>
          </cell>
        </row>
        <row r="1890">
          <cell r="A1890" t="str">
            <v>LYQ-HM1205-OR-S</v>
          </cell>
          <cell r="B1890" t="str">
            <v>LYQ-HM1205</v>
          </cell>
        </row>
        <row r="1891">
          <cell r="A1891" t="str">
            <v>LYQ-HM1205-OR-S-CA</v>
          </cell>
          <cell r="B1891" t="str">
            <v>LYQ-HM1205</v>
          </cell>
        </row>
        <row r="1892">
          <cell r="A1892" t="str">
            <v>LYQ-HM1205-OR-XL</v>
          </cell>
          <cell r="B1892" t="str">
            <v>LYQ-HM1205</v>
          </cell>
        </row>
        <row r="1893">
          <cell r="A1893" t="str">
            <v>LYQ-HM1205-OR-XL-CA</v>
          </cell>
          <cell r="B1893" t="str">
            <v>LYQ-HM1205</v>
          </cell>
        </row>
        <row r="1894">
          <cell r="A1894" t="str">
            <v>LYQ-HM1205-W0-L</v>
          </cell>
          <cell r="B1894" t="str">
            <v>LYQ-HM1205</v>
          </cell>
        </row>
        <row r="1895">
          <cell r="A1895" t="str">
            <v>LYQ-HM1205-W0-L-CA</v>
          </cell>
          <cell r="B1895" t="str">
            <v>LYQ-HM1205</v>
          </cell>
        </row>
        <row r="1896">
          <cell r="A1896" t="str">
            <v>LYQ-HM1205-W0-M</v>
          </cell>
          <cell r="B1896" t="str">
            <v>LYQ-HM1205</v>
          </cell>
        </row>
        <row r="1897">
          <cell r="A1897" t="str">
            <v>LYQ-HM1205-W0-M-CA</v>
          </cell>
          <cell r="B1897" t="str">
            <v>LYQ-HM1205</v>
          </cell>
        </row>
        <row r="1898">
          <cell r="A1898" t="str">
            <v>LYQ-HM1205-W0-S</v>
          </cell>
          <cell r="B1898" t="str">
            <v>LYQ-HM1205</v>
          </cell>
        </row>
        <row r="1899">
          <cell r="A1899" t="str">
            <v>LYQ-HM1205-W0-S-CA</v>
          </cell>
          <cell r="B1899" t="str">
            <v>LYQ-HM1205</v>
          </cell>
        </row>
        <row r="1900">
          <cell r="A1900" t="str">
            <v>LYQ-HM1205-W0-XL</v>
          </cell>
          <cell r="B1900" t="str">
            <v>LYQ-HM1205</v>
          </cell>
        </row>
        <row r="1901">
          <cell r="A1901" t="str">
            <v>LYQ-HM1205-W0-XL-CA</v>
          </cell>
          <cell r="B1901" t="str">
            <v>LYQ-HM1205</v>
          </cell>
        </row>
        <row r="1902">
          <cell r="A1902" t="str">
            <v>LYQ-HM155-PU-L</v>
          </cell>
          <cell r="B1902" t="str">
            <v>LYQ-HM155</v>
          </cell>
        </row>
        <row r="1903">
          <cell r="A1903" t="str">
            <v>LYQ-HMAM002</v>
          </cell>
          <cell r="B1903" t="str">
            <v>LYQ-HMAM002</v>
          </cell>
        </row>
        <row r="1904">
          <cell r="A1904" t="str">
            <v>LYQ-HMAM002-ZL-L</v>
          </cell>
          <cell r="B1904" t="str">
            <v>LYQ-HMAM002</v>
          </cell>
        </row>
        <row r="1905">
          <cell r="A1905" t="str">
            <v>LYQ-HMAM002-ZL-M</v>
          </cell>
          <cell r="B1905" t="str">
            <v>LYQ-HMAM002</v>
          </cell>
        </row>
        <row r="1906">
          <cell r="A1906" t="str">
            <v>LYQ-HMAM002-ZL-S</v>
          </cell>
          <cell r="B1906" t="str">
            <v>LYQ-HMAM002</v>
          </cell>
        </row>
        <row r="1907">
          <cell r="A1907" t="str">
            <v>LYQ-HMAM002-ZL-XL</v>
          </cell>
          <cell r="B1907" t="str">
            <v>LYQ-HMAM002</v>
          </cell>
        </row>
        <row r="1908">
          <cell r="A1908" t="str">
            <v>LYQ-HMBX46</v>
          </cell>
          <cell r="B1908" t="str">
            <v>LYQ-HMBX46</v>
          </cell>
        </row>
        <row r="1909">
          <cell r="A1909" t="str">
            <v>LYQ-HMBX46-DXK0-L</v>
          </cell>
          <cell r="B1909" t="str">
            <v>LYQ-HMBX46</v>
          </cell>
        </row>
        <row r="1910">
          <cell r="A1910" t="str">
            <v>LYQ-HMBX46-DXK0-M</v>
          </cell>
          <cell r="B1910" t="str">
            <v>LYQ-HMBX46</v>
          </cell>
        </row>
        <row r="1911">
          <cell r="A1911" t="str">
            <v>LYQ-HMBX46-DXK0-S</v>
          </cell>
          <cell r="B1911" t="str">
            <v>LYQ-HMBX46</v>
          </cell>
        </row>
        <row r="1912">
          <cell r="A1912" t="str">
            <v>LYQ-HMBX46-DXK0-XL</v>
          </cell>
          <cell r="B1912" t="str">
            <v>LYQ-HMBX46</v>
          </cell>
        </row>
        <row r="1913">
          <cell r="A1913" t="str">
            <v>LYQ-HMBX46-DXZL-L</v>
          </cell>
          <cell r="B1913" t="str">
            <v>LYQ-HMBX46</v>
          </cell>
        </row>
        <row r="1914">
          <cell r="A1914" t="str">
            <v>LYQ-HMBX46-DXZL-M</v>
          </cell>
          <cell r="B1914" t="str">
            <v>LYQ-HMBX46</v>
          </cell>
        </row>
        <row r="1915">
          <cell r="A1915" t="str">
            <v>LYQ-HMBX46-DXZL-S</v>
          </cell>
          <cell r="B1915" t="str">
            <v>LYQ-HMBX46</v>
          </cell>
        </row>
        <row r="1916">
          <cell r="A1916" t="str">
            <v>LYQ-HMBX46-DXZL-XL</v>
          </cell>
          <cell r="B1916" t="str">
            <v>LYQ-HMBX46</v>
          </cell>
        </row>
        <row r="1917">
          <cell r="A1917" t="str">
            <v>LYQ-HMBX46-W0-L</v>
          </cell>
          <cell r="B1917" t="str">
            <v>LYQ-HMBX46</v>
          </cell>
        </row>
        <row r="1918">
          <cell r="A1918" t="str">
            <v>LYQ-HMBX46-W0-M</v>
          </cell>
          <cell r="B1918" t="str">
            <v>LYQ-HMBX46</v>
          </cell>
        </row>
        <row r="1919">
          <cell r="A1919" t="str">
            <v>LYQ-HMBX46-W0-S</v>
          </cell>
          <cell r="B1919" t="str">
            <v>LYQ-HMBX46</v>
          </cell>
        </row>
        <row r="1920">
          <cell r="A1920" t="str">
            <v>LYQ-HMBX46-W0-XL</v>
          </cell>
          <cell r="B1920" t="str">
            <v>LYQ-HMBX46</v>
          </cell>
        </row>
        <row r="1921">
          <cell r="A1921" t="str">
            <v>LYQ-HMBX46-ZXBE-L</v>
          </cell>
          <cell r="B1921" t="str">
            <v>LYQ-HMBX46</v>
          </cell>
        </row>
        <row r="1922">
          <cell r="A1922" t="str">
            <v>LYQ-HMBX46-ZXBE-M</v>
          </cell>
          <cell r="B1922" t="str">
            <v>LYQ-HMBX46</v>
          </cell>
        </row>
        <row r="1923">
          <cell r="A1923" t="str">
            <v>LYQ-HMBX46-ZXBE-S</v>
          </cell>
          <cell r="B1923" t="str">
            <v>LYQ-HMBX46</v>
          </cell>
        </row>
        <row r="1924">
          <cell r="A1924" t="str">
            <v>LYQ-HMBX46-ZXBE-XL</v>
          </cell>
          <cell r="B1924" t="str">
            <v>LYQ-HMBX46</v>
          </cell>
        </row>
        <row r="1925">
          <cell r="A1925" t="str">
            <v>LYQ-HMBX46-ZXK0-L</v>
          </cell>
          <cell r="B1925" t="str">
            <v>LYQ-HMBX46</v>
          </cell>
        </row>
        <row r="1926">
          <cell r="A1926" t="str">
            <v>LYQ-HMBX46-ZXK0-M</v>
          </cell>
          <cell r="B1926" t="str">
            <v>LYQ-HMBX46</v>
          </cell>
        </row>
        <row r="1927">
          <cell r="A1927" t="str">
            <v>LYQ-HMBX46-ZXK0-S</v>
          </cell>
          <cell r="B1927" t="str">
            <v>LYQ-HMBX46</v>
          </cell>
        </row>
        <row r="1928">
          <cell r="A1928" t="str">
            <v>LYQ-HMBX46-ZXK0-XL</v>
          </cell>
          <cell r="B1928" t="str">
            <v>LYQ-HMBX46</v>
          </cell>
        </row>
        <row r="1929">
          <cell r="A1929" t="str">
            <v>LYQ-HMBX46-ZXW0-L</v>
          </cell>
          <cell r="B1929" t="str">
            <v>LYQ-HMBX46</v>
          </cell>
        </row>
        <row r="1930">
          <cell r="A1930" t="str">
            <v>LYQ-HMBX46-ZXW0-M</v>
          </cell>
          <cell r="B1930" t="str">
            <v>LYQ-HMBX46</v>
          </cell>
        </row>
        <row r="1931">
          <cell r="A1931" t="str">
            <v>LYQ-HMBX46-ZXW0-S</v>
          </cell>
          <cell r="B1931" t="str">
            <v>LYQ-HMBX46</v>
          </cell>
        </row>
        <row r="1932">
          <cell r="A1932" t="str">
            <v>LYQ-HMBX46-ZXW0-XL</v>
          </cell>
          <cell r="B1932" t="str">
            <v>LYQ-HMBX46</v>
          </cell>
        </row>
        <row r="1933">
          <cell r="A1933" t="str">
            <v>LYQ-HMCX22</v>
          </cell>
          <cell r="B1933" t="str">
            <v>LYQ-HMCX22</v>
          </cell>
        </row>
        <row r="1934">
          <cell r="A1934" t="str">
            <v>LYQ-HMCX22-K0-L</v>
          </cell>
          <cell r="B1934" t="str">
            <v>LYQ-HMCX22</v>
          </cell>
        </row>
        <row r="1935">
          <cell r="A1935" t="str">
            <v>LYQ-HMCX22-K0-M</v>
          </cell>
          <cell r="B1935" t="str">
            <v>LYQ-HMCX22</v>
          </cell>
        </row>
        <row r="1936">
          <cell r="A1936" t="str">
            <v>LYQ-HMCX22-K0-S</v>
          </cell>
          <cell r="B1936" t="str">
            <v>LYQ-HMCX22</v>
          </cell>
        </row>
        <row r="1937">
          <cell r="A1937" t="str">
            <v>LYQ-HMCX22-K0-XS</v>
          </cell>
          <cell r="B1937" t="str">
            <v>LYQ-HMCX22</v>
          </cell>
        </row>
        <row r="1938">
          <cell r="A1938" t="str">
            <v>LYQ-HMCX22-W0-L</v>
          </cell>
          <cell r="B1938" t="str">
            <v>LYQ-HMCX22</v>
          </cell>
        </row>
        <row r="1939">
          <cell r="A1939" t="str">
            <v>LYQ-HMCX22-W0-M</v>
          </cell>
          <cell r="B1939" t="str">
            <v>LYQ-HMCX22</v>
          </cell>
        </row>
        <row r="1940">
          <cell r="A1940" t="str">
            <v>LYQ-HMCX22-W0-S</v>
          </cell>
          <cell r="B1940" t="str">
            <v>LYQ-HMCX22</v>
          </cell>
        </row>
        <row r="1941">
          <cell r="A1941" t="str">
            <v>LYQ-HMCX22-W0-XS</v>
          </cell>
          <cell r="B1941" t="str">
            <v>LYQ-HMCX22</v>
          </cell>
        </row>
        <row r="1942">
          <cell r="A1942" t="str">
            <v>LYQ-HMCX22-ZL-L</v>
          </cell>
          <cell r="B1942" t="str">
            <v>LYQ-HMCX22</v>
          </cell>
        </row>
        <row r="1943">
          <cell r="A1943" t="str">
            <v>LYQ-HMCX22-ZL-M</v>
          </cell>
          <cell r="B1943" t="str">
            <v>LYQ-HMCX22</v>
          </cell>
        </row>
        <row r="1944">
          <cell r="A1944" t="str">
            <v>LYQ-HMCX22-ZL-S</v>
          </cell>
          <cell r="B1944" t="str">
            <v>LYQ-HMCX22</v>
          </cell>
        </row>
        <row r="1945">
          <cell r="A1945" t="str">
            <v>LYQ-HMCX22-ZL-XS</v>
          </cell>
          <cell r="B1945" t="str">
            <v>LYQ-HMCX22</v>
          </cell>
        </row>
        <row r="1946">
          <cell r="A1946" t="str">
            <v>LYQ-HMQZZ-MOM-2XL</v>
          </cell>
          <cell r="B1946" t="str">
            <v>LYQ-HMQZZ</v>
          </cell>
        </row>
        <row r="1947">
          <cell r="A1947" t="str">
            <v>LYQ-HMQZZ-MOM-L</v>
          </cell>
          <cell r="B1947" t="str">
            <v>LYQ-HMQZZ</v>
          </cell>
        </row>
        <row r="1948">
          <cell r="A1948" t="str">
            <v>LYQ-HMQZZ-MOM-M</v>
          </cell>
          <cell r="B1948" t="str">
            <v>LYQ-HMQZZ</v>
          </cell>
        </row>
        <row r="1949">
          <cell r="A1949" t="str">
            <v>LYQ-HMQZZ-MOM-S</v>
          </cell>
          <cell r="B1949" t="str">
            <v>LYQ-HMQZZ</v>
          </cell>
        </row>
        <row r="1950">
          <cell r="A1950" t="str">
            <v>LYQ-HMQZZ-MOM-XL</v>
          </cell>
          <cell r="B1950" t="str">
            <v>LYQ-HMQZZ</v>
          </cell>
        </row>
        <row r="1951">
          <cell r="A1951" t="str">
            <v>LYQ-HMQZZ-R0-L(7/8)T</v>
          </cell>
          <cell r="B1951" t="str">
            <v>LYQ-HMQZZ</v>
          </cell>
        </row>
        <row r="1952">
          <cell r="A1952" t="str">
            <v>LYQ-HMQZZ-R0-M(5/6)T</v>
          </cell>
          <cell r="B1952" t="str">
            <v>LYQ-HMQZZ</v>
          </cell>
        </row>
        <row r="1953">
          <cell r="A1953" t="str">
            <v>LYQ-HMQZZ-R0-XL(9/10)T</v>
          </cell>
          <cell r="B1953" t="str">
            <v>LYQ-HMQZZ</v>
          </cell>
        </row>
        <row r="1954">
          <cell r="A1954" t="str">
            <v>LYQ-JY1586-W0-L</v>
          </cell>
          <cell r="B1954" t="str">
            <v>LYQ-JY1586</v>
          </cell>
        </row>
        <row r="1955">
          <cell r="A1955" t="str">
            <v>LYQ-JY1586-W0-M</v>
          </cell>
          <cell r="B1955" t="str">
            <v>LYQ-JY1586</v>
          </cell>
        </row>
        <row r="1956">
          <cell r="A1956" t="str">
            <v>LYQ-JY1586-W0-S</v>
          </cell>
          <cell r="B1956" t="str">
            <v>LYQ-JY1586</v>
          </cell>
        </row>
        <row r="1957">
          <cell r="A1957" t="str">
            <v>LYQ-JY1586-W0-XL</v>
          </cell>
          <cell r="B1957" t="str">
            <v>LYQ-JY1586</v>
          </cell>
        </row>
        <row r="1958">
          <cell r="A1958" t="str">
            <v>LYQ-K1010-B0-2X</v>
          </cell>
          <cell r="B1958" t="str">
            <v>LYQ-1010</v>
          </cell>
        </row>
        <row r="1959">
          <cell r="A1959" t="str">
            <v>LYQ-K1010-B0-L</v>
          </cell>
          <cell r="B1959" t="str">
            <v>LYQ-1010</v>
          </cell>
        </row>
        <row r="1960">
          <cell r="A1960" t="str">
            <v>LYQ-K1010-B0-M</v>
          </cell>
          <cell r="B1960" t="str">
            <v>LYQ-1010</v>
          </cell>
        </row>
        <row r="1961">
          <cell r="A1961" t="str">
            <v>LYQ-K1010-B0-M-GM</v>
          </cell>
          <cell r="B1961" t="str">
            <v>LYQ-1010</v>
          </cell>
        </row>
        <row r="1962">
          <cell r="A1962" t="str">
            <v>LYQ-K1010-B0-S</v>
          </cell>
          <cell r="B1962" t="str">
            <v>LYQ-1010</v>
          </cell>
        </row>
        <row r="1963">
          <cell r="A1963" t="str">
            <v>LYQ-K1010-B0-XL</v>
          </cell>
          <cell r="B1963" t="str">
            <v>LYQ-1010</v>
          </cell>
        </row>
        <row r="1964">
          <cell r="A1964" t="str">
            <v>LYQ-K1010-B0-XS</v>
          </cell>
          <cell r="B1964" t="str">
            <v>LYQ-1010</v>
          </cell>
        </row>
        <row r="1965">
          <cell r="A1965" t="str">
            <v>LYQ-K1010-G0-2X</v>
          </cell>
          <cell r="B1965" t="str">
            <v>LYQ-1010</v>
          </cell>
        </row>
        <row r="1966">
          <cell r="A1966" t="str">
            <v>LYQ-K1010-G0-L</v>
          </cell>
          <cell r="B1966" t="str">
            <v>LYQ-1010</v>
          </cell>
        </row>
        <row r="1967">
          <cell r="A1967" t="str">
            <v>LYQ-K1010-G0-L-GM</v>
          </cell>
          <cell r="B1967" t="str">
            <v>LYQ-1010</v>
          </cell>
        </row>
        <row r="1968">
          <cell r="A1968" t="str">
            <v>LYQ-K1010-G0-M</v>
          </cell>
          <cell r="B1968" t="str">
            <v>LYQ-1010</v>
          </cell>
        </row>
        <row r="1969">
          <cell r="A1969" t="str">
            <v>LYQ-K1010-G0-S</v>
          </cell>
          <cell r="B1969" t="str">
            <v>LYQ-1010</v>
          </cell>
        </row>
        <row r="1970">
          <cell r="A1970" t="str">
            <v>LYQ-K1010-G0-XL</v>
          </cell>
          <cell r="B1970" t="str">
            <v>LYQ-1010</v>
          </cell>
        </row>
        <row r="1971">
          <cell r="A1971" t="str">
            <v>LYQ-K1010-G0-XS</v>
          </cell>
          <cell r="B1971" t="str">
            <v>LYQ-1010</v>
          </cell>
        </row>
        <row r="1972">
          <cell r="A1972" t="str">
            <v>LYQ-K1010-G7-2X</v>
          </cell>
          <cell r="B1972" t="str">
            <v>LYQ-1010</v>
          </cell>
        </row>
        <row r="1973">
          <cell r="A1973" t="str">
            <v>LYQ-K1010-G7-L</v>
          </cell>
          <cell r="B1973" t="str">
            <v>LYQ-1010</v>
          </cell>
        </row>
        <row r="1974">
          <cell r="A1974" t="str">
            <v>LYQ-K1010-G7-M</v>
          </cell>
          <cell r="B1974" t="str">
            <v>LYQ-1010</v>
          </cell>
        </row>
        <row r="1975">
          <cell r="A1975" t="str">
            <v>LYQ-K1010-G7-S</v>
          </cell>
          <cell r="B1975" t="str">
            <v>LYQ-1010</v>
          </cell>
        </row>
        <row r="1976">
          <cell r="A1976" t="str">
            <v>LYQ-K1010-G7-XL</v>
          </cell>
          <cell r="B1976" t="str">
            <v>LYQ-1010</v>
          </cell>
        </row>
        <row r="1977">
          <cell r="A1977" t="str">
            <v>LYQ-K1010-G7-XL-GM</v>
          </cell>
          <cell r="B1977" t="str">
            <v>LYQ-1010</v>
          </cell>
        </row>
        <row r="1978">
          <cell r="A1978" t="str">
            <v>LYQ-K1010-G7-XS</v>
          </cell>
          <cell r="B1978" t="str">
            <v>LYQ-1010</v>
          </cell>
        </row>
        <row r="1979">
          <cell r="A1979" t="str">
            <v>LYQ-K1010-K0-2X</v>
          </cell>
          <cell r="B1979" t="str">
            <v>LYQ-1010</v>
          </cell>
        </row>
        <row r="1980">
          <cell r="A1980" t="str">
            <v>LYQ-K1010-K0-M</v>
          </cell>
          <cell r="B1980" t="str">
            <v>LYQ-1010</v>
          </cell>
        </row>
        <row r="1981">
          <cell r="A1981" t="str">
            <v>LYQ-K1010-KQ-2X</v>
          </cell>
          <cell r="B1981" t="str">
            <v>LYQ-1010</v>
          </cell>
        </row>
        <row r="1982">
          <cell r="A1982" t="str">
            <v>LYQ-K1010-KQ-L</v>
          </cell>
          <cell r="B1982" t="str">
            <v>LYQ-1010</v>
          </cell>
        </row>
        <row r="1983">
          <cell r="A1983" t="str">
            <v>LYQ-K1010-KQ-L-GM</v>
          </cell>
          <cell r="B1983" t="str">
            <v>LYQ-1010</v>
          </cell>
        </row>
        <row r="1984">
          <cell r="A1984" t="str">
            <v>LYQ-K1010-KQ-M</v>
          </cell>
          <cell r="B1984" t="str">
            <v>LYQ-1010</v>
          </cell>
        </row>
        <row r="1985">
          <cell r="A1985" t="str">
            <v>LYQ-K1010-KQ-S</v>
          </cell>
          <cell r="B1985" t="str">
            <v>LYQ-1010</v>
          </cell>
        </row>
        <row r="1986">
          <cell r="A1986" t="str">
            <v>LYQ-K1010-KQ-S-GM</v>
          </cell>
          <cell r="B1986" t="str">
            <v>LYQ-1010</v>
          </cell>
        </row>
        <row r="1987">
          <cell r="A1987" t="str">
            <v>LYQ-K1010-KQ-S-MX</v>
          </cell>
          <cell r="B1987" t="str">
            <v>LYQ-1010</v>
          </cell>
        </row>
        <row r="1988">
          <cell r="A1988" t="str">
            <v>LYQ-K1010-KQ-XL</v>
          </cell>
          <cell r="B1988" t="str">
            <v>LYQ-1010</v>
          </cell>
        </row>
        <row r="1989">
          <cell r="A1989" t="str">
            <v>LYQ-K1010-KQ-XS</v>
          </cell>
          <cell r="B1989" t="str">
            <v>LYQ-1010</v>
          </cell>
        </row>
        <row r="1990">
          <cell r="A1990" t="str">
            <v>LYQ-K1010-N0-L</v>
          </cell>
          <cell r="B1990" t="str">
            <v>LYQ-1010</v>
          </cell>
        </row>
        <row r="1991">
          <cell r="A1991" t="str">
            <v>LYQ-K1010-N0-M</v>
          </cell>
          <cell r="B1991" t="str">
            <v>LYQ-1010</v>
          </cell>
        </row>
        <row r="1992">
          <cell r="A1992" t="str">
            <v>LYQ-K1010-R0-2X</v>
          </cell>
          <cell r="B1992" t="str">
            <v>LYQ-1010</v>
          </cell>
        </row>
        <row r="1993">
          <cell r="A1993" t="str">
            <v>LYQ-K1010-R0-L</v>
          </cell>
          <cell r="B1993" t="str">
            <v>LYQ-1010</v>
          </cell>
        </row>
        <row r="1994">
          <cell r="A1994" t="str">
            <v>LYQ-K1010-R0-M</v>
          </cell>
          <cell r="B1994" t="str">
            <v>LYQ-1010</v>
          </cell>
        </row>
        <row r="1995">
          <cell r="A1995" t="str">
            <v>LYQ-K1010-R0-M-GM</v>
          </cell>
          <cell r="B1995" t="str">
            <v>LYQ-1010</v>
          </cell>
        </row>
        <row r="1996">
          <cell r="A1996" t="str">
            <v>LYQ-K1010-R0-M-MX</v>
          </cell>
          <cell r="B1996" t="str">
            <v>LYQ-1010</v>
          </cell>
        </row>
        <row r="1997">
          <cell r="A1997" t="str">
            <v>LYQ-K1010-R0-S</v>
          </cell>
          <cell r="B1997" t="str">
            <v>LYQ-1010</v>
          </cell>
        </row>
        <row r="1998">
          <cell r="A1998" t="str">
            <v>LYQ-K1010-R0-S-GM</v>
          </cell>
          <cell r="B1998" t="str">
            <v>LYQ-1010</v>
          </cell>
        </row>
        <row r="1999">
          <cell r="A1999" t="str">
            <v>LYQ-K1010-R0-XL</v>
          </cell>
          <cell r="B1999" t="str">
            <v>LYQ-1010</v>
          </cell>
        </row>
        <row r="2000">
          <cell r="A2000" t="str">
            <v>LYQ-K1010-R0-XL-GM</v>
          </cell>
          <cell r="B2000" t="str">
            <v>LYQ-1010</v>
          </cell>
        </row>
        <row r="2001">
          <cell r="A2001" t="str">
            <v>LYQ-K1010-R0-XS</v>
          </cell>
          <cell r="B2001" t="str">
            <v>LYQ-1010</v>
          </cell>
        </row>
        <row r="2002">
          <cell r="A2002" t="str">
            <v>LYQ-K1010-R0-XS-GM</v>
          </cell>
          <cell r="B2002" t="str">
            <v>LYQ-1010</v>
          </cell>
        </row>
        <row r="2003">
          <cell r="A2003" t="str">
            <v>LYQ-K1010-W0-2X</v>
          </cell>
          <cell r="B2003" t="str">
            <v>LYQ-1010</v>
          </cell>
        </row>
        <row r="2004">
          <cell r="A2004" t="str">
            <v>LYQ-K1010-W0-L</v>
          </cell>
          <cell r="B2004" t="str">
            <v>LYQ-1010</v>
          </cell>
        </row>
        <row r="2005">
          <cell r="A2005" t="str">
            <v>LYQ-K1010-W0-M</v>
          </cell>
          <cell r="B2005" t="str">
            <v>LYQ-1010</v>
          </cell>
        </row>
        <row r="2006">
          <cell r="A2006" t="str">
            <v>LYQ-K1010-W0-XS</v>
          </cell>
          <cell r="B2006" t="str">
            <v>LYQ-1010</v>
          </cell>
        </row>
        <row r="2007">
          <cell r="A2007" t="str">
            <v>LYQ-K1010-Z0-2X</v>
          </cell>
          <cell r="B2007" t="str">
            <v>LYQ-1010</v>
          </cell>
        </row>
        <row r="2008">
          <cell r="A2008" t="str">
            <v>LYQ-K1010-Z0-L</v>
          </cell>
          <cell r="B2008" t="str">
            <v>LYQ-1010</v>
          </cell>
        </row>
        <row r="2009">
          <cell r="A2009" t="str">
            <v>LYQ-K1010-Z0-M</v>
          </cell>
          <cell r="B2009" t="str">
            <v>LYQ-1010</v>
          </cell>
        </row>
        <row r="2010">
          <cell r="A2010" t="str">
            <v>LYQ-K1010-Z0-S</v>
          </cell>
          <cell r="B2010" t="str">
            <v>LYQ-1010</v>
          </cell>
        </row>
        <row r="2011">
          <cell r="A2011" t="str">
            <v>LYQ-K1010-Z0-XL</v>
          </cell>
          <cell r="B2011" t="str">
            <v>LYQ-1010</v>
          </cell>
        </row>
        <row r="2012">
          <cell r="A2012" t="str">
            <v>LYQ-K1010-Z0-XS</v>
          </cell>
          <cell r="B2012" t="str">
            <v>LYQ-1010</v>
          </cell>
        </row>
        <row r="2013">
          <cell r="A2013" t="str">
            <v>LYQ-LB01</v>
          </cell>
          <cell r="B2013" t="str">
            <v>LYQ-LB01</v>
          </cell>
        </row>
        <row r="2014">
          <cell r="A2014" t="str">
            <v>LYQ-LB01-G0-L</v>
          </cell>
          <cell r="B2014" t="str">
            <v>LYQ-LB01</v>
          </cell>
        </row>
        <row r="2015">
          <cell r="A2015" t="str">
            <v>LYQ-LB01-G0-M</v>
          </cell>
          <cell r="B2015" t="str">
            <v>LYQ-LB01</v>
          </cell>
        </row>
        <row r="2016">
          <cell r="A2016" t="str">
            <v>LYQ-LB01-G0-S</v>
          </cell>
          <cell r="B2016" t="str">
            <v>LYQ-LB01</v>
          </cell>
        </row>
        <row r="2017">
          <cell r="A2017" t="str">
            <v>LYQ-LB01-G0-XL</v>
          </cell>
          <cell r="B2017" t="str">
            <v>LYQ-LB01</v>
          </cell>
        </row>
        <row r="2018">
          <cell r="A2018" t="str">
            <v>LYQ-LB01-K0-L</v>
          </cell>
          <cell r="B2018" t="str">
            <v>LYQ-LB01</v>
          </cell>
        </row>
        <row r="2019">
          <cell r="A2019" t="str">
            <v>LYQ-LB01-K0-L-GM</v>
          </cell>
          <cell r="B2019" t="str">
            <v>LYQ-LB01</v>
          </cell>
        </row>
        <row r="2020">
          <cell r="A2020" t="str">
            <v>LYQ-LB01-K0-M</v>
          </cell>
          <cell r="B2020" t="str">
            <v>LYQ-LB01</v>
          </cell>
        </row>
        <row r="2021">
          <cell r="A2021" t="str">
            <v>LYQ-LB01-K0-S</v>
          </cell>
          <cell r="B2021" t="str">
            <v>LYQ-LB01</v>
          </cell>
        </row>
        <row r="2022">
          <cell r="A2022" t="str">
            <v>LYQ-LB01-K0-XL</v>
          </cell>
          <cell r="B2022" t="str">
            <v>LYQ-LB01</v>
          </cell>
        </row>
        <row r="2023">
          <cell r="A2023" t="str">
            <v>LYQ-LB01-K0-XL-GM</v>
          </cell>
          <cell r="B2023" t="str">
            <v>LYQ-LB01</v>
          </cell>
        </row>
        <row r="2024">
          <cell r="A2024" t="str">
            <v>LYQ-LB01-R0-L</v>
          </cell>
          <cell r="B2024" t="str">
            <v>LYQ-LB01</v>
          </cell>
        </row>
        <row r="2025">
          <cell r="A2025" t="str">
            <v>LYQ-LB01-R0-M</v>
          </cell>
          <cell r="B2025" t="str">
            <v>LYQ-LB01</v>
          </cell>
        </row>
        <row r="2026">
          <cell r="A2026" t="str">
            <v>LYQ-LB01-R0-S</v>
          </cell>
          <cell r="B2026" t="str">
            <v>LYQ-LB01</v>
          </cell>
        </row>
        <row r="2027">
          <cell r="A2027" t="str">
            <v>LYQ-LB01-R0-XL</v>
          </cell>
          <cell r="B2027" t="str">
            <v>LYQ-LB01</v>
          </cell>
        </row>
        <row r="2028">
          <cell r="A2028" t="str">
            <v>LYQ-LB01-Wi-L</v>
          </cell>
          <cell r="B2028" t="str">
            <v>LYQ-LB01</v>
          </cell>
        </row>
        <row r="2029">
          <cell r="A2029" t="str">
            <v>LYQ-LB01-Wi-M</v>
          </cell>
          <cell r="B2029" t="str">
            <v>LYQ-LB01</v>
          </cell>
        </row>
        <row r="2030">
          <cell r="A2030" t="str">
            <v>LYQ-LB01-Wi-S</v>
          </cell>
          <cell r="B2030" t="str">
            <v>LYQ-LB01</v>
          </cell>
        </row>
        <row r="2031">
          <cell r="A2031" t="str">
            <v>LYQ-LB01-Wi-XL</v>
          </cell>
          <cell r="B2031" t="str">
            <v>LYQ-LB01</v>
          </cell>
        </row>
        <row r="2032">
          <cell r="A2032" t="str">
            <v>LYQ-LS06</v>
          </cell>
          <cell r="B2032" t="str">
            <v>LYQ-LS06</v>
          </cell>
        </row>
        <row r="2033">
          <cell r="A2033" t="str">
            <v>LYQ-LS06-E0-L</v>
          </cell>
          <cell r="B2033" t="str">
            <v>LYQ-LS06</v>
          </cell>
        </row>
        <row r="2034">
          <cell r="A2034" t="str">
            <v>LYQ-LS06-E0-M</v>
          </cell>
          <cell r="B2034" t="str">
            <v>LYQ-LS06</v>
          </cell>
        </row>
        <row r="2035">
          <cell r="A2035" t="str">
            <v>LYQ-LS06-E0-S</v>
          </cell>
          <cell r="B2035" t="str">
            <v>LYQ-LS06</v>
          </cell>
        </row>
        <row r="2036">
          <cell r="A2036" t="str">
            <v>LYQ-LS06-E0-XL</v>
          </cell>
          <cell r="B2036" t="str">
            <v>LYQ-LS06</v>
          </cell>
        </row>
        <row r="2037">
          <cell r="A2037" t="str">
            <v>LYQ-LS06-K0-L</v>
          </cell>
          <cell r="B2037" t="str">
            <v>LYQ-LS06</v>
          </cell>
        </row>
        <row r="2038">
          <cell r="A2038" t="str">
            <v>LYQ-LS06-K0-M</v>
          </cell>
          <cell r="B2038" t="str">
            <v>LYQ-LS06</v>
          </cell>
        </row>
        <row r="2039">
          <cell r="A2039" t="str">
            <v>LYQ-LS06-K0-S</v>
          </cell>
          <cell r="B2039" t="str">
            <v>LYQ-LS06</v>
          </cell>
        </row>
        <row r="2040">
          <cell r="A2040" t="str">
            <v>LYQ-LS06-K0-XL</v>
          </cell>
          <cell r="B2040" t="str">
            <v>LYQ-LS06</v>
          </cell>
        </row>
        <row r="2041">
          <cell r="A2041" t="str">
            <v>LYQ-LS06-N5-L</v>
          </cell>
          <cell r="B2041" t="str">
            <v>LYQ-LS06</v>
          </cell>
        </row>
        <row r="2042">
          <cell r="A2042" t="str">
            <v>LYQ-LS06-N5-M</v>
          </cell>
          <cell r="B2042" t="str">
            <v>LYQ-LS06</v>
          </cell>
        </row>
        <row r="2043">
          <cell r="A2043" t="str">
            <v>LYQ-LS06-N5-S</v>
          </cell>
          <cell r="B2043" t="str">
            <v>LYQ-LS06</v>
          </cell>
        </row>
        <row r="2044">
          <cell r="A2044" t="str">
            <v>LYQ-LS06-N5-XL</v>
          </cell>
          <cell r="B2044" t="str">
            <v>LYQ-LS06</v>
          </cell>
        </row>
        <row r="2045">
          <cell r="A2045" t="str">
            <v>LYQ-LY014-K0-XL</v>
          </cell>
          <cell r="B2045" t="str">
            <v>LYQ-LY014</v>
          </cell>
        </row>
        <row r="2046">
          <cell r="A2046" t="str">
            <v>LYQ-LY064-B0-3XL</v>
          </cell>
          <cell r="B2046" t="str">
            <v>LYQ-LY064</v>
          </cell>
        </row>
        <row r="2047">
          <cell r="A2047" t="str">
            <v>LYQ-LY064-B0-4XL</v>
          </cell>
          <cell r="B2047" t="str">
            <v>LYQ-LY064</v>
          </cell>
        </row>
        <row r="2048">
          <cell r="A2048" t="str">
            <v>LYQ-LY064-B0-5XL</v>
          </cell>
          <cell r="B2048" t="str">
            <v>LYQ-LY064</v>
          </cell>
        </row>
        <row r="2049">
          <cell r="A2049" t="str">
            <v>LYQ-LY064-B0-L</v>
          </cell>
          <cell r="B2049" t="str">
            <v>LYQ-LY064</v>
          </cell>
        </row>
        <row r="2050">
          <cell r="A2050" t="str">
            <v>LYQ-LY064-B0-M</v>
          </cell>
          <cell r="B2050" t="str">
            <v>LYQ-LY064</v>
          </cell>
        </row>
        <row r="2051">
          <cell r="A2051" t="str">
            <v>LYQ-LY064-G0-3XL</v>
          </cell>
          <cell r="B2051" t="str">
            <v>LYQ-LY064</v>
          </cell>
        </row>
        <row r="2052">
          <cell r="A2052" t="str">
            <v>LYQ-LY064-G0-L</v>
          </cell>
          <cell r="B2052" t="str">
            <v>LYQ-LY064</v>
          </cell>
        </row>
        <row r="2053">
          <cell r="A2053" t="str">
            <v>LYQ-LY064-G0-M</v>
          </cell>
          <cell r="B2053" t="str">
            <v>LYQ-LY064</v>
          </cell>
        </row>
        <row r="2054">
          <cell r="A2054" t="str">
            <v>LYQ-LY064-K0-2XL</v>
          </cell>
          <cell r="B2054" t="str">
            <v>LYQ-LY064</v>
          </cell>
        </row>
        <row r="2055">
          <cell r="A2055" t="str">
            <v>LYQ-LY064-K0-3XL</v>
          </cell>
          <cell r="B2055" t="str">
            <v>LYQ-LY064</v>
          </cell>
        </row>
        <row r="2056">
          <cell r="A2056" t="str">
            <v>LYQ-LY064-K0-4XL</v>
          </cell>
          <cell r="B2056" t="str">
            <v>LYQ-LY064</v>
          </cell>
        </row>
        <row r="2057">
          <cell r="A2057" t="str">
            <v>LYQ-LY064-K0-L</v>
          </cell>
          <cell r="B2057" t="str">
            <v>LYQ-LY064</v>
          </cell>
        </row>
        <row r="2058">
          <cell r="A2058" t="str">
            <v>LYQ-LY064-K0-M</v>
          </cell>
          <cell r="B2058" t="str">
            <v>LYQ-LY064</v>
          </cell>
        </row>
        <row r="2059">
          <cell r="A2059" t="str">
            <v>LYQ-LY064-K0-S</v>
          </cell>
          <cell r="B2059" t="str">
            <v>LYQ-LY064</v>
          </cell>
        </row>
        <row r="2060">
          <cell r="A2060" t="str">
            <v>LYQ-LY064-OR-4XL</v>
          </cell>
          <cell r="B2060" t="str">
            <v>LYQ-LY064</v>
          </cell>
        </row>
        <row r="2061">
          <cell r="A2061" t="str">
            <v>LYQ-LY064-OR-5XL</v>
          </cell>
          <cell r="B2061" t="str">
            <v>LYQ-LY064</v>
          </cell>
        </row>
        <row r="2062">
          <cell r="A2062" t="str">
            <v>LYQ-LY064-OR-M</v>
          </cell>
          <cell r="B2062" t="str">
            <v>LYQ-LY064</v>
          </cell>
        </row>
        <row r="2063">
          <cell r="A2063" t="str">
            <v>LYQ-LY064-OR-S</v>
          </cell>
          <cell r="B2063" t="str">
            <v>LYQ-LY064</v>
          </cell>
        </row>
        <row r="2064">
          <cell r="A2064" t="str">
            <v>LYQ-MY4600-N0-L</v>
          </cell>
          <cell r="B2064" t="str">
            <v>LYQ-MY4600</v>
          </cell>
        </row>
        <row r="2065">
          <cell r="A2065" t="str">
            <v>LYQ-MY6287</v>
          </cell>
          <cell r="B2065" t="str">
            <v>LYQ-MY6287</v>
          </cell>
        </row>
        <row r="2066">
          <cell r="A2066" t="str">
            <v>LYQ-MY6287-00-L</v>
          </cell>
          <cell r="B2066" t="str">
            <v>LYQ-MY6287</v>
          </cell>
        </row>
        <row r="2067">
          <cell r="A2067" t="str">
            <v>LYQ-MY6287-00-M</v>
          </cell>
          <cell r="B2067" t="str">
            <v>LYQ-MY6287</v>
          </cell>
        </row>
        <row r="2068">
          <cell r="A2068" t="str">
            <v>LYQ-MY6287-00-S</v>
          </cell>
          <cell r="B2068" t="str">
            <v>LYQ-MY6287</v>
          </cell>
        </row>
        <row r="2069">
          <cell r="A2069" t="str">
            <v>LYQ-MY6287-00-XL</v>
          </cell>
          <cell r="B2069" t="str">
            <v>LYQ-MY6287</v>
          </cell>
        </row>
        <row r="2070">
          <cell r="A2070" t="str">
            <v>LYQ-MY6287-B0-L</v>
          </cell>
          <cell r="B2070" t="str">
            <v>LYQ-MY6287</v>
          </cell>
        </row>
        <row r="2071">
          <cell r="A2071" t="str">
            <v>LYQ-MY6287-B0-M</v>
          </cell>
          <cell r="B2071" t="str">
            <v>LYQ-MY6287</v>
          </cell>
        </row>
        <row r="2072">
          <cell r="A2072" t="str">
            <v>LYQ-MY6287-B0-S</v>
          </cell>
          <cell r="B2072" t="str">
            <v>LYQ-MY6287</v>
          </cell>
        </row>
        <row r="2073">
          <cell r="A2073" t="str">
            <v>LYQ-MY6287-B0-XL</v>
          </cell>
          <cell r="B2073" t="str">
            <v>LYQ-MY6287</v>
          </cell>
        </row>
        <row r="2074">
          <cell r="A2074" t="str">
            <v>LYQ-MY6287-BD-L</v>
          </cell>
          <cell r="B2074" t="str">
            <v>LYQ-MY6287</v>
          </cell>
        </row>
        <row r="2075">
          <cell r="A2075" t="str">
            <v>LYQ-MY6287-BD-M</v>
          </cell>
          <cell r="B2075" t="str">
            <v>LYQ-MY6287</v>
          </cell>
        </row>
        <row r="2076">
          <cell r="A2076" t="str">
            <v>LYQ-MY6287-BD-S</v>
          </cell>
          <cell r="B2076" t="str">
            <v>LYQ-MY6287</v>
          </cell>
        </row>
        <row r="2077">
          <cell r="A2077" t="str">
            <v>LYQ-MY6287-BD-XL</v>
          </cell>
          <cell r="B2077" t="str">
            <v>LYQ-MY6287</v>
          </cell>
        </row>
        <row r="2078">
          <cell r="A2078" t="str">
            <v>LYQ-MY6287-E0-L</v>
          </cell>
          <cell r="B2078" t="str">
            <v>LYQ-MY6287</v>
          </cell>
        </row>
        <row r="2079">
          <cell r="A2079" t="str">
            <v>LYQ-MY6287-E0-M</v>
          </cell>
          <cell r="B2079" t="str">
            <v>LYQ-MY6287</v>
          </cell>
        </row>
        <row r="2080">
          <cell r="A2080" t="str">
            <v>LYQ-MY6287-E0-S</v>
          </cell>
          <cell r="B2080" t="str">
            <v>LYQ-MY6287</v>
          </cell>
        </row>
        <row r="2081">
          <cell r="A2081" t="str">
            <v>LYQ-MY6287-E0-XL</v>
          </cell>
          <cell r="B2081" t="str">
            <v>LYQ-MY6287</v>
          </cell>
        </row>
        <row r="2082">
          <cell r="A2082" t="str">
            <v>LYQ-MY6287-FB-L</v>
          </cell>
          <cell r="B2082" t="str">
            <v>LYQ-MY6287</v>
          </cell>
        </row>
        <row r="2083">
          <cell r="A2083" t="str">
            <v>LYQ-MY6287-FB-M</v>
          </cell>
          <cell r="B2083" t="str">
            <v>LYQ-MY6287</v>
          </cell>
        </row>
        <row r="2084">
          <cell r="A2084" t="str">
            <v>LYQ-MY6287-FB-S</v>
          </cell>
          <cell r="B2084" t="str">
            <v>LYQ-MY6287</v>
          </cell>
        </row>
        <row r="2085">
          <cell r="A2085" t="str">
            <v>LYQ-MY6287-FB-XL</v>
          </cell>
          <cell r="B2085" t="str">
            <v>LYQ-MY6287</v>
          </cell>
        </row>
        <row r="2086">
          <cell r="A2086" t="str">
            <v>LYQ-MY6287-G0-L</v>
          </cell>
          <cell r="B2086" t="str">
            <v>LYQ-MY6287</v>
          </cell>
        </row>
        <row r="2087">
          <cell r="A2087" t="str">
            <v>LYQ-MY6287-G0-M</v>
          </cell>
          <cell r="B2087" t="str">
            <v>LYQ-MY6287</v>
          </cell>
        </row>
        <row r="2088">
          <cell r="A2088" t="str">
            <v>LYQ-MY6287-G0-S</v>
          </cell>
          <cell r="B2088" t="str">
            <v>LYQ-MY6287</v>
          </cell>
        </row>
        <row r="2089">
          <cell r="A2089" t="str">
            <v>LYQ-MY6287-G0-XL</v>
          </cell>
          <cell r="B2089" t="str">
            <v>LYQ-MY6287</v>
          </cell>
        </row>
        <row r="2090">
          <cell r="A2090" t="str">
            <v>LYQ-MY6287-G7-L</v>
          </cell>
          <cell r="B2090" t="str">
            <v>LYQ-MY6287</v>
          </cell>
        </row>
        <row r="2091">
          <cell r="A2091" t="str">
            <v>LYQ-MY6287-G7-M</v>
          </cell>
          <cell r="B2091" t="str">
            <v>LYQ-MY6287</v>
          </cell>
        </row>
        <row r="2092">
          <cell r="A2092" t="str">
            <v>LYQ-MY6287-G7-S</v>
          </cell>
          <cell r="B2092" t="str">
            <v>LYQ-MY6287</v>
          </cell>
        </row>
        <row r="2093">
          <cell r="A2093" t="str">
            <v>LYQ-MY6287-G7-XL</v>
          </cell>
          <cell r="B2093" t="str">
            <v>LYQ-MY6287</v>
          </cell>
        </row>
        <row r="2094">
          <cell r="A2094" t="str">
            <v>LYQ-MY6287-K0-L</v>
          </cell>
          <cell r="B2094" t="str">
            <v>LYQ-MY6287</v>
          </cell>
        </row>
        <row r="2095">
          <cell r="A2095" t="str">
            <v>LYQ-MY6287-K0-M</v>
          </cell>
          <cell r="B2095" t="str">
            <v>LYQ-MY6287</v>
          </cell>
        </row>
        <row r="2096">
          <cell r="A2096" t="str">
            <v>LYQ-MY6287-K0-S</v>
          </cell>
          <cell r="B2096" t="str">
            <v>LYQ-MY6287</v>
          </cell>
        </row>
        <row r="2097">
          <cell r="A2097" t="str">
            <v>LYQ-MY6287-K0-XL</v>
          </cell>
          <cell r="B2097" t="str">
            <v>LYQ-MY6287</v>
          </cell>
        </row>
        <row r="2098">
          <cell r="A2098" t="str">
            <v>LYQ-MY6287-N5-L</v>
          </cell>
          <cell r="B2098" t="str">
            <v>LYQ-MY6287</v>
          </cell>
        </row>
        <row r="2099">
          <cell r="A2099" t="str">
            <v>LYQ-MY6287-N5-M</v>
          </cell>
          <cell r="B2099" t="str">
            <v>LYQ-MY6287</v>
          </cell>
        </row>
        <row r="2100">
          <cell r="A2100" t="str">
            <v>LYQ-MY6287-N5-S</v>
          </cell>
          <cell r="B2100" t="str">
            <v>LYQ-MY6287</v>
          </cell>
        </row>
        <row r="2101">
          <cell r="A2101" t="str">
            <v>LYQ-MY6287-P0-L</v>
          </cell>
          <cell r="B2101" t="str">
            <v>LYQ-MY6287</v>
          </cell>
        </row>
        <row r="2102">
          <cell r="A2102" t="str">
            <v>LYQ-MY6287-P0-M</v>
          </cell>
          <cell r="B2102" t="str">
            <v>LYQ-MY6287</v>
          </cell>
        </row>
        <row r="2103">
          <cell r="A2103" t="str">
            <v>LYQ-MY6287-P0-S</v>
          </cell>
          <cell r="B2103" t="str">
            <v>LYQ-MY6287</v>
          </cell>
        </row>
        <row r="2104">
          <cell r="A2104" t="str">
            <v>LYQ-MY6287-P0-XL</v>
          </cell>
          <cell r="B2104" t="str">
            <v>LYQ-MY6287</v>
          </cell>
        </row>
        <row r="2105">
          <cell r="A2105" t="str">
            <v>LYQ-MY6287-R0-L</v>
          </cell>
          <cell r="B2105" t="str">
            <v>LYQ-MY6287</v>
          </cell>
        </row>
        <row r="2106">
          <cell r="A2106" t="str">
            <v>LYQ-MY6287-R0-M</v>
          </cell>
          <cell r="B2106" t="str">
            <v>LYQ-MY6287</v>
          </cell>
        </row>
        <row r="2107">
          <cell r="A2107" t="str">
            <v>LYQ-MY6287-R0-S</v>
          </cell>
          <cell r="B2107" t="str">
            <v>LYQ-MY6287</v>
          </cell>
        </row>
        <row r="2108">
          <cell r="A2108" t="str">
            <v>LYQ-MY6287-R0-XL</v>
          </cell>
          <cell r="B2108" t="str">
            <v>LYQ-MY6287</v>
          </cell>
        </row>
        <row r="2109">
          <cell r="A2109" t="str">
            <v>LYQ-MY6287-R2-L</v>
          </cell>
          <cell r="B2109" t="str">
            <v>LYQ-MY6287</v>
          </cell>
        </row>
        <row r="2110">
          <cell r="A2110" t="str">
            <v>LYQ-MY6287-R2-M</v>
          </cell>
          <cell r="B2110" t="str">
            <v>LYQ-MY6287</v>
          </cell>
        </row>
        <row r="2111">
          <cell r="A2111" t="str">
            <v>LYQ-MY6287-R2-S</v>
          </cell>
          <cell r="B2111" t="str">
            <v>LYQ-MY6287</v>
          </cell>
        </row>
        <row r="2112">
          <cell r="A2112" t="str">
            <v>LYQ-MY6287-R2-XL</v>
          </cell>
          <cell r="B2112" t="str">
            <v>LYQ-MY6287</v>
          </cell>
        </row>
        <row r="2113">
          <cell r="A2113" t="str">
            <v>LYQ-MY6287-R6-L</v>
          </cell>
          <cell r="B2113" t="str">
            <v>LYQ-MY6287</v>
          </cell>
        </row>
        <row r="2114">
          <cell r="A2114" t="str">
            <v>LYQ-MY6287-R6-M</v>
          </cell>
          <cell r="B2114" t="str">
            <v>LYQ-MY6287</v>
          </cell>
        </row>
        <row r="2115">
          <cell r="A2115" t="str">
            <v>LYQ-MY6287-W0-L</v>
          </cell>
          <cell r="B2115" t="str">
            <v>LYQ-MY6287</v>
          </cell>
        </row>
        <row r="2116">
          <cell r="A2116" t="str">
            <v>LYQ-MY6287-W0-M</v>
          </cell>
          <cell r="B2116" t="str">
            <v>LYQ-MY6287</v>
          </cell>
        </row>
        <row r="2117">
          <cell r="A2117" t="str">
            <v>LYQ-MY6287-W0-S</v>
          </cell>
          <cell r="B2117" t="str">
            <v>LYQ-MY6287</v>
          </cell>
        </row>
        <row r="2118">
          <cell r="A2118" t="str">
            <v>LYQ-MY6287-W0-XL</v>
          </cell>
          <cell r="B2118" t="str">
            <v>LYQ-MY6287</v>
          </cell>
        </row>
        <row r="2119">
          <cell r="A2119" t="str">
            <v>LYQ-MY6287-XS-L</v>
          </cell>
          <cell r="B2119" t="str">
            <v>LYQ-MY6287</v>
          </cell>
        </row>
        <row r="2120">
          <cell r="A2120" t="str">
            <v>LYQ-MY6287-XS-M</v>
          </cell>
          <cell r="B2120" t="str">
            <v>LYQ-MY6287</v>
          </cell>
        </row>
        <row r="2121">
          <cell r="A2121" t="str">
            <v>LYQ-MY6287-XS-S</v>
          </cell>
          <cell r="B2121" t="str">
            <v>LYQ-MY6287</v>
          </cell>
        </row>
        <row r="2122">
          <cell r="A2122" t="str">
            <v>LYQ-MY6287-Y0-L</v>
          </cell>
          <cell r="B2122" t="str">
            <v>LYQ-MY6287</v>
          </cell>
        </row>
        <row r="2123">
          <cell r="A2123" t="str">
            <v>LYQ--MY-MX02-K0-L</v>
          </cell>
          <cell r="B2123" t="str">
            <v>LYQ--MY-MX02</v>
          </cell>
        </row>
        <row r="2124">
          <cell r="A2124" t="str">
            <v>LYQ--MY-MX02-K0-M</v>
          </cell>
          <cell r="B2124" t="str">
            <v>LYQ--MY-MX02</v>
          </cell>
        </row>
        <row r="2125">
          <cell r="A2125" t="str">
            <v>LYQ--MY-MX02-K0-S</v>
          </cell>
          <cell r="B2125" t="str">
            <v>LYQ--MY-MX02</v>
          </cell>
        </row>
        <row r="2126">
          <cell r="A2126" t="str">
            <v>LYQ--MY-MX02-K0-XL</v>
          </cell>
          <cell r="B2126" t="str">
            <v>LYQ--MY-MX02</v>
          </cell>
        </row>
        <row r="2127">
          <cell r="A2127" t="str">
            <v>LYQ--MY-MX02-N0-L</v>
          </cell>
          <cell r="B2127" t="str">
            <v>LYQ--MY-MX02</v>
          </cell>
        </row>
        <row r="2128">
          <cell r="A2128" t="str">
            <v>LYQ--MY-MX02-N0-M</v>
          </cell>
          <cell r="B2128" t="str">
            <v>LYQ--MY-MX02</v>
          </cell>
        </row>
        <row r="2129">
          <cell r="A2129" t="str">
            <v>LYQ--MY-MX02-N0-S</v>
          </cell>
          <cell r="B2129" t="str">
            <v>LYQ--MY-MX02</v>
          </cell>
        </row>
        <row r="2130">
          <cell r="A2130" t="str">
            <v>LYQ--MY-MX02-N0-XL</v>
          </cell>
          <cell r="B2130" t="str">
            <v>LYQ--MY-MX02</v>
          </cell>
        </row>
        <row r="2131">
          <cell r="A2131" t="str">
            <v>LYQ--MY-MX02-P0-L</v>
          </cell>
          <cell r="B2131" t="str">
            <v>LYQ--MY-MX02</v>
          </cell>
        </row>
        <row r="2132">
          <cell r="A2132" t="str">
            <v>LYQ--MY-MX02-P0-M</v>
          </cell>
          <cell r="B2132" t="str">
            <v>LYQ--MY-MX02</v>
          </cell>
        </row>
        <row r="2133">
          <cell r="A2133" t="str">
            <v>LYQ--MY-MX02-P0-S</v>
          </cell>
          <cell r="B2133" t="str">
            <v>LYQ--MY-MX02</v>
          </cell>
        </row>
        <row r="2134">
          <cell r="A2134" t="str">
            <v>LYQ--MY-MX02-P0-XL</v>
          </cell>
          <cell r="B2134" t="str">
            <v>LYQ--MY-MX02</v>
          </cell>
        </row>
        <row r="2135">
          <cell r="A2135" t="str">
            <v>LYQ--MY-MX02-R0-L</v>
          </cell>
          <cell r="B2135" t="str">
            <v>LYQ--MY-MX02</v>
          </cell>
        </row>
        <row r="2136">
          <cell r="A2136" t="str">
            <v>LYQ--MY-MX02-R0-M</v>
          </cell>
          <cell r="B2136" t="str">
            <v>LYQ--MY-MX02</v>
          </cell>
        </row>
        <row r="2137">
          <cell r="A2137" t="str">
            <v>LYQ--MY-MX02-R0-S</v>
          </cell>
          <cell r="B2137" t="str">
            <v>LYQ--MY-MX02</v>
          </cell>
        </row>
        <row r="2138">
          <cell r="A2138" t="str">
            <v>LYQ--MY-MX02-R0-XL</v>
          </cell>
          <cell r="B2138" t="str">
            <v>LYQ--MY-MX02</v>
          </cell>
        </row>
        <row r="2139">
          <cell r="A2139" t="str">
            <v>LYQ-NA1010-B0-2X</v>
          </cell>
          <cell r="B2139" t="str">
            <v>LYQ-NA1010</v>
          </cell>
        </row>
        <row r="2140">
          <cell r="A2140" t="str">
            <v>LYQ-NA1010-B0-L</v>
          </cell>
          <cell r="B2140" t="str">
            <v>LYQ-NA1010</v>
          </cell>
        </row>
        <row r="2141">
          <cell r="A2141" t="str">
            <v>LYQ-NA1010-B0-M</v>
          </cell>
          <cell r="B2141" t="str">
            <v>LYQ-NA1010</v>
          </cell>
        </row>
        <row r="2142">
          <cell r="A2142" t="str">
            <v>LYQ-NA1010-B0-S</v>
          </cell>
          <cell r="B2142" t="str">
            <v>LYQ-NA1010</v>
          </cell>
        </row>
        <row r="2143">
          <cell r="A2143" t="str">
            <v>LYQ-NA1010-B0-XL</v>
          </cell>
          <cell r="B2143" t="str">
            <v>LYQ-NA1010</v>
          </cell>
        </row>
        <row r="2144">
          <cell r="A2144" t="str">
            <v>LYQ-NA1010-B0-XS</v>
          </cell>
          <cell r="B2144" t="str">
            <v>LYQ-NA1010</v>
          </cell>
        </row>
        <row r="2145">
          <cell r="A2145" t="str">
            <v>LYQ-NA1010-G0-2X</v>
          </cell>
          <cell r="B2145" t="str">
            <v>LYQ-NA1010</v>
          </cell>
        </row>
        <row r="2146">
          <cell r="A2146" t="str">
            <v>LYQ-NA1010-G0-L</v>
          </cell>
          <cell r="B2146" t="str">
            <v>LYQ-NA1010</v>
          </cell>
        </row>
        <row r="2147">
          <cell r="A2147" t="str">
            <v>LYQ-NA1010-G0-M</v>
          </cell>
          <cell r="B2147" t="str">
            <v>LYQ-NA1010</v>
          </cell>
        </row>
        <row r="2148">
          <cell r="A2148" t="str">
            <v>LYQ-NA1010-G0-S</v>
          </cell>
          <cell r="B2148" t="str">
            <v>LYQ-NA1010</v>
          </cell>
        </row>
        <row r="2149">
          <cell r="A2149" t="str">
            <v>LYQ-NA1010-G0-XL</v>
          </cell>
          <cell r="B2149" t="str">
            <v>LYQ-NA1010</v>
          </cell>
        </row>
        <row r="2150">
          <cell r="A2150" t="str">
            <v>LYQ-NA1010-G0-XS</v>
          </cell>
          <cell r="B2150" t="str">
            <v>LYQ-NA1010</v>
          </cell>
        </row>
        <row r="2151">
          <cell r="A2151" t="str">
            <v>LYQ-NA1010-G7-2X</v>
          </cell>
          <cell r="B2151" t="str">
            <v>LYQ-NA1010</v>
          </cell>
        </row>
        <row r="2152">
          <cell r="A2152" t="str">
            <v>LYQ-NA1010-G7-L</v>
          </cell>
          <cell r="B2152" t="str">
            <v>LYQ-NA1010</v>
          </cell>
        </row>
        <row r="2153">
          <cell r="A2153" t="str">
            <v>LYQ-NA1010-G7-M</v>
          </cell>
          <cell r="B2153" t="str">
            <v>LYQ-NA1010</v>
          </cell>
        </row>
        <row r="2154">
          <cell r="A2154" t="str">
            <v>LYQ-NA1010-G7-S</v>
          </cell>
          <cell r="B2154" t="str">
            <v>LYQ-NA1010</v>
          </cell>
        </row>
        <row r="2155">
          <cell r="A2155" t="str">
            <v>LYQ-NA1010-G7-XL</v>
          </cell>
          <cell r="B2155" t="str">
            <v>LYQ-NA1010</v>
          </cell>
        </row>
        <row r="2156">
          <cell r="A2156" t="str">
            <v>LYQ-NA1010-G7-XS</v>
          </cell>
          <cell r="B2156" t="str">
            <v>LYQ-NA1010</v>
          </cell>
        </row>
        <row r="2157">
          <cell r="A2157" t="str">
            <v>LYQ-NA1010-K0-2X</v>
          </cell>
          <cell r="B2157" t="str">
            <v>LYQ-NA1010</v>
          </cell>
        </row>
        <row r="2158">
          <cell r="A2158" t="str">
            <v>LYQ-NA1010-K0-L</v>
          </cell>
          <cell r="B2158" t="str">
            <v>LYQ-NA1010</v>
          </cell>
        </row>
        <row r="2159">
          <cell r="A2159" t="str">
            <v>LYQ-NA1010-K0-M</v>
          </cell>
          <cell r="B2159" t="str">
            <v>LYQ-NA1010</v>
          </cell>
        </row>
        <row r="2160">
          <cell r="A2160" t="str">
            <v>LYQ-NA1010-K0-S</v>
          </cell>
          <cell r="B2160" t="str">
            <v>LYQ-NA1010</v>
          </cell>
        </row>
        <row r="2161">
          <cell r="A2161" t="str">
            <v>LYQ-NA1010-K0-XL</v>
          </cell>
          <cell r="B2161" t="str">
            <v>LYQ-NA1010</v>
          </cell>
        </row>
        <row r="2162">
          <cell r="A2162" t="str">
            <v>LYQ-NA1010-K0-XS</v>
          </cell>
          <cell r="B2162" t="str">
            <v>LYQ-NA1010</v>
          </cell>
        </row>
        <row r="2163">
          <cell r="A2163" t="str">
            <v>LYQ-NA1010-KQ-2X</v>
          </cell>
          <cell r="B2163" t="str">
            <v>LYQ-NA1010</v>
          </cell>
        </row>
        <row r="2164">
          <cell r="A2164" t="str">
            <v>LYQ-NA1010-KQ-L</v>
          </cell>
          <cell r="B2164" t="str">
            <v>LYQ-NA1010</v>
          </cell>
        </row>
        <row r="2165">
          <cell r="A2165" t="str">
            <v>LYQ-NA1010-KQ-M</v>
          </cell>
          <cell r="B2165" t="str">
            <v>LYQ-NA1010</v>
          </cell>
        </row>
        <row r="2166">
          <cell r="A2166" t="str">
            <v>LYQ-NA1010-KQ-S</v>
          </cell>
          <cell r="B2166" t="str">
            <v>LYQ-NA1010</v>
          </cell>
        </row>
        <row r="2167">
          <cell r="A2167" t="str">
            <v>LYQ-NA1010-KQ-XL</v>
          </cell>
          <cell r="B2167" t="str">
            <v>LYQ-NA1010</v>
          </cell>
        </row>
        <row r="2168">
          <cell r="A2168" t="str">
            <v>LYQ-NA1010-KQ-XS</v>
          </cell>
          <cell r="B2168" t="str">
            <v>LYQ-NA1010</v>
          </cell>
        </row>
        <row r="2169">
          <cell r="A2169" t="str">
            <v>LYQ-NA1010-N0-2X</v>
          </cell>
          <cell r="B2169" t="str">
            <v>LYQ-NA1010</v>
          </cell>
        </row>
        <row r="2170">
          <cell r="A2170" t="str">
            <v>LYQ-NA1010-N0-L</v>
          </cell>
          <cell r="B2170" t="str">
            <v>LYQ-NA1010</v>
          </cell>
        </row>
        <row r="2171">
          <cell r="A2171" t="str">
            <v>LYQ-NA1010-N0-M</v>
          </cell>
          <cell r="B2171" t="str">
            <v>LYQ-NA1010</v>
          </cell>
        </row>
        <row r="2172">
          <cell r="A2172" t="str">
            <v>LYQ-NA1010-N0-S</v>
          </cell>
          <cell r="B2172" t="str">
            <v>LYQ-NA1010</v>
          </cell>
        </row>
        <row r="2173">
          <cell r="A2173" t="str">
            <v>LYQ-NA1010-N0-XL</v>
          </cell>
          <cell r="B2173" t="str">
            <v>LYQ-NA1010</v>
          </cell>
        </row>
        <row r="2174">
          <cell r="A2174" t="str">
            <v>LYQ-NA1010-N0-XS</v>
          </cell>
          <cell r="B2174" t="str">
            <v>LYQ-NA1010</v>
          </cell>
        </row>
        <row r="2175">
          <cell r="A2175" t="str">
            <v>LYQ-NA1010-P0-2X</v>
          </cell>
          <cell r="B2175" t="str">
            <v>LYQ-NA1010</v>
          </cell>
        </row>
        <row r="2176">
          <cell r="A2176" t="str">
            <v>LYQ-NA1010-P0-L</v>
          </cell>
          <cell r="B2176" t="str">
            <v>LYQ-NA1010</v>
          </cell>
        </row>
        <row r="2177">
          <cell r="A2177" t="str">
            <v>LYQ-NA1010-P0-M</v>
          </cell>
          <cell r="B2177" t="str">
            <v>LYQ-NA1010</v>
          </cell>
        </row>
        <row r="2178">
          <cell r="A2178" t="str">
            <v>LYQ-NA1010-P0-S</v>
          </cell>
          <cell r="B2178" t="str">
            <v>LYQ-NA1010</v>
          </cell>
        </row>
        <row r="2179">
          <cell r="A2179" t="str">
            <v>LYQ-NA1010-P0-XL</v>
          </cell>
          <cell r="B2179" t="str">
            <v>LYQ-NA1010</v>
          </cell>
        </row>
        <row r="2180">
          <cell r="A2180" t="str">
            <v>LYQ-NA1010-P0-XS</v>
          </cell>
          <cell r="B2180" t="str">
            <v>LYQ-NA1010</v>
          </cell>
        </row>
        <row r="2181">
          <cell r="A2181" t="str">
            <v>LYQ-NA1010-R0-2X</v>
          </cell>
          <cell r="B2181" t="str">
            <v>LYQ-NA1010</v>
          </cell>
        </row>
        <row r="2182">
          <cell r="A2182" t="str">
            <v>LYQ-NA1010-R0-L</v>
          </cell>
          <cell r="B2182" t="str">
            <v>LYQ-NA1010</v>
          </cell>
        </row>
        <row r="2183">
          <cell r="A2183" t="str">
            <v>LYQ-NA1010-R0-M</v>
          </cell>
          <cell r="B2183" t="str">
            <v>LYQ-NA1010</v>
          </cell>
        </row>
        <row r="2184">
          <cell r="A2184" t="str">
            <v>LYQ-NA1010-R0-S</v>
          </cell>
          <cell r="B2184" t="str">
            <v>LYQ-NA1010</v>
          </cell>
        </row>
        <row r="2185">
          <cell r="A2185" t="str">
            <v>LYQ-NA1010-R0-XL</v>
          </cell>
          <cell r="B2185" t="str">
            <v>LYQ-NA1010</v>
          </cell>
        </row>
        <row r="2186">
          <cell r="A2186" t="str">
            <v>LYQ-NA1010-R0-XS</v>
          </cell>
          <cell r="B2186" t="str">
            <v>LYQ-NA1010</v>
          </cell>
        </row>
        <row r="2187">
          <cell r="A2187" t="str">
            <v>LYQ-NA1010-W0-2X</v>
          </cell>
          <cell r="B2187" t="str">
            <v>LYQ-NA1010</v>
          </cell>
        </row>
        <row r="2188">
          <cell r="A2188" t="str">
            <v>LYQ-NA1010-W0-L</v>
          </cell>
          <cell r="B2188" t="str">
            <v>LYQ-NA1010</v>
          </cell>
        </row>
        <row r="2189">
          <cell r="A2189" t="str">
            <v>LYQ-NA1010-W0-M</v>
          </cell>
          <cell r="B2189" t="str">
            <v>LYQ-NA1010</v>
          </cell>
        </row>
        <row r="2190">
          <cell r="A2190" t="str">
            <v>LYQ-NA1010-W0-S</v>
          </cell>
          <cell r="B2190" t="str">
            <v>LYQ-NA1010</v>
          </cell>
        </row>
        <row r="2191">
          <cell r="A2191" t="str">
            <v>LYQ-NA1010-W0-XL</v>
          </cell>
          <cell r="B2191" t="str">
            <v>LYQ-NA1010</v>
          </cell>
        </row>
        <row r="2192">
          <cell r="A2192" t="str">
            <v>LYQ-NA1010-W0-XS</v>
          </cell>
          <cell r="B2192" t="str">
            <v>LYQ-NA1010</v>
          </cell>
        </row>
        <row r="2193">
          <cell r="A2193" t="str">
            <v>LYQ-NA1010-Z0-2X</v>
          </cell>
          <cell r="B2193" t="str">
            <v>LYQ-NA1010</v>
          </cell>
        </row>
        <row r="2194">
          <cell r="A2194" t="str">
            <v>LYQ-NA1010-Z0-L</v>
          </cell>
          <cell r="B2194" t="str">
            <v>LYQ-NA1010</v>
          </cell>
        </row>
        <row r="2195">
          <cell r="A2195" t="str">
            <v>LYQ-NA1010-Z0-M</v>
          </cell>
          <cell r="B2195" t="str">
            <v>LYQ-NA1010</v>
          </cell>
        </row>
        <row r="2196">
          <cell r="A2196" t="str">
            <v>LYQ-NA1010-Z0-S</v>
          </cell>
          <cell r="B2196" t="str">
            <v>LYQ-NA1010</v>
          </cell>
        </row>
        <row r="2197">
          <cell r="A2197" t="str">
            <v>LYQ-NA1010-Z0-XL</v>
          </cell>
          <cell r="B2197" t="str">
            <v>LYQ-NA1010</v>
          </cell>
        </row>
        <row r="2198">
          <cell r="A2198" t="str">
            <v>LYQ-NA1010-Z0-XS</v>
          </cell>
          <cell r="B2198" t="str">
            <v>LYQ-NA1010</v>
          </cell>
        </row>
        <row r="2199">
          <cell r="A2199" t="str">
            <v>LYQ-SD16-BD-L</v>
          </cell>
          <cell r="B2199" t="str">
            <v>LYQ-SD16</v>
          </cell>
        </row>
        <row r="2200">
          <cell r="A2200" t="str">
            <v>LYQ-SD16-BD-M</v>
          </cell>
          <cell r="B2200" t="str">
            <v>LYQ-SD16</v>
          </cell>
        </row>
        <row r="2201">
          <cell r="A2201" t="str">
            <v>LYQ-SD16-BD-S</v>
          </cell>
          <cell r="B2201" t="str">
            <v>LYQ-SD16</v>
          </cell>
        </row>
        <row r="2202">
          <cell r="A2202" t="str">
            <v>LYQ-SD16-BD-XL</v>
          </cell>
          <cell r="B2202" t="str">
            <v>LYQ-SD16</v>
          </cell>
        </row>
        <row r="2203">
          <cell r="A2203" t="str">
            <v>LYQ-SD16-G7-L</v>
          </cell>
          <cell r="B2203" t="str">
            <v>LYQ-SD16</v>
          </cell>
        </row>
        <row r="2204">
          <cell r="A2204" t="str">
            <v>LYQ-SD16-G7-M</v>
          </cell>
          <cell r="B2204" t="str">
            <v>LYQ-SD16</v>
          </cell>
        </row>
        <row r="2205">
          <cell r="A2205" t="str">
            <v>LYQ-SD16-G7-S</v>
          </cell>
          <cell r="B2205" t="str">
            <v>LYQ-SD16</v>
          </cell>
        </row>
        <row r="2206">
          <cell r="A2206" t="str">
            <v>LYQ-SD16-G7-XL</v>
          </cell>
          <cell r="B2206" t="str">
            <v>LYQ-SD16</v>
          </cell>
        </row>
        <row r="2207">
          <cell r="A2207" t="str">
            <v>LYQ-SD16-K0-L</v>
          </cell>
          <cell r="B2207" t="str">
            <v>LYQ-SD16</v>
          </cell>
        </row>
        <row r="2208">
          <cell r="A2208" t="str">
            <v>LYQ-SD16-K0-M</v>
          </cell>
          <cell r="B2208" t="str">
            <v>LYQ-SD16</v>
          </cell>
        </row>
        <row r="2209">
          <cell r="A2209" t="str">
            <v>LYQ-SD16-K0-S</v>
          </cell>
          <cell r="B2209" t="str">
            <v>LYQ-SD16</v>
          </cell>
        </row>
        <row r="2210">
          <cell r="A2210" t="str">
            <v>LYQ-SD16-K0-XL</v>
          </cell>
          <cell r="B2210" t="str">
            <v>LYQ-SD16</v>
          </cell>
        </row>
        <row r="2211">
          <cell r="A2211" t="str">
            <v>LYQ-SD16-N0-L</v>
          </cell>
          <cell r="B2211" t="str">
            <v>LYQ-SD16</v>
          </cell>
        </row>
        <row r="2212">
          <cell r="A2212" t="str">
            <v>LYQ-SD16-N0-M</v>
          </cell>
          <cell r="B2212" t="str">
            <v>LYQ-SD16</v>
          </cell>
        </row>
        <row r="2213">
          <cell r="A2213" t="str">
            <v>LYQ-SD16-N0-S</v>
          </cell>
          <cell r="B2213" t="str">
            <v>LYQ-SD16</v>
          </cell>
        </row>
        <row r="2214">
          <cell r="A2214" t="str">
            <v>LYQ-SD16-N0-XL</v>
          </cell>
          <cell r="B2214" t="str">
            <v>LYQ-SD16</v>
          </cell>
        </row>
        <row r="2215">
          <cell r="A2215" t="str">
            <v>LYQ-SD16-Y0-L</v>
          </cell>
          <cell r="B2215" t="str">
            <v>LYQ-SD16</v>
          </cell>
        </row>
        <row r="2216">
          <cell r="A2216" t="str">
            <v>LYQ-SD16-Y0-M</v>
          </cell>
          <cell r="B2216" t="str">
            <v>LYQ-SD16</v>
          </cell>
        </row>
        <row r="2217">
          <cell r="A2217" t="str">
            <v>LYQ-SD16-Y0-S</v>
          </cell>
          <cell r="B2217" t="str">
            <v>LYQ-SD16</v>
          </cell>
        </row>
        <row r="2218">
          <cell r="A2218" t="str">
            <v>LYQ-SD16-Y0-XL</v>
          </cell>
          <cell r="B2218" t="str">
            <v>LYQ-SD16</v>
          </cell>
        </row>
        <row r="2219">
          <cell r="A2219" t="str">
            <v>LYQ-SD16-ZL-L</v>
          </cell>
          <cell r="B2219" t="str">
            <v>LYQ-SD16</v>
          </cell>
        </row>
        <row r="2220">
          <cell r="A2220" t="str">
            <v>LYQ-SD16-ZL-M</v>
          </cell>
          <cell r="B2220" t="str">
            <v>LYQ-SD16</v>
          </cell>
        </row>
        <row r="2221">
          <cell r="A2221" t="str">
            <v>LYQ-SD16-ZL-S</v>
          </cell>
          <cell r="B2221" t="str">
            <v>LYQ-SD16</v>
          </cell>
        </row>
        <row r="2222">
          <cell r="A2222" t="str">
            <v>LYQ-SD16-ZL-XL</v>
          </cell>
          <cell r="B2222" t="str">
            <v>LYQ-SD16</v>
          </cell>
        </row>
        <row r="2223">
          <cell r="A2223" t="str">
            <v>LYQ-TW03-B0-L</v>
          </cell>
          <cell r="B2223" t="str">
            <v>LYQ-TW03</v>
          </cell>
        </row>
        <row r="2224">
          <cell r="A2224" t="str">
            <v>LYQ-TW03-B0-M</v>
          </cell>
          <cell r="B2224" t="str">
            <v>LYQ-TW03</v>
          </cell>
        </row>
        <row r="2225">
          <cell r="A2225" t="str">
            <v>LYQ-TW03-B0-S</v>
          </cell>
          <cell r="B2225" t="str">
            <v>LYQ-TW03</v>
          </cell>
        </row>
        <row r="2226">
          <cell r="A2226" t="str">
            <v>LYQ-TW03-B0-XL</v>
          </cell>
          <cell r="B2226" t="str">
            <v>LYQ-TW03</v>
          </cell>
        </row>
        <row r="2227">
          <cell r="A2227" t="str">
            <v>LYQ-TW03-B0-XXL</v>
          </cell>
          <cell r="B2227" t="str">
            <v>LYQ-TW03</v>
          </cell>
        </row>
        <row r="2228">
          <cell r="A2228" t="str">
            <v>LYQ-TW03-K0-L</v>
          </cell>
          <cell r="B2228" t="str">
            <v>LYQ-TW03</v>
          </cell>
        </row>
        <row r="2229">
          <cell r="A2229" t="str">
            <v>LYQ-TW03-K0-M</v>
          </cell>
          <cell r="B2229" t="str">
            <v>LYQ-TW03</v>
          </cell>
        </row>
        <row r="2230">
          <cell r="A2230" t="str">
            <v>LYQ-TW03-K0-S</v>
          </cell>
          <cell r="B2230" t="str">
            <v>LYQ-TW03</v>
          </cell>
        </row>
        <row r="2231">
          <cell r="A2231" t="str">
            <v>LYQ-TW03-K0-XL</v>
          </cell>
          <cell r="B2231" t="str">
            <v>LYQ-TW03</v>
          </cell>
        </row>
        <row r="2232">
          <cell r="A2232" t="str">
            <v>LYQ-TW03-K0-XXL</v>
          </cell>
          <cell r="B2232" t="str">
            <v>LYQ-TW03</v>
          </cell>
        </row>
        <row r="2233">
          <cell r="A2233" t="str">
            <v>LYQ-WF7125-BO-2X</v>
          </cell>
          <cell r="B2233" t="str">
            <v>WF7125</v>
          </cell>
        </row>
        <row r="2234">
          <cell r="A2234" t="str">
            <v>LYQ-WF7125-BO-L</v>
          </cell>
          <cell r="B2234" t="str">
            <v>WF7125</v>
          </cell>
        </row>
        <row r="2235">
          <cell r="A2235" t="str">
            <v>LYQ-WF7125-BO-M</v>
          </cell>
          <cell r="B2235" t="str">
            <v>WF7125</v>
          </cell>
        </row>
        <row r="2236">
          <cell r="A2236" t="str">
            <v>LYQ-WF7125-BO-S</v>
          </cell>
          <cell r="B2236" t="str">
            <v>WF7125</v>
          </cell>
        </row>
        <row r="2237">
          <cell r="A2237" t="str">
            <v>LYQ-WF7125-BO-XL</v>
          </cell>
          <cell r="B2237" t="str">
            <v>WF7125</v>
          </cell>
        </row>
        <row r="2238">
          <cell r="A2238" t="str">
            <v>LYQ-WF7125-K0-2L</v>
          </cell>
          <cell r="B2238" t="str">
            <v>WF7125</v>
          </cell>
        </row>
        <row r="2239">
          <cell r="A2239" t="str">
            <v>LYQ-WF7125-KO-L</v>
          </cell>
          <cell r="B2239" t="str">
            <v>WF7125</v>
          </cell>
        </row>
        <row r="2240">
          <cell r="A2240" t="str">
            <v>LYQ-WF7125-KO-M</v>
          </cell>
          <cell r="B2240" t="str">
            <v>WF7125</v>
          </cell>
        </row>
        <row r="2241">
          <cell r="A2241" t="str">
            <v>LYQ-WF7125-KO-S</v>
          </cell>
          <cell r="B2241" t="str">
            <v>WF7125</v>
          </cell>
        </row>
        <row r="2242">
          <cell r="A2242" t="str">
            <v>LYQ-WF7125-KO-XL</v>
          </cell>
          <cell r="B2242" t="str">
            <v>WF7125</v>
          </cell>
        </row>
        <row r="2243">
          <cell r="A2243" t="str">
            <v>LYQ-WF7125-NO-2L</v>
          </cell>
          <cell r="B2243" t="str">
            <v>WF7125</v>
          </cell>
        </row>
        <row r="2244">
          <cell r="A2244" t="str">
            <v>LYQ-WF7125-NO-L</v>
          </cell>
          <cell r="B2244" t="str">
            <v>WF7125</v>
          </cell>
        </row>
        <row r="2245">
          <cell r="A2245" t="str">
            <v>LYQ-WF7125-NO-S</v>
          </cell>
          <cell r="B2245" t="str">
            <v>WF7125</v>
          </cell>
        </row>
        <row r="2246">
          <cell r="A2246" t="str">
            <v>LYQ-WF7125-NO-XL</v>
          </cell>
          <cell r="B2246" t="str">
            <v>WF7125</v>
          </cell>
        </row>
        <row r="2247">
          <cell r="A2247" t="str">
            <v>LYQ-WF7125-NO-XS</v>
          </cell>
          <cell r="B2247" t="str">
            <v>WF7125</v>
          </cell>
        </row>
        <row r="2248">
          <cell r="A2248" t="str">
            <v>LYQ-WF7125-PO-2L</v>
          </cell>
          <cell r="B2248" t="str">
            <v>WF7125</v>
          </cell>
        </row>
        <row r="2249">
          <cell r="A2249" t="str">
            <v>LYQ-WF7125-PO-L</v>
          </cell>
          <cell r="B2249" t="str">
            <v>WF7125</v>
          </cell>
        </row>
        <row r="2250">
          <cell r="A2250" t="str">
            <v>LYQ-WF7125-PO-M</v>
          </cell>
          <cell r="B2250" t="str">
            <v>WF7125</v>
          </cell>
        </row>
        <row r="2251">
          <cell r="A2251" t="str">
            <v>LYQ-WF7125-PO-S</v>
          </cell>
          <cell r="B2251" t="str">
            <v>WF7125</v>
          </cell>
        </row>
        <row r="2252">
          <cell r="A2252" t="str">
            <v>LYQ-WF7125-PO-XL</v>
          </cell>
          <cell r="B2252" t="str">
            <v>WF7125</v>
          </cell>
        </row>
        <row r="2253">
          <cell r="A2253" t="str">
            <v>LYQ-WF7125-PO-XS</v>
          </cell>
          <cell r="B2253" t="str">
            <v>WF7125</v>
          </cell>
        </row>
        <row r="2254">
          <cell r="A2254" t="str">
            <v>LYQ-WF7125-WO-2L</v>
          </cell>
          <cell r="B2254" t="str">
            <v>WF7125</v>
          </cell>
        </row>
        <row r="2255">
          <cell r="A2255" t="str">
            <v>LYQ-WF7125-WO-M</v>
          </cell>
          <cell r="B2255" t="str">
            <v>WF7125</v>
          </cell>
        </row>
        <row r="2256">
          <cell r="A2256" t="str">
            <v>LYQ-WF7125-WO-XL</v>
          </cell>
          <cell r="B2256" t="str">
            <v>WF7125</v>
          </cell>
        </row>
        <row r="2257">
          <cell r="A2257" t="str">
            <v>LYQ-WF7125-WO-XS</v>
          </cell>
          <cell r="B2257" t="str">
            <v>WF7125</v>
          </cell>
        </row>
        <row r="2258">
          <cell r="A2258" t="str">
            <v>LYQ-WH885-RO-L</v>
          </cell>
          <cell r="B2258" t="str">
            <v>LYQ-WH885</v>
          </cell>
        </row>
        <row r="2259">
          <cell r="A2259" t="str">
            <v>LYQ-WH885-RO-M</v>
          </cell>
          <cell r="B2259" t="str">
            <v>LYQ-WH885</v>
          </cell>
        </row>
        <row r="2260">
          <cell r="A2260" t="str">
            <v>LYQ-WH885-RO-S</v>
          </cell>
          <cell r="B2260" t="str">
            <v>LYQ-WH885</v>
          </cell>
        </row>
        <row r="2261">
          <cell r="A2261" t="str">
            <v>LYQ-WH885-RO-XL</v>
          </cell>
          <cell r="B2261" t="str">
            <v>LYQ-WH885</v>
          </cell>
        </row>
        <row r="2262">
          <cell r="A2262" t="str">
            <v>LYQ-WH885-ZL-L</v>
          </cell>
          <cell r="B2262" t="str">
            <v>LYQ-WH885</v>
          </cell>
        </row>
        <row r="2263">
          <cell r="A2263" t="str">
            <v>LYQ-WH885-ZL-M</v>
          </cell>
          <cell r="B2263" t="str">
            <v>LYQ-WH885</v>
          </cell>
        </row>
        <row r="2264">
          <cell r="A2264" t="str">
            <v>LYQ-WH885-ZL-S</v>
          </cell>
          <cell r="B2264" t="str">
            <v>LYQ-WH885</v>
          </cell>
        </row>
        <row r="2265">
          <cell r="A2265" t="str">
            <v>LYQ-WH885-ZL-XL</v>
          </cell>
          <cell r="B2265" t="str">
            <v>LYQ-WH885</v>
          </cell>
        </row>
        <row r="2266">
          <cell r="A2266" t="str">
            <v>LYQ-YY05</v>
          </cell>
          <cell r="B2266" t="str">
            <v>LYQ-YY05</v>
          </cell>
        </row>
        <row r="2267">
          <cell r="A2267" t="str">
            <v>LYQ-YY05-E0-L</v>
          </cell>
          <cell r="B2267" t="str">
            <v>LYQ-YY05</v>
          </cell>
        </row>
        <row r="2268">
          <cell r="A2268" t="str">
            <v>LYQ-YY05-E0-M</v>
          </cell>
          <cell r="B2268" t="str">
            <v>LYQ-YY05</v>
          </cell>
        </row>
        <row r="2269">
          <cell r="A2269" t="str">
            <v>LYQ-YY05-E0-S</v>
          </cell>
          <cell r="B2269" t="str">
            <v>LYQ-YY05</v>
          </cell>
        </row>
        <row r="2270">
          <cell r="A2270" t="str">
            <v>LYQ-YY05-E0-XL</v>
          </cell>
          <cell r="B2270" t="str">
            <v>LYQ-YY05</v>
          </cell>
        </row>
        <row r="2271">
          <cell r="A2271" t="str">
            <v>LYQ-YY05-K0-L</v>
          </cell>
          <cell r="B2271" t="str">
            <v>LYQ-YY05</v>
          </cell>
        </row>
        <row r="2272">
          <cell r="A2272" t="str">
            <v>LYQ-YY05-K0-M</v>
          </cell>
          <cell r="B2272" t="str">
            <v>LYQ-YY05</v>
          </cell>
        </row>
        <row r="2273">
          <cell r="A2273" t="str">
            <v>LYQ-YY05-K0-S</v>
          </cell>
          <cell r="B2273" t="str">
            <v>LYQ-YY05</v>
          </cell>
        </row>
        <row r="2274">
          <cell r="A2274" t="str">
            <v>LYQ-YY05-K0-XL</v>
          </cell>
          <cell r="B2274" t="str">
            <v>LYQ-YY05</v>
          </cell>
        </row>
        <row r="2275">
          <cell r="A2275" t="str">
            <v>LYQ-YY05-R0-L</v>
          </cell>
          <cell r="B2275" t="str">
            <v>LYQ-YY05</v>
          </cell>
        </row>
        <row r="2276">
          <cell r="A2276" t="str">
            <v>LYQ-YY05-R0-M</v>
          </cell>
          <cell r="B2276" t="str">
            <v>LYQ-YY05</v>
          </cell>
        </row>
        <row r="2277">
          <cell r="A2277" t="str">
            <v>LYQ-YY05-R0-S</v>
          </cell>
          <cell r="B2277" t="str">
            <v>LYQ-YY05</v>
          </cell>
        </row>
        <row r="2278">
          <cell r="A2278" t="str">
            <v>LYQ-YY05-R0-XL</v>
          </cell>
          <cell r="B2278" t="str">
            <v>LYQ-YY05</v>
          </cell>
        </row>
        <row r="2279">
          <cell r="A2279" t="str">
            <v>LYQ-YY05-ZL-L</v>
          </cell>
          <cell r="B2279" t="str">
            <v>LYQ-YY05</v>
          </cell>
        </row>
        <row r="2280">
          <cell r="A2280" t="str">
            <v>LYQ-YY05-ZL-M</v>
          </cell>
          <cell r="B2280" t="str">
            <v>LYQ-YY05</v>
          </cell>
        </row>
        <row r="2281">
          <cell r="A2281" t="str">
            <v>LYQ-YY05-ZL-S</v>
          </cell>
          <cell r="B2281" t="str">
            <v>LYQ-YY05</v>
          </cell>
        </row>
        <row r="2282">
          <cell r="A2282" t="str">
            <v>LYQ-YY05-ZL-XL</v>
          </cell>
          <cell r="B2282" t="str">
            <v>LYQ-YY05</v>
          </cell>
        </row>
        <row r="2283">
          <cell r="A2283" t="str">
            <v>LYQ-ZQ05100-L0-M</v>
          </cell>
          <cell r="B2283" t="str">
            <v>LYQ-ZQ05100</v>
          </cell>
        </row>
        <row r="2284">
          <cell r="A2284" t="str">
            <v>LYQ-ZQ1052-G0-XL</v>
          </cell>
          <cell r="B2284" t="str">
            <v>LYQ-ZQ1052</v>
          </cell>
        </row>
        <row r="2285">
          <cell r="A2285" t="str">
            <v>LYQ-ZQ1052-R0-XL</v>
          </cell>
          <cell r="B2285" t="str">
            <v>LYQ-ZQ1052</v>
          </cell>
        </row>
        <row r="2286">
          <cell r="A2286" t="str">
            <v>LYQ-ZQ1052-W0-L</v>
          </cell>
          <cell r="B2286" t="str">
            <v>LYQ-ZQ1052</v>
          </cell>
        </row>
        <row r="2287">
          <cell r="A2287" t="str">
            <v>LYQ-ZQ1052-W0-M</v>
          </cell>
          <cell r="B2287" t="str">
            <v>LYQ-ZQ1052</v>
          </cell>
        </row>
        <row r="2288">
          <cell r="A2288" t="str">
            <v>LYQ-ZQ1052-W0-S</v>
          </cell>
          <cell r="B2288" t="str">
            <v>LYQ-ZQ1052</v>
          </cell>
        </row>
        <row r="2289">
          <cell r="A2289" t="str">
            <v>LYQ-ZQ1052-W0-XL</v>
          </cell>
          <cell r="B2289" t="str">
            <v>LYQ-ZQ1052</v>
          </cell>
        </row>
        <row r="2290">
          <cell r="A2290" t="str">
            <v>LYQ-ZQ1117-B0-L</v>
          </cell>
          <cell r="B2290" t="str">
            <v>LYQ-ZQ1117</v>
          </cell>
        </row>
        <row r="2291">
          <cell r="A2291" t="str">
            <v>LYQ-ZQ1117-B0-M</v>
          </cell>
          <cell r="B2291" t="str">
            <v>LYQ-ZQ1117</v>
          </cell>
        </row>
        <row r="2292">
          <cell r="A2292" t="str">
            <v>LYQ-ZQ1117-B0-S</v>
          </cell>
          <cell r="B2292" t="str">
            <v>LYQ-ZQ1117</v>
          </cell>
        </row>
        <row r="2293">
          <cell r="A2293" t="str">
            <v>LYQ-ZQ1117-B0-XL</v>
          </cell>
          <cell r="B2293" t="str">
            <v>LYQ-ZQ1117</v>
          </cell>
        </row>
        <row r="2294">
          <cell r="A2294" t="str">
            <v>LYQ-ZQ1117-BD-L</v>
          </cell>
          <cell r="B2294" t="str">
            <v>LYQ-ZQ1117</v>
          </cell>
        </row>
        <row r="2295">
          <cell r="A2295" t="str">
            <v>LYQ-ZQ1117-BD-M</v>
          </cell>
          <cell r="B2295" t="str">
            <v>LYQ-ZQ1117</v>
          </cell>
        </row>
        <row r="2296">
          <cell r="A2296" t="str">
            <v>LYQ-ZQ1117-BD-S</v>
          </cell>
          <cell r="B2296" t="str">
            <v>LYQ-ZQ1117</v>
          </cell>
        </row>
        <row r="2297">
          <cell r="A2297" t="str">
            <v>LYQ-ZQ1117-BD-XL</v>
          </cell>
          <cell r="B2297" t="str">
            <v>LYQ-ZQ1117</v>
          </cell>
        </row>
        <row r="2298">
          <cell r="A2298" t="str">
            <v>LYQ-ZQ1117-C0-L</v>
          </cell>
          <cell r="B2298" t="str">
            <v>LYQ-ZQ1117</v>
          </cell>
        </row>
        <row r="2299">
          <cell r="A2299" t="str">
            <v>LYQ-ZQ1117-C0-M</v>
          </cell>
          <cell r="B2299" t="str">
            <v>LYQ-ZQ1117</v>
          </cell>
        </row>
        <row r="2300">
          <cell r="A2300" t="str">
            <v>LYQ-ZQ1117-C0-S</v>
          </cell>
          <cell r="B2300" t="str">
            <v>LYQ-ZQ1117</v>
          </cell>
        </row>
        <row r="2301">
          <cell r="A2301" t="str">
            <v>LYQ-ZQ1117-C0-XL</v>
          </cell>
          <cell r="B2301" t="str">
            <v>LYQ-ZQ1117</v>
          </cell>
        </row>
        <row r="2302">
          <cell r="A2302" t="str">
            <v>LYQ-ZQ1117-E0-L</v>
          </cell>
          <cell r="B2302" t="str">
            <v>LYQ-ZQ1117</v>
          </cell>
        </row>
        <row r="2303">
          <cell r="A2303" t="str">
            <v>LYQ-ZQ1117-E0-M</v>
          </cell>
          <cell r="B2303" t="str">
            <v>LYQ-ZQ1117</v>
          </cell>
        </row>
        <row r="2304">
          <cell r="A2304" t="str">
            <v>LYQ-ZQ1117-E0-S</v>
          </cell>
          <cell r="B2304" t="str">
            <v>LYQ-ZQ1117</v>
          </cell>
        </row>
        <row r="2305">
          <cell r="A2305" t="str">
            <v>LYQ-ZQ1117-E0-XL</v>
          </cell>
          <cell r="B2305" t="str">
            <v>LYQ-ZQ1117</v>
          </cell>
        </row>
        <row r="2306">
          <cell r="A2306" t="str">
            <v>LYQ-ZQ1117-G7-L</v>
          </cell>
          <cell r="B2306" t="str">
            <v>LYQ-ZQ1117</v>
          </cell>
        </row>
        <row r="2307">
          <cell r="A2307" t="str">
            <v>LYQ-ZQ1117-G7-M</v>
          </cell>
          <cell r="B2307" t="str">
            <v>LYQ-ZQ1117</v>
          </cell>
        </row>
        <row r="2308">
          <cell r="A2308" t="str">
            <v>LYQ-ZQ1117-G7-S</v>
          </cell>
          <cell r="B2308" t="str">
            <v>LYQ-ZQ1117</v>
          </cell>
        </row>
        <row r="2309">
          <cell r="A2309" t="str">
            <v>LYQ-ZQ1117-G7-XL</v>
          </cell>
          <cell r="B2309" t="str">
            <v>LYQ-ZQ1117</v>
          </cell>
        </row>
        <row r="2310">
          <cell r="A2310" t="str">
            <v>LYQ-ZQ1117-K0-L</v>
          </cell>
          <cell r="B2310" t="str">
            <v>LYQ-ZQ1117</v>
          </cell>
        </row>
        <row r="2311">
          <cell r="A2311" t="str">
            <v>LYQ-ZQ1117-K0-M</v>
          </cell>
          <cell r="B2311" t="str">
            <v>LYQ-ZQ1117</v>
          </cell>
        </row>
        <row r="2312">
          <cell r="A2312" t="str">
            <v>LYQ-ZQ1117-K0-S</v>
          </cell>
          <cell r="B2312" t="str">
            <v>LYQ-ZQ1117</v>
          </cell>
        </row>
        <row r="2313">
          <cell r="A2313" t="str">
            <v>LYQ-ZQ1117-K0-XL</v>
          </cell>
          <cell r="B2313" t="str">
            <v>LYQ-ZQ1117</v>
          </cell>
        </row>
        <row r="2314">
          <cell r="A2314" t="str">
            <v>LYQ-ZQ1117-KQ-L</v>
          </cell>
          <cell r="B2314" t="str">
            <v>LYQ-ZQ1117</v>
          </cell>
        </row>
        <row r="2315">
          <cell r="A2315" t="str">
            <v>LYQ-ZQ1117-KQ-M</v>
          </cell>
          <cell r="B2315" t="str">
            <v>LYQ-ZQ1117</v>
          </cell>
        </row>
        <row r="2316">
          <cell r="A2316" t="str">
            <v>LYQ-ZQ1117-KQ-S</v>
          </cell>
          <cell r="B2316" t="str">
            <v>LYQ-ZQ1117</v>
          </cell>
        </row>
        <row r="2317">
          <cell r="A2317" t="str">
            <v>LYQ-ZQ1117-KQ-XL</v>
          </cell>
          <cell r="B2317" t="str">
            <v>LYQ-ZQ1117</v>
          </cell>
        </row>
        <row r="2318">
          <cell r="A2318" t="str">
            <v>LYQ-ZQ-1188-K0-2XL</v>
          </cell>
          <cell r="B2318" t="str">
            <v>LYQ-ZQ-1188</v>
          </cell>
        </row>
        <row r="2319">
          <cell r="A2319" t="str">
            <v>LYQ-ZQ-1188-K0-L</v>
          </cell>
          <cell r="B2319" t="str">
            <v>LYQ-ZQ-1188</v>
          </cell>
        </row>
        <row r="2320">
          <cell r="A2320" t="str">
            <v>LYQ-ZQ-1188-K0-M</v>
          </cell>
          <cell r="B2320" t="str">
            <v>LYQ-ZQ-1188</v>
          </cell>
        </row>
        <row r="2321">
          <cell r="A2321" t="str">
            <v>LYQ-ZQ-1188-K0-S</v>
          </cell>
          <cell r="B2321" t="str">
            <v>LYQ-ZQ-1188</v>
          </cell>
        </row>
        <row r="2322">
          <cell r="A2322" t="str">
            <v>LYQ-ZQ-1188-K0-XL</v>
          </cell>
          <cell r="B2322" t="str">
            <v>LYQ-ZQ-1188</v>
          </cell>
        </row>
        <row r="2323">
          <cell r="A2323" t="str">
            <v>LYQ-ZQ-1188-P0-2XL</v>
          </cell>
          <cell r="B2323" t="str">
            <v>LYQ-ZQ-1188</v>
          </cell>
        </row>
        <row r="2324">
          <cell r="A2324" t="str">
            <v>LYQ-ZQ-1188-P0-L</v>
          </cell>
          <cell r="B2324" t="str">
            <v>LYQ-ZQ-1188</v>
          </cell>
        </row>
        <row r="2325">
          <cell r="A2325" t="str">
            <v>LYQ-ZQ-1188-P0-M</v>
          </cell>
          <cell r="B2325" t="str">
            <v>LYQ-ZQ-1188</v>
          </cell>
        </row>
        <row r="2326">
          <cell r="A2326" t="str">
            <v>LYQ-ZQ-1188-P0-S</v>
          </cell>
          <cell r="B2326" t="str">
            <v>LYQ-ZQ-1188</v>
          </cell>
        </row>
        <row r="2327">
          <cell r="A2327" t="str">
            <v>LYQ-ZQ-1188-P0-XL</v>
          </cell>
          <cell r="B2327" t="str">
            <v>LYQ-ZQ-1188</v>
          </cell>
        </row>
        <row r="2328">
          <cell r="A2328" t="str">
            <v>LYQ-ZQ-1188-W0-2XL</v>
          </cell>
          <cell r="B2328" t="str">
            <v>LYQ-ZQ-1188</v>
          </cell>
        </row>
        <row r="2329">
          <cell r="A2329" t="str">
            <v>LYQ-ZQ-1188-W0-L</v>
          </cell>
          <cell r="B2329" t="str">
            <v>LYQ-ZQ-1188</v>
          </cell>
        </row>
        <row r="2330">
          <cell r="A2330" t="str">
            <v>LYQ-ZQ-1188-W0-M</v>
          </cell>
          <cell r="B2330" t="str">
            <v>LYQ-ZQ-1188</v>
          </cell>
        </row>
        <row r="2331">
          <cell r="A2331" t="str">
            <v>LYQ-ZQ-1188-W0-S</v>
          </cell>
          <cell r="B2331" t="str">
            <v>LYQ-ZQ-1188</v>
          </cell>
        </row>
        <row r="2332">
          <cell r="A2332" t="str">
            <v>LYQ-ZQ-1188-W0-XL</v>
          </cell>
          <cell r="B2332" t="str">
            <v>LYQ-ZQ-1188</v>
          </cell>
        </row>
        <row r="2333">
          <cell r="A2333" t="str">
            <v>LYQ-ZQ-1188-ZL-2XL</v>
          </cell>
          <cell r="B2333" t="str">
            <v>LYQ-ZQ-1188</v>
          </cell>
        </row>
        <row r="2334">
          <cell r="A2334" t="str">
            <v>LYQ-ZQ-1188-ZL-L</v>
          </cell>
          <cell r="B2334" t="str">
            <v>LYQ-ZQ-1188</v>
          </cell>
        </row>
        <row r="2335">
          <cell r="A2335" t="str">
            <v>LYQ-ZQ-1199-K0-2XL</v>
          </cell>
          <cell r="B2335" t="str">
            <v>LYQ-ZQ-1199</v>
          </cell>
        </row>
        <row r="2336">
          <cell r="A2336" t="str">
            <v>LYQ-ZQ-1199-K0-L</v>
          </cell>
          <cell r="B2336" t="str">
            <v>LYQ-ZQ-1199</v>
          </cell>
        </row>
        <row r="2337">
          <cell r="A2337" t="str">
            <v>LYQ-ZQ-1199-K0-M</v>
          </cell>
          <cell r="B2337" t="str">
            <v>LYQ-ZQ-1199</v>
          </cell>
        </row>
        <row r="2338">
          <cell r="A2338" t="str">
            <v>LYQ-ZQ-1199-K0-S</v>
          </cell>
          <cell r="B2338" t="str">
            <v>LYQ-ZQ-1199</v>
          </cell>
        </row>
        <row r="2339">
          <cell r="A2339" t="str">
            <v>LYQ-ZQ-1199-K0-XL</v>
          </cell>
          <cell r="B2339" t="str">
            <v>LYQ-ZQ-1199</v>
          </cell>
        </row>
        <row r="2340">
          <cell r="A2340" t="str">
            <v>LYQ-ZQ-1199-P0-2XL</v>
          </cell>
          <cell r="B2340" t="str">
            <v>LYQ-ZQ-1199</v>
          </cell>
        </row>
        <row r="2341">
          <cell r="A2341" t="str">
            <v>LYQ-ZQ-1199-P0-L</v>
          </cell>
          <cell r="B2341" t="str">
            <v>LYQ-ZQ-1199</v>
          </cell>
        </row>
        <row r="2342">
          <cell r="A2342" t="str">
            <v>LYQ-ZQ-1199-P0-M</v>
          </cell>
          <cell r="B2342" t="str">
            <v>LYQ-ZQ-1199</v>
          </cell>
        </row>
        <row r="2343">
          <cell r="A2343" t="str">
            <v>LYQ-ZQ-1199-P0-S</v>
          </cell>
          <cell r="B2343" t="str">
            <v>LYQ-ZQ-1199</v>
          </cell>
        </row>
        <row r="2344">
          <cell r="A2344" t="str">
            <v>LYQ-ZQ-1199-P0-XL</v>
          </cell>
          <cell r="B2344" t="str">
            <v>LYQ-ZQ-1199</v>
          </cell>
        </row>
        <row r="2345">
          <cell r="A2345" t="str">
            <v>LYQ-ZQ-1199-W0-L</v>
          </cell>
          <cell r="B2345" t="str">
            <v>LYQ-ZQ-1199</v>
          </cell>
        </row>
        <row r="2346">
          <cell r="A2346" t="str">
            <v>LYQ-ZQ-1199-W0-M</v>
          </cell>
          <cell r="B2346" t="str">
            <v>LYQ-ZQ-1199</v>
          </cell>
        </row>
        <row r="2347">
          <cell r="A2347" t="str">
            <v>LYQ-ZQ-1199-W0-S</v>
          </cell>
          <cell r="B2347" t="str">
            <v>LYQ-ZQ-1199</v>
          </cell>
        </row>
        <row r="2348">
          <cell r="A2348" t="str">
            <v>LYQ-ZQ-1199-W0-XL</v>
          </cell>
          <cell r="B2348" t="str">
            <v>LYQ-ZQ-1199</v>
          </cell>
        </row>
        <row r="2349">
          <cell r="A2349" t="str">
            <v>LYQ-ZQ-1199-ZL-2XL</v>
          </cell>
          <cell r="B2349" t="str">
            <v>LYQ-ZQ-1199</v>
          </cell>
        </row>
        <row r="2350">
          <cell r="A2350" t="str">
            <v>LYQ-ZQ-1199-ZL-L</v>
          </cell>
          <cell r="B2350" t="str">
            <v>LYQ-ZQ-1199</v>
          </cell>
        </row>
        <row r="2351">
          <cell r="A2351" t="str">
            <v>LYQ-ZQ-1199-ZL-M</v>
          </cell>
          <cell r="B2351" t="str">
            <v>LYQ-ZQ-1199</v>
          </cell>
        </row>
        <row r="2352">
          <cell r="A2352" t="str">
            <v>LYQ-ZQ-1199-ZL-S</v>
          </cell>
          <cell r="B2352" t="str">
            <v>LYQ-ZQ-1199</v>
          </cell>
        </row>
        <row r="2353">
          <cell r="A2353" t="str">
            <v>LYQ-ZQ-1199-ZL-XL</v>
          </cell>
          <cell r="B2353" t="str">
            <v>LYQ-ZQ-1199</v>
          </cell>
        </row>
        <row r="2354">
          <cell r="A2354" t="str">
            <v>LYQ-ZQ1428-R0-L</v>
          </cell>
          <cell r="B2354" t="str">
            <v>LYQ-ZQ1428</v>
          </cell>
        </row>
        <row r="2355">
          <cell r="A2355" t="str">
            <v>LYQ-ZQ1428-R0-M</v>
          </cell>
          <cell r="B2355" t="str">
            <v>LYQ-ZQ1428</v>
          </cell>
        </row>
        <row r="2356">
          <cell r="A2356" t="str">
            <v>LYQ-ZQ1428-R0-S</v>
          </cell>
          <cell r="B2356" t="str">
            <v>LYQ-ZQ1428</v>
          </cell>
        </row>
        <row r="2357">
          <cell r="A2357" t="str">
            <v>LYQ-ZQ1428-Y0-L</v>
          </cell>
          <cell r="B2357" t="str">
            <v>LYQ-ZQ1428</v>
          </cell>
        </row>
        <row r="2358">
          <cell r="A2358" t="str">
            <v>LYQ-ZQ1428-Y0-M</v>
          </cell>
          <cell r="B2358" t="str">
            <v>LYQ-ZQ1428</v>
          </cell>
        </row>
        <row r="2359">
          <cell r="A2359" t="str">
            <v>LYQ-ZQ1428-Y0-S</v>
          </cell>
          <cell r="B2359" t="str">
            <v>LYQ-ZQ1428</v>
          </cell>
        </row>
        <row r="2360">
          <cell r="A2360" t="str">
            <v>LYQ-ZQ1669-B0-L</v>
          </cell>
          <cell r="B2360" t="str">
            <v>LYQ-ZQ1669</v>
          </cell>
        </row>
        <row r="2361">
          <cell r="A2361" t="str">
            <v>LYQ-ZQ1669-B0-M</v>
          </cell>
          <cell r="B2361" t="str">
            <v>LYQ-ZQ1669</v>
          </cell>
        </row>
        <row r="2362">
          <cell r="A2362" t="str">
            <v>LYQ-ZQ1669-B0-S</v>
          </cell>
          <cell r="B2362" t="str">
            <v>LYQ-ZQ1669</v>
          </cell>
        </row>
        <row r="2363">
          <cell r="A2363" t="str">
            <v>LYQ-ZQ1669-B0-XL</v>
          </cell>
          <cell r="B2363" t="str">
            <v>LYQ-ZQ1669</v>
          </cell>
        </row>
        <row r="2364">
          <cell r="A2364" t="str">
            <v>LYQ-ZQ1880-R0-L</v>
          </cell>
          <cell r="B2364" t="str">
            <v>LYQ-ZQ1880</v>
          </cell>
        </row>
        <row r="2365">
          <cell r="A2365" t="str">
            <v>LYQ-ZQ1880-R0-M</v>
          </cell>
          <cell r="B2365" t="str">
            <v>LYQ-ZQ1880</v>
          </cell>
        </row>
        <row r="2366">
          <cell r="A2366" t="str">
            <v>LYQ-ZQ1880-R0-S</v>
          </cell>
          <cell r="B2366" t="str">
            <v>LYQ-ZQ1880</v>
          </cell>
        </row>
        <row r="2367">
          <cell r="A2367" t="str">
            <v>LYQ-ZQ1880-R0-XL</v>
          </cell>
          <cell r="B2367" t="str">
            <v>LYQ-ZQ1880</v>
          </cell>
        </row>
        <row r="2368">
          <cell r="A2368" t="str">
            <v>LYQ-ZQ1880-Y0-L</v>
          </cell>
          <cell r="B2368" t="str">
            <v>LYQ-ZQ1880</v>
          </cell>
        </row>
        <row r="2369">
          <cell r="A2369" t="str">
            <v>LYQ-ZQ1880-Y0-M</v>
          </cell>
          <cell r="B2369" t="str">
            <v>LYQ-ZQ1880</v>
          </cell>
        </row>
        <row r="2370">
          <cell r="A2370" t="str">
            <v>LYQ-ZQ1880-Y0-S</v>
          </cell>
          <cell r="B2370" t="str">
            <v>LYQ-ZQ1880</v>
          </cell>
        </row>
        <row r="2371">
          <cell r="A2371" t="str">
            <v>LYQ-ZQ1880-Y0-XL</v>
          </cell>
          <cell r="B2371" t="str">
            <v>LYQ-ZQ1880</v>
          </cell>
        </row>
        <row r="2372">
          <cell r="A2372" t="str">
            <v>LYQ-ZQ1880-ZL-L</v>
          </cell>
          <cell r="B2372" t="str">
            <v>LYQ-ZQ1880</v>
          </cell>
        </row>
        <row r="2373">
          <cell r="A2373" t="str">
            <v>LYQ-ZQ1880-ZL-M</v>
          </cell>
          <cell r="B2373" t="str">
            <v>LYQ-ZQ1880</v>
          </cell>
        </row>
        <row r="2374">
          <cell r="A2374" t="str">
            <v>LYQ-ZQ1880-ZL-S</v>
          </cell>
          <cell r="B2374" t="str">
            <v>LYQ-ZQ1880</v>
          </cell>
        </row>
        <row r="2375">
          <cell r="A2375" t="str">
            <v>LYQ-ZQ1880-ZL-XL</v>
          </cell>
          <cell r="B2375" t="str">
            <v>LYQ-ZQ1880</v>
          </cell>
        </row>
        <row r="2376">
          <cell r="A2376" t="str">
            <v>LYQ-ZQ2100-P0-L</v>
          </cell>
          <cell r="B2376" t="str">
            <v>LYQ-ZQ2100</v>
          </cell>
        </row>
        <row r="2377">
          <cell r="A2377" t="str">
            <v>LYQ-ZQ2100-P0-M</v>
          </cell>
          <cell r="B2377" t="str">
            <v>LYQ-ZQ2100</v>
          </cell>
        </row>
        <row r="2378">
          <cell r="A2378" t="str">
            <v>LYQ-ZQ2100-P0-S</v>
          </cell>
          <cell r="B2378" t="str">
            <v>LYQ-ZQ2100</v>
          </cell>
        </row>
        <row r="2379">
          <cell r="A2379" t="str">
            <v>LYQ-ZQ2100-P0-XL</v>
          </cell>
          <cell r="B2379" t="str">
            <v>LYQ-ZQ2100</v>
          </cell>
        </row>
        <row r="2380">
          <cell r="A2380" t="str">
            <v>LYQ-ZQ2973-BD-2XL</v>
          </cell>
          <cell r="B2380" t="str">
            <v>LYQ-ZQ2973</v>
          </cell>
        </row>
        <row r="2381">
          <cell r="A2381" t="str">
            <v>LYQ-ZQ2973-BD-L</v>
          </cell>
          <cell r="B2381" t="str">
            <v>LYQ-ZQ2973</v>
          </cell>
        </row>
        <row r="2382">
          <cell r="A2382" t="str">
            <v>LYQ-ZQ2973-BD-M</v>
          </cell>
          <cell r="B2382" t="str">
            <v>LYQ-ZQ2973</v>
          </cell>
        </row>
        <row r="2383">
          <cell r="A2383" t="str">
            <v>LYQ-ZQ2973-BD-M-GM</v>
          </cell>
          <cell r="B2383" t="str">
            <v>LYQ-ZQ2973</v>
          </cell>
        </row>
        <row r="2384">
          <cell r="A2384" t="str">
            <v>LYQ-ZQ2973-BD-S</v>
          </cell>
          <cell r="B2384" t="str">
            <v>LYQ-ZQ2973</v>
          </cell>
        </row>
        <row r="2385">
          <cell r="A2385" t="str">
            <v>LYQ-ZQ2973-BD-XL</v>
          </cell>
          <cell r="B2385" t="str">
            <v>LYQ-ZQ2973</v>
          </cell>
        </row>
        <row r="2386">
          <cell r="A2386" t="str">
            <v>LYQ-ZQ2973-E0-2XL</v>
          </cell>
          <cell r="B2386" t="str">
            <v>LYQ-ZQ2973</v>
          </cell>
        </row>
        <row r="2387">
          <cell r="A2387" t="str">
            <v>LYQ-ZQ2973-E0-L</v>
          </cell>
          <cell r="B2387" t="str">
            <v>LYQ-ZQ2973</v>
          </cell>
        </row>
        <row r="2388">
          <cell r="A2388" t="str">
            <v>LYQ-ZQ2973-E0-M</v>
          </cell>
          <cell r="B2388" t="str">
            <v>LYQ-ZQ2973</v>
          </cell>
        </row>
        <row r="2389">
          <cell r="A2389" t="str">
            <v>LYQ-ZQ2973-E0-S</v>
          </cell>
          <cell r="B2389" t="str">
            <v>LYQ-ZQ2973</v>
          </cell>
        </row>
        <row r="2390">
          <cell r="A2390" t="str">
            <v>LYQ-ZQ2973-E0-XL</v>
          </cell>
          <cell r="B2390" t="str">
            <v>LYQ-ZQ2973</v>
          </cell>
        </row>
        <row r="2391">
          <cell r="A2391" t="str">
            <v>LYQ-ZQ2973-G0-2XL</v>
          </cell>
          <cell r="B2391" t="str">
            <v>LYQ-ZQ2973</v>
          </cell>
        </row>
        <row r="2392">
          <cell r="A2392" t="str">
            <v>LYQ-ZQ2973-G0-L</v>
          </cell>
          <cell r="B2392" t="str">
            <v>LYQ-ZQ2973</v>
          </cell>
        </row>
        <row r="2393">
          <cell r="A2393" t="str">
            <v>LYQ-ZQ2973-G0-L -GM</v>
          </cell>
          <cell r="B2393" t="str">
            <v>LYQ-ZQ2973</v>
          </cell>
        </row>
        <row r="2394">
          <cell r="A2394" t="str">
            <v>LYQ-ZQ2973-G0-M</v>
          </cell>
          <cell r="B2394" t="str">
            <v>LYQ-ZQ2973</v>
          </cell>
        </row>
        <row r="2395">
          <cell r="A2395" t="str">
            <v>LYQ-ZQ2973-G0-S</v>
          </cell>
          <cell r="B2395" t="str">
            <v>LYQ-ZQ2973</v>
          </cell>
        </row>
        <row r="2396">
          <cell r="A2396" t="str">
            <v>LYQ-ZQ2973-G0-XL</v>
          </cell>
          <cell r="B2396" t="str">
            <v>LYQ-ZQ2973</v>
          </cell>
        </row>
        <row r="2397">
          <cell r="A2397" t="str">
            <v>LYQ-ZQ2973-K0-2XL</v>
          </cell>
          <cell r="B2397" t="str">
            <v>LYQ-ZQ2973</v>
          </cell>
        </row>
        <row r="2398">
          <cell r="A2398" t="str">
            <v>LYQ-ZQ2973-K0-L</v>
          </cell>
          <cell r="B2398" t="str">
            <v>LYQ-ZQ2973</v>
          </cell>
        </row>
        <row r="2399">
          <cell r="A2399" t="str">
            <v>LYQ-ZQ2973-K0-M</v>
          </cell>
          <cell r="B2399" t="str">
            <v>LYQ-ZQ2973</v>
          </cell>
        </row>
        <row r="2400">
          <cell r="A2400" t="str">
            <v>LYQ-ZQ2973-K0-S</v>
          </cell>
          <cell r="B2400" t="str">
            <v>LYQ-ZQ2973</v>
          </cell>
        </row>
        <row r="2401">
          <cell r="A2401" t="str">
            <v>LYQ-ZQ2973-K0-XL</v>
          </cell>
          <cell r="B2401" t="str">
            <v>LYQ-ZQ2973</v>
          </cell>
        </row>
        <row r="2402">
          <cell r="A2402" t="str">
            <v>LYQ-ZQ2973-KQ-2XL</v>
          </cell>
          <cell r="B2402" t="str">
            <v>LYQ-ZQ2973</v>
          </cell>
        </row>
        <row r="2403">
          <cell r="A2403" t="str">
            <v>LYQ-ZQ2973-KQ-L</v>
          </cell>
          <cell r="B2403" t="str">
            <v>LYQ-ZQ2973</v>
          </cell>
        </row>
        <row r="2404">
          <cell r="A2404" t="str">
            <v>LYQ-ZQ2973-KQ-M</v>
          </cell>
          <cell r="B2404" t="str">
            <v>LYQ-ZQ2973</v>
          </cell>
        </row>
        <row r="2405">
          <cell r="A2405" t="str">
            <v>LYQ-ZQ2973-KQ-M-GM</v>
          </cell>
          <cell r="B2405" t="str">
            <v>LYQ-ZQ2973</v>
          </cell>
        </row>
        <row r="2406">
          <cell r="A2406" t="str">
            <v>LYQ-ZQ2973-KQ-S</v>
          </cell>
          <cell r="B2406" t="str">
            <v>LYQ-ZQ2973</v>
          </cell>
        </row>
        <row r="2407">
          <cell r="A2407" t="str">
            <v>LYQ-ZQ2973-KQ-S-GM</v>
          </cell>
          <cell r="B2407" t="str">
            <v>LYQ-ZQ2973</v>
          </cell>
        </row>
        <row r="2408">
          <cell r="A2408" t="str">
            <v>LYQ-ZQ2973-KQ-XL</v>
          </cell>
          <cell r="B2408" t="str">
            <v>LYQ-ZQ2973</v>
          </cell>
        </row>
        <row r="2409">
          <cell r="A2409" t="str">
            <v>LYQ-ZQ2973-P0-2XL</v>
          </cell>
          <cell r="B2409" t="str">
            <v>LYQ-ZQ2973</v>
          </cell>
        </row>
        <row r="2410">
          <cell r="A2410" t="str">
            <v>LYQ-ZQ2973-P0-L</v>
          </cell>
          <cell r="B2410" t="str">
            <v>LYQ-ZQ2973</v>
          </cell>
        </row>
        <row r="2411">
          <cell r="A2411" t="str">
            <v>LYQ-ZQ2973-P0-M</v>
          </cell>
          <cell r="B2411" t="str">
            <v>LYQ-ZQ2973</v>
          </cell>
        </row>
        <row r="2412">
          <cell r="A2412" t="str">
            <v>LYQ-ZQ2973-P0-S</v>
          </cell>
          <cell r="B2412" t="str">
            <v>LYQ-ZQ2973</v>
          </cell>
        </row>
        <row r="2413">
          <cell r="A2413" t="str">
            <v>LYQ-ZQ2973-P0-XL</v>
          </cell>
          <cell r="B2413" t="str">
            <v>LYQ-ZQ2973</v>
          </cell>
        </row>
        <row r="2414">
          <cell r="A2414" t="str">
            <v>LYQ-ZQ2973-W1-2XL</v>
          </cell>
          <cell r="B2414" t="str">
            <v>LYQ-ZQ2973</v>
          </cell>
        </row>
        <row r="2415">
          <cell r="A2415" t="str">
            <v>LYQ-ZQ2973-W1-L</v>
          </cell>
          <cell r="B2415" t="str">
            <v>LYQ-ZQ2973</v>
          </cell>
        </row>
        <row r="2416">
          <cell r="A2416" t="str">
            <v>LYQ-ZQ2973-W1-M</v>
          </cell>
          <cell r="B2416" t="str">
            <v>LYQ-ZQ2973</v>
          </cell>
        </row>
        <row r="2417">
          <cell r="A2417" t="str">
            <v>LYQ-ZQ2973-W1-M-GM</v>
          </cell>
          <cell r="B2417" t="str">
            <v>LYQ-ZQ2973</v>
          </cell>
        </row>
        <row r="2418">
          <cell r="A2418" t="str">
            <v>LYQ-ZQ2973-W1-S</v>
          </cell>
          <cell r="B2418" t="str">
            <v>LYQ-ZQ2973</v>
          </cell>
        </row>
        <row r="2419">
          <cell r="A2419" t="str">
            <v>LYQ-ZQ2973-W1-S-GM</v>
          </cell>
          <cell r="B2419" t="str">
            <v>LYQ-ZQ2973</v>
          </cell>
        </row>
        <row r="2420">
          <cell r="A2420" t="str">
            <v>LYQ-ZQ2973-W1-XL</v>
          </cell>
          <cell r="B2420" t="str">
            <v>LYQ-ZQ2973</v>
          </cell>
        </row>
        <row r="2421">
          <cell r="A2421" t="str">
            <v>LYQ-ZQ2973-W1-XL-GM</v>
          </cell>
          <cell r="B2421" t="str">
            <v>LYQ-ZQ2973</v>
          </cell>
        </row>
        <row r="2422">
          <cell r="A2422" t="str">
            <v>LYQ-ZQ2973-ZL-2XL</v>
          </cell>
          <cell r="B2422" t="str">
            <v>LYQ-ZQ2973</v>
          </cell>
        </row>
        <row r="2423">
          <cell r="A2423" t="str">
            <v>LYQ-ZQ2973-ZL-L</v>
          </cell>
          <cell r="B2423" t="str">
            <v>LYQ-ZQ2973</v>
          </cell>
        </row>
        <row r="2424">
          <cell r="A2424" t="str">
            <v>LYQ-ZQ2973-ZL-M</v>
          </cell>
          <cell r="B2424" t="str">
            <v>LYQ-ZQ2973</v>
          </cell>
        </row>
        <row r="2425">
          <cell r="A2425" t="str">
            <v>LYQ-ZQ2973-ZL-S</v>
          </cell>
          <cell r="B2425" t="str">
            <v>LYQ-ZQ2973</v>
          </cell>
        </row>
        <row r="2426">
          <cell r="A2426" t="str">
            <v>LYQ-ZQ2973-ZL-S-GM</v>
          </cell>
          <cell r="B2426" t="str">
            <v>LYQ-ZQ2973</v>
          </cell>
        </row>
        <row r="2427">
          <cell r="A2427" t="str">
            <v>LYQ-ZQ2973-ZL-XL</v>
          </cell>
          <cell r="B2427" t="str">
            <v>LYQ-ZQ2973</v>
          </cell>
        </row>
        <row r="2428">
          <cell r="A2428" t="str">
            <v>LYQ-ZQ2W00-K0-L</v>
          </cell>
          <cell r="B2428" t="str">
            <v>LYQ-ZQ2W00</v>
          </cell>
        </row>
        <row r="2429">
          <cell r="A2429" t="str">
            <v>LYQ-ZQ2W00-K0-M</v>
          </cell>
          <cell r="B2429" t="str">
            <v>LYQ-ZQ2W00</v>
          </cell>
        </row>
        <row r="2430">
          <cell r="A2430" t="str">
            <v>LYQ-ZQ2W00-K0-S</v>
          </cell>
          <cell r="B2430" t="str">
            <v>LYQ-ZQ2W00</v>
          </cell>
        </row>
        <row r="2431">
          <cell r="A2431" t="str">
            <v>LYQ-ZQ2W00-K0-XL</v>
          </cell>
          <cell r="B2431" t="str">
            <v>LYQ-ZQ2W00</v>
          </cell>
        </row>
        <row r="2432">
          <cell r="A2432" t="str">
            <v>LYQ-ZQ3550-E0-2X</v>
          </cell>
          <cell r="B2432" t="str">
            <v>LYQ-ZQ3550</v>
          </cell>
        </row>
        <row r="2433">
          <cell r="A2433" t="str">
            <v>LYQ-ZQ3550-E0-3X</v>
          </cell>
          <cell r="B2433" t="str">
            <v>LYQ-ZQ3550</v>
          </cell>
        </row>
        <row r="2434">
          <cell r="A2434" t="str">
            <v>LYQ-ZQ3550-E0-4X</v>
          </cell>
          <cell r="B2434" t="str">
            <v>LYQ-ZQ3550</v>
          </cell>
        </row>
        <row r="2435">
          <cell r="A2435" t="str">
            <v>LYQ-ZQ3550-E0-5X</v>
          </cell>
          <cell r="B2435" t="str">
            <v>LYQ-ZQ3550</v>
          </cell>
        </row>
        <row r="2436">
          <cell r="A2436" t="str">
            <v>LYQ-ZQ3550-E0-L</v>
          </cell>
          <cell r="B2436" t="str">
            <v>LYQ-ZQ3550</v>
          </cell>
        </row>
        <row r="2437">
          <cell r="A2437" t="str">
            <v>LYQ-ZQ3550-E0-M</v>
          </cell>
          <cell r="B2437" t="str">
            <v>LYQ-ZQ3550</v>
          </cell>
        </row>
        <row r="2438">
          <cell r="A2438" t="str">
            <v>LYQ-ZQ3550-E0-S</v>
          </cell>
          <cell r="B2438" t="str">
            <v>LYQ-ZQ3550</v>
          </cell>
        </row>
        <row r="2439">
          <cell r="A2439" t="str">
            <v>LYQ-ZQ3550-E0-XL</v>
          </cell>
          <cell r="B2439" t="str">
            <v>LYQ-ZQ3550</v>
          </cell>
        </row>
        <row r="2440">
          <cell r="A2440" t="str">
            <v>LYQ-ZQ3550-PI-2X</v>
          </cell>
          <cell r="B2440" t="str">
            <v>LYQ-ZQ3550</v>
          </cell>
        </row>
        <row r="2441">
          <cell r="A2441" t="str">
            <v>LYQ-ZQ3550-PI-3X</v>
          </cell>
          <cell r="B2441" t="str">
            <v>LYQ-ZQ3550</v>
          </cell>
        </row>
        <row r="2442">
          <cell r="A2442" t="str">
            <v>LYQ-ZQ3550-PI-4X</v>
          </cell>
          <cell r="B2442" t="str">
            <v>LYQ-ZQ3550</v>
          </cell>
        </row>
        <row r="2443">
          <cell r="A2443" t="str">
            <v>LYQ-ZQ3550-PI-5X</v>
          </cell>
          <cell r="B2443" t="str">
            <v>LYQ-ZQ3550</v>
          </cell>
        </row>
        <row r="2444">
          <cell r="A2444" t="str">
            <v>LYQ-ZQ3550-PI-L</v>
          </cell>
          <cell r="B2444" t="str">
            <v>LYQ-ZQ3550</v>
          </cell>
        </row>
        <row r="2445">
          <cell r="A2445" t="str">
            <v>LYQ-ZQ3550-PI-M</v>
          </cell>
          <cell r="B2445" t="str">
            <v>LYQ-ZQ3550</v>
          </cell>
        </row>
        <row r="2446">
          <cell r="A2446" t="str">
            <v>LYQ-ZQ3550-PI-S</v>
          </cell>
          <cell r="B2446" t="str">
            <v>LYQ-ZQ3550</v>
          </cell>
        </row>
        <row r="2447">
          <cell r="A2447" t="str">
            <v>LYQ-ZQ3550-PI-XL</v>
          </cell>
          <cell r="B2447" t="str">
            <v>LYQ-ZQ3550</v>
          </cell>
        </row>
        <row r="2448">
          <cell r="A2448" t="str">
            <v>LYQ-ZQ4400-P0-L</v>
          </cell>
          <cell r="B2448" t="str">
            <v>LYQ-ZQ4400</v>
          </cell>
        </row>
        <row r="2449">
          <cell r="A2449" t="str">
            <v>LYQ-ZQ4400-P0-XL</v>
          </cell>
          <cell r="B2449" t="str">
            <v>LYQ-ZQ4400</v>
          </cell>
        </row>
        <row r="2450">
          <cell r="A2450" t="str">
            <v>LYQ-ZQ456-E0-L</v>
          </cell>
          <cell r="B2450" t="str">
            <v>LYQ-ZQ456</v>
          </cell>
        </row>
        <row r="2451">
          <cell r="A2451" t="str">
            <v>LYQ-ZQ456-E0-M</v>
          </cell>
          <cell r="B2451" t="str">
            <v>LYQ-ZQ456</v>
          </cell>
        </row>
        <row r="2452">
          <cell r="A2452" t="str">
            <v>LYQ-ZQ456-E0-S</v>
          </cell>
          <cell r="B2452" t="str">
            <v>LYQ-ZQ456</v>
          </cell>
        </row>
        <row r="2453">
          <cell r="A2453" t="str">
            <v>LYQ-ZQ456-E0-XL</v>
          </cell>
          <cell r="B2453" t="str">
            <v>LYQ-ZQ456</v>
          </cell>
        </row>
        <row r="2454">
          <cell r="A2454" t="str">
            <v>LYQ-ZQ4600-G1-M</v>
          </cell>
          <cell r="B2454" t="str">
            <v>LYQ-ZQ4600</v>
          </cell>
        </row>
        <row r="2455">
          <cell r="A2455" t="str">
            <v>LYQ-ZQ4600-G1-S</v>
          </cell>
          <cell r="B2455" t="str">
            <v>LYQ-ZQ4600</v>
          </cell>
        </row>
        <row r="2456">
          <cell r="A2456" t="str">
            <v>LYQ-ZQ6044-B0-L</v>
          </cell>
          <cell r="B2456" t="str">
            <v>LYQ-ZQ6044</v>
          </cell>
        </row>
        <row r="2457">
          <cell r="A2457" t="str">
            <v>LYQ-ZQ6044-B0-M</v>
          </cell>
          <cell r="B2457" t="str">
            <v>LYQ-ZQ6044</v>
          </cell>
        </row>
        <row r="2458">
          <cell r="A2458" t="str">
            <v>LYQ-ZQ6044-B0-S</v>
          </cell>
          <cell r="B2458" t="str">
            <v>LYQ-ZQ6044</v>
          </cell>
        </row>
        <row r="2459">
          <cell r="A2459" t="str">
            <v>LYQ-ZQ6044-B0-XL</v>
          </cell>
          <cell r="B2459" t="str">
            <v>LYQ-ZQ6044</v>
          </cell>
        </row>
        <row r="2460">
          <cell r="A2460" t="str">
            <v>LYQ-ZQ6044-BT-L</v>
          </cell>
          <cell r="B2460" t="str">
            <v>LYQ-ZQ6044</v>
          </cell>
        </row>
        <row r="2461">
          <cell r="A2461" t="str">
            <v>LYQ-ZQ6044-BT-M</v>
          </cell>
          <cell r="B2461" t="str">
            <v>LYQ-ZQ6044</v>
          </cell>
        </row>
        <row r="2462">
          <cell r="A2462" t="str">
            <v>LYQ-ZQ6044-BT-S</v>
          </cell>
          <cell r="B2462" t="str">
            <v>LYQ-ZQ6044</v>
          </cell>
        </row>
        <row r="2463">
          <cell r="A2463" t="str">
            <v>LYQ-ZQ6044-BT-XL</v>
          </cell>
          <cell r="B2463" t="str">
            <v>LYQ-ZQ6044</v>
          </cell>
        </row>
        <row r="2464">
          <cell r="A2464" t="str">
            <v>LYQ-ZQ7900-W0-L</v>
          </cell>
          <cell r="B2464" t="str">
            <v>LYQ-ZQ7900</v>
          </cell>
        </row>
        <row r="2465">
          <cell r="A2465" t="str">
            <v>LYQ-ZQ7900-W0-M</v>
          </cell>
          <cell r="B2465" t="str">
            <v>LYQ-ZQ7900</v>
          </cell>
        </row>
        <row r="2466">
          <cell r="A2466" t="str">
            <v>LYQ-ZQ7900-W0-S</v>
          </cell>
          <cell r="B2466" t="str">
            <v>LYQ-ZQ7900</v>
          </cell>
        </row>
        <row r="2467">
          <cell r="A2467" t="str">
            <v>LYQ-ZQ7900-W0-XL</v>
          </cell>
          <cell r="B2467" t="str">
            <v>LYQ-ZQ7900</v>
          </cell>
        </row>
        <row r="2468">
          <cell r="A2468" t="str">
            <v>LYQ-ZQ7900-W0-XXL</v>
          </cell>
          <cell r="B2468" t="str">
            <v>LYQ-ZQ7900</v>
          </cell>
        </row>
        <row r="2469">
          <cell r="A2469" t="str">
            <v>LYQ-ZQ8190-L0-L</v>
          </cell>
          <cell r="B2469" t="str">
            <v>LYQ-ZQ8190</v>
          </cell>
        </row>
        <row r="2470">
          <cell r="A2470" t="str">
            <v>LYQ-ZQ8190-P0-L</v>
          </cell>
          <cell r="B2470" t="str">
            <v>LYQ-ZQ8190</v>
          </cell>
        </row>
        <row r="2471">
          <cell r="A2471" t="str">
            <v>LYQ-ZQ8190-P0-M</v>
          </cell>
          <cell r="B2471" t="str">
            <v>LYQ-ZQ8190</v>
          </cell>
        </row>
        <row r="2472">
          <cell r="A2472" t="str">
            <v>LYQ-ZQ8190-P0-S</v>
          </cell>
          <cell r="B2472" t="str">
            <v>LYQ-ZQ8190</v>
          </cell>
        </row>
        <row r="2473">
          <cell r="A2473" t="str">
            <v>LYQ-ZQ8190-P0-XL</v>
          </cell>
          <cell r="B2473" t="str">
            <v>LYQ-ZQ8190</v>
          </cell>
        </row>
        <row r="2474">
          <cell r="A2474" t="str">
            <v>LYQ-ZQ8190-WB-L</v>
          </cell>
          <cell r="B2474" t="str">
            <v>LYQ-ZQ8190</v>
          </cell>
        </row>
        <row r="2475">
          <cell r="A2475" t="str">
            <v>LYQ-ZQ8190-WB-M</v>
          </cell>
          <cell r="B2475" t="str">
            <v>LYQ-ZQ8190</v>
          </cell>
        </row>
        <row r="2476">
          <cell r="A2476" t="str">
            <v>LYQ-ZQ8190-WB-S</v>
          </cell>
          <cell r="B2476" t="str">
            <v>LYQ-ZQ8190</v>
          </cell>
        </row>
        <row r="2477">
          <cell r="A2477" t="str">
            <v>LYQ-ZQ8190-WB-XL</v>
          </cell>
          <cell r="B2477" t="str">
            <v>LYQ-ZQ8190</v>
          </cell>
        </row>
        <row r="2478">
          <cell r="A2478" t="str">
            <v>LYQ-ZQ8190-ZL-L</v>
          </cell>
          <cell r="B2478" t="str">
            <v>LYQ-ZQ8190</v>
          </cell>
        </row>
        <row r="2479">
          <cell r="A2479" t="str">
            <v>LYQ-ZQ8190-ZL-M</v>
          </cell>
          <cell r="B2479" t="str">
            <v>LYQ-ZQ8190</v>
          </cell>
        </row>
        <row r="2480">
          <cell r="A2480" t="str">
            <v>LYQ-ZQ8190-ZL-S</v>
          </cell>
          <cell r="B2480" t="str">
            <v>LYQ-ZQ8190</v>
          </cell>
        </row>
        <row r="2481">
          <cell r="A2481" t="str">
            <v>LYQ-ZQ8190-ZL-XL</v>
          </cell>
          <cell r="B2481" t="str">
            <v>LYQ-ZQ8190</v>
          </cell>
        </row>
        <row r="2482">
          <cell r="A2482" t="str">
            <v>LYQ-ZQ8200-FB-L</v>
          </cell>
          <cell r="B2482" t="str">
            <v>LYQ-ZQ8200</v>
          </cell>
        </row>
        <row r="2483">
          <cell r="A2483" t="str">
            <v>LYQ-ZQ8200-FB-M</v>
          </cell>
          <cell r="B2483" t="str">
            <v>LYQ-ZQ8200</v>
          </cell>
        </row>
        <row r="2484">
          <cell r="A2484" t="str">
            <v>LYQ-ZQ8200-FB-S</v>
          </cell>
          <cell r="B2484" t="str">
            <v>LYQ-ZQ8200</v>
          </cell>
        </row>
        <row r="2485">
          <cell r="A2485" t="str">
            <v>LYQ-ZQ8200-FB-XL</v>
          </cell>
          <cell r="B2485" t="str">
            <v>LYQ-ZQ8200</v>
          </cell>
        </row>
        <row r="2486">
          <cell r="A2486" t="str">
            <v>LYQ-ZQ8200-K0-L</v>
          </cell>
          <cell r="B2486" t="str">
            <v>LYQ-ZQ8200</v>
          </cell>
        </row>
        <row r="2487">
          <cell r="A2487" t="str">
            <v>LYQ-ZQ8200-K0-M</v>
          </cell>
          <cell r="B2487" t="str">
            <v>LYQ-ZQ8200</v>
          </cell>
        </row>
        <row r="2488">
          <cell r="A2488" t="str">
            <v>LYQ-ZQ8200-K0-S</v>
          </cell>
          <cell r="B2488" t="str">
            <v>LYQ-ZQ8200</v>
          </cell>
        </row>
        <row r="2489">
          <cell r="A2489" t="str">
            <v>LYQ-ZQ8200-K0-XL</v>
          </cell>
          <cell r="B2489" t="str">
            <v>LYQ-ZQ8200</v>
          </cell>
        </row>
        <row r="2490">
          <cell r="A2490" t="str">
            <v>LYQ-ZQ8200-P0-L</v>
          </cell>
          <cell r="B2490" t="str">
            <v>LYQ-ZQ8200</v>
          </cell>
        </row>
        <row r="2491">
          <cell r="A2491" t="str">
            <v>LYQ-ZQ8200-P0-M</v>
          </cell>
          <cell r="B2491" t="str">
            <v>LYQ-ZQ8200</v>
          </cell>
        </row>
        <row r="2492">
          <cell r="A2492" t="str">
            <v>LYQ-ZQ8200-P0-S</v>
          </cell>
          <cell r="B2492" t="str">
            <v>LYQ-ZQ8200</v>
          </cell>
        </row>
        <row r="2493">
          <cell r="A2493" t="str">
            <v>LYQ-ZQ8200-P0-XL</v>
          </cell>
          <cell r="B2493" t="str">
            <v>LYQ-ZQ8200</v>
          </cell>
        </row>
        <row r="2494">
          <cell r="A2494" t="str">
            <v>LYQ-ZQ9114-ZL-L</v>
          </cell>
          <cell r="B2494" t="str">
            <v>LYQ-ZQC910</v>
          </cell>
        </row>
        <row r="2495">
          <cell r="A2495" t="str">
            <v>LYQ-ZQC910-K0-L</v>
          </cell>
          <cell r="B2495" t="str">
            <v>LYQ-ZQC910</v>
          </cell>
        </row>
        <row r="2496">
          <cell r="A2496" t="str">
            <v>LYQ-ZQC910-K0-M</v>
          </cell>
          <cell r="B2496" t="str">
            <v>LYQ-ZQC910</v>
          </cell>
        </row>
        <row r="2497">
          <cell r="A2497" t="str">
            <v>LYQ-ZQC910-K0-S</v>
          </cell>
          <cell r="B2497" t="str">
            <v>LYQ-ZQC910</v>
          </cell>
        </row>
        <row r="2498">
          <cell r="A2498" t="str">
            <v>LYQ-ZQC910-K0-XL</v>
          </cell>
          <cell r="B2498" t="str">
            <v>LYQ-ZQC910</v>
          </cell>
        </row>
        <row r="2499">
          <cell r="A2499" t="str">
            <v>LYQ-ZQD270-E0-L</v>
          </cell>
          <cell r="B2499" t="str">
            <v>LYQ-ZQD270</v>
          </cell>
        </row>
        <row r="2500">
          <cell r="A2500" t="str">
            <v>LYQ-ZQD270-E0-M</v>
          </cell>
          <cell r="B2500" t="str">
            <v>LYQ-ZQD270</v>
          </cell>
        </row>
        <row r="2501">
          <cell r="A2501" t="str">
            <v>LYQ-ZQD270-E0-S</v>
          </cell>
          <cell r="B2501" t="str">
            <v>LYQ-ZQD270</v>
          </cell>
        </row>
        <row r="2502">
          <cell r="A2502" t="str">
            <v>LYQ-ZQD270-E0-S-GM</v>
          </cell>
          <cell r="B2502" t="str">
            <v>LYQ-ZQD270</v>
          </cell>
        </row>
        <row r="2503">
          <cell r="A2503" t="str">
            <v>LYQ-ZQD270-E0-XL</v>
          </cell>
          <cell r="B2503" t="str">
            <v>LYQ-ZQD270</v>
          </cell>
        </row>
        <row r="2504">
          <cell r="A2504" t="str">
            <v>LYQ-ZQD270-E0-XL-GM</v>
          </cell>
          <cell r="B2504" t="str">
            <v>LYQ-ZQD270</v>
          </cell>
        </row>
        <row r="2505">
          <cell r="A2505" t="str">
            <v>LYQ-ZQD270-G7-L</v>
          </cell>
          <cell r="B2505" t="str">
            <v>LYQ-ZQD270</v>
          </cell>
        </row>
        <row r="2506">
          <cell r="A2506" t="str">
            <v>LYQ-ZQD270-G7-L-GM</v>
          </cell>
          <cell r="B2506" t="str">
            <v>LYQ-ZQD270</v>
          </cell>
        </row>
        <row r="2507">
          <cell r="A2507" t="str">
            <v>LYQ-ZQD270-G7-M</v>
          </cell>
          <cell r="B2507" t="str">
            <v>LYQ-ZQD270</v>
          </cell>
        </row>
        <row r="2508">
          <cell r="A2508" t="str">
            <v>LYQ-ZQD270-G7-S</v>
          </cell>
          <cell r="B2508" t="str">
            <v>LYQ-ZQD270</v>
          </cell>
        </row>
        <row r="2509">
          <cell r="A2509" t="str">
            <v>LYQ-ZQD270-G7-XL</v>
          </cell>
          <cell r="B2509" t="str">
            <v>LYQ-ZQD270</v>
          </cell>
        </row>
        <row r="2510">
          <cell r="A2510" t="str">
            <v>LYQ-ZQD270-K0-L</v>
          </cell>
          <cell r="B2510" t="str">
            <v>LYQ-ZQD270</v>
          </cell>
        </row>
        <row r="2511">
          <cell r="A2511" t="str">
            <v>LYQ-ZQD270-K0-M</v>
          </cell>
          <cell r="B2511" t="str">
            <v>LYQ-ZQD270</v>
          </cell>
        </row>
        <row r="2512">
          <cell r="A2512" t="str">
            <v>LYQ-ZQD270-K0-S</v>
          </cell>
          <cell r="B2512" t="str">
            <v>LYQ-ZQD270</v>
          </cell>
        </row>
        <row r="2513">
          <cell r="A2513" t="str">
            <v>LYQ-ZQD270-K0-XL</v>
          </cell>
          <cell r="B2513" t="str">
            <v>LYQ-ZQD270</v>
          </cell>
        </row>
        <row r="2514">
          <cell r="A2514" t="str">
            <v>LYQ-ZQD270-KQ-L</v>
          </cell>
          <cell r="B2514" t="str">
            <v>LYQ-ZQD270</v>
          </cell>
        </row>
        <row r="2515">
          <cell r="A2515" t="str">
            <v>LYQ-ZQD270-KQ-M</v>
          </cell>
          <cell r="B2515" t="str">
            <v>LYQ-ZQD270</v>
          </cell>
        </row>
        <row r="2516">
          <cell r="A2516" t="str">
            <v>LYQ-ZQD270-KQ-S</v>
          </cell>
          <cell r="B2516" t="str">
            <v>LYQ-ZQD270</v>
          </cell>
        </row>
        <row r="2517">
          <cell r="A2517" t="str">
            <v>LYQ-ZQD270-KQ-XL</v>
          </cell>
          <cell r="B2517" t="str">
            <v>LYQ-ZQD270</v>
          </cell>
        </row>
        <row r="2518">
          <cell r="A2518" t="str">
            <v>LYQ-ZQD270-P0-L</v>
          </cell>
          <cell r="B2518" t="str">
            <v>LYQ-ZQD270</v>
          </cell>
        </row>
        <row r="2519">
          <cell r="A2519" t="str">
            <v>LYQ-ZQD270-P0-M</v>
          </cell>
          <cell r="B2519" t="str">
            <v>LYQ-ZQD270</v>
          </cell>
        </row>
        <row r="2520">
          <cell r="A2520" t="str">
            <v>LYQ-ZQD270-P0-S</v>
          </cell>
          <cell r="B2520" t="str">
            <v>LYQ-ZQD270</v>
          </cell>
        </row>
        <row r="2521">
          <cell r="A2521" t="str">
            <v>LYQ-ZQD270-P0-XL</v>
          </cell>
          <cell r="B2521" t="str">
            <v>LYQ-ZQD270</v>
          </cell>
        </row>
        <row r="2522">
          <cell r="A2522" t="str">
            <v>LYQ-ZQD270-W0-L</v>
          </cell>
          <cell r="B2522" t="str">
            <v>LYQ-ZQD270</v>
          </cell>
        </row>
        <row r="2523">
          <cell r="A2523" t="str">
            <v>LYQ-ZQD270-W0-M</v>
          </cell>
          <cell r="B2523" t="str">
            <v>LYQ-ZQD270</v>
          </cell>
        </row>
        <row r="2524">
          <cell r="A2524" t="str">
            <v>LYQ-ZQD270-W0-S</v>
          </cell>
          <cell r="B2524" t="str">
            <v>LYQ-ZQD270</v>
          </cell>
        </row>
        <row r="2525">
          <cell r="A2525" t="str">
            <v>LYQ-ZQD270-W0-XL</v>
          </cell>
          <cell r="B2525" t="str">
            <v>LYQ-ZQD270</v>
          </cell>
        </row>
        <row r="2526">
          <cell r="A2526" t="str">
            <v>LYQ-ZQD390-B0-L</v>
          </cell>
          <cell r="B2526" t="str">
            <v>LYQ-ZQD390</v>
          </cell>
        </row>
        <row r="2527">
          <cell r="A2527" t="str">
            <v>LYQ-ZQD390-B0-M</v>
          </cell>
          <cell r="B2527" t="str">
            <v>LYQ-ZQD390</v>
          </cell>
        </row>
        <row r="2528">
          <cell r="A2528" t="str">
            <v>LYQ-ZQD390-B0-S</v>
          </cell>
          <cell r="B2528" t="str">
            <v>LYQ-ZQD390</v>
          </cell>
        </row>
        <row r="2529">
          <cell r="A2529" t="str">
            <v>LYQ-ZQD390-B0-XL</v>
          </cell>
          <cell r="B2529" t="str">
            <v>LYQ-ZQD390</v>
          </cell>
        </row>
        <row r="2530">
          <cell r="A2530" t="str">
            <v>LYQ-ZQD390-BE-L</v>
          </cell>
          <cell r="B2530" t="str">
            <v>LYQ-ZQD390</v>
          </cell>
        </row>
        <row r="2531">
          <cell r="A2531" t="str">
            <v>LYQ-ZQD390-BE-M</v>
          </cell>
          <cell r="B2531" t="str">
            <v>LYQ-ZQD390</v>
          </cell>
        </row>
        <row r="2532">
          <cell r="A2532" t="str">
            <v>LYQ-ZQD390-BE-S</v>
          </cell>
          <cell r="B2532" t="str">
            <v>LYQ-ZQD390</v>
          </cell>
        </row>
        <row r="2533">
          <cell r="A2533" t="str">
            <v>LYQ-ZQD390-BE-XL</v>
          </cell>
          <cell r="B2533" t="str">
            <v>LYQ-ZQD390</v>
          </cell>
        </row>
        <row r="2534">
          <cell r="A2534" t="str">
            <v>LYQ-ZQD390-BE-XL-GM</v>
          </cell>
          <cell r="B2534" t="str">
            <v>LYQ-ZQD390</v>
          </cell>
        </row>
        <row r="2535">
          <cell r="A2535" t="str">
            <v>LYQ-ZQD390-E0-L</v>
          </cell>
          <cell r="B2535" t="str">
            <v>LYQ-ZQD390</v>
          </cell>
        </row>
        <row r="2536">
          <cell r="A2536" t="str">
            <v>LYQ-ZQD390-E0-M</v>
          </cell>
          <cell r="B2536" t="str">
            <v>LYQ-ZQD390</v>
          </cell>
        </row>
        <row r="2537">
          <cell r="A2537" t="str">
            <v>LYQ-ZQD390-E0-S</v>
          </cell>
          <cell r="B2537" t="str">
            <v>LYQ-ZQD390</v>
          </cell>
        </row>
        <row r="2538">
          <cell r="A2538" t="str">
            <v>LYQ-ZQD390-E0-XL</v>
          </cell>
          <cell r="B2538" t="str">
            <v>LYQ-ZQD390</v>
          </cell>
        </row>
        <row r="2539">
          <cell r="A2539" t="str">
            <v>LYQ-ZQD390-E0-XL-GM</v>
          </cell>
          <cell r="B2539" t="str">
            <v>LYQ-ZQD390</v>
          </cell>
        </row>
        <row r="2540">
          <cell r="A2540" t="str">
            <v>LYQ-ZQD390-G0-L</v>
          </cell>
          <cell r="B2540" t="str">
            <v>LYQ-ZQD390</v>
          </cell>
        </row>
        <row r="2541">
          <cell r="A2541" t="str">
            <v>LYQ-ZQD390-G0-M</v>
          </cell>
          <cell r="B2541" t="str">
            <v>LYQ-ZQD390</v>
          </cell>
        </row>
        <row r="2542">
          <cell r="A2542" t="str">
            <v>LYQ-ZQD390-G0-S</v>
          </cell>
          <cell r="B2542" t="str">
            <v>LYQ-ZQD390</v>
          </cell>
        </row>
        <row r="2543">
          <cell r="A2543" t="str">
            <v>LYQ-ZQD390-G0-XL</v>
          </cell>
          <cell r="B2543" t="str">
            <v>LYQ-ZQD390</v>
          </cell>
        </row>
        <row r="2544">
          <cell r="A2544" t="str">
            <v>LYQ-ZQD390-K0-L</v>
          </cell>
          <cell r="B2544" t="str">
            <v>LYQ-ZQD390</v>
          </cell>
        </row>
        <row r="2545">
          <cell r="A2545" t="str">
            <v>LYQ-ZQD390-K0-M</v>
          </cell>
          <cell r="B2545" t="str">
            <v>LYQ-ZQD390</v>
          </cell>
        </row>
        <row r="2546">
          <cell r="A2546" t="str">
            <v>LYQ-ZQD390-K0-S</v>
          </cell>
          <cell r="B2546" t="str">
            <v>LYQ-ZQD390</v>
          </cell>
        </row>
        <row r="2547">
          <cell r="A2547" t="str">
            <v>LYQ-ZQD390-K0-XL</v>
          </cell>
          <cell r="B2547" t="str">
            <v>LYQ-ZQD390</v>
          </cell>
        </row>
        <row r="2548">
          <cell r="A2548" t="str">
            <v>LYQ-ZQD390-PI-L</v>
          </cell>
          <cell r="B2548" t="str">
            <v>LYQ-ZQD390</v>
          </cell>
        </row>
        <row r="2549">
          <cell r="A2549" t="str">
            <v>LYQ-ZQD390-PI-M</v>
          </cell>
          <cell r="B2549" t="str">
            <v>LYQ-ZQD390</v>
          </cell>
        </row>
        <row r="2550">
          <cell r="A2550" t="str">
            <v>LYQ-ZQD390-PI-M-GM</v>
          </cell>
          <cell r="B2550" t="str">
            <v>LYQ-ZQD390</v>
          </cell>
        </row>
        <row r="2551">
          <cell r="A2551" t="str">
            <v>LYQ-ZQD390-PI-S</v>
          </cell>
          <cell r="B2551" t="str">
            <v>LYQ-ZQD390</v>
          </cell>
        </row>
        <row r="2552">
          <cell r="A2552" t="str">
            <v>LYQ-ZQD390-PI-XL</v>
          </cell>
          <cell r="B2552" t="str">
            <v>LYQ-ZQD390</v>
          </cell>
        </row>
        <row r="2553">
          <cell r="A2553" t="str">
            <v>LYQ-ZQD390-PI-XL-GM</v>
          </cell>
          <cell r="B2553" t="str">
            <v>LYQ-ZQD390</v>
          </cell>
        </row>
        <row r="2554">
          <cell r="A2554" t="str">
            <v>LYQ-ZQD390-W0-L</v>
          </cell>
          <cell r="B2554" t="str">
            <v>LYQ-ZQD390</v>
          </cell>
        </row>
        <row r="2555">
          <cell r="A2555" t="str">
            <v>LYQ-ZQD390-W0-M</v>
          </cell>
          <cell r="B2555" t="str">
            <v>LYQ-ZQD390</v>
          </cell>
        </row>
        <row r="2556">
          <cell r="A2556" t="str">
            <v>LYQ-ZQD390-W0-S</v>
          </cell>
          <cell r="B2556" t="str">
            <v>LYQ-ZQD390</v>
          </cell>
        </row>
        <row r="2557">
          <cell r="A2557" t="str">
            <v>LYQ-ZQD390-W0-XL</v>
          </cell>
          <cell r="B2557" t="str">
            <v>LYQ-ZQD390</v>
          </cell>
        </row>
        <row r="2558">
          <cell r="A2558" t="str">
            <v>LYQ-ZQD390-W0-XL-GM</v>
          </cell>
          <cell r="B2558" t="str">
            <v>LYQ-ZQD390</v>
          </cell>
        </row>
        <row r="2559">
          <cell r="A2559" t="str">
            <v>LYQ-ZQLC00-K0-L</v>
          </cell>
          <cell r="B2559" t="str">
            <v>LYQ-ZQLC00</v>
          </cell>
        </row>
        <row r="2560">
          <cell r="A2560" t="str">
            <v>LYQ-ZQLC00-K0-M</v>
          </cell>
          <cell r="B2560" t="str">
            <v>LYQ-ZQLC00</v>
          </cell>
        </row>
        <row r="2561">
          <cell r="A2561" t="str">
            <v>LYQ-ZQLC00-K0-S</v>
          </cell>
          <cell r="B2561" t="str">
            <v>LYQ-ZQLC00</v>
          </cell>
        </row>
        <row r="2562">
          <cell r="A2562" t="str">
            <v>LYQ-ZQLC00-K0-XL</v>
          </cell>
          <cell r="B2562" t="str">
            <v>LYQ-ZQLC00</v>
          </cell>
        </row>
        <row r="2563">
          <cell r="A2563" t="str">
            <v>LYQ-ZQLP01-P0-L</v>
          </cell>
          <cell r="B2563" t="str">
            <v>LYQ-ZQLP01</v>
          </cell>
        </row>
        <row r="2564">
          <cell r="A2564" t="str">
            <v>LYQ-ZQLP01-P0-M</v>
          </cell>
          <cell r="B2564" t="str">
            <v>LYQ-ZQLP01</v>
          </cell>
        </row>
        <row r="2565">
          <cell r="A2565" t="str">
            <v>LYQ-ZQLP01-P0-S</v>
          </cell>
          <cell r="B2565" t="str">
            <v>LYQ-ZQLP01</v>
          </cell>
        </row>
        <row r="2566">
          <cell r="A2566" t="str">
            <v>LYQ-ZQLP01-P0-XL</v>
          </cell>
          <cell r="B2566" t="str">
            <v>LYQ-ZQLP01</v>
          </cell>
        </row>
        <row r="2567">
          <cell r="A2567" t="str">
            <v>LYQ-ZQMB170005-K0-2X</v>
          </cell>
          <cell r="B2567" t="str">
            <v>LYQ-ZQMB170005</v>
          </cell>
        </row>
        <row r="2568">
          <cell r="A2568" t="str">
            <v>LYQ-ZQMB170005-K0-3X</v>
          </cell>
          <cell r="B2568" t="str">
            <v>LYQ-ZQMB170005</v>
          </cell>
        </row>
        <row r="2569">
          <cell r="A2569" t="str">
            <v>LYQ-ZQMB170005-K0-XL</v>
          </cell>
          <cell r="B2569" t="str">
            <v>LYQ-ZQMB170005</v>
          </cell>
        </row>
        <row r="2570">
          <cell r="A2570" t="str">
            <v>LYQ-ZQMB3811-E0-2X</v>
          </cell>
          <cell r="B2570" t="str">
            <v>LYQ-ZQMB3811</v>
          </cell>
        </row>
        <row r="2571">
          <cell r="A2571" t="str">
            <v>LYQ-ZQMB3811-E0-3X</v>
          </cell>
          <cell r="B2571" t="str">
            <v>LYQ-ZQMB3811</v>
          </cell>
        </row>
        <row r="2572">
          <cell r="A2572" t="str">
            <v>LYQ-ZQMB3811-E0-4X</v>
          </cell>
          <cell r="B2572" t="str">
            <v>LYQ-ZQMB3811</v>
          </cell>
        </row>
        <row r="2573">
          <cell r="A2573" t="str">
            <v>LYQ-ZQMB3811-E0-5X</v>
          </cell>
          <cell r="B2573" t="str">
            <v>LYQ-ZQMB3811</v>
          </cell>
        </row>
        <row r="2574">
          <cell r="A2574" t="str">
            <v>LYQ-ZQMB3811-E0-6X</v>
          </cell>
          <cell r="B2574" t="str">
            <v>LYQ-ZQMB3811</v>
          </cell>
        </row>
        <row r="2575">
          <cell r="A2575" t="str">
            <v>LYQ-ZQMB3811-E0-XL</v>
          </cell>
          <cell r="B2575" t="str">
            <v>LYQ-ZQMB3811</v>
          </cell>
        </row>
        <row r="2576">
          <cell r="A2576" t="str">
            <v>LYQ-ZQMB3811-K0-2X</v>
          </cell>
          <cell r="B2576" t="str">
            <v>LYQ-ZQMB3811</v>
          </cell>
        </row>
        <row r="2577">
          <cell r="A2577" t="str">
            <v>LYQ-ZQMB3811-K0-3X</v>
          </cell>
          <cell r="B2577" t="str">
            <v>LYQ-ZQMB3811</v>
          </cell>
        </row>
        <row r="2578">
          <cell r="A2578" t="str">
            <v>LYQ-ZQMB3811-K0-4X</v>
          </cell>
          <cell r="B2578" t="str">
            <v>LYQ-ZQMB3811</v>
          </cell>
        </row>
        <row r="2579">
          <cell r="A2579" t="str">
            <v>LYQ-ZQMB3811-K0-5X</v>
          </cell>
          <cell r="B2579" t="str">
            <v>LYQ-ZQMB3811</v>
          </cell>
        </row>
        <row r="2580">
          <cell r="A2580" t="str">
            <v>LYQ-ZQMB3811-K0-6X</v>
          </cell>
          <cell r="B2580" t="str">
            <v>LYQ-ZQMB3811</v>
          </cell>
        </row>
        <row r="2581">
          <cell r="A2581" t="str">
            <v>LYQ-ZQMB3811-K0-XL</v>
          </cell>
          <cell r="B2581" t="str">
            <v>LYQ-ZQMB3811</v>
          </cell>
        </row>
        <row r="2582">
          <cell r="A2582" t="str">
            <v>LYQ-ZQPC01-B0-L</v>
          </cell>
          <cell r="B2582" t="str">
            <v>LYQ-ZQPC01</v>
          </cell>
        </row>
        <row r="2583">
          <cell r="A2583" t="str">
            <v>LYQ-ZQPC01-B0-M</v>
          </cell>
          <cell r="B2583" t="str">
            <v>LYQ-ZQPC01</v>
          </cell>
        </row>
        <row r="2584">
          <cell r="A2584" t="str">
            <v>LYQ-ZQPC01-B0-S</v>
          </cell>
          <cell r="B2584" t="str">
            <v>LYQ-ZQPC01</v>
          </cell>
        </row>
        <row r="2585">
          <cell r="A2585" t="str">
            <v>LYQ-ZQPC01-B0-XL</v>
          </cell>
          <cell r="B2585" t="str">
            <v>LYQ-ZQPC01</v>
          </cell>
        </row>
        <row r="2586">
          <cell r="A2586" t="str">
            <v>LYQ-ZQPC01-B0-XXL</v>
          </cell>
          <cell r="B2586" t="str">
            <v>LYQ-ZQPC01</v>
          </cell>
        </row>
        <row r="2587">
          <cell r="A2587" t="str">
            <v>LYQ-ZQPC01-BD-L</v>
          </cell>
          <cell r="B2587" t="str">
            <v>LYQ-ZQPC01</v>
          </cell>
        </row>
        <row r="2588">
          <cell r="A2588" t="str">
            <v>LYQ-ZQPC01-BD-M</v>
          </cell>
          <cell r="B2588" t="str">
            <v>LYQ-ZQPC01</v>
          </cell>
        </row>
        <row r="2589">
          <cell r="A2589" t="str">
            <v>LYQ-ZQPC01-BD-S</v>
          </cell>
          <cell r="B2589" t="str">
            <v>LYQ-ZQPC01</v>
          </cell>
        </row>
        <row r="2590">
          <cell r="A2590" t="str">
            <v>LYQ-ZQPC01-BD-XL</v>
          </cell>
          <cell r="B2590" t="str">
            <v>LYQ-ZQPC01</v>
          </cell>
        </row>
        <row r="2591">
          <cell r="A2591" t="str">
            <v>LYQ-ZQPC01-BD-XXL</v>
          </cell>
          <cell r="B2591" t="str">
            <v>LYQ-ZQPC01</v>
          </cell>
        </row>
        <row r="2592">
          <cell r="A2592" t="str">
            <v>LYQ-ZQPC01-E0-L</v>
          </cell>
          <cell r="B2592" t="str">
            <v>LYQ-ZQPC01</v>
          </cell>
        </row>
        <row r="2593">
          <cell r="A2593" t="str">
            <v>LYQ-ZQPC01-E0-M</v>
          </cell>
          <cell r="B2593" t="str">
            <v>LYQ-ZQPC01</v>
          </cell>
        </row>
        <row r="2594">
          <cell r="A2594" t="str">
            <v>LYQ-ZQPC01-E0-S</v>
          </cell>
          <cell r="B2594" t="str">
            <v>LYQ-ZQPC01</v>
          </cell>
        </row>
        <row r="2595">
          <cell r="A2595" t="str">
            <v>LYQ-ZQPC01-E0-XL</v>
          </cell>
          <cell r="B2595" t="str">
            <v>LYQ-ZQPC01</v>
          </cell>
        </row>
        <row r="2596">
          <cell r="A2596" t="str">
            <v>LYQ-ZQPC01-E0-XXL</v>
          </cell>
          <cell r="B2596" t="str">
            <v>LYQ-ZQPC01</v>
          </cell>
        </row>
        <row r="2597">
          <cell r="A2597" t="str">
            <v>LYQ-ZQPC01-P0-L</v>
          </cell>
          <cell r="B2597" t="str">
            <v>LYQ-ZQPC01</v>
          </cell>
        </row>
        <row r="2598">
          <cell r="A2598" t="str">
            <v>LYQ-ZQPC01-P0-M</v>
          </cell>
          <cell r="B2598" t="str">
            <v>LYQ-ZQPC01</v>
          </cell>
        </row>
        <row r="2599">
          <cell r="A2599" t="str">
            <v>LYQ-ZQPC01-P0-S</v>
          </cell>
          <cell r="B2599" t="str">
            <v>LYQ-ZQPC01</v>
          </cell>
        </row>
        <row r="2600">
          <cell r="A2600" t="str">
            <v>LYQ-ZQPC01-P0-XL</v>
          </cell>
          <cell r="B2600" t="str">
            <v>LYQ-ZQPC01</v>
          </cell>
        </row>
        <row r="2601">
          <cell r="A2601" t="str">
            <v>LYQ-ZQPC01-P0-XXL</v>
          </cell>
          <cell r="B2601" t="str">
            <v>LYQ-ZQPC01</v>
          </cell>
        </row>
        <row r="2602">
          <cell r="A2602" t="str">
            <v>LYQ-ZQPC01-ZL-L</v>
          </cell>
          <cell r="B2602" t="str">
            <v>LYQ-ZQPC01</v>
          </cell>
        </row>
        <row r="2603">
          <cell r="A2603" t="str">
            <v>LYQ-ZQPC01-ZL-M</v>
          </cell>
          <cell r="B2603" t="str">
            <v>LYQ-ZQPC01</v>
          </cell>
        </row>
        <row r="2604">
          <cell r="A2604" t="str">
            <v>LYQ-ZQPC01-ZL-S</v>
          </cell>
          <cell r="B2604" t="str">
            <v>LYQ-ZQPC01</v>
          </cell>
        </row>
        <row r="2605">
          <cell r="A2605" t="str">
            <v>LYQ-ZQPC01-ZL-XL</v>
          </cell>
          <cell r="B2605" t="str">
            <v>LYQ-ZQPC01</v>
          </cell>
        </row>
        <row r="2606">
          <cell r="A2606" t="str">
            <v>LYQ-ZQPC01-ZL-XXL</v>
          </cell>
          <cell r="B2606" t="str">
            <v>LYQ-ZQPC01</v>
          </cell>
        </row>
        <row r="2607">
          <cell r="A2607" t="str">
            <v>LYQ-ZQS1741-G7-L</v>
          </cell>
          <cell r="B2607" t="str">
            <v>LYQ-ZQS1741</v>
          </cell>
        </row>
        <row r="2608">
          <cell r="A2608" t="str">
            <v>LYQ-ZQS1741-G7-M</v>
          </cell>
          <cell r="B2608" t="str">
            <v>LYQ-ZQS1741</v>
          </cell>
        </row>
        <row r="2609">
          <cell r="A2609" t="str">
            <v>LYQ-ZQS1741-G7-S</v>
          </cell>
          <cell r="B2609" t="str">
            <v>LYQ-ZQS1741</v>
          </cell>
        </row>
        <row r="2610">
          <cell r="A2610" t="str">
            <v>LYQ-ZQS1741-G7-XL</v>
          </cell>
          <cell r="B2610" t="str">
            <v>LYQ-ZQS1741</v>
          </cell>
        </row>
        <row r="2611">
          <cell r="A2611" t="str">
            <v>LYQ-ZQS1741-K0-L</v>
          </cell>
          <cell r="B2611" t="str">
            <v>LYQ-ZQS1741</v>
          </cell>
        </row>
        <row r="2612">
          <cell r="A2612" t="str">
            <v>LYQ-ZQS1741-K0-M</v>
          </cell>
          <cell r="B2612" t="str">
            <v>LYQ-ZQS1741</v>
          </cell>
        </row>
        <row r="2613">
          <cell r="A2613" t="str">
            <v>LYQ-ZQS1741-K0-S</v>
          </cell>
          <cell r="B2613" t="str">
            <v>LYQ-ZQS1741</v>
          </cell>
        </row>
        <row r="2614">
          <cell r="A2614" t="str">
            <v>LYQ-ZQS1741-K0-XL</v>
          </cell>
          <cell r="B2614" t="str">
            <v>LYQ-ZQS1741</v>
          </cell>
        </row>
        <row r="2615">
          <cell r="A2615" t="str">
            <v>LYQ-ZQS1741-W0-L</v>
          </cell>
          <cell r="B2615" t="str">
            <v>LYQ-ZQS1741</v>
          </cell>
        </row>
        <row r="2616">
          <cell r="A2616" t="str">
            <v>LYQ-ZQS1741-W0-M</v>
          </cell>
          <cell r="B2616" t="str">
            <v>LYQ-ZQS1741</v>
          </cell>
        </row>
        <row r="2617">
          <cell r="A2617" t="str">
            <v>LYQ-ZQS1741-W0-S</v>
          </cell>
          <cell r="B2617" t="str">
            <v>LYQ-ZQS1741</v>
          </cell>
        </row>
        <row r="2618">
          <cell r="A2618" t="str">
            <v>LYQ-ZQS1741-W0-XL</v>
          </cell>
          <cell r="B2618" t="str">
            <v>LYQ-ZQS1741</v>
          </cell>
        </row>
        <row r="2619">
          <cell r="A2619" t="str">
            <v>LYQ-ZQTN2611-BD-2X</v>
          </cell>
          <cell r="B2619" t="str">
            <v>LYQ-ZQTN2611</v>
          </cell>
        </row>
        <row r="2620">
          <cell r="A2620" t="str">
            <v>LYQ-ZQTN2611-BD-3X</v>
          </cell>
          <cell r="B2620" t="str">
            <v>LYQ-ZQTN2611</v>
          </cell>
        </row>
        <row r="2621">
          <cell r="A2621" t="str">
            <v>LYQ-ZQTN2611-BD-4X</v>
          </cell>
          <cell r="B2621" t="str">
            <v>LYQ-ZQTN2611</v>
          </cell>
        </row>
        <row r="2622">
          <cell r="A2622" t="str">
            <v>LYQ-ZQTN2611-BD-5X</v>
          </cell>
          <cell r="B2622" t="str">
            <v>LYQ-ZQTN2611</v>
          </cell>
        </row>
        <row r="2623">
          <cell r="A2623" t="str">
            <v>LYQ-ZQTN2611-PI-2X</v>
          </cell>
          <cell r="B2623" t="str">
            <v>LYQ-ZQTN2611</v>
          </cell>
        </row>
        <row r="2624">
          <cell r="A2624" t="str">
            <v>LYQ-ZQTN2611-PI-3X</v>
          </cell>
          <cell r="B2624" t="str">
            <v>LYQ-ZQTN2611</v>
          </cell>
        </row>
        <row r="2625">
          <cell r="A2625" t="str">
            <v>LYQ-ZQTN2611-PI-4X</v>
          </cell>
          <cell r="B2625" t="str">
            <v>LYQ-ZQTN2611</v>
          </cell>
        </row>
        <row r="2626">
          <cell r="A2626" t="str">
            <v>LYQ-ZQTN2611-PI-5X</v>
          </cell>
          <cell r="B2626" t="str">
            <v>LYQ-ZQTN2611</v>
          </cell>
        </row>
        <row r="2627">
          <cell r="A2627" t="str">
            <v>LYQ-ZQTN2611-PI-6X</v>
          </cell>
          <cell r="B2627" t="str">
            <v>LYQ-ZQTN2611</v>
          </cell>
        </row>
        <row r="2628">
          <cell r="A2628" t="str">
            <v>LYQ-ZQTN2611-PI-XL</v>
          </cell>
          <cell r="B2628" t="str">
            <v>LYQ-ZQTN2611</v>
          </cell>
        </row>
        <row r="2629">
          <cell r="A2629" t="str">
            <v>LYQ-ZQTW01-B0-L</v>
          </cell>
          <cell r="B2629" t="str">
            <v>LYQ-ZQTW01</v>
          </cell>
        </row>
        <row r="2630">
          <cell r="A2630" t="str">
            <v>LYQ-ZQTW586-K0-XL</v>
          </cell>
          <cell r="B2630" t="str">
            <v>LYQ-ZQTW586</v>
          </cell>
        </row>
        <row r="2631">
          <cell r="A2631" t="str">
            <v>MJ-IUYL230-BL-L</v>
          </cell>
          <cell r="B2631" t="str">
            <v>MJ-IUYL230</v>
          </cell>
        </row>
        <row r="2632">
          <cell r="A2632" t="str">
            <v>MJ-IUYL230-BL-S</v>
          </cell>
          <cell r="B2632" t="str">
            <v>MJ-IUYL230</v>
          </cell>
        </row>
        <row r="2633">
          <cell r="A2633" t="str">
            <v>MJ-IUYL230-CF-L</v>
          </cell>
          <cell r="B2633" t="str">
            <v>MJ-IUYL230</v>
          </cell>
        </row>
        <row r="2634">
          <cell r="A2634" t="str">
            <v>MJ-IUYL230-CF-S</v>
          </cell>
          <cell r="B2634" t="str">
            <v>MJ-IUYL230</v>
          </cell>
        </row>
        <row r="2635">
          <cell r="A2635" t="str">
            <v>MJ-IUYL230-PK-L</v>
          </cell>
          <cell r="B2635" t="str">
            <v>MJ-IUYL230</v>
          </cell>
        </row>
        <row r="2636">
          <cell r="A2636" t="str">
            <v>MJ-IUYL230-PK-S</v>
          </cell>
          <cell r="B2636" t="str">
            <v>MJ-IUYL230</v>
          </cell>
        </row>
        <row r="2637">
          <cell r="A2637" t="str">
            <v>MMDC-IUHM100-BK</v>
          </cell>
          <cell r="B2637" t="str">
            <v>MMDC-IUHM100</v>
          </cell>
        </row>
        <row r="2638">
          <cell r="A2638" t="str">
            <v>MMDC-IUHM100-BL</v>
          </cell>
          <cell r="B2638" t="str">
            <v>MMDC-IUHM100</v>
          </cell>
        </row>
        <row r="2639">
          <cell r="A2639" t="str">
            <v>MMDC-IUHM100-PK</v>
          </cell>
          <cell r="B2639" t="str">
            <v>MMDC-IUHM100</v>
          </cell>
        </row>
        <row r="2640">
          <cell r="A2640" t="str">
            <v>MNQ-7188</v>
          </cell>
          <cell r="B2640" t="str">
            <v>MNQ-7188</v>
          </cell>
        </row>
        <row r="2641">
          <cell r="A2641" t="str">
            <v>MNQ-BT718K02XL</v>
          </cell>
          <cell r="B2641" t="str">
            <v>MNQ-7188</v>
          </cell>
        </row>
        <row r="2642">
          <cell r="A2642" t="str">
            <v>MNQ-BT718K0L</v>
          </cell>
          <cell r="B2642" t="str">
            <v>MNQ-7188</v>
          </cell>
        </row>
        <row r="2643">
          <cell r="A2643" t="str">
            <v>MNQ-BT718K0M</v>
          </cell>
          <cell r="B2643" t="str">
            <v>MNQ-7188</v>
          </cell>
        </row>
        <row r="2644">
          <cell r="A2644" t="str">
            <v>MNQ-BT718K0S</v>
          </cell>
          <cell r="B2644" t="str">
            <v>MNQ-7188</v>
          </cell>
        </row>
        <row r="2645">
          <cell r="A2645" t="str">
            <v>MNQ-BT718W02XL</v>
          </cell>
          <cell r="B2645" t="str">
            <v>MNQ-7188</v>
          </cell>
        </row>
        <row r="2646">
          <cell r="A2646" t="str">
            <v>MNQ-BT718W0L</v>
          </cell>
          <cell r="B2646" t="str">
            <v>MNQ-7188</v>
          </cell>
        </row>
        <row r="2647">
          <cell r="A2647" t="str">
            <v>MNQ-BT718W0M</v>
          </cell>
          <cell r="B2647" t="str">
            <v>MNQ-7188</v>
          </cell>
        </row>
        <row r="2648">
          <cell r="A2648" t="str">
            <v>MNQ-BT718W0S</v>
          </cell>
          <cell r="B2648" t="str">
            <v>MNQ-7188</v>
          </cell>
        </row>
        <row r="2649">
          <cell r="A2649" t="str">
            <v>MNQ-N7188-K0-2XL</v>
          </cell>
          <cell r="B2649" t="str">
            <v>MNQ-7188</v>
          </cell>
        </row>
        <row r="2650">
          <cell r="A2650" t="str">
            <v>MNQ-N7188-K0-L</v>
          </cell>
          <cell r="B2650" t="str">
            <v>MNQ-7188</v>
          </cell>
        </row>
        <row r="2651">
          <cell r="A2651" t="str">
            <v>MNQ-N7188-K0-M</v>
          </cell>
          <cell r="B2651" t="str">
            <v>MNQ-7188</v>
          </cell>
        </row>
        <row r="2652">
          <cell r="A2652" t="str">
            <v>MNQ-N7188-K0-S</v>
          </cell>
          <cell r="B2652" t="str">
            <v>MNQ-7188</v>
          </cell>
        </row>
        <row r="2653">
          <cell r="A2653" t="str">
            <v>MNQ-N7188-K0-XL</v>
          </cell>
          <cell r="B2653" t="str">
            <v>MNQ-7188</v>
          </cell>
        </row>
        <row r="2654">
          <cell r="A2654" t="str">
            <v>MNQ-N7188-K0-XS</v>
          </cell>
          <cell r="B2654" t="str">
            <v>MNQ-7188</v>
          </cell>
        </row>
        <row r="2655">
          <cell r="A2655" t="str">
            <v>MNQ-N7188-W0-2XL</v>
          </cell>
          <cell r="B2655" t="str">
            <v>MNQ-7188</v>
          </cell>
        </row>
        <row r="2656">
          <cell r="A2656" t="str">
            <v>MNQ-N7188-W0-L</v>
          </cell>
          <cell r="B2656" t="str">
            <v>MNQ-7188</v>
          </cell>
        </row>
        <row r="2657">
          <cell r="A2657" t="str">
            <v>MNQ-N7188-W0-M</v>
          </cell>
          <cell r="B2657" t="str">
            <v>MNQ-7188</v>
          </cell>
        </row>
        <row r="2658">
          <cell r="A2658" t="str">
            <v>MNQ-N7188-W0-S</v>
          </cell>
          <cell r="B2658" t="str">
            <v>MNQ-7188</v>
          </cell>
        </row>
        <row r="2659">
          <cell r="A2659" t="str">
            <v>MNQ-N7188-W0-XL</v>
          </cell>
          <cell r="B2659" t="str">
            <v>MNQ-7188</v>
          </cell>
        </row>
        <row r="2660">
          <cell r="A2660" t="str">
            <v>MNQ-N7188-W0-XS</v>
          </cell>
          <cell r="B2660" t="str">
            <v>MNQ-7188</v>
          </cell>
        </row>
        <row r="2661">
          <cell r="A2661" t="str">
            <v>MNQ-N718B0XL</v>
          </cell>
          <cell r="B2661" t="str">
            <v>MNQ-7188</v>
          </cell>
        </row>
        <row r="2662">
          <cell r="A2662" t="str">
            <v>MNQ-N718B2XL</v>
          </cell>
          <cell r="B2662" t="str">
            <v>MNQ-7188</v>
          </cell>
        </row>
        <row r="2663">
          <cell r="A2663" t="str">
            <v>MNQ-N718BM</v>
          </cell>
          <cell r="B2663" t="str">
            <v>MNQ-7188</v>
          </cell>
        </row>
        <row r="2664">
          <cell r="A2664" t="str">
            <v>MNQ-N718BS</v>
          </cell>
          <cell r="B2664" t="str">
            <v>MNQ-7188</v>
          </cell>
        </row>
        <row r="2665">
          <cell r="A2665" t="str">
            <v>MNQ-N718BXL-1</v>
          </cell>
          <cell r="B2665" t="str">
            <v>MNQ-7188</v>
          </cell>
        </row>
        <row r="2666">
          <cell r="A2666" t="str">
            <v>MNQ-N718BXXL</v>
          </cell>
          <cell r="B2666" t="str">
            <v>MNQ-7188</v>
          </cell>
        </row>
        <row r="2667">
          <cell r="A2667" t="str">
            <v>MNQ-N718-W0-S</v>
          </cell>
          <cell r="B2667" t="str">
            <v>MNQ-7188</v>
          </cell>
        </row>
        <row r="2668">
          <cell r="A2668" t="str">
            <v>MNQ-N718W0XL</v>
          </cell>
          <cell r="B2668" t="str">
            <v>MNQ-7188</v>
          </cell>
        </row>
        <row r="2669">
          <cell r="A2669" t="str">
            <v>MNQ-N718W2XL</v>
          </cell>
          <cell r="B2669" t="str">
            <v>MNQ-7188</v>
          </cell>
        </row>
        <row r="2670">
          <cell r="A2670" t="str">
            <v>MNQ-N718WL</v>
          </cell>
          <cell r="B2670" t="str">
            <v>MNQ-7188</v>
          </cell>
        </row>
        <row r="2671">
          <cell r="A2671" t="str">
            <v>MNQ-N718WM</v>
          </cell>
          <cell r="B2671" t="str">
            <v>MNQ-7188</v>
          </cell>
        </row>
        <row r="2672">
          <cell r="A2672" t="str">
            <v>MNQ-N718WS</v>
          </cell>
          <cell r="B2672" t="str">
            <v>MNQ-7188</v>
          </cell>
        </row>
        <row r="2673">
          <cell r="A2673" t="str">
            <v>MNQ-N718WXL</v>
          </cell>
          <cell r="B2673" t="str">
            <v>MNQ-7188</v>
          </cell>
        </row>
        <row r="2674">
          <cell r="A2674" t="str">
            <v>MNQ-N718WXXL</v>
          </cell>
          <cell r="B2674" t="str">
            <v>MNQ-7188</v>
          </cell>
        </row>
        <row r="2675">
          <cell r="A2675" t="str">
            <v>MY-0036NEW-B0</v>
          </cell>
          <cell r="B2675" t="str">
            <v>MY-0036NEW</v>
          </cell>
        </row>
        <row r="2676">
          <cell r="A2676" t="str">
            <v>MY-0036NEW-GR</v>
          </cell>
          <cell r="B2676" t="str">
            <v>MY-0036NEW</v>
          </cell>
        </row>
        <row r="2677">
          <cell r="A2677" t="str">
            <v>MY-0036NEW-GR-GM</v>
          </cell>
          <cell r="B2677" t="str">
            <v>MY-0036NEW</v>
          </cell>
        </row>
        <row r="2678">
          <cell r="A2678" t="str">
            <v>MY-0036NEW-K0</v>
          </cell>
          <cell r="B2678" t="str">
            <v>MY-0036NEW</v>
          </cell>
        </row>
        <row r="2679">
          <cell r="A2679" t="str">
            <v>MY-0036NEW-K0-GM</v>
          </cell>
          <cell r="B2679" t="str">
            <v>MY-0036NEW</v>
          </cell>
        </row>
        <row r="2680">
          <cell r="A2680" t="str">
            <v>MY-0036NEW-KA</v>
          </cell>
          <cell r="B2680" t="str">
            <v>MY-0036NEW</v>
          </cell>
        </row>
        <row r="2681">
          <cell r="A2681" t="str">
            <v>MY-0036NEW-OR</v>
          </cell>
          <cell r="B2681" t="str">
            <v>MY-0036NEW</v>
          </cell>
        </row>
        <row r="2682">
          <cell r="A2682" t="str">
            <v>MY-0036NEW-OR-GM</v>
          </cell>
          <cell r="B2682" t="str">
            <v>MY-0036NEW</v>
          </cell>
        </row>
        <row r="2683">
          <cell r="A2683" t="str">
            <v>MY-0036NEW-PI</v>
          </cell>
          <cell r="B2683" t="str">
            <v>MY-0036NEW</v>
          </cell>
        </row>
        <row r="2684">
          <cell r="A2684" t="str">
            <v>MY-CL17182-00</v>
          </cell>
          <cell r="B2684" t="str">
            <v>MY-CL17182</v>
          </cell>
        </row>
        <row r="2685">
          <cell r="A2685" t="str">
            <v>MY-CL17182-KQ</v>
          </cell>
          <cell r="B2685" t="str">
            <v>MY-CL17182</v>
          </cell>
        </row>
        <row r="2686">
          <cell r="A2686" t="str">
            <v>MY-CL17182-W1</v>
          </cell>
          <cell r="B2686" t="str">
            <v>MY-CL17182</v>
          </cell>
        </row>
        <row r="2687">
          <cell r="A2687" t="str">
            <v>MY-CL17182-Y0</v>
          </cell>
          <cell r="B2687" t="str">
            <v>MY-CL17182</v>
          </cell>
        </row>
        <row r="2688">
          <cell r="A2688" t="str">
            <v>MY-CL1925</v>
          </cell>
          <cell r="B2688" t="str">
            <v>MY-CL1925</v>
          </cell>
        </row>
        <row r="2689">
          <cell r="A2689" t="str">
            <v>MY-CL1925-E0-2XL</v>
          </cell>
          <cell r="B2689" t="str">
            <v>MY-CL1925</v>
          </cell>
        </row>
        <row r="2690">
          <cell r="A2690" t="str">
            <v>MY-CL1925-E0-L</v>
          </cell>
          <cell r="B2690" t="str">
            <v>MY-CL1925</v>
          </cell>
        </row>
        <row r="2691">
          <cell r="A2691" t="str">
            <v>MY-CL1925-E0-M</v>
          </cell>
          <cell r="B2691" t="str">
            <v>MY-CL1925</v>
          </cell>
        </row>
        <row r="2692">
          <cell r="A2692" t="str">
            <v>MY-CL1925-E0-S</v>
          </cell>
          <cell r="B2692" t="str">
            <v>MY-CL1925</v>
          </cell>
        </row>
        <row r="2693">
          <cell r="A2693" t="str">
            <v>MY-CL1925-E0-XL</v>
          </cell>
          <cell r="B2693" t="str">
            <v>MY-CL1925</v>
          </cell>
        </row>
        <row r="2694">
          <cell r="A2694" t="str">
            <v>MY-CL1925-G7-2XL</v>
          </cell>
          <cell r="B2694" t="str">
            <v>MY-CL1925</v>
          </cell>
        </row>
        <row r="2695">
          <cell r="A2695" t="str">
            <v>MY-CL1925-G7-L</v>
          </cell>
          <cell r="B2695" t="str">
            <v>MY-CL1925</v>
          </cell>
        </row>
        <row r="2696">
          <cell r="A2696" t="str">
            <v>MY-CL1925-G7-M</v>
          </cell>
          <cell r="B2696" t="str">
            <v>MY-CL1925</v>
          </cell>
        </row>
        <row r="2697">
          <cell r="A2697" t="str">
            <v>MY-CL1925-G7-S</v>
          </cell>
          <cell r="B2697" t="str">
            <v>MY-CL1925</v>
          </cell>
        </row>
        <row r="2698">
          <cell r="A2698" t="str">
            <v>MY-CL1925-G7-XL</v>
          </cell>
          <cell r="B2698" t="str">
            <v>MY-CL1925</v>
          </cell>
        </row>
        <row r="2699">
          <cell r="A2699" t="str">
            <v>MY-CL1925-R6-2XL</v>
          </cell>
          <cell r="B2699" t="str">
            <v>MY-CL1925</v>
          </cell>
        </row>
        <row r="2700">
          <cell r="A2700" t="str">
            <v>MY-CL1925-R6-L</v>
          </cell>
          <cell r="B2700" t="str">
            <v>MY-CL1925</v>
          </cell>
        </row>
        <row r="2701">
          <cell r="A2701" t="str">
            <v>MY-CL1925-R6-M</v>
          </cell>
          <cell r="B2701" t="str">
            <v>MY-CL1925</v>
          </cell>
        </row>
        <row r="2702">
          <cell r="A2702" t="str">
            <v>MY-CL1925-R6-S</v>
          </cell>
          <cell r="B2702" t="str">
            <v>MY-CL1925</v>
          </cell>
        </row>
        <row r="2703">
          <cell r="A2703" t="str">
            <v>MY-CL1925-R6-XL</v>
          </cell>
          <cell r="B2703" t="str">
            <v>MY-CL1925</v>
          </cell>
        </row>
        <row r="2704">
          <cell r="A2704" t="str">
            <v>MY-CL1925-W0-2XL</v>
          </cell>
          <cell r="B2704" t="str">
            <v>MY-CL1925</v>
          </cell>
        </row>
        <row r="2705">
          <cell r="A2705" t="str">
            <v>MY-CL1925-W0-L</v>
          </cell>
          <cell r="B2705" t="str">
            <v>MY-CL1925</v>
          </cell>
        </row>
        <row r="2706">
          <cell r="A2706" t="str">
            <v>MY-CL1925-W0-M</v>
          </cell>
          <cell r="B2706" t="str">
            <v>MY-CL1925</v>
          </cell>
        </row>
        <row r="2707">
          <cell r="A2707" t="str">
            <v>MY-CL1925-W0-S</v>
          </cell>
          <cell r="B2707" t="str">
            <v>MY-CL1925</v>
          </cell>
        </row>
        <row r="2708">
          <cell r="A2708" t="str">
            <v>MY-CL1925-W0-XL</v>
          </cell>
          <cell r="B2708" t="str">
            <v>MY-CL1925</v>
          </cell>
        </row>
        <row r="2709">
          <cell r="A2709" t="str">
            <v>MY-CL3362-W1-L</v>
          </cell>
          <cell r="B2709" t="str">
            <v>MY-CL3362</v>
          </cell>
        </row>
        <row r="2710">
          <cell r="A2710" t="str">
            <v>MY-HM1206</v>
          </cell>
          <cell r="B2710" t="str">
            <v>MY-HM1206</v>
          </cell>
        </row>
        <row r="2711">
          <cell r="A2711" t="str">
            <v>MY-HM1206-BR-L</v>
          </cell>
          <cell r="B2711" t="str">
            <v>MY-HM1206</v>
          </cell>
        </row>
        <row r="2712">
          <cell r="A2712" t="str">
            <v>MY-HM1206-BR-M</v>
          </cell>
          <cell r="B2712" t="str">
            <v>MY-HM1206</v>
          </cell>
        </row>
        <row r="2713">
          <cell r="A2713" t="str">
            <v>MY-HM1206-BR-M-GM</v>
          </cell>
          <cell r="B2713" t="str">
            <v>MY-HM1206</v>
          </cell>
        </row>
        <row r="2714">
          <cell r="A2714" t="str">
            <v>MY-HM1206-BR-S</v>
          </cell>
          <cell r="B2714" t="str">
            <v>MY-HM1206</v>
          </cell>
        </row>
        <row r="2715">
          <cell r="A2715" t="str">
            <v>MY-HM1206-BR-XL</v>
          </cell>
          <cell r="B2715" t="str">
            <v>MY-HM1206</v>
          </cell>
        </row>
        <row r="2716">
          <cell r="A2716" t="str">
            <v>MY-HM1206-GR-L</v>
          </cell>
          <cell r="B2716" t="str">
            <v>MY-HM1206</v>
          </cell>
        </row>
        <row r="2717">
          <cell r="A2717" t="str">
            <v>MY-HM1206-GR-M</v>
          </cell>
          <cell r="B2717" t="str">
            <v>MY-HM1206</v>
          </cell>
        </row>
        <row r="2718">
          <cell r="A2718" t="str">
            <v>MY-HM1206-GR-S</v>
          </cell>
          <cell r="B2718" t="str">
            <v>MY-HM1206</v>
          </cell>
        </row>
        <row r="2719">
          <cell r="A2719" t="str">
            <v>MY-HM1206-GR-XL</v>
          </cell>
          <cell r="B2719" t="str">
            <v>MY-HM1206</v>
          </cell>
        </row>
        <row r="2720">
          <cell r="A2720" t="str">
            <v>MY-HM1206-K0-L</v>
          </cell>
          <cell r="B2720" t="str">
            <v>MY-HM1206</v>
          </cell>
        </row>
        <row r="2721">
          <cell r="A2721" t="str">
            <v>MY-HM1206-K0-M</v>
          </cell>
          <cell r="B2721" t="str">
            <v>MY-HM1206</v>
          </cell>
        </row>
        <row r="2722">
          <cell r="A2722" t="str">
            <v>MY-HM1206-K0-S</v>
          </cell>
          <cell r="B2722" t="str">
            <v>MY-HM1206</v>
          </cell>
        </row>
        <row r="2723">
          <cell r="A2723" t="str">
            <v>MY-HM1206-K0-XL</v>
          </cell>
          <cell r="B2723" t="str">
            <v>MY-HM1206</v>
          </cell>
        </row>
        <row r="2724">
          <cell r="A2724" t="str">
            <v>MY-HM1206-KH-L</v>
          </cell>
          <cell r="B2724" t="str">
            <v>MY-HM1206</v>
          </cell>
        </row>
        <row r="2725">
          <cell r="A2725" t="str">
            <v>MY-HM1206-KH-L-GM</v>
          </cell>
          <cell r="B2725" t="str">
            <v>MY-HM1206</v>
          </cell>
        </row>
        <row r="2726">
          <cell r="A2726" t="str">
            <v>MY-HM1206-KH-M</v>
          </cell>
          <cell r="B2726" t="str">
            <v>MY-HM1206</v>
          </cell>
        </row>
        <row r="2727">
          <cell r="A2727" t="str">
            <v>MY-HM1206-KH-M-GM</v>
          </cell>
          <cell r="B2727" t="str">
            <v>MY-HM1206</v>
          </cell>
        </row>
        <row r="2728">
          <cell r="A2728" t="str">
            <v>MY-HM1206-KH-S</v>
          </cell>
          <cell r="B2728" t="str">
            <v>MY-HM1206</v>
          </cell>
        </row>
        <row r="2729">
          <cell r="A2729" t="str">
            <v>MY-HM1206-KH-S-GM</v>
          </cell>
          <cell r="B2729" t="str">
            <v>MY-HM1206</v>
          </cell>
        </row>
        <row r="2730">
          <cell r="A2730" t="str">
            <v>MY-HM1206-KH-XL</v>
          </cell>
          <cell r="B2730" t="str">
            <v>MY-HM1206</v>
          </cell>
        </row>
        <row r="2731">
          <cell r="A2731" t="str">
            <v>MY-HM1206-KH-XL-GM</v>
          </cell>
          <cell r="B2731" t="str">
            <v>MY-HM1206</v>
          </cell>
        </row>
        <row r="2732">
          <cell r="A2732" t="str">
            <v>MY-HM1206-OR-L</v>
          </cell>
          <cell r="B2732" t="str">
            <v>MY-HM1206</v>
          </cell>
        </row>
        <row r="2733">
          <cell r="A2733" t="str">
            <v>MY-HM1206-OR-M</v>
          </cell>
          <cell r="B2733" t="str">
            <v>MY-HM1206</v>
          </cell>
        </row>
        <row r="2734">
          <cell r="A2734" t="str">
            <v>MY-HM1206-OR-S</v>
          </cell>
          <cell r="B2734" t="str">
            <v>MY-HM1206</v>
          </cell>
        </row>
        <row r="2735">
          <cell r="A2735" t="str">
            <v>MY-HM1206-OR-XL</v>
          </cell>
          <cell r="B2735" t="str">
            <v>MY-HM1206</v>
          </cell>
        </row>
        <row r="2736">
          <cell r="A2736" t="str">
            <v>MY-HM1206-OR-XL-GM</v>
          </cell>
          <cell r="B2736" t="str">
            <v>MY-HM1206</v>
          </cell>
        </row>
        <row r="2737">
          <cell r="A2737" t="str">
            <v>MY-LYHigh303-DG-L</v>
          </cell>
          <cell r="B2737" t="str">
            <v>MY-LYHigh303</v>
          </cell>
        </row>
        <row r="2738">
          <cell r="A2738" t="str">
            <v>MY-LYHigh303-DG-M</v>
          </cell>
          <cell r="B2738" t="str">
            <v>MY-LYHigh303</v>
          </cell>
        </row>
        <row r="2739">
          <cell r="A2739" t="str">
            <v>MY-LYHigh303-DG-S</v>
          </cell>
          <cell r="B2739" t="str">
            <v>MY-LYHigh303</v>
          </cell>
        </row>
        <row r="2740">
          <cell r="A2740" t="str">
            <v>MY-LYHigh303-DG-XL</v>
          </cell>
          <cell r="B2740" t="str">
            <v>MY-LYHigh303</v>
          </cell>
        </row>
        <row r="2741">
          <cell r="A2741" t="str">
            <v>MY-LYHigh303-GR-L</v>
          </cell>
          <cell r="B2741" t="str">
            <v>MY-LYHigh303</v>
          </cell>
        </row>
        <row r="2742">
          <cell r="A2742" t="str">
            <v>MY-LYHigh303-GR-M</v>
          </cell>
          <cell r="B2742" t="str">
            <v>MY-LYHigh303</v>
          </cell>
        </row>
        <row r="2743">
          <cell r="A2743" t="str">
            <v>MY-LYHigh303-GR-S</v>
          </cell>
          <cell r="B2743" t="str">
            <v>MY-LYHigh303</v>
          </cell>
        </row>
        <row r="2744">
          <cell r="A2744" t="str">
            <v>MY-LYHigh303-GR-XL</v>
          </cell>
          <cell r="B2744" t="str">
            <v>MY-LYHigh303</v>
          </cell>
        </row>
        <row r="2745">
          <cell r="A2745" t="str">
            <v>MY-LYHigh303-K0-L</v>
          </cell>
          <cell r="B2745" t="str">
            <v>MY-LYHigh303</v>
          </cell>
        </row>
        <row r="2746">
          <cell r="A2746" t="str">
            <v>MY-LYHigh303-K0-M</v>
          </cell>
          <cell r="B2746" t="str">
            <v>MY-LYHigh303</v>
          </cell>
        </row>
        <row r="2747">
          <cell r="A2747" t="str">
            <v>MY-LYHigh303-K0-S1</v>
          </cell>
          <cell r="B2747" t="str">
            <v>MY-LYHigh303</v>
          </cell>
        </row>
        <row r="2748">
          <cell r="A2748" t="str">
            <v>MY-LYHigh303-K0-XL</v>
          </cell>
          <cell r="B2748" t="str">
            <v>MY-LYHigh303</v>
          </cell>
        </row>
        <row r="2749">
          <cell r="A2749" t="str">
            <v>MY-LYHigh303-KQ-L</v>
          </cell>
          <cell r="B2749" t="str">
            <v>MY-LYHigh303</v>
          </cell>
        </row>
        <row r="2750">
          <cell r="A2750" t="str">
            <v>MY-LYHigh303-KQ-M</v>
          </cell>
          <cell r="B2750" t="str">
            <v>MY-LYHigh303</v>
          </cell>
        </row>
        <row r="2751">
          <cell r="A2751" t="str">
            <v>MY-LYHigh303-KQ-S</v>
          </cell>
          <cell r="B2751" t="str">
            <v>MY-LYHigh303</v>
          </cell>
        </row>
        <row r="2752">
          <cell r="A2752" t="str">
            <v>MY-LYHigh303-KQ-XL</v>
          </cell>
          <cell r="B2752" t="str">
            <v>MY-LYHigh303</v>
          </cell>
        </row>
        <row r="2753">
          <cell r="A2753" t="str">
            <v>MY-LYHigh303-LB-L</v>
          </cell>
          <cell r="B2753" t="str">
            <v>MY-LYHigh303</v>
          </cell>
        </row>
        <row r="2754">
          <cell r="A2754" t="str">
            <v>MY-LYHigh303-LB-M</v>
          </cell>
          <cell r="B2754" t="str">
            <v>MY-LYHigh303</v>
          </cell>
        </row>
        <row r="2755">
          <cell r="A2755" t="str">
            <v>MY-LYHigh303-LB-S</v>
          </cell>
          <cell r="B2755" t="str">
            <v>MY-LYHigh303</v>
          </cell>
        </row>
        <row r="2756">
          <cell r="A2756" t="str">
            <v>MY-LYHigh303-LB-XL</v>
          </cell>
          <cell r="B2756" t="str">
            <v>MY-LYHigh303</v>
          </cell>
        </row>
        <row r="2757">
          <cell r="A2757" t="str">
            <v>MY-LYHigh303-OR-L</v>
          </cell>
          <cell r="B2757" t="str">
            <v>MY-LYHigh303</v>
          </cell>
        </row>
        <row r="2758">
          <cell r="A2758" t="str">
            <v>MY-LYHigh303-OR-M</v>
          </cell>
          <cell r="B2758" t="str">
            <v>MY-LYHigh303</v>
          </cell>
        </row>
        <row r="2759">
          <cell r="A2759" t="str">
            <v>MY-LYHigh303-OR-S</v>
          </cell>
          <cell r="B2759" t="str">
            <v>MY-LYHigh303</v>
          </cell>
        </row>
        <row r="2760">
          <cell r="A2760" t="str">
            <v>MY-LYHigh303-OR-XL</v>
          </cell>
          <cell r="B2760" t="str">
            <v>MY-LYHigh303</v>
          </cell>
        </row>
        <row r="2761">
          <cell r="A2761" t="str">
            <v>MY-LYHigh303-W0-L</v>
          </cell>
          <cell r="B2761" t="str">
            <v>MY-LYHigh303</v>
          </cell>
        </row>
        <row r="2762">
          <cell r="A2762" t="str">
            <v>MY-LYHigh303-W0-M</v>
          </cell>
          <cell r="B2762" t="str">
            <v>MY-LYHigh303</v>
          </cell>
        </row>
        <row r="2763">
          <cell r="A2763" t="str">
            <v>MY-LYHigh303-W0-S</v>
          </cell>
          <cell r="B2763" t="str">
            <v>MY-LYHigh303</v>
          </cell>
        </row>
        <row r="2764">
          <cell r="A2764" t="str">
            <v>MY-LYHigh303-W0-XL</v>
          </cell>
          <cell r="B2764" t="str">
            <v>MY-LYHigh303</v>
          </cell>
        </row>
        <row r="2765">
          <cell r="A2765" t="str">
            <v>MY-LYHigh303-WR-L</v>
          </cell>
          <cell r="B2765" t="str">
            <v>MY-LYHigh303</v>
          </cell>
        </row>
        <row r="2766">
          <cell r="A2766" t="str">
            <v>MY-LYHigh303-WR-M</v>
          </cell>
          <cell r="B2766" t="str">
            <v>MY-LYHigh303</v>
          </cell>
        </row>
        <row r="2767">
          <cell r="A2767" t="str">
            <v>MY-LYHigh303-WR-S</v>
          </cell>
          <cell r="B2767" t="str">
            <v>MY-LYHigh303</v>
          </cell>
        </row>
        <row r="2768">
          <cell r="A2768" t="str">
            <v>MY-LYHigh303-WR-XL</v>
          </cell>
          <cell r="B2768" t="str">
            <v>MY-LYHigh303</v>
          </cell>
        </row>
        <row r="2769">
          <cell r="A2769" t="str">
            <v>MY-LYPoint021-DG-L</v>
          </cell>
          <cell r="B2769" t="str">
            <v>MY-LYPoint021</v>
          </cell>
        </row>
        <row r="2770">
          <cell r="A2770" t="str">
            <v>MY-LYPoint021-DG-M</v>
          </cell>
          <cell r="B2770" t="str">
            <v>MY-LYPoint021</v>
          </cell>
        </row>
        <row r="2771">
          <cell r="A2771" t="str">
            <v>MY-LYPoint021-DG-S</v>
          </cell>
          <cell r="B2771" t="str">
            <v>MY-LYPoint021</v>
          </cell>
        </row>
        <row r="2772">
          <cell r="A2772" t="str">
            <v>MY-LYPoint021-DG-XL</v>
          </cell>
          <cell r="B2772" t="str">
            <v>MY-LYPoint021</v>
          </cell>
        </row>
        <row r="2773">
          <cell r="A2773" t="str">
            <v>MY-LYPoint021-GR-L</v>
          </cell>
          <cell r="B2773" t="str">
            <v>MY-LYPoint021</v>
          </cell>
        </row>
        <row r="2774">
          <cell r="A2774" t="str">
            <v>MY-LYPoint021-GR-M</v>
          </cell>
          <cell r="B2774" t="str">
            <v>MY-LYPoint021</v>
          </cell>
        </row>
        <row r="2775">
          <cell r="A2775" t="str">
            <v>MY-LYPoint021-GR-S</v>
          </cell>
          <cell r="B2775" t="str">
            <v>MY-LYPoint021</v>
          </cell>
        </row>
        <row r="2776">
          <cell r="A2776" t="str">
            <v>MY-LYPoint021-GR-XL</v>
          </cell>
          <cell r="B2776" t="str">
            <v>MY-LYPoint021</v>
          </cell>
        </row>
        <row r="2777">
          <cell r="A2777" t="str">
            <v>MY-LYPoint021-K0-L</v>
          </cell>
          <cell r="B2777" t="str">
            <v>MY-LYPoint021</v>
          </cell>
        </row>
        <row r="2778">
          <cell r="A2778" t="str">
            <v>MY-LYPoint021-K0-M</v>
          </cell>
          <cell r="B2778" t="str">
            <v>MY-LYPoint021</v>
          </cell>
        </row>
        <row r="2779">
          <cell r="A2779" t="str">
            <v>MY-LYPoint021-K0-S1</v>
          </cell>
          <cell r="B2779" t="str">
            <v>MY-LYPoint021</v>
          </cell>
        </row>
        <row r="2780">
          <cell r="A2780" t="str">
            <v>MY-LYPoint021-K0-XL</v>
          </cell>
          <cell r="B2780" t="str">
            <v>MY-LYPoint021</v>
          </cell>
        </row>
        <row r="2781">
          <cell r="A2781" t="str">
            <v>MY-LYPoint021-KQ-L</v>
          </cell>
          <cell r="B2781" t="str">
            <v>MY-LYPoint021</v>
          </cell>
        </row>
        <row r="2782">
          <cell r="A2782" t="str">
            <v>MY-LYPoint021-KQ-M</v>
          </cell>
          <cell r="B2782" t="str">
            <v>MY-LYPoint021</v>
          </cell>
        </row>
        <row r="2783">
          <cell r="A2783" t="str">
            <v>MY-LYPoint021-KQ-S</v>
          </cell>
          <cell r="B2783" t="str">
            <v>MY-LYPoint021</v>
          </cell>
        </row>
        <row r="2784">
          <cell r="A2784" t="str">
            <v>MY-LYPoint021-KQ-XL</v>
          </cell>
          <cell r="B2784" t="str">
            <v>MY-LYPoint021</v>
          </cell>
        </row>
        <row r="2785">
          <cell r="A2785" t="str">
            <v>MY-LYPoint021-LB-L</v>
          </cell>
          <cell r="B2785" t="str">
            <v>MY-LYPoint021</v>
          </cell>
        </row>
        <row r="2786">
          <cell r="A2786" t="str">
            <v>MY-LYPoint021-LB-M</v>
          </cell>
          <cell r="B2786" t="str">
            <v>MY-LYPoint021</v>
          </cell>
        </row>
        <row r="2787">
          <cell r="A2787" t="str">
            <v>MY-LYPoint021-LB-S</v>
          </cell>
          <cell r="B2787" t="str">
            <v>MY-LYPoint021</v>
          </cell>
        </row>
        <row r="2788">
          <cell r="A2788" t="str">
            <v>MY-LYPoint021-LB-XL</v>
          </cell>
          <cell r="B2788" t="str">
            <v>MY-LYPoint021</v>
          </cell>
        </row>
        <row r="2789">
          <cell r="A2789" t="str">
            <v>MY-LYPoint021-OR-L</v>
          </cell>
          <cell r="B2789" t="str">
            <v>MY-LYPoint021</v>
          </cell>
        </row>
        <row r="2790">
          <cell r="A2790" t="str">
            <v>MY-LYPoint021-OR-M</v>
          </cell>
          <cell r="B2790" t="str">
            <v>MY-LYPoint021</v>
          </cell>
        </row>
        <row r="2791">
          <cell r="A2791" t="str">
            <v>MY-LYPoint021-OR-S</v>
          </cell>
          <cell r="B2791" t="str">
            <v>MY-LYPoint021</v>
          </cell>
        </row>
        <row r="2792">
          <cell r="A2792" t="str">
            <v>MY-LYPoint021-OR-XL</v>
          </cell>
          <cell r="B2792" t="str">
            <v>MY-LYPoint021</v>
          </cell>
        </row>
        <row r="2793">
          <cell r="A2793" t="str">
            <v>MY-LYPoint021-W0-L</v>
          </cell>
          <cell r="B2793" t="str">
            <v>MY-LYPoint021</v>
          </cell>
        </row>
        <row r="2794">
          <cell r="A2794" t="str">
            <v>MY-LYPoint021-W0-M</v>
          </cell>
          <cell r="B2794" t="str">
            <v>MY-LYPoint021</v>
          </cell>
        </row>
        <row r="2795">
          <cell r="A2795" t="str">
            <v>MY-LYPoint021-W0-S</v>
          </cell>
          <cell r="B2795" t="str">
            <v>MY-LYPoint021</v>
          </cell>
        </row>
        <row r="2796">
          <cell r="A2796" t="str">
            <v>MY-LYPoint021-W0-XL</v>
          </cell>
          <cell r="B2796" t="str">
            <v>MY-LYPoint021</v>
          </cell>
        </row>
        <row r="2797">
          <cell r="A2797" t="str">
            <v>MY-LYPoint021-WR-L</v>
          </cell>
          <cell r="B2797" t="str">
            <v>MY-LYPoint021</v>
          </cell>
        </row>
        <row r="2798">
          <cell r="A2798" t="str">
            <v>MY-LYPoint021-WR-M</v>
          </cell>
          <cell r="B2798" t="str">
            <v>MY-LYPoint021</v>
          </cell>
        </row>
        <row r="2799">
          <cell r="A2799" t="str">
            <v>MY-LYPoint021-WR-S</v>
          </cell>
          <cell r="B2799" t="str">
            <v>MY-LYPoint021</v>
          </cell>
        </row>
        <row r="2800">
          <cell r="A2800" t="str">
            <v>MY-LYPoint021-WR-XL</v>
          </cell>
          <cell r="B2800" t="str">
            <v>MY-LYPoint021</v>
          </cell>
        </row>
        <row r="2801">
          <cell r="A2801" t="str">
            <v>MY-LYRound020-DG-L</v>
          </cell>
          <cell r="B2801" t="str">
            <v>MY-LYRound020</v>
          </cell>
        </row>
        <row r="2802">
          <cell r="A2802" t="str">
            <v>MY-LYRound020-DG-M</v>
          </cell>
          <cell r="B2802" t="str">
            <v>MY-LYRound020</v>
          </cell>
        </row>
        <row r="2803">
          <cell r="A2803" t="str">
            <v>MY-LYRound020-DG-S</v>
          </cell>
          <cell r="B2803" t="str">
            <v>MY-LYRound020</v>
          </cell>
        </row>
        <row r="2804">
          <cell r="A2804" t="str">
            <v>MY-LYRound020-DG-XL</v>
          </cell>
          <cell r="B2804" t="str">
            <v>MY-LYRound020</v>
          </cell>
        </row>
        <row r="2805">
          <cell r="A2805" t="str">
            <v>MY-LYRound020-GR-L</v>
          </cell>
          <cell r="B2805" t="str">
            <v>MY-LYRound020</v>
          </cell>
        </row>
        <row r="2806">
          <cell r="A2806" t="str">
            <v>MY-LYRound020-GR-M</v>
          </cell>
          <cell r="B2806" t="str">
            <v>MY-LYRound020</v>
          </cell>
        </row>
        <row r="2807">
          <cell r="A2807" t="str">
            <v>MY-LYRound020-GR-S</v>
          </cell>
          <cell r="B2807" t="str">
            <v>MY-LYRound020</v>
          </cell>
        </row>
        <row r="2808">
          <cell r="A2808" t="str">
            <v>MY-LYRound020-GR-XL</v>
          </cell>
          <cell r="B2808" t="str">
            <v>MY-LYRound020</v>
          </cell>
        </row>
        <row r="2809">
          <cell r="A2809" t="str">
            <v>MY-LYRound020-K0-L</v>
          </cell>
          <cell r="B2809" t="str">
            <v>MY-LYRound020</v>
          </cell>
        </row>
        <row r="2810">
          <cell r="A2810" t="str">
            <v>MY-LYRound020-K0-M</v>
          </cell>
          <cell r="B2810" t="str">
            <v>MY-LYRound020</v>
          </cell>
        </row>
        <row r="2811">
          <cell r="A2811" t="str">
            <v>MY-LYRound020-K0-S</v>
          </cell>
          <cell r="B2811" t="str">
            <v>MY-LYRound020</v>
          </cell>
        </row>
        <row r="2812">
          <cell r="A2812" t="str">
            <v>MY-LYRound020-K0-XL</v>
          </cell>
          <cell r="B2812" t="str">
            <v>MY-LYRound020</v>
          </cell>
        </row>
        <row r="2813">
          <cell r="A2813" t="str">
            <v>MY-LYRound020-KQ-L</v>
          </cell>
          <cell r="B2813" t="str">
            <v>MY-LYRound020</v>
          </cell>
        </row>
        <row r="2814">
          <cell r="A2814" t="str">
            <v>MY-LYRound020-KQ-M</v>
          </cell>
          <cell r="B2814" t="str">
            <v>MY-LYRound020</v>
          </cell>
        </row>
        <row r="2815">
          <cell r="A2815" t="str">
            <v>MY-LYRound020-KQ-S</v>
          </cell>
          <cell r="B2815" t="str">
            <v>MY-LYRound020</v>
          </cell>
        </row>
        <row r="2816">
          <cell r="A2816" t="str">
            <v>MY-LYRound020-KQ-XL</v>
          </cell>
          <cell r="B2816" t="str">
            <v>MY-LYRound020</v>
          </cell>
        </row>
        <row r="2817">
          <cell r="A2817" t="str">
            <v>MY-LYRound020-LB-L</v>
          </cell>
          <cell r="B2817" t="str">
            <v>MY-LYRound020</v>
          </cell>
        </row>
        <row r="2818">
          <cell r="A2818" t="str">
            <v>MY-LYRound020-LB-M</v>
          </cell>
          <cell r="B2818" t="str">
            <v>MY-LYRound020</v>
          </cell>
        </row>
        <row r="2819">
          <cell r="A2819" t="str">
            <v>MY-LYRound020-LB-S</v>
          </cell>
          <cell r="B2819" t="str">
            <v>MY-LYRound020</v>
          </cell>
        </row>
        <row r="2820">
          <cell r="A2820" t="str">
            <v>MY-LYRound020-LB-XL</v>
          </cell>
          <cell r="B2820" t="str">
            <v>MY-LYRound020</v>
          </cell>
        </row>
        <row r="2821">
          <cell r="A2821" t="str">
            <v>MY-LYRound020-OR-L</v>
          </cell>
          <cell r="B2821" t="str">
            <v>MY-LYRound020</v>
          </cell>
        </row>
        <row r="2822">
          <cell r="A2822" t="str">
            <v>MY-LYRound020-OR-M</v>
          </cell>
          <cell r="B2822" t="str">
            <v>MY-LYRound020</v>
          </cell>
        </row>
        <row r="2823">
          <cell r="A2823" t="str">
            <v>MY-LYRound020-OR-S</v>
          </cell>
          <cell r="B2823" t="str">
            <v>MY-LYRound020</v>
          </cell>
        </row>
        <row r="2824">
          <cell r="A2824" t="str">
            <v>MY-LYRound020-OR-XL</v>
          </cell>
          <cell r="B2824" t="str">
            <v>MY-LYRound020</v>
          </cell>
        </row>
        <row r="2825">
          <cell r="A2825" t="str">
            <v>MY-LYRound020-W0-L</v>
          </cell>
          <cell r="B2825" t="str">
            <v>MY-LYRound020</v>
          </cell>
        </row>
        <row r="2826">
          <cell r="A2826" t="str">
            <v>MY-LYRound020-W0-M</v>
          </cell>
          <cell r="B2826" t="str">
            <v>MY-LYRound020</v>
          </cell>
        </row>
        <row r="2827">
          <cell r="A2827" t="str">
            <v>MY-LYRound020-W0-S</v>
          </cell>
          <cell r="B2827" t="str">
            <v>MY-LYRound020</v>
          </cell>
        </row>
        <row r="2828">
          <cell r="A2828" t="str">
            <v>MY-LYRound020-W0-XL</v>
          </cell>
          <cell r="B2828" t="str">
            <v>MY-LYRound020</v>
          </cell>
        </row>
        <row r="2829">
          <cell r="A2829" t="str">
            <v>MY-LYRound020-WR-L</v>
          </cell>
          <cell r="B2829" t="str">
            <v>MY-LYRound020</v>
          </cell>
        </row>
        <row r="2830">
          <cell r="A2830" t="str">
            <v>MY-LYRound020-WR-M</v>
          </cell>
          <cell r="B2830" t="str">
            <v>MY-LYRound020</v>
          </cell>
        </row>
        <row r="2831">
          <cell r="A2831" t="str">
            <v>MY-LYRound020-WR-S</v>
          </cell>
          <cell r="B2831" t="str">
            <v>MY-LYRound020</v>
          </cell>
        </row>
        <row r="2832">
          <cell r="A2832" t="str">
            <v>MY-LYRound020-WR-XL</v>
          </cell>
          <cell r="B2832" t="str">
            <v>MY-LYRound020</v>
          </cell>
        </row>
        <row r="2833">
          <cell r="A2833" t="str">
            <v>MY-PUHM001-OR-10</v>
          </cell>
          <cell r="B2833" t="str">
            <v>MY-PUHM001</v>
          </cell>
        </row>
        <row r="2834">
          <cell r="A2834" t="str">
            <v>MY-PUHM001-OR-12</v>
          </cell>
          <cell r="B2834" t="str">
            <v>MY-PUHM001</v>
          </cell>
        </row>
        <row r="2835">
          <cell r="A2835" t="str">
            <v>MY-PUHM001-OR-14</v>
          </cell>
          <cell r="B2835" t="str">
            <v>MY-PUHM001</v>
          </cell>
        </row>
        <row r="2836">
          <cell r="A2836" t="str">
            <v>MY-PUHM001-OR-16</v>
          </cell>
          <cell r="B2836" t="str">
            <v>MY-PUHM001</v>
          </cell>
        </row>
        <row r="2837">
          <cell r="A2837" t="str">
            <v>MY-PUHM001-OR-20</v>
          </cell>
          <cell r="B2837" t="str">
            <v>MY-PUHM001</v>
          </cell>
        </row>
        <row r="2838">
          <cell r="A2838" t="str">
            <v>MY-PUHM001-OR-24</v>
          </cell>
          <cell r="B2838" t="str">
            <v>MY-PUHM001</v>
          </cell>
        </row>
        <row r="2839">
          <cell r="A2839" t="str">
            <v>MY-PUHM001-OR-28</v>
          </cell>
          <cell r="B2839" t="str">
            <v>MY-PUHM001</v>
          </cell>
        </row>
        <row r="2840">
          <cell r="A2840" t="str">
            <v>MY-PUHM001-OR-8</v>
          </cell>
          <cell r="B2840" t="str">
            <v>MY-PUHM001</v>
          </cell>
        </row>
        <row r="2841">
          <cell r="A2841" t="str">
            <v>MY-PUHM001-R0-10</v>
          </cell>
          <cell r="B2841" t="str">
            <v>MY-PUHM001</v>
          </cell>
        </row>
        <row r="2842">
          <cell r="A2842" t="str">
            <v>MY-PUHM001-R0-12</v>
          </cell>
          <cell r="B2842" t="str">
            <v>MY-PUHM001</v>
          </cell>
        </row>
        <row r="2843">
          <cell r="A2843" t="str">
            <v>MY-PUHM001-R0-14</v>
          </cell>
          <cell r="B2843" t="str">
            <v>MY-PUHM001</v>
          </cell>
        </row>
        <row r="2844">
          <cell r="A2844" t="str">
            <v>MY-PUHM001-R0-16</v>
          </cell>
          <cell r="B2844" t="str">
            <v>MY-PUHM001</v>
          </cell>
        </row>
        <row r="2845">
          <cell r="A2845" t="str">
            <v>MY-PUHM001-R0-20</v>
          </cell>
          <cell r="B2845" t="str">
            <v>MY-PUHM001</v>
          </cell>
        </row>
        <row r="2846">
          <cell r="A2846" t="str">
            <v>MY-PUHM001-R0-24</v>
          </cell>
          <cell r="B2846" t="str">
            <v>MY-PUHM001</v>
          </cell>
        </row>
        <row r="2847">
          <cell r="A2847" t="str">
            <v>MY-PUHM001-R0-28</v>
          </cell>
          <cell r="B2847" t="str">
            <v>MY-PUHM001</v>
          </cell>
        </row>
        <row r="2848">
          <cell r="A2848" t="str">
            <v>MY-PUHM001-R0-8</v>
          </cell>
          <cell r="B2848" t="str">
            <v>MY-PUHM001</v>
          </cell>
        </row>
        <row r="2849">
          <cell r="A2849" t="str">
            <v>MY-PUHM001-ZL-10</v>
          </cell>
          <cell r="B2849" t="str">
            <v>MY-PUHM001</v>
          </cell>
        </row>
        <row r="2850">
          <cell r="A2850" t="str">
            <v>MY-PUHM001-ZL-12</v>
          </cell>
          <cell r="B2850" t="str">
            <v>MY-PUHM001</v>
          </cell>
        </row>
        <row r="2851">
          <cell r="A2851" t="str">
            <v>MY-PUHM001-ZL-14</v>
          </cell>
          <cell r="B2851" t="str">
            <v>MY-PUHM001</v>
          </cell>
        </row>
        <row r="2852">
          <cell r="A2852" t="str">
            <v>MY-PUHM001-ZL-16</v>
          </cell>
          <cell r="B2852" t="str">
            <v>MY-PUHM001</v>
          </cell>
        </row>
        <row r="2853">
          <cell r="A2853" t="str">
            <v>MY-PUHM001-ZL-20</v>
          </cell>
          <cell r="B2853" t="str">
            <v>MY-PUHM001</v>
          </cell>
        </row>
        <row r="2854">
          <cell r="A2854" t="str">
            <v>MY-PUHM001-ZL-24</v>
          </cell>
          <cell r="B2854" t="str">
            <v>MY-PUHM001</v>
          </cell>
        </row>
        <row r="2855">
          <cell r="A2855" t="str">
            <v>MY-PUHM001-ZL-28</v>
          </cell>
          <cell r="B2855" t="str">
            <v>MY-PUHM001</v>
          </cell>
        </row>
        <row r="2856">
          <cell r="A2856" t="str">
            <v>MY-PUHM001-ZL-8</v>
          </cell>
          <cell r="B2856" t="str">
            <v>MY-PUHM001</v>
          </cell>
        </row>
        <row r="2857">
          <cell r="A2857" t="str">
            <v>MY-PUHM035-R0-L</v>
          </cell>
          <cell r="B2857" t="str">
            <v>MY-PUHM035</v>
          </cell>
        </row>
        <row r="2858">
          <cell r="A2858" t="str">
            <v>MY-PUHM035-R0-M</v>
          </cell>
          <cell r="B2858" t="str">
            <v>MY-PUHM035</v>
          </cell>
        </row>
        <row r="2859">
          <cell r="A2859" t="str">
            <v>MY-PUHM035-R0-S</v>
          </cell>
          <cell r="B2859" t="str">
            <v>MY-PUHM035</v>
          </cell>
        </row>
        <row r="2860">
          <cell r="A2860" t="str">
            <v>MY-PUHM035-R0-XL</v>
          </cell>
          <cell r="B2860" t="str">
            <v>MY-PUHM035</v>
          </cell>
        </row>
        <row r="2861">
          <cell r="A2861" t="str">
            <v>MY-PUHM035-R0-XXL</v>
          </cell>
          <cell r="B2861" t="str">
            <v>MY-PUHM035</v>
          </cell>
        </row>
        <row r="2862">
          <cell r="A2862" t="str">
            <v>MY-PUHM036-B0-L</v>
          </cell>
          <cell r="B2862" t="str">
            <v>MY-PUHM036</v>
          </cell>
        </row>
        <row r="2863">
          <cell r="A2863" t="str">
            <v>MY-PUHM036-B0-M</v>
          </cell>
          <cell r="B2863" t="str">
            <v>MY-PUHM036</v>
          </cell>
        </row>
        <row r="2864">
          <cell r="A2864" t="str">
            <v>MY-PUHM036-B0-S</v>
          </cell>
          <cell r="B2864" t="str">
            <v>MY-PUHM036</v>
          </cell>
        </row>
        <row r="2865">
          <cell r="A2865" t="str">
            <v>MY-PUHM036-B0-XL</v>
          </cell>
          <cell r="B2865" t="str">
            <v>MY-PUHM036</v>
          </cell>
        </row>
        <row r="2866">
          <cell r="A2866" t="str">
            <v>MY-PUHM036-B0-XXL</v>
          </cell>
          <cell r="B2866" t="str">
            <v>MY-PUHM036</v>
          </cell>
        </row>
        <row r="2867">
          <cell r="A2867" t="str">
            <v>MY-PUHM582-B0-L</v>
          </cell>
          <cell r="B2867" t="str">
            <v>MY-PUHM582</v>
          </cell>
        </row>
        <row r="2868">
          <cell r="A2868" t="str">
            <v>MY-PUHM582-B0-M</v>
          </cell>
          <cell r="B2868" t="str">
            <v>MY-PUHM582</v>
          </cell>
        </row>
        <row r="2869">
          <cell r="A2869" t="str">
            <v>MY-PUHM582-B0-S</v>
          </cell>
          <cell r="B2869" t="str">
            <v>MY-PUHM582</v>
          </cell>
        </row>
        <row r="2870">
          <cell r="A2870" t="str">
            <v>MY-PUHM582-B0-XL</v>
          </cell>
          <cell r="B2870" t="str">
            <v>MY-PUHM582</v>
          </cell>
        </row>
        <row r="2871">
          <cell r="A2871" t="str">
            <v>MY-PUHM582-B0-XS</v>
          </cell>
          <cell r="B2871" t="str">
            <v>MY-PUHM582</v>
          </cell>
        </row>
        <row r="2872">
          <cell r="A2872" t="str">
            <v>MY-PUHM582-R0-L</v>
          </cell>
          <cell r="B2872" t="str">
            <v>MY-PUHM582</v>
          </cell>
        </row>
        <row r="2873">
          <cell r="A2873" t="str">
            <v>MY-PUHM582-R0-M</v>
          </cell>
          <cell r="B2873" t="str">
            <v>MY-PUHM582</v>
          </cell>
        </row>
        <row r="2874">
          <cell r="A2874" t="str">
            <v>MY-PUHM582-R0-S</v>
          </cell>
          <cell r="B2874" t="str">
            <v>MY-PUHM582</v>
          </cell>
        </row>
        <row r="2875">
          <cell r="A2875" t="str">
            <v>MY-PUHM582-R0-XL</v>
          </cell>
          <cell r="B2875" t="str">
            <v>MY-PUHM582</v>
          </cell>
        </row>
        <row r="2876">
          <cell r="A2876" t="str">
            <v>MY-PUHM582-R0-XS</v>
          </cell>
          <cell r="B2876" t="str">
            <v>MY-PUHM582</v>
          </cell>
        </row>
        <row r="2877">
          <cell r="A2877" t="str">
            <v>MY-SB011-BK-L</v>
          </cell>
          <cell r="B2877" t="str">
            <v>MY-SB011</v>
          </cell>
        </row>
        <row r="2878">
          <cell r="A2878" t="str">
            <v>MY-SB011-BK-M</v>
          </cell>
          <cell r="B2878" t="str">
            <v>MY-SB011</v>
          </cell>
        </row>
        <row r="2879">
          <cell r="A2879" t="str">
            <v>MY-SB011-BK-S</v>
          </cell>
          <cell r="B2879" t="str">
            <v>MY-SB011</v>
          </cell>
        </row>
        <row r="2880">
          <cell r="A2880" t="str">
            <v>MY-SB011-BK-XL</v>
          </cell>
          <cell r="B2880" t="str">
            <v>MY-SB011</v>
          </cell>
        </row>
        <row r="2881">
          <cell r="A2881" t="str">
            <v>MY-SB011-BL-L</v>
          </cell>
          <cell r="B2881" t="str">
            <v>MY-SB011</v>
          </cell>
        </row>
        <row r="2882">
          <cell r="A2882" t="str">
            <v>MY-SB011-BL-M</v>
          </cell>
          <cell r="B2882" t="str">
            <v>MY-SB011</v>
          </cell>
        </row>
        <row r="2883">
          <cell r="A2883" t="str">
            <v>MY-SB011-BL-S</v>
          </cell>
          <cell r="B2883" t="str">
            <v>MY-SB011</v>
          </cell>
        </row>
        <row r="2884">
          <cell r="A2884" t="str">
            <v>MY-SB011-BL-XL</v>
          </cell>
          <cell r="B2884" t="str">
            <v>MY-SB011</v>
          </cell>
        </row>
        <row r="2885">
          <cell r="A2885" t="str">
            <v>MY-SB011-CF-L</v>
          </cell>
          <cell r="B2885" t="str">
            <v>MY-SB011</v>
          </cell>
        </row>
        <row r="2886">
          <cell r="A2886" t="str">
            <v>MY-SB011-CF-M</v>
          </cell>
          <cell r="B2886" t="str">
            <v>MY-SB011</v>
          </cell>
        </row>
        <row r="2887">
          <cell r="A2887" t="str">
            <v>MY-SB011-CF-S</v>
          </cell>
          <cell r="B2887" t="str">
            <v>MY-SB011</v>
          </cell>
        </row>
        <row r="2888">
          <cell r="A2888" t="str">
            <v>MY-SB011-CF-XL</v>
          </cell>
          <cell r="B2888" t="str">
            <v>MY-SB011</v>
          </cell>
        </row>
        <row r="2889">
          <cell r="A2889" t="str">
            <v>MY-SB011-DG-L</v>
          </cell>
          <cell r="B2889" t="str">
            <v>MY-SB011</v>
          </cell>
        </row>
        <row r="2890">
          <cell r="A2890" t="str">
            <v>MY-SB011-DG-M</v>
          </cell>
          <cell r="B2890" t="str">
            <v>MY-SB011</v>
          </cell>
        </row>
        <row r="2891">
          <cell r="A2891" t="str">
            <v>MY-SB011-DG-S</v>
          </cell>
          <cell r="B2891" t="str">
            <v>MY-SB011</v>
          </cell>
        </row>
        <row r="2892">
          <cell r="A2892" t="str">
            <v>MY-SB011-DG-XL</v>
          </cell>
          <cell r="B2892" t="str">
            <v>MY-SB011</v>
          </cell>
        </row>
        <row r="2893">
          <cell r="A2893" t="str">
            <v>MY-SB011-LG-L</v>
          </cell>
          <cell r="B2893" t="str">
            <v>MY-SB011</v>
          </cell>
        </row>
        <row r="2894">
          <cell r="A2894" t="str">
            <v>MY-SB011-LG-M</v>
          </cell>
          <cell r="B2894" t="str">
            <v>MY-SB011</v>
          </cell>
        </row>
        <row r="2895">
          <cell r="A2895" t="str">
            <v>MY-SB011-LG-S</v>
          </cell>
          <cell r="B2895" t="str">
            <v>MY-SB011</v>
          </cell>
        </row>
        <row r="2896">
          <cell r="A2896" t="str">
            <v>MY-SB011-LG-XL</v>
          </cell>
          <cell r="B2896" t="str">
            <v>MY-SB011</v>
          </cell>
        </row>
        <row r="2897">
          <cell r="A2897" t="str">
            <v>MY-SB011-NY-L</v>
          </cell>
          <cell r="B2897" t="str">
            <v>MY-SB011</v>
          </cell>
        </row>
        <row r="2898">
          <cell r="A2898" t="str">
            <v>MY-SB011-NY-M</v>
          </cell>
          <cell r="B2898" t="str">
            <v>MY-SB011</v>
          </cell>
        </row>
        <row r="2899">
          <cell r="A2899" t="str">
            <v>MY-SB011-NY-S</v>
          </cell>
          <cell r="B2899" t="str">
            <v>MY-SB011</v>
          </cell>
        </row>
        <row r="2900">
          <cell r="A2900" t="str">
            <v>MY-SB011-NY-XL</v>
          </cell>
          <cell r="B2900" t="str">
            <v>MY-SB011</v>
          </cell>
        </row>
        <row r="2901">
          <cell r="A2901" t="str">
            <v>MY-SB011-PP-L</v>
          </cell>
          <cell r="B2901" t="str">
            <v>MY-SB011</v>
          </cell>
        </row>
        <row r="2902">
          <cell r="A2902" t="str">
            <v>MY-SB011-PP-M</v>
          </cell>
          <cell r="B2902" t="str">
            <v>MY-SB011</v>
          </cell>
        </row>
        <row r="2903">
          <cell r="A2903" t="str">
            <v>MY-SB011-PP-S</v>
          </cell>
          <cell r="B2903" t="str">
            <v>MY-SB011</v>
          </cell>
        </row>
        <row r="2904">
          <cell r="A2904" t="str">
            <v>MY-SB011-PP-XL</v>
          </cell>
          <cell r="B2904" t="str">
            <v>MY-SB011</v>
          </cell>
        </row>
        <row r="2905">
          <cell r="A2905" t="str">
            <v>MY-SB011-RD-L</v>
          </cell>
          <cell r="B2905" t="str">
            <v>MY-SB011</v>
          </cell>
        </row>
        <row r="2906">
          <cell r="A2906" t="str">
            <v>MY-SB011-RD-M</v>
          </cell>
          <cell r="B2906" t="str">
            <v>MY-SB011</v>
          </cell>
        </row>
        <row r="2907">
          <cell r="A2907" t="str">
            <v>MY-SB011-RD-S</v>
          </cell>
          <cell r="B2907" t="str">
            <v>MY-SB011</v>
          </cell>
        </row>
        <row r="2908">
          <cell r="A2908" t="str">
            <v>MY-SB011-RD-XL</v>
          </cell>
          <cell r="B2908" t="str">
            <v>MY-SB011</v>
          </cell>
        </row>
        <row r="2909">
          <cell r="A2909" t="str">
            <v>MY-SB011-WT-L</v>
          </cell>
          <cell r="B2909" t="str">
            <v>MY-SB011</v>
          </cell>
        </row>
        <row r="2910">
          <cell r="A2910" t="str">
            <v>MY-SB011-WT-M</v>
          </cell>
          <cell r="B2910" t="str">
            <v>MY-SB011</v>
          </cell>
        </row>
        <row r="2911">
          <cell r="A2911" t="str">
            <v>MY-SB011-WT-S</v>
          </cell>
          <cell r="B2911" t="str">
            <v>MY-SB011</v>
          </cell>
        </row>
        <row r="2912">
          <cell r="A2912" t="str">
            <v>MY-SB011-WT-XL</v>
          </cell>
          <cell r="B2912" t="str">
            <v>MY-SB011</v>
          </cell>
        </row>
        <row r="2913">
          <cell r="A2913" t="str">
            <v>MY-SB013-AG-L</v>
          </cell>
          <cell r="B2913" t="str">
            <v>MY-SB013</v>
          </cell>
        </row>
        <row r="2914">
          <cell r="A2914" t="str">
            <v>MY-SB013-AG-M</v>
          </cell>
          <cell r="B2914" t="str">
            <v>MY-SB013</v>
          </cell>
        </row>
        <row r="2915">
          <cell r="A2915" t="str">
            <v>MY-SB013-AG-S</v>
          </cell>
          <cell r="B2915" t="str">
            <v>MY-SB013</v>
          </cell>
        </row>
        <row r="2916">
          <cell r="A2916" t="str">
            <v>MY-SB013-AG-XL</v>
          </cell>
          <cell r="B2916" t="str">
            <v>MY-SB013</v>
          </cell>
        </row>
        <row r="2917">
          <cell r="A2917" t="str">
            <v>MY-SB013-AG-XS</v>
          </cell>
          <cell r="B2917" t="str">
            <v>MY-SB013</v>
          </cell>
        </row>
        <row r="2918">
          <cell r="A2918" t="str">
            <v>MY-SB013-BO-L</v>
          </cell>
          <cell r="B2918" t="str">
            <v>MY-SB013</v>
          </cell>
        </row>
        <row r="2919">
          <cell r="A2919" t="str">
            <v>MY-SB013-BO-M</v>
          </cell>
          <cell r="B2919" t="str">
            <v>MY-SB013</v>
          </cell>
        </row>
        <row r="2920">
          <cell r="A2920" t="str">
            <v>MY-SB013-BO-S</v>
          </cell>
          <cell r="B2920" t="str">
            <v>MY-SB013</v>
          </cell>
        </row>
        <row r="2921">
          <cell r="A2921" t="str">
            <v>MY-SB013-BO-XL</v>
          </cell>
          <cell r="B2921" t="str">
            <v>MY-SB013</v>
          </cell>
        </row>
        <row r="2922">
          <cell r="A2922" t="str">
            <v>MY-SB013-BO-XS</v>
          </cell>
          <cell r="B2922" t="str">
            <v>MY-SB013</v>
          </cell>
        </row>
        <row r="2923">
          <cell r="A2923" t="str">
            <v>MY-SB013-DG-L</v>
          </cell>
          <cell r="B2923" t="str">
            <v>MY-SB013</v>
          </cell>
        </row>
        <row r="2924">
          <cell r="A2924" t="str">
            <v>MY-SB013-DG-M</v>
          </cell>
          <cell r="B2924" t="str">
            <v>MY-SB013</v>
          </cell>
        </row>
        <row r="2925">
          <cell r="A2925" t="str">
            <v>MY-SB013-DG-S</v>
          </cell>
          <cell r="B2925" t="str">
            <v>MY-SB013</v>
          </cell>
        </row>
        <row r="2926">
          <cell r="A2926" t="str">
            <v>MY-SB013-DG-XL</v>
          </cell>
          <cell r="B2926" t="str">
            <v>MY-SB013</v>
          </cell>
        </row>
        <row r="2927">
          <cell r="A2927" t="str">
            <v>MY-SB013-DG-XS</v>
          </cell>
          <cell r="B2927" t="str">
            <v>MY-SB013</v>
          </cell>
        </row>
        <row r="2928">
          <cell r="A2928" t="str">
            <v>MY-SB013-KK-L</v>
          </cell>
          <cell r="B2928" t="str">
            <v>MY-SB013</v>
          </cell>
        </row>
        <row r="2929">
          <cell r="A2929" t="str">
            <v>MY-SB013-KK-M</v>
          </cell>
          <cell r="B2929" t="str">
            <v>MY-SB013</v>
          </cell>
        </row>
        <row r="2930">
          <cell r="A2930" t="str">
            <v>MY-SB013-KK-S</v>
          </cell>
          <cell r="B2930" t="str">
            <v>MY-SB013</v>
          </cell>
        </row>
        <row r="2931">
          <cell r="A2931" t="str">
            <v>MY-SB013-KK-XL</v>
          </cell>
          <cell r="B2931" t="str">
            <v>MY-SB013</v>
          </cell>
        </row>
        <row r="2932">
          <cell r="A2932" t="str">
            <v>MY-SB013-KK-XS</v>
          </cell>
          <cell r="B2932" t="str">
            <v>MY-SB013</v>
          </cell>
        </row>
        <row r="2933">
          <cell r="A2933" t="str">
            <v>MY-SB013-LG-L</v>
          </cell>
          <cell r="B2933" t="str">
            <v>MY-SB013</v>
          </cell>
        </row>
        <row r="2934">
          <cell r="A2934" t="str">
            <v>MY-SB013-LG-M</v>
          </cell>
          <cell r="B2934" t="str">
            <v>MY-SB013</v>
          </cell>
        </row>
        <row r="2935">
          <cell r="A2935" t="str">
            <v>MY-SB013-LG-S</v>
          </cell>
          <cell r="B2935" t="str">
            <v>MY-SB013</v>
          </cell>
        </row>
        <row r="2936">
          <cell r="A2936" t="str">
            <v>MY-SB013-LG-XL</v>
          </cell>
          <cell r="B2936" t="str">
            <v>MY-SB013</v>
          </cell>
        </row>
        <row r="2937">
          <cell r="A2937" t="str">
            <v>MY-SB013-LG-XS</v>
          </cell>
          <cell r="B2937" t="str">
            <v>MY-SB013</v>
          </cell>
        </row>
        <row r="2938">
          <cell r="A2938" t="str">
            <v>MY-SB013-WR-L</v>
          </cell>
          <cell r="B2938" t="str">
            <v>MY-SB013</v>
          </cell>
        </row>
        <row r="2939">
          <cell r="A2939" t="str">
            <v>MY-SB013-WR-M</v>
          </cell>
          <cell r="B2939" t="str">
            <v>MY-SB013</v>
          </cell>
        </row>
        <row r="2940">
          <cell r="A2940" t="str">
            <v>MY-SB013-WR-S</v>
          </cell>
          <cell r="B2940" t="str">
            <v>MY-SB013</v>
          </cell>
        </row>
        <row r="2941">
          <cell r="A2941" t="str">
            <v>MY-SB013-WR-XL</v>
          </cell>
          <cell r="B2941" t="str">
            <v>MY-SB013</v>
          </cell>
        </row>
        <row r="2942">
          <cell r="A2942" t="str">
            <v>MY-SB013-WR-XS</v>
          </cell>
          <cell r="B2942" t="str">
            <v>MY-SB013</v>
          </cell>
        </row>
        <row r="2943">
          <cell r="A2943" t="str">
            <v>MY-SB015-BK-L</v>
          </cell>
          <cell r="B2943" t="str">
            <v>MY-SB015</v>
          </cell>
        </row>
        <row r="2944">
          <cell r="A2944" t="str">
            <v>MY-SB015-BK-M</v>
          </cell>
          <cell r="B2944" t="str">
            <v>MY-SB015</v>
          </cell>
        </row>
        <row r="2945">
          <cell r="A2945" t="str">
            <v>MY-SB015-BK-S</v>
          </cell>
          <cell r="B2945" t="str">
            <v>MY-SB015</v>
          </cell>
        </row>
        <row r="2946">
          <cell r="A2946" t="str">
            <v>MY-SB015-BK-XL</v>
          </cell>
          <cell r="B2946" t="str">
            <v>MY-SB015</v>
          </cell>
        </row>
        <row r="2947">
          <cell r="A2947" t="str">
            <v>MY-SB015-BL-L</v>
          </cell>
          <cell r="B2947" t="str">
            <v>MY-SB015</v>
          </cell>
        </row>
        <row r="2948">
          <cell r="A2948" t="str">
            <v>MY-SB015-BL-M</v>
          </cell>
          <cell r="B2948" t="str">
            <v>MY-SB015</v>
          </cell>
        </row>
        <row r="2949">
          <cell r="A2949" t="str">
            <v>MY-SB015-BL-S</v>
          </cell>
          <cell r="B2949" t="str">
            <v>MY-SB015</v>
          </cell>
        </row>
        <row r="2950">
          <cell r="A2950" t="str">
            <v>MY-SB015-BL-XL</v>
          </cell>
          <cell r="B2950" t="str">
            <v>MY-SB015</v>
          </cell>
        </row>
        <row r="2951">
          <cell r="A2951" t="str">
            <v>MY-SB015-DG-L</v>
          </cell>
          <cell r="B2951" t="str">
            <v>MY-SB015</v>
          </cell>
        </row>
        <row r="2952">
          <cell r="A2952" t="str">
            <v>MY-SB015-DG-M</v>
          </cell>
          <cell r="B2952" t="str">
            <v>MY-SB015</v>
          </cell>
        </row>
        <row r="2953">
          <cell r="A2953" t="str">
            <v>MY-SB015-DG-S</v>
          </cell>
          <cell r="B2953" t="str">
            <v>MY-SB015</v>
          </cell>
        </row>
        <row r="2954">
          <cell r="A2954" t="str">
            <v>MY-SB015-DG-XL</v>
          </cell>
          <cell r="B2954" t="str">
            <v>MY-SB015</v>
          </cell>
        </row>
        <row r="2955">
          <cell r="A2955" t="str">
            <v>MY-SB015-LG-L</v>
          </cell>
          <cell r="B2955" t="str">
            <v>MY-SB015</v>
          </cell>
        </row>
        <row r="2956">
          <cell r="A2956" t="str">
            <v>MY-SB015-LG-M</v>
          </cell>
          <cell r="B2956" t="str">
            <v>MY-SB015</v>
          </cell>
        </row>
        <row r="2957">
          <cell r="A2957" t="str">
            <v>MY-SB015-LG-S</v>
          </cell>
          <cell r="B2957" t="str">
            <v>MY-SB015</v>
          </cell>
        </row>
        <row r="2958">
          <cell r="A2958" t="str">
            <v>MY-SB015-LG-XL</v>
          </cell>
          <cell r="B2958" t="str">
            <v>MY-SB015</v>
          </cell>
        </row>
        <row r="2959">
          <cell r="A2959" t="str">
            <v>MY-SB015-PP-L</v>
          </cell>
          <cell r="B2959" t="str">
            <v>MY-SB015</v>
          </cell>
        </row>
        <row r="2960">
          <cell r="A2960" t="str">
            <v>MY-SB015-PP-M</v>
          </cell>
          <cell r="B2960" t="str">
            <v>MY-SB015</v>
          </cell>
        </row>
        <row r="2961">
          <cell r="A2961" t="str">
            <v>MY-SB015-PP-S</v>
          </cell>
          <cell r="B2961" t="str">
            <v>MY-SB015</v>
          </cell>
        </row>
        <row r="2962">
          <cell r="A2962" t="str">
            <v>MY-SB015-PP-XL</v>
          </cell>
          <cell r="B2962" t="str">
            <v>MY-SB015</v>
          </cell>
        </row>
        <row r="2963">
          <cell r="A2963" t="str">
            <v>MY-SB015-WR-L</v>
          </cell>
          <cell r="B2963" t="str">
            <v>MY-SB015</v>
          </cell>
        </row>
        <row r="2964">
          <cell r="A2964" t="str">
            <v>MY-SB015-WR-M</v>
          </cell>
          <cell r="B2964" t="str">
            <v>MY-SB015</v>
          </cell>
        </row>
        <row r="2965">
          <cell r="A2965" t="str">
            <v>MY-SB015-WR-S</v>
          </cell>
          <cell r="B2965" t="str">
            <v>MY-SB015</v>
          </cell>
        </row>
        <row r="2966">
          <cell r="A2966" t="str">
            <v>MY-SB015-WR-XL</v>
          </cell>
          <cell r="B2966" t="str">
            <v>MY-SB015</v>
          </cell>
        </row>
        <row r="2967">
          <cell r="A2967" t="str">
            <v>MY-ZQ-TWA1-KG-2X</v>
          </cell>
          <cell r="B2967" t="str">
            <v>MY-ZQ-TWA1</v>
          </cell>
        </row>
        <row r="2968">
          <cell r="A2968" t="str">
            <v>MY-ZQ-TWA1-KG-3X</v>
          </cell>
          <cell r="B2968" t="str">
            <v>MY-ZQ-TWA1</v>
          </cell>
        </row>
        <row r="2969">
          <cell r="A2969" t="str">
            <v>MY-ZQ-TWA1-KG-4X</v>
          </cell>
          <cell r="B2969" t="str">
            <v>MY-ZQ-TWA1</v>
          </cell>
        </row>
        <row r="2970">
          <cell r="A2970" t="str">
            <v>MY-ZQ-TWA1-KG-5X</v>
          </cell>
          <cell r="B2970" t="str">
            <v>MY-ZQ-TWA1</v>
          </cell>
        </row>
        <row r="2971">
          <cell r="A2971" t="str">
            <v>MY-ZQ-TWA1-KG-L</v>
          </cell>
          <cell r="B2971" t="str">
            <v>MY-ZQ-TWA1</v>
          </cell>
        </row>
        <row r="2972">
          <cell r="A2972" t="str">
            <v>MY-ZQ-TWA1-KG-M</v>
          </cell>
          <cell r="B2972" t="str">
            <v>MY-ZQ-TWA1</v>
          </cell>
        </row>
        <row r="2973">
          <cell r="A2973" t="str">
            <v>MY-ZQ-TWA1-KG-S</v>
          </cell>
          <cell r="B2973" t="str">
            <v>MY-ZQ-TWA1</v>
          </cell>
        </row>
        <row r="2974">
          <cell r="A2974" t="str">
            <v>MY-ZQ-TWA1-KG-XL</v>
          </cell>
          <cell r="B2974" t="str">
            <v>MY-ZQ-TWA1</v>
          </cell>
        </row>
        <row r="2975">
          <cell r="A2975" t="str">
            <v>MZ006E0</v>
          </cell>
          <cell r="B2975" t="str">
            <v>MZ006</v>
          </cell>
        </row>
        <row r="2976">
          <cell r="A2976" t="str">
            <v>MZ006K0</v>
          </cell>
          <cell r="B2976" t="str">
            <v>MZ006</v>
          </cell>
        </row>
        <row r="2977">
          <cell r="A2977" t="str">
            <v>MZ006W0</v>
          </cell>
          <cell r="B2977" t="str">
            <v>MZ006</v>
          </cell>
        </row>
        <row r="2978">
          <cell r="A2978" t="str">
            <v>MZ006W1</v>
          </cell>
          <cell r="B2978" t="str">
            <v>MZ006</v>
          </cell>
        </row>
        <row r="2979">
          <cell r="A2979" t="str">
            <v>MZ-JY1616-CF</v>
          </cell>
          <cell r="B2979" t="str">
            <v>MZ-JY1616</v>
          </cell>
        </row>
        <row r="2980">
          <cell r="A2980" t="str">
            <v>MZ-JY1616-K0</v>
          </cell>
          <cell r="B2980" t="str">
            <v>MZ-JY1616</v>
          </cell>
        </row>
        <row r="2981">
          <cell r="A2981" t="str">
            <v>MZ-JY1616-KH</v>
          </cell>
          <cell r="B2981" t="str">
            <v>MZ-JY1616</v>
          </cell>
        </row>
        <row r="2982">
          <cell r="A2982" t="str">
            <v>MZ-JY1616-R0</v>
          </cell>
          <cell r="B2982" t="str">
            <v>MZ-JY1616</v>
          </cell>
        </row>
        <row r="2983">
          <cell r="A2983" t="str">
            <v>MZ-JY1616-ZL</v>
          </cell>
          <cell r="B2983" t="str">
            <v>MZ-JY1616</v>
          </cell>
        </row>
        <row r="2984">
          <cell r="A2984" t="str">
            <v>MZ-SV2843BD</v>
          </cell>
          <cell r="B2984" t="str">
            <v>MZ-SV2843</v>
          </cell>
        </row>
        <row r="2985">
          <cell r="A2985" t="str">
            <v>MZ-SV2843E0</v>
          </cell>
          <cell r="B2985" t="str">
            <v>MZ-SV2843</v>
          </cell>
        </row>
        <row r="2986">
          <cell r="A2986" t="str">
            <v>MZ-SV2843K0</v>
          </cell>
          <cell r="B2986" t="str">
            <v>MZ-SV2843</v>
          </cell>
        </row>
        <row r="2987">
          <cell r="A2987" t="str">
            <v>MZ-SV2843KQ</v>
          </cell>
          <cell r="B2987" t="str">
            <v>MZ-SV2843</v>
          </cell>
        </row>
        <row r="2988">
          <cell r="A2988" t="str">
            <v>MZ-SV2843N5</v>
          </cell>
          <cell r="B2988" t="str">
            <v>MZ-SV2843</v>
          </cell>
        </row>
        <row r="2989">
          <cell r="A2989" t="str">
            <v>MZ-SV2843W1</v>
          </cell>
          <cell r="B2989" t="str">
            <v>MZ-SV2843</v>
          </cell>
        </row>
        <row r="2990">
          <cell r="A2990" t="str">
            <v>MZ-SV2843ZL</v>
          </cell>
          <cell r="B2990" t="str">
            <v>MZ-SV2843</v>
          </cell>
        </row>
        <row r="2991">
          <cell r="A2991" t="str">
            <v>Pajamas-sb001-GR-L</v>
          </cell>
          <cell r="B2991" t="str">
            <v>Pajamas-sb001</v>
          </cell>
        </row>
        <row r="2992">
          <cell r="A2992" t="str">
            <v>Pajamas-sb001-GR-M</v>
          </cell>
          <cell r="B2992" t="str">
            <v>Pajamas-sb001</v>
          </cell>
        </row>
        <row r="2993">
          <cell r="A2993" t="str">
            <v>Pajamas-sb001-GR-XL</v>
          </cell>
          <cell r="B2993" t="str">
            <v>Pajamas-sb001</v>
          </cell>
        </row>
        <row r="2994">
          <cell r="A2994" t="str">
            <v>Pajamas-sb001-KK-L</v>
          </cell>
          <cell r="B2994" t="str">
            <v>Pajamas-sb001</v>
          </cell>
        </row>
        <row r="2995">
          <cell r="A2995" t="str">
            <v>Pajamas-sb001-KK-M</v>
          </cell>
          <cell r="B2995" t="str">
            <v>Pajamas-sb001</v>
          </cell>
        </row>
        <row r="2996">
          <cell r="A2996" t="str">
            <v>Pajamas-sb001-KK-XL</v>
          </cell>
          <cell r="B2996" t="str">
            <v>Pajamas-sb001</v>
          </cell>
        </row>
        <row r="2997">
          <cell r="A2997" t="str">
            <v>Pajamas-sb001-NY-L</v>
          </cell>
          <cell r="B2997" t="str">
            <v>Pajamas-sb001</v>
          </cell>
        </row>
        <row r="2998">
          <cell r="A2998" t="str">
            <v>Pajamas-sb001-NY-M</v>
          </cell>
          <cell r="B2998" t="str">
            <v>Pajamas-sb001</v>
          </cell>
        </row>
        <row r="2999">
          <cell r="A2999" t="str">
            <v>Pajamas-sb001-NY-XL</v>
          </cell>
          <cell r="B2999" t="str">
            <v>Pajamas-sb001</v>
          </cell>
        </row>
        <row r="3000">
          <cell r="A3000" t="str">
            <v>Pajamas-sb001-WT-L</v>
          </cell>
          <cell r="B3000" t="str">
            <v>Pajamas-sb001</v>
          </cell>
        </row>
        <row r="3001">
          <cell r="A3001" t="str">
            <v>Pajamas-sb001-WT-M</v>
          </cell>
          <cell r="B3001" t="str">
            <v>Pajamas-sb001</v>
          </cell>
        </row>
        <row r="3002">
          <cell r="A3002" t="str">
            <v>Pajamas-sb001-WT-XL</v>
          </cell>
          <cell r="B3002" t="str">
            <v>Pajamas-sb001</v>
          </cell>
        </row>
        <row r="3003">
          <cell r="A3003" t="str">
            <v>PJ-ZQ7050-C1</v>
          </cell>
          <cell r="B3003" t="str">
            <v>PJ-ZQ7050</v>
          </cell>
        </row>
        <row r="3004">
          <cell r="A3004" t="str">
            <v>PJ-ZQ7050-C2</v>
          </cell>
          <cell r="B3004" t="str">
            <v>PJ-ZQ7050</v>
          </cell>
        </row>
        <row r="3005">
          <cell r="A3005" t="str">
            <v>PJ-ZQ7050-C3</v>
          </cell>
          <cell r="B3005" t="str">
            <v>PJ-ZQ7050</v>
          </cell>
        </row>
        <row r="3006">
          <cell r="A3006" t="str">
            <v>PJ-ZQ7050-C4</v>
          </cell>
          <cell r="B3006" t="str">
            <v>PJ-ZQ7050</v>
          </cell>
        </row>
        <row r="3007">
          <cell r="A3007" t="str">
            <v>PJ-ZQ7050-C5</v>
          </cell>
          <cell r="B3007" t="str">
            <v>PJ-ZQ7050</v>
          </cell>
        </row>
        <row r="3008">
          <cell r="A3008" t="str">
            <v>PJ-ZQ7050-C6</v>
          </cell>
          <cell r="B3008" t="str">
            <v>PJ-ZQ7050</v>
          </cell>
        </row>
        <row r="3009">
          <cell r="A3009" t="str">
            <v>PJ-ZQ7654-E0</v>
          </cell>
          <cell r="B3009" t="str">
            <v>PJ-ZQ7654</v>
          </cell>
        </row>
        <row r="3010">
          <cell r="A3010" t="str">
            <v>POLO-SB014-BK-L</v>
          </cell>
          <cell r="B3010" t="str">
            <v>POLO-SB014</v>
          </cell>
        </row>
        <row r="3011">
          <cell r="A3011" t="str">
            <v>POLO-SB014-BK-M</v>
          </cell>
          <cell r="B3011" t="str">
            <v>POLO-SB014</v>
          </cell>
        </row>
        <row r="3012">
          <cell r="A3012" t="str">
            <v>POLO-SB014-BK-S</v>
          </cell>
          <cell r="B3012" t="str">
            <v>POLO-SB014</v>
          </cell>
        </row>
        <row r="3013">
          <cell r="A3013" t="str">
            <v>POLO-SB014-BK-XL</v>
          </cell>
          <cell r="B3013" t="str">
            <v>POLO-SB014</v>
          </cell>
        </row>
        <row r="3014">
          <cell r="A3014" t="str">
            <v>POLO-SB014-GN-L</v>
          </cell>
          <cell r="B3014" t="str">
            <v>POLO-SB014</v>
          </cell>
        </row>
        <row r="3015">
          <cell r="A3015" t="str">
            <v>POLO-SB014-GN-M</v>
          </cell>
          <cell r="B3015" t="str">
            <v>POLO-SB014</v>
          </cell>
        </row>
        <row r="3016">
          <cell r="A3016" t="str">
            <v>POLO-SB014-GN-S</v>
          </cell>
          <cell r="B3016" t="str">
            <v>POLO-SB014</v>
          </cell>
        </row>
        <row r="3017">
          <cell r="A3017" t="str">
            <v>POLO-SB014-GN-XL</v>
          </cell>
          <cell r="B3017" t="str">
            <v>POLO-SB014</v>
          </cell>
        </row>
        <row r="3018">
          <cell r="A3018" t="str">
            <v>POLO-SB014-GR-L</v>
          </cell>
          <cell r="B3018" t="str">
            <v>POLO-SB014</v>
          </cell>
        </row>
        <row r="3019">
          <cell r="A3019" t="str">
            <v>POLO-SB014-GR-M</v>
          </cell>
          <cell r="B3019" t="str">
            <v>POLO-SB014</v>
          </cell>
        </row>
        <row r="3020">
          <cell r="A3020" t="str">
            <v>POLO-SB014-GR-S</v>
          </cell>
          <cell r="B3020" t="str">
            <v>POLO-SB014</v>
          </cell>
        </row>
        <row r="3021">
          <cell r="A3021" t="str">
            <v>POLO-SB014-GR-XL</v>
          </cell>
          <cell r="B3021" t="str">
            <v>POLO-SB014</v>
          </cell>
        </row>
        <row r="3022">
          <cell r="A3022" t="str">
            <v>POLO-SB014-NY-L</v>
          </cell>
          <cell r="B3022" t="str">
            <v>POLO-SB014</v>
          </cell>
        </row>
        <row r="3023">
          <cell r="A3023" t="str">
            <v>POLO-SB014-NY-M</v>
          </cell>
          <cell r="B3023" t="str">
            <v>POLO-SB014</v>
          </cell>
        </row>
        <row r="3024">
          <cell r="A3024" t="str">
            <v>POLO-SB014-NY-S</v>
          </cell>
          <cell r="B3024" t="str">
            <v>POLO-SB014</v>
          </cell>
        </row>
        <row r="3025">
          <cell r="A3025" t="str">
            <v>POLO-SB014-NY-XL</v>
          </cell>
          <cell r="B3025" t="str">
            <v>POLO-SB014</v>
          </cell>
        </row>
        <row r="3026">
          <cell r="A3026" t="str">
            <v>POLO-SB014-RD-L</v>
          </cell>
          <cell r="B3026" t="str">
            <v>POLO-SB014</v>
          </cell>
        </row>
        <row r="3027">
          <cell r="A3027" t="str">
            <v>POLO-SB014-RD-M</v>
          </cell>
          <cell r="B3027" t="str">
            <v>POLO-SB014</v>
          </cell>
        </row>
        <row r="3028">
          <cell r="A3028" t="str">
            <v>POLO-SB014-RD-S</v>
          </cell>
          <cell r="B3028" t="str">
            <v>POLO-SB014</v>
          </cell>
        </row>
        <row r="3029">
          <cell r="A3029" t="str">
            <v>POLO-SB014-RD-XL</v>
          </cell>
          <cell r="B3029" t="str">
            <v>POLO-SB014</v>
          </cell>
        </row>
        <row r="3030">
          <cell r="A3030" t="str">
            <v>POLO-SB014-YL-L</v>
          </cell>
          <cell r="B3030" t="str">
            <v>POLO-SB014</v>
          </cell>
        </row>
        <row r="3031">
          <cell r="A3031" t="str">
            <v>POLO-SB014-YL-M</v>
          </cell>
          <cell r="B3031" t="str">
            <v>POLO-SB014</v>
          </cell>
        </row>
        <row r="3032">
          <cell r="A3032" t="str">
            <v>POLO-SB014-YL-S</v>
          </cell>
          <cell r="B3032" t="str">
            <v>POLO-SB014</v>
          </cell>
        </row>
        <row r="3033">
          <cell r="A3033" t="str">
            <v>POLO-SB014-YL-XL</v>
          </cell>
          <cell r="B3033" t="str">
            <v>POLO-SB014</v>
          </cell>
        </row>
        <row r="3034">
          <cell r="A3034" t="str">
            <v>RY-PUHM716-B0-L</v>
          </cell>
          <cell r="B3034" t="str">
            <v>RY-PUHM716</v>
          </cell>
        </row>
        <row r="3035">
          <cell r="A3035" t="str">
            <v>RY-PUHM716-B0-M</v>
          </cell>
          <cell r="B3035" t="str">
            <v>RY-PUHM716</v>
          </cell>
        </row>
        <row r="3036">
          <cell r="A3036" t="str">
            <v>RY-PUHM716-B0-S</v>
          </cell>
          <cell r="B3036" t="str">
            <v>RY-PUHM716</v>
          </cell>
        </row>
        <row r="3037">
          <cell r="A3037" t="str">
            <v>RY-PUHM716-B0-XL</v>
          </cell>
          <cell r="B3037" t="str">
            <v>RY-PUHM716</v>
          </cell>
        </row>
        <row r="3038">
          <cell r="A3038" t="str">
            <v>RY-PUHM716-B0-XXL</v>
          </cell>
          <cell r="B3038" t="str">
            <v>RY-PUHM716</v>
          </cell>
        </row>
        <row r="3039">
          <cell r="A3039" t="str">
            <v>RY-PUHM716-KQ-L</v>
          </cell>
          <cell r="B3039" t="str">
            <v>RY-PUHM716</v>
          </cell>
        </row>
        <row r="3040">
          <cell r="A3040" t="str">
            <v>RY-PUHM716-KQ-M</v>
          </cell>
          <cell r="B3040" t="str">
            <v>RY-PUHM716</v>
          </cell>
        </row>
        <row r="3041">
          <cell r="A3041" t="str">
            <v>RY-PUHM716-KQ-S</v>
          </cell>
          <cell r="B3041" t="str">
            <v>RY-PUHM716</v>
          </cell>
        </row>
        <row r="3042">
          <cell r="A3042" t="str">
            <v>RY-PUHM716-KQ-XL</v>
          </cell>
          <cell r="B3042" t="str">
            <v>RY-PUHM716</v>
          </cell>
        </row>
        <row r="3043">
          <cell r="A3043" t="str">
            <v>RY-PUHM716-KQ-XXL</v>
          </cell>
          <cell r="B3043" t="str">
            <v>RY-PUHM716</v>
          </cell>
        </row>
        <row r="3044">
          <cell r="A3044" t="str">
            <v>RY-PUHM716-PI-L</v>
          </cell>
          <cell r="B3044" t="str">
            <v>RY-PUHM716</v>
          </cell>
        </row>
        <row r="3045">
          <cell r="A3045" t="str">
            <v>RY-PUHM716-PI-M</v>
          </cell>
          <cell r="B3045" t="str">
            <v>RY-PUHM716</v>
          </cell>
        </row>
        <row r="3046">
          <cell r="A3046" t="str">
            <v>RY-PUHM716-PI-S</v>
          </cell>
          <cell r="B3046" t="str">
            <v>RY-PUHM716</v>
          </cell>
        </row>
        <row r="3047">
          <cell r="A3047" t="str">
            <v>RY-PUHM716-PI-XL</v>
          </cell>
          <cell r="B3047" t="str">
            <v>RY-PUHM716</v>
          </cell>
        </row>
        <row r="3048">
          <cell r="A3048" t="str">
            <v>RY-PUHM716-PI-XXL</v>
          </cell>
          <cell r="B3048" t="str">
            <v>RY-PUHM716</v>
          </cell>
        </row>
        <row r="3049">
          <cell r="A3049" t="str">
            <v>SB-YL003-GH60</v>
          </cell>
          <cell r="B3049" t="str">
            <v>SB-YL003</v>
          </cell>
        </row>
        <row r="3050">
          <cell r="A3050" t="str">
            <v>SB-YL003-GH70</v>
          </cell>
          <cell r="B3050" t="str">
            <v>SB-YL003</v>
          </cell>
        </row>
        <row r="3051">
          <cell r="A3051" t="str">
            <v>SB-YL003-GH80</v>
          </cell>
          <cell r="B3051" t="str">
            <v>SB-YL003</v>
          </cell>
        </row>
        <row r="3052">
          <cell r="A3052" t="str">
            <v>SB-YL004-FD10</v>
          </cell>
          <cell r="B3052" t="str">
            <v>SB-YL004</v>
          </cell>
        </row>
        <row r="3053">
          <cell r="A3053" t="str">
            <v>SB-YL004-FD20</v>
          </cell>
          <cell r="B3053" t="str">
            <v>SB-YL004</v>
          </cell>
        </row>
        <row r="3054">
          <cell r="A3054" t="str">
            <v>SB-YL004-FD30</v>
          </cell>
          <cell r="B3054" t="str">
            <v>SB-YL004</v>
          </cell>
        </row>
        <row r="3055">
          <cell r="A3055" t="str">
            <v>SB-YL004-FD40</v>
          </cell>
          <cell r="B3055" t="str">
            <v>SB-YL004</v>
          </cell>
        </row>
        <row r="3056">
          <cell r="A3056" t="str">
            <v>SB-YL004-FD50</v>
          </cell>
          <cell r="B3056" t="str">
            <v>SB-YL004</v>
          </cell>
        </row>
        <row r="3057">
          <cell r="A3057" t="str">
            <v>SB-YL004-FD60</v>
          </cell>
          <cell r="B3057" t="str">
            <v>SB-YL004</v>
          </cell>
        </row>
        <row r="3058">
          <cell r="A3058" t="str">
            <v>SB-YL005-KS30</v>
          </cell>
          <cell r="B3058" t="str">
            <v>SB-YL005</v>
          </cell>
        </row>
        <row r="3059">
          <cell r="A3059" t="str">
            <v>SB-YL005-KS40</v>
          </cell>
          <cell r="B3059" t="str">
            <v>SB-YL005</v>
          </cell>
        </row>
        <row r="3060">
          <cell r="A3060" t="str">
            <v>SB-YL005-KS50</v>
          </cell>
          <cell r="B3060" t="str">
            <v>SB-YL005</v>
          </cell>
        </row>
        <row r="3061">
          <cell r="A3061" t="str">
            <v>SB-YL005-KS60</v>
          </cell>
          <cell r="B3061" t="str">
            <v>SB-YL005</v>
          </cell>
        </row>
        <row r="3062">
          <cell r="A3062" t="str">
            <v>SB-YL005-KS70</v>
          </cell>
          <cell r="B3062" t="str">
            <v>SB-YL005</v>
          </cell>
        </row>
        <row r="3063">
          <cell r="A3063" t="str">
            <v>SB-YL005-KS80</v>
          </cell>
          <cell r="B3063" t="str">
            <v>SB-YL005</v>
          </cell>
        </row>
        <row r="3064">
          <cell r="A3064" t="str">
            <v>Scarf-00004-Blueflower-OS</v>
          </cell>
          <cell r="B3064" t="str">
            <v>Scarf-00004</v>
          </cell>
        </row>
        <row r="3065">
          <cell r="A3065" t="str">
            <v>Scarf-00004-Bluetree-OS</v>
          </cell>
          <cell r="B3065" t="str">
            <v>Scarf-00004</v>
          </cell>
        </row>
        <row r="3066">
          <cell r="A3066" t="str">
            <v>Scarf-00004-Bohemian-OS</v>
          </cell>
          <cell r="B3066" t="str">
            <v>Scarf-00004</v>
          </cell>
        </row>
        <row r="3067">
          <cell r="A3067" t="str">
            <v>Scarf-00004-Redflower-OS</v>
          </cell>
          <cell r="B3067" t="str">
            <v>Scarf-00004</v>
          </cell>
        </row>
        <row r="3068">
          <cell r="A3068" t="str">
            <v>Scarf-00004-Wavyline-OS</v>
          </cell>
          <cell r="B3068" t="str">
            <v>Scarf-00004</v>
          </cell>
        </row>
        <row r="3069">
          <cell r="A3069" t="str">
            <v>scarf-0001-Blue</v>
          </cell>
          <cell r="B3069" t="str">
            <v>scarf-0001</v>
          </cell>
        </row>
        <row r="3070">
          <cell r="A3070" t="str">
            <v>scarf-0001-Green</v>
          </cell>
          <cell r="B3070" t="str">
            <v>scarf-0001</v>
          </cell>
        </row>
        <row r="3071">
          <cell r="A3071" t="str">
            <v>scarf-0001-Peony</v>
          </cell>
          <cell r="B3071" t="str">
            <v>scarf-0001</v>
          </cell>
        </row>
        <row r="3072">
          <cell r="A3072" t="str">
            <v>scarf-0001-Plum</v>
          </cell>
          <cell r="B3072" t="str">
            <v>scarf-0001</v>
          </cell>
        </row>
        <row r="3073">
          <cell r="A3073" t="str">
            <v>scarf-0002-Horse</v>
          </cell>
          <cell r="B3073" t="str">
            <v>scarf-0002</v>
          </cell>
        </row>
        <row r="3074">
          <cell r="A3074" t="str">
            <v>scarf-0002-Khaki</v>
          </cell>
          <cell r="B3074" t="str">
            <v>scarf-0002</v>
          </cell>
        </row>
        <row r="3075">
          <cell r="A3075" t="str">
            <v>scarf-0002-Orange</v>
          </cell>
          <cell r="B3075" t="str">
            <v>scarf-0002</v>
          </cell>
        </row>
        <row r="3076">
          <cell r="A3076" t="str">
            <v>scarf-0002-Red</v>
          </cell>
          <cell r="B3076" t="str">
            <v>scarf-0002</v>
          </cell>
        </row>
        <row r="3077">
          <cell r="A3077" t="str">
            <v>scarf-0003-Flowers</v>
          </cell>
          <cell r="B3077" t="str">
            <v>scarf-0003</v>
          </cell>
        </row>
        <row r="3078">
          <cell r="A3078" t="str">
            <v>scarf-0003-Hands</v>
          </cell>
          <cell r="B3078" t="str">
            <v>scarf-0003</v>
          </cell>
        </row>
        <row r="3079">
          <cell r="A3079" t="str">
            <v>scarf-0003-Palette</v>
          </cell>
          <cell r="B3079" t="str">
            <v>scarf-0003</v>
          </cell>
        </row>
        <row r="3080">
          <cell r="A3080" t="str">
            <v>scarf-0003-Pegasus</v>
          </cell>
          <cell r="B3080" t="str">
            <v>scarf-0003</v>
          </cell>
        </row>
        <row r="3081">
          <cell r="A3081" t="str">
            <v>scarf-001-blueheart</v>
          </cell>
          <cell r="B3081" t="str">
            <v>scarf-0001</v>
          </cell>
        </row>
        <row r="3082">
          <cell r="A3082" t="str">
            <v>Scarf-SJ005-BK-OS</v>
          </cell>
          <cell r="B3082" t="str">
            <v>Scarf-SJ005</v>
          </cell>
        </row>
        <row r="3083">
          <cell r="A3083" t="str">
            <v>Scarf-SJ005-G0-OS</v>
          </cell>
          <cell r="B3083" t="str">
            <v>Scarf-SJ005</v>
          </cell>
        </row>
        <row r="3084">
          <cell r="A3084" t="str">
            <v>Scarf-SJ005-OG-OS</v>
          </cell>
          <cell r="B3084" t="str">
            <v>Scarf-SJ005</v>
          </cell>
        </row>
        <row r="3085">
          <cell r="A3085" t="str">
            <v>Scarf-SJ005-R0-OS</v>
          </cell>
          <cell r="B3085" t="str">
            <v>Scarf-SJ005</v>
          </cell>
        </row>
        <row r="3086">
          <cell r="A3086" t="str">
            <v>SCF010-A01</v>
          </cell>
          <cell r="B3086" t="str">
            <v>SCF010</v>
          </cell>
        </row>
        <row r="3087">
          <cell r="A3087" t="str">
            <v>SCF010-A02</v>
          </cell>
          <cell r="B3087" t="str">
            <v>SCF010</v>
          </cell>
        </row>
        <row r="3088">
          <cell r="A3088" t="str">
            <v>SCF010-A03</v>
          </cell>
          <cell r="B3088" t="str">
            <v>SCF010</v>
          </cell>
        </row>
        <row r="3089">
          <cell r="A3089" t="str">
            <v>SCF010-A04</v>
          </cell>
          <cell r="B3089" t="str">
            <v>SCF010</v>
          </cell>
        </row>
        <row r="3090">
          <cell r="A3090" t="str">
            <v>SCF010-A05</v>
          </cell>
          <cell r="B3090" t="str">
            <v>SCF010</v>
          </cell>
        </row>
        <row r="3091">
          <cell r="A3091" t="str">
            <v>SCF010-A06</v>
          </cell>
          <cell r="B3091" t="str">
            <v>SCF010</v>
          </cell>
        </row>
        <row r="3092">
          <cell r="A3092" t="str">
            <v>SCF010-A07</v>
          </cell>
          <cell r="B3092" t="str">
            <v>SCF010</v>
          </cell>
        </row>
        <row r="3093">
          <cell r="A3093" t="str">
            <v>SCF010-A08</v>
          </cell>
          <cell r="B3093" t="str">
            <v>SCF010</v>
          </cell>
        </row>
        <row r="3094">
          <cell r="A3094" t="str">
            <v>SCF010-A09</v>
          </cell>
          <cell r="B3094" t="str">
            <v>SCF010</v>
          </cell>
        </row>
        <row r="3095">
          <cell r="A3095" t="str">
            <v>SCF-A01-001</v>
          </cell>
          <cell r="B3095" t="str">
            <v>SCF-A01</v>
          </cell>
        </row>
        <row r="3096">
          <cell r="A3096" t="str">
            <v>SCF-A01-002</v>
          </cell>
          <cell r="B3096" t="str">
            <v>SCF-A01</v>
          </cell>
        </row>
        <row r="3097">
          <cell r="A3097" t="str">
            <v>SCF-A01-003</v>
          </cell>
          <cell r="B3097" t="str">
            <v>SCF-A01</v>
          </cell>
        </row>
        <row r="3098">
          <cell r="A3098" t="str">
            <v>SCF-A01-004</v>
          </cell>
          <cell r="B3098" t="str">
            <v>SCF-A01</v>
          </cell>
        </row>
        <row r="3099">
          <cell r="A3099" t="str">
            <v>SCF-A01-005</v>
          </cell>
          <cell r="B3099" t="str">
            <v>SCF-A01</v>
          </cell>
        </row>
        <row r="3100">
          <cell r="A3100" t="str">
            <v>SCF-A01-006</v>
          </cell>
          <cell r="B3100" t="str">
            <v>SCF-A01</v>
          </cell>
        </row>
        <row r="3101">
          <cell r="A3101" t="str">
            <v>SCF-A01-007</v>
          </cell>
          <cell r="B3101" t="str">
            <v>SCF-A01</v>
          </cell>
        </row>
        <row r="3102">
          <cell r="A3102" t="str">
            <v>SCF-A01-008</v>
          </cell>
          <cell r="B3102" t="str">
            <v>SCF-A01</v>
          </cell>
        </row>
        <row r="3103">
          <cell r="A3103" t="str">
            <v>SCF-A01-009</v>
          </cell>
          <cell r="B3103" t="str">
            <v>SCF-A01</v>
          </cell>
        </row>
        <row r="3104">
          <cell r="A3104" t="str">
            <v>SCF-A01-010</v>
          </cell>
          <cell r="B3104" t="str">
            <v>SCF-A01</v>
          </cell>
        </row>
        <row r="3105">
          <cell r="A3105" t="str">
            <v>SCF-A01-011</v>
          </cell>
          <cell r="B3105" t="str">
            <v>SCF-A01</v>
          </cell>
        </row>
        <row r="3106">
          <cell r="A3106" t="str">
            <v>SCF-A01-012</v>
          </cell>
          <cell r="B3106" t="str">
            <v>SCF-A01</v>
          </cell>
        </row>
        <row r="3107">
          <cell r="A3107" t="str">
            <v>SCF-A01-013</v>
          </cell>
          <cell r="B3107" t="str">
            <v>SCF-A01</v>
          </cell>
        </row>
        <row r="3108">
          <cell r="A3108" t="str">
            <v>SCF-B01-001</v>
          </cell>
          <cell r="B3108" t="str">
            <v>SCF-B01</v>
          </cell>
        </row>
        <row r="3109">
          <cell r="A3109" t="str">
            <v>SCF-B01-002</v>
          </cell>
          <cell r="B3109" t="str">
            <v>SCF-B01</v>
          </cell>
        </row>
        <row r="3110">
          <cell r="A3110" t="str">
            <v>SCF-B01-003</v>
          </cell>
          <cell r="B3110" t="str">
            <v>SCF-B01</v>
          </cell>
        </row>
        <row r="3111">
          <cell r="A3111" t="str">
            <v>SCF-B01-004</v>
          </cell>
          <cell r="B3111" t="str">
            <v>SCF-B01</v>
          </cell>
        </row>
        <row r="3112">
          <cell r="A3112" t="str">
            <v>SCF-B01-005</v>
          </cell>
          <cell r="B3112" t="str">
            <v>SCF-B01</v>
          </cell>
        </row>
        <row r="3113">
          <cell r="A3113" t="str">
            <v>SCF-B01-006</v>
          </cell>
          <cell r="B3113" t="str">
            <v>SCF-B01</v>
          </cell>
        </row>
        <row r="3114">
          <cell r="A3114" t="str">
            <v>SCF-B01-007</v>
          </cell>
          <cell r="B3114" t="str">
            <v>SCF-B01</v>
          </cell>
        </row>
        <row r="3115">
          <cell r="A3115" t="str">
            <v>SCF-B01-008</v>
          </cell>
          <cell r="B3115" t="str">
            <v>SCF-B01</v>
          </cell>
        </row>
        <row r="3116">
          <cell r="A3116" t="str">
            <v>SCF-B01-009</v>
          </cell>
          <cell r="B3116" t="str">
            <v>SCF-B01</v>
          </cell>
        </row>
        <row r="3117">
          <cell r="A3117" t="str">
            <v>SCF-B01-010</v>
          </cell>
          <cell r="B3117" t="str">
            <v>SCF-B01</v>
          </cell>
        </row>
        <row r="3118">
          <cell r="A3118" t="str">
            <v>SCF-B01-011</v>
          </cell>
          <cell r="B3118" t="str">
            <v>SCF-B01</v>
          </cell>
        </row>
        <row r="3119">
          <cell r="A3119" t="str">
            <v>SCF-B01-012</v>
          </cell>
          <cell r="B3119" t="str">
            <v>SCF-B01</v>
          </cell>
        </row>
        <row r="3120">
          <cell r="A3120" t="str">
            <v>SCF-B01-013</v>
          </cell>
          <cell r="B3120" t="str">
            <v>SCF-B01</v>
          </cell>
        </row>
        <row r="3121">
          <cell r="A3121" t="str">
            <v>SCF-B01-014</v>
          </cell>
          <cell r="B3121" t="str">
            <v>SCF-B01</v>
          </cell>
        </row>
        <row r="3122">
          <cell r="A3122" t="str">
            <v>SCF-B01-015</v>
          </cell>
          <cell r="B3122" t="str">
            <v>SCF-B01</v>
          </cell>
        </row>
        <row r="3123">
          <cell r="A3123" t="str">
            <v>SCF-B01-016</v>
          </cell>
          <cell r="B3123" t="str">
            <v>SCF-B01</v>
          </cell>
        </row>
        <row r="3124">
          <cell r="A3124" t="str">
            <v>SCF-B01-017</v>
          </cell>
          <cell r="B3124" t="str">
            <v>SCF-B01</v>
          </cell>
        </row>
        <row r="3125">
          <cell r="A3125" t="str">
            <v>SCF-B01-018</v>
          </cell>
          <cell r="B3125" t="str">
            <v>SCF-B01</v>
          </cell>
        </row>
        <row r="3126">
          <cell r="A3126" t="str">
            <v>SCF-B01-019</v>
          </cell>
          <cell r="B3126" t="str">
            <v>SCF-B01</v>
          </cell>
        </row>
        <row r="3127">
          <cell r="A3127" t="str">
            <v>SCF-B01-020</v>
          </cell>
          <cell r="B3127" t="str">
            <v>SCF-B01</v>
          </cell>
        </row>
        <row r="3128">
          <cell r="A3128" t="str">
            <v>SCF-B01-021</v>
          </cell>
          <cell r="B3128" t="str">
            <v>SCF-B01</v>
          </cell>
        </row>
        <row r="3129">
          <cell r="A3129" t="str">
            <v>SCF-B01-022</v>
          </cell>
          <cell r="B3129" t="str">
            <v>SCF-B01</v>
          </cell>
        </row>
        <row r="3130">
          <cell r="A3130" t="str">
            <v>SCF-C01-001</v>
          </cell>
          <cell r="B3130" t="str">
            <v>SCF-C01</v>
          </cell>
        </row>
        <row r="3131">
          <cell r="A3131" t="str">
            <v>SCF-C01-002</v>
          </cell>
          <cell r="B3131" t="str">
            <v>SCF-C01</v>
          </cell>
        </row>
        <row r="3132">
          <cell r="A3132" t="str">
            <v>SCF-C01-003</v>
          </cell>
          <cell r="B3132" t="str">
            <v>SCF-C01</v>
          </cell>
        </row>
        <row r="3133">
          <cell r="A3133" t="str">
            <v>SCF-C01-004</v>
          </cell>
          <cell r="B3133" t="str">
            <v>SCF-C01</v>
          </cell>
        </row>
        <row r="3134">
          <cell r="A3134" t="str">
            <v>SCF-C01-005</v>
          </cell>
          <cell r="B3134" t="str">
            <v>SCF-C01</v>
          </cell>
        </row>
        <row r="3135">
          <cell r="A3135" t="str">
            <v>SCF-C01-006</v>
          </cell>
          <cell r="B3135" t="str">
            <v>SCF-C01</v>
          </cell>
        </row>
        <row r="3136">
          <cell r="A3136" t="str">
            <v>SCF-C01-007</v>
          </cell>
          <cell r="B3136" t="str">
            <v>SCF-C01</v>
          </cell>
        </row>
        <row r="3137">
          <cell r="A3137" t="str">
            <v>SCF-C01-008</v>
          </cell>
          <cell r="B3137" t="str">
            <v>SCF-C01</v>
          </cell>
        </row>
        <row r="3138">
          <cell r="A3138" t="str">
            <v>SCF-C01-009</v>
          </cell>
          <cell r="B3138" t="str">
            <v>SCF-C01</v>
          </cell>
        </row>
        <row r="3139">
          <cell r="A3139" t="str">
            <v>SCF-C01-010</v>
          </cell>
          <cell r="B3139" t="str">
            <v>SCF-C01</v>
          </cell>
        </row>
        <row r="3140">
          <cell r="A3140" t="str">
            <v>SCF-C01-011</v>
          </cell>
          <cell r="B3140" t="str">
            <v>SCF-C01</v>
          </cell>
        </row>
        <row r="3141">
          <cell r="A3141" t="str">
            <v>SCF-C01-012</v>
          </cell>
          <cell r="B3141" t="str">
            <v>SCF-C01</v>
          </cell>
        </row>
        <row r="3142">
          <cell r="A3142" t="str">
            <v>SCF-C01-013</v>
          </cell>
          <cell r="B3142" t="str">
            <v>SCF-C01</v>
          </cell>
        </row>
        <row r="3143">
          <cell r="A3143" t="str">
            <v>SCF-C01-014</v>
          </cell>
          <cell r="B3143" t="str">
            <v>SCF-C01</v>
          </cell>
        </row>
        <row r="3144">
          <cell r="A3144" t="str">
            <v>SCF-C01-015</v>
          </cell>
          <cell r="B3144" t="str">
            <v>SCF-C01</v>
          </cell>
        </row>
        <row r="3145">
          <cell r="A3145" t="str">
            <v>SCF-C01-016</v>
          </cell>
          <cell r="B3145" t="str">
            <v>SCF-C01</v>
          </cell>
        </row>
        <row r="3146">
          <cell r="A3146" t="str">
            <v>SCF-C01-017</v>
          </cell>
          <cell r="B3146" t="str">
            <v>SCF-C01</v>
          </cell>
        </row>
        <row r="3147">
          <cell r="A3147" t="str">
            <v>SCF-C01-018</v>
          </cell>
          <cell r="B3147" t="str">
            <v>SCF-C01</v>
          </cell>
        </row>
        <row r="3148">
          <cell r="A3148" t="str">
            <v>SCF-C01-019</v>
          </cell>
          <cell r="B3148" t="str">
            <v>SCF-C01</v>
          </cell>
        </row>
        <row r="3149">
          <cell r="A3149" t="str">
            <v>SCF-C01-020</v>
          </cell>
          <cell r="B3149" t="str">
            <v>SCF-C01</v>
          </cell>
        </row>
        <row r="3150">
          <cell r="A3150" t="str">
            <v>SCF-D01-001</v>
          </cell>
          <cell r="B3150" t="str">
            <v>SCF-D01</v>
          </cell>
        </row>
        <row r="3151">
          <cell r="A3151" t="str">
            <v>SCF-D01-002</v>
          </cell>
          <cell r="B3151" t="str">
            <v>SCF-D01</v>
          </cell>
        </row>
        <row r="3152">
          <cell r="A3152" t="str">
            <v>SCF-D01-003</v>
          </cell>
          <cell r="B3152" t="str">
            <v>SCF-D01</v>
          </cell>
        </row>
        <row r="3153">
          <cell r="A3153" t="str">
            <v>SCF-D01-004</v>
          </cell>
          <cell r="B3153" t="str">
            <v>SCF-D01</v>
          </cell>
        </row>
        <row r="3154">
          <cell r="A3154" t="str">
            <v>SCF-D01-005</v>
          </cell>
          <cell r="B3154" t="str">
            <v>SCF-D01</v>
          </cell>
        </row>
        <row r="3155">
          <cell r="A3155" t="str">
            <v>SCF-D01-006</v>
          </cell>
          <cell r="B3155" t="str">
            <v>SCF-D01</v>
          </cell>
        </row>
        <row r="3156">
          <cell r="A3156" t="str">
            <v>SCF-D01-007</v>
          </cell>
          <cell r="B3156" t="str">
            <v>SCF-D01</v>
          </cell>
        </row>
        <row r="3157">
          <cell r="A3157" t="str">
            <v>SCF-D01-008</v>
          </cell>
          <cell r="B3157" t="str">
            <v>SCF-D01</v>
          </cell>
        </row>
        <row r="3158">
          <cell r="A3158" t="str">
            <v>SCF-D01-009</v>
          </cell>
          <cell r="B3158" t="str">
            <v>SCF-D01</v>
          </cell>
        </row>
        <row r="3159">
          <cell r="A3159" t="str">
            <v>SCF-D01-010</v>
          </cell>
          <cell r="B3159" t="str">
            <v>SCF-D01</v>
          </cell>
        </row>
        <row r="3160">
          <cell r="A3160" t="str">
            <v>SCF-D01-011</v>
          </cell>
          <cell r="B3160" t="str">
            <v>SCF-D01</v>
          </cell>
        </row>
        <row r="3161">
          <cell r="A3161" t="str">
            <v>SCF-D01-012</v>
          </cell>
          <cell r="B3161" t="str">
            <v>SCF-D01</v>
          </cell>
        </row>
        <row r="3162">
          <cell r="A3162" t="str">
            <v>SCF-D01-013</v>
          </cell>
          <cell r="B3162" t="str">
            <v>SCF-D01</v>
          </cell>
        </row>
        <row r="3163">
          <cell r="A3163" t="str">
            <v>SCF-D01-014</v>
          </cell>
          <cell r="B3163" t="str">
            <v>SCF-D01</v>
          </cell>
        </row>
        <row r="3164">
          <cell r="A3164" t="str">
            <v>SCF-D01-015</v>
          </cell>
          <cell r="B3164" t="str">
            <v>SCF-D01</v>
          </cell>
        </row>
        <row r="3165">
          <cell r="A3165" t="str">
            <v>SCF-D01-016</v>
          </cell>
          <cell r="B3165" t="str">
            <v>SCF-D01</v>
          </cell>
        </row>
        <row r="3166">
          <cell r="A3166" t="str">
            <v>SCF-D01-017</v>
          </cell>
          <cell r="B3166" t="str">
            <v>SCF-D01</v>
          </cell>
        </row>
        <row r="3167">
          <cell r="A3167" t="str">
            <v>SCF-D01-018</v>
          </cell>
          <cell r="B3167" t="str">
            <v>SCF-D01</v>
          </cell>
        </row>
        <row r="3168">
          <cell r="A3168" t="str">
            <v>SCF-F02-NC</v>
          </cell>
          <cell r="B3168" t="str">
            <v>SCF-F02</v>
          </cell>
        </row>
        <row r="3169">
          <cell r="A3169" t="str">
            <v>SCF-SJ001-B0-OS</v>
          </cell>
          <cell r="B3169" t="str">
            <v>SCF-SJ001</v>
          </cell>
        </row>
        <row r="3170">
          <cell r="A3170" t="str">
            <v>SCF-SJ001-PF-OS</v>
          </cell>
          <cell r="B3170" t="str">
            <v>SCF-SJ001</v>
          </cell>
        </row>
        <row r="3171">
          <cell r="A3171" t="str">
            <v>SCF-SJ001-PY-OS</v>
          </cell>
          <cell r="B3171" t="str">
            <v>SCF-SJ001</v>
          </cell>
        </row>
        <row r="3172">
          <cell r="A3172" t="str">
            <v>SCF-SJ002-Horse-OS</v>
          </cell>
          <cell r="B3172" t="str">
            <v>SCF-SJ002</v>
          </cell>
        </row>
        <row r="3173">
          <cell r="A3173" t="str">
            <v>SCF-SJ002-KH-OS</v>
          </cell>
          <cell r="B3173" t="str">
            <v>SCF-SJ002</v>
          </cell>
        </row>
        <row r="3174">
          <cell r="A3174" t="str">
            <v>SCF-SJ002-OG-OS</v>
          </cell>
          <cell r="B3174" t="str">
            <v>SCF-SJ002</v>
          </cell>
        </row>
        <row r="3175">
          <cell r="A3175" t="str">
            <v>SCF-SJ002-R0-OS</v>
          </cell>
          <cell r="B3175" t="str">
            <v>SCF-SJ002</v>
          </cell>
        </row>
        <row r="3176">
          <cell r="A3176" t="str">
            <v>SCF-SJ003-Flowers-OS</v>
          </cell>
          <cell r="B3176" t="str">
            <v>SCF-SJ003</v>
          </cell>
        </row>
        <row r="3177">
          <cell r="A3177" t="str">
            <v>SCF-SJ003-Hands-OS</v>
          </cell>
          <cell r="B3177" t="str">
            <v>SCF-SJ003</v>
          </cell>
        </row>
        <row r="3178">
          <cell r="A3178" t="str">
            <v>SCF-SJ003-Pegasus-OS</v>
          </cell>
          <cell r="B3178" t="str">
            <v>SCF-SJ003</v>
          </cell>
        </row>
        <row r="3179">
          <cell r="A3179" t="str">
            <v>SCF-SJ006-Blackround-OS</v>
          </cell>
          <cell r="B3179" t="str">
            <v>SCF-SJ006</v>
          </cell>
        </row>
        <row r="3180">
          <cell r="A3180" t="str">
            <v>SCF-SJ006-Navystar-OS</v>
          </cell>
          <cell r="B3180" t="str">
            <v>SCF-SJ006</v>
          </cell>
        </row>
        <row r="3181">
          <cell r="A3181" t="str">
            <v>SCF-SJ006-Puzzle-OS</v>
          </cell>
          <cell r="B3181" t="str">
            <v>SCF-SJ006</v>
          </cell>
        </row>
        <row r="3182">
          <cell r="A3182" t="str">
            <v>SCF-SJ008-BK-OS</v>
          </cell>
          <cell r="B3182" t="str">
            <v>SCF-SJ008</v>
          </cell>
        </row>
        <row r="3183">
          <cell r="A3183" t="str">
            <v>SCF-SJ008-DB-OS</v>
          </cell>
          <cell r="B3183" t="str">
            <v>SCF-SJ008</v>
          </cell>
        </row>
        <row r="3184">
          <cell r="A3184" t="str">
            <v>SCF-SJ008-GR-OS</v>
          </cell>
          <cell r="B3184" t="str">
            <v>SCF-SJ008</v>
          </cell>
        </row>
        <row r="3185">
          <cell r="A3185" t="str">
            <v>SCF-SJ008-KH-OS</v>
          </cell>
          <cell r="B3185" t="str">
            <v>SCF-SJ008</v>
          </cell>
        </row>
        <row r="3186">
          <cell r="A3186" t="str">
            <v>SHIRT-SB001-BK-2XL</v>
          </cell>
          <cell r="B3186" t="str">
            <v>SHIRT-SB001</v>
          </cell>
        </row>
        <row r="3187">
          <cell r="A3187" t="str">
            <v>SHIRT-SB001-BK-L</v>
          </cell>
          <cell r="B3187" t="str">
            <v>SHIRT-SB001</v>
          </cell>
        </row>
        <row r="3188">
          <cell r="A3188" t="str">
            <v>SHIRT-SB001-BK-M</v>
          </cell>
          <cell r="B3188" t="str">
            <v>SHIRT-SB001</v>
          </cell>
        </row>
        <row r="3189">
          <cell r="A3189" t="str">
            <v>SHIRT-SB001-BK-S</v>
          </cell>
          <cell r="B3189" t="str">
            <v>SHIRT-SB001</v>
          </cell>
        </row>
        <row r="3190">
          <cell r="A3190" t="str">
            <v>SHIRT-SB001-BK-XL</v>
          </cell>
          <cell r="B3190" t="str">
            <v>SHIRT-SB001</v>
          </cell>
        </row>
        <row r="3191">
          <cell r="A3191" t="str">
            <v>SHIRT-SB001-BL-2XL</v>
          </cell>
          <cell r="B3191" t="str">
            <v>SHIRT-SB001</v>
          </cell>
        </row>
        <row r="3192">
          <cell r="A3192" t="str">
            <v>SHIRT-SB001-BL-L</v>
          </cell>
          <cell r="B3192" t="str">
            <v>SHIRT-SB001</v>
          </cell>
        </row>
        <row r="3193">
          <cell r="A3193" t="str">
            <v>SHIRT-SB001-BL-M</v>
          </cell>
          <cell r="B3193" t="str">
            <v>SHIRT-SB001</v>
          </cell>
        </row>
        <row r="3194">
          <cell r="A3194" t="str">
            <v>SHIRT-SB001-BL-S</v>
          </cell>
          <cell r="B3194" t="str">
            <v>SHIRT-SB001</v>
          </cell>
        </row>
        <row r="3195">
          <cell r="A3195" t="str">
            <v>SHIRT-SB001-BL-XL</v>
          </cell>
          <cell r="B3195" t="str">
            <v>SHIRT-SB001</v>
          </cell>
        </row>
        <row r="3196">
          <cell r="A3196" t="str">
            <v>SHIRT-SB001-GR-2XL</v>
          </cell>
          <cell r="B3196" t="str">
            <v>SHIRT-SB001</v>
          </cell>
        </row>
        <row r="3197">
          <cell r="A3197" t="str">
            <v>SHIRT-SB001-GR-L</v>
          </cell>
          <cell r="B3197" t="str">
            <v>SHIRT-SB001</v>
          </cell>
        </row>
        <row r="3198">
          <cell r="A3198" t="str">
            <v>SHIRT-SB001-GR-M</v>
          </cell>
          <cell r="B3198" t="str">
            <v>SHIRT-SB001</v>
          </cell>
        </row>
        <row r="3199">
          <cell r="A3199" t="str">
            <v>SHIRT-SB001-GR-S</v>
          </cell>
          <cell r="B3199" t="str">
            <v>SHIRT-SB001</v>
          </cell>
        </row>
        <row r="3200">
          <cell r="A3200" t="str">
            <v>SHIRT-SB001-GR-XL</v>
          </cell>
          <cell r="B3200" t="str">
            <v>SHIRT-SB001</v>
          </cell>
        </row>
        <row r="3201">
          <cell r="A3201" t="str">
            <v>SHIRT-SB001-PP-2XL</v>
          </cell>
          <cell r="B3201" t="str">
            <v>SHIRT-SB001</v>
          </cell>
        </row>
        <row r="3202">
          <cell r="A3202" t="str">
            <v>SHIRT-SB001-PP-L</v>
          </cell>
          <cell r="B3202" t="str">
            <v>SHIRT-SB001</v>
          </cell>
        </row>
        <row r="3203">
          <cell r="A3203" t="str">
            <v>SHIRT-SB001-PP-M</v>
          </cell>
          <cell r="B3203" t="str">
            <v>SHIRT-SB001</v>
          </cell>
        </row>
        <row r="3204">
          <cell r="A3204" t="str">
            <v>SHIRT-SB001-PP-S</v>
          </cell>
          <cell r="B3204" t="str">
            <v>SHIRT-SB001</v>
          </cell>
        </row>
        <row r="3205">
          <cell r="A3205" t="str">
            <v>SHIRT-SB001-PP-XL</v>
          </cell>
          <cell r="B3205" t="str">
            <v>SHIRT-SB001</v>
          </cell>
        </row>
        <row r="3206">
          <cell r="A3206" t="str">
            <v>SHIRT-SB002-BK-2XL</v>
          </cell>
          <cell r="B3206" t="str">
            <v>SHIRTS-SB002</v>
          </cell>
        </row>
        <row r="3207">
          <cell r="A3207" t="str">
            <v>SHIRT-SB002-BK-L</v>
          </cell>
          <cell r="B3207" t="str">
            <v>SHIRTS-SB002</v>
          </cell>
        </row>
        <row r="3208">
          <cell r="A3208" t="str">
            <v>SHIRT-SB002-BK-M</v>
          </cell>
          <cell r="B3208" t="str">
            <v>SHIRTS-SB002</v>
          </cell>
        </row>
        <row r="3209">
          <cell r="A3209" t="str">
            <v>SHIRT-SB002-BK-S</v>
          </cell>
          <cell r="B3209" t="str">
            <v>SHIRTS-SB002</v>
          </cell>
        </row>
        <row r="3210">
          <cell r="A3210" t="str">
            <v>SHIRT-SB002-BK-XL</v>
          </cell>
          <cell r="B3210" t="str">
            <v>SHIRTS-SB002</v>
          </cell>
        </row>
        <row r="3211">
          <cell r="A3211" t="str">
            <v>SHIRT-SB002-BLNGN-2XL</v>
          </cell>
          <cell r="B3211" t="str">
            <v>SHIRTS-SB002</v>
          </cell>
        </row>
        <row r="3212">
          <cell r="A3212" t="str">
            <v>SHIRT-SB002-BLNGN-L</v>
          </cell>
          <cell r="B3212" t="str">
            <v>SHIRTS-SB002</v>
          </cell>
        </row>
        <row r="3213">
          <cell r="A3213" t="str">
            <v>SHIRT-SB002-BLNGN-M</v>
          </cell>
          <cell r="B3213" t="str">
            <v>SHIRTS-SB002</v>
          </cell>
        </row>
        <row r="3214">
          <cell r="A3214" t="str">
            <v>SHIRT-SB002-BLNGN-S</v>
          </cell>
          <cell r="B3214" t="str">
            <v>SHIRTS-SB002</v>
          </cell>
        </row>
        <row r="3215">
          <cell r="A3215" t="str">
            <v>SHIRT-SB002-BLNGN-XL</v>
          </cell>
          <cell r="B3215" t="str">
            <v>SHIRTS-SB002</v>
          </cell>
        </row>
        <row r="3216">
          <cell r="A3216" t="str">
            <v>SHIRT-SB002-CF-2XL</v>
          </cell>
          <cell r="B3216" t="str">
            <v>SHIRTS-SB002</v>
          </cell>
        </row>
        <row r="3217">
          <cell r="A3217" t="str">
            <v>SHIRT-SB002-CF-L</v>
          </cell>
          <cell r="B3217" t="str">
            <v>SHIRTS-SB002</v>
          </cell>
        </row>
        <row r="3218">
          <cell r="A3218" t="str">
            <v>SHIRT-SB002-CF-M</v>
          </cell>
          <cell r="B3218" t="str">
            <v>SHIRTS-SB002</v>
          </cell>
        </row>
        <row r="3219">
          <cell r="A3219" t="str">
            <v>SHIRT-SB002-CF-S</v>
          </cell>
          <cell r="B3219" t="str">
            <v>SHIRTS-SB002</v>
          </cell>
        </row>
        <row r="3220">
          <cell r="A3220" t="str">
            <v>SHIRT-SB002-CF-XL</v>
          </cell>
          <cell r="B3220" t="str">
            <v>SHIRTS-SB002</v>
          </cell>
        </row>
        <row r="3221">
          <cell r="A3221" t="str">
            <v>SHIRT-SB002-LB-2XL</v>
          </cell>
          <cell r="B3221" t="str">
            <v>SHIRTS-SB002</v>
          </cell>
        </row>
        <row r="3222">
          <cell r="A3222" t="str">
            <v>SHIRT-SB002-LB-L</v>
          </cell>
          <cell r="B3222" t="str">
            <v>SHIRTS-SB002</v>
          </cell>
        </row>
        <row r="3223">
          <cell r="A3223" t="str">
            <v>SHIRT-SB002-LB-M</v>
          </cell>
          <cell r="B3223" t="str">
            <v>SHIRTS-SB002</v>
          </cell>
        </row>
        <row r="3224">
          <cell r="A3224" t="str">
            <v>SHIRT-SB002-LB-S</v>
          </cell>
          <cell r="B3224" t="str">
            <v>SHIRTS-SB002</v>
          </cell>
        </row>
        <row r="3225">
          <cell r="A3225" t="str">
            <v>SHIRT-SB002-LB-XL</v>
          </cell>
          <cell r="B3225" t="str">
            <v>SHIRTS-SB002</v>
          </cell>
        </row>
        <row r="3226">
          <cell r="A3226" t="str">
            <v>SHIRT-SB002-RD-2XL</v>
          </cell>
          <cell r="B3226" t="str">
            <v>SHIRTS-SB002</v>
          </cell>
        </row>
        <row r="3227">
          <cell r="A3227" t="str">
            <v>SHIRT-SB002-RD-L</v>
          </cell>
          <cell r="B3227" t="str">
            <v>SHIRTS-SB002</v>
          </cell>
        </row>
        <row r="3228">
          <cell r="A3228" t="str">
            <v>SHIRT-SB002-RD-M</v>
          </cell>
          <cell r="B3228" t="str">
            <v>SHIRTS-SB002</v>
          </cell>
        </row>
        <row r="3229">
          <cell r="A3229" t="str">
            <v>SHIRT-SB002-RD-S</v>
          </cell>
          <cell r="B3229" t="str">
            <v>SHIRTS-SB002</v>
          </cell>
        </row>
        <row r="3230">
          <cell r="A3230" t="str">
            <v>SHIRT-SB002-RD-XL</v>
          </cell>
          <cell r="B3230" t="str">
            <v>SHIRTS-SB002</v>
          </cell>
        </row>
        <row r="3231">
          <cell r="A3231" t="str">
            <v>SHIRT-SB002-RNBL-2XL</v>
          </cell>
          <cell r="B3231" t="str">
            <v>SHIRTS-SB002</v>
          </cell>
        </row>
        <row r="3232">
          <cell r="A3232" t="str">
            <v>SHIRT-SB002-RNBL-L</v>
          </cell>
          <cell r="B3232" t="str">
            <v>SHIRTS-SB002</v>
          </cell>
        </row>
        <row r="3233">
          <cell r="A3233" t="str">
            <v>SHIRT-SB002-RNBL-M</v>
          </cell>
          <cell r="B3233" t="str">
            <v>SHIRTS-SB002</v>
          </cell>
        </row>
        <row r="3234">
          <cell r="A3234" t="str">
            <v>SHIRT-SB002-RNBL-S</v>
          </cell>
          <cell r="B3234" t="str">
            <v>SHIRTS-SB002</v>
          </cell>
        </row>
        <row r="3235">
          <cell r="A3235" t="str">
            <v>SHIRT-SB002-RNBL-XL</v>
          </cell>
          <cell r="B3235" t="str">
            <v>SHIRTS-SB002</v>
          </cell>
        </row>
        <row r="3236">
          <cell r="A3236" t="str">
            <v>SHIRTS-SB002-BL-L</v>
          </cell>
          <cell r="B3236" t="str">
            <v>SHIRTS-SB002</v>
          </cell>
        </row>
        <row r="3237">
          <cell r="A3237" t="str">
            <v>SHIRTS-SB002-BL-M</v>
          </cell>
          <cell r="B3237" t="str">
            <v>SHIRTS-SB002</v>
          </cell>
        </row>
        <row r="3238">
          <cell r="A3238" t="str">
            <v>SHIRTS-SB002-BL-S</v>
          </cell>
          <cell r="B3238" t="str">
            <v>SHIRTS-SB002</v>
          </cell>
        </row>
        <row r="3239">
          <cell r="A3239" t="str">
            <v>SHIRTS-SB002-BL-XL</v>
          </cell>
          <cell r="B3239" t="str">
            <v>SHIRTS-SB002</v>
          </cell>
        </row>
        <row r="3240">
          <cell r="A3240" t="str">
            <v>SHIRTS-SB002-BL-XXL</v>
          </cell>
          <cell r="B3240" t="str">
            <v>SHIRTS-SB002</v>
          </cell>
        </row>
        <row r="3241">
          <cell r="A3241" t="str">
            <v>SHJ-ZQ0066-AF</v>
          </cell>
          <cell r="B3241" t="str">
            <v>SHJ-ZQ0066</v>
          </cell>
        </row>
        <row r="3242">
          <cell r="A3242" t="str">
            <v>SHJ-ZQLS01-B0-2XL</v>
          </cell>
          <cell r="B3242" t="str">
            <v>SHJ-ZQLS01</v>
          </cell>
        </row>
        <row r="3243">
          <cell r="A3243" t="str">
            <v>SHJ-ZQLS01-B0-3XL</v>
          </cell>
          <cell r="B3243" t="str">
            <v>SHJ-ZQLS01</v>
          </cell>
        </row>
        <row r="3244">
          <cell r="A3244" t="str">
            <v>SHJ-ZQLS01-B0-4XL</v>
          </cell>
          <cell r="B3244" t="str">
            <v>SHJ-ZQLS01</v>
          </cell>
        </row>
        <row r="3245">
          <cell r="A3245" t="str">
            <v>SHJ-ZQLS01-B0-XL</v>
          </cell>
          <cell r="B3245" t="str">
            <v>SHJ-ZQLS01</v>
          </cell>
        </row>
        <row r="3246">
          <cell r="A3246" t="str">
            <v>SHJ-ZQLS12-K0-2XL</v>
          </cell>
          <cell r="B3246" t="str">
            <v>SHJ-ZQLS12</v>
          </cell>
        </row>
        <row r="3247">
          <cell r="A3247" t="str">
            <v>SHJ-ZQLS12-K0-3XL</v>
          </cell>
          <cell r="B3247" t="str">
            <v>SHJ-ZQLS12</v>
          </cell>
        </row>
        <row r="3248">
          <cell r="A3248" t="str">
            <v>SHJ-ZQLS12-K0-4XL</v>
          </cell>
          <cell r="B3248" t="str">
            <v>SHJ-ZQLS12</v>
          </cell>
        </row>
        <row r="3249">
          <cell r="A3249" t="str">
            <v>SHJ-ZQLS12-K0-5XL</v>
          </cell>
          <cell r="B3249" t="str">
            <v>SHJ-ZQLS12</v>
          </cell>
        </row>
        <row r="3250">
          <cell r="A3250" t="str">
            <v>SHJ-ZQLS12-K0-L</v>
          </cell>
          <cell r="B3250" t="str">
            <v>SHJ-ZQLS12</v>
          </cell>
        </row>
        <row r="3251">
          <cell r="A3251" t="str">
            <v>SHJ-ZQLS12-K0-XL</v>
          </cell>
          <cell r="B3251" t="str">
            <v>SHJ-ZQLS12</v>
          </cell>
        </row>
        <row r="3252">
          <cell r="A3252" t="str">
            <v>SJ-CA205-G0</v>
          </cell>
          <cell r="B3252" t="str">
            <v>SJ-CA205</v>
          </cell>
        </row>
        <row r="3253">
          <cell r="A3253" t="str">
            <v>SJ-GM002W0</v>
          </cell>
          <cell r="B3253" t="str">
            <v>SJ-GM002</v>
          </cell>
        </row>
        <row r="3254">
          <cell r="A3254" t="str">
            <v>SJ-HM071</v>
          </cell>
          <cell r="B3254" t="str">
            <v>SJ-HM071</v>
          </cell>
        </row>
        <row r="3255">
          <cell r="A3255" t="str">
            <v>SJ-HM071-K0G</v>
          </cell>
          <cell r="B3255" t="str">
            <v>SJ-HM071</v>
          </cell>
        </row>
        <row r="3256">
          <cell r="A3256" t="str">
            <v>SJ-HM071-K0R2</v>
          </cell>
          <cell r="B3256" t="str">
            <v>SJ-HM071</v>
          </cell>
        </row>
        <row r="3257">
          <cell r="A3257" t="str">
            <v>SJ-HM071-R2</v>
          </cell>
          <cell r="B3257" t="str">
            <v>SJ-HM071</v>
          </cell>
        </row>
        <row r="3258">
          <cell r="A3258" t="str">
            <v>SJ-HM071-R2W0</v>
          </cell>
          <cell r="B3258" t="str">
            <v>SJ-HM071</v>
          </cell>
        </row>
        <row r="3259">
          <cell r="A3259" t="str">
            <v>SJ-HM071-W0G</v>
          </cell>
          <cell r="B3259" t="str">
            <v>SJ-HM071</v>
          </cell>
        </row>
        <row r="3260">
          <cell r="A3260" t="str">
            <v>SJ-HM071-W0R2</v>
          </cell>
          <cell r="B3260" t="str">
            <v>SJ-HM071</v>
          </cell>
        </row>
        <row r="3261">
          <cell r="A3261" t="str">
            <v>SJ-HM1995-K0</v>
          </cell>
          <cell r="B3261" t="str">
            <v>SJ-HM1995-K0</v>
          </cell>
        </row>
        <row r="3262">
          <cell r="A3262" t="str">
            <v>SJ-HM2017</v>
          </cell>
          <cell r="B3262" t="str">
            <v>SJ-HM2017</v>
          </cell>
        </row>
        <row r="3263">
          <cell r="A3263" t="str">
            <v>SJ-HM2017-B0-L</v>
          </cell>
          <cell r="B3263" t="str">
            <v>SJ-HM2017</v>
          </cell>
        </row>
        <row r="3264">
          <cell r="A3264" t="str">
            <v>SJ-HM2017-B0-M</v>
          </cell>
          <cell r="B3264" t="str">
            <v>SJ-HM2017</v>
          </cell>
        </row>
        <row r="3265">
          <cell r="A3265" t="str">
            <v>SJ-HM2017-B0-S</v>
          </cell>
          <cell r="B3265" t="str">
            <v>SJ-HM2017</v>
          </cell>
        </row>
        <row r="3266">
          <cell r="A3266" t="str">
            <v>SJ-HM2017-B0-XL</v>
          </cell>
          <cell r="B3266" t="str">
            <v>SJ-HM2017</v>
          </cell>
        </row>
        <row r="3267">
          <cell r="A3267" t="str">
            <v>SJ-HM2017-B0-XXL</v>
          </cell>
          <cell r="B3267" t="str">
            <v>SJ-HM2017</v>
          </cell>
        </row>
        <row r="3268">
          <cell r="A3268" t="str">
            <v>SJ-HM2017-G0-L</v>
          </cell>
          <cell r="B3268" t="str">
            <v>SJ-HM2017</v>
          </cell>
        </row>
        <row r="3269">
          <cell r="A3269" t="str">
            <v>SJ-HM2017-G0-M</v>
          </cell>
          <cell r="B3269" t="str">
            <v>SJ-HM2017</v>
          </cell>
        </row>
        <row r="3270">
          <cell r="A3270" t="str">
            <v>SJ-HM2017-G0-S</v>
          </cell>
          <cell r="B3270" t="str">
            <v>SJ-HM2017</v>
          </cell>
        </row>
        <row r="3271">
          <cell r="A3271" t="str">
            <v>SJ-HM2017-G0-XL</v>
          </cell>
          <cell r="B3271" t="str">
            <v>SJ-HM2017</v>
          </cell>
        </row>
        <row r="3272">
          <cell r="A3272" t="str">
            <v>SJ-HM2017-G0-XXL</v>
          </cell>
          <cell r="B3272" t="str">
            <v>SJ-HM2017</v>
          </cell>
        </row>
        <row r="3273">
          <cell r="A3273" t="str">
            <v>SJ-HM2017-K0-L</v>
          </cell>
          <cell r="B3273" t="str">
            <v>SJ-HM2017</v>
          </cell>
        </row>
        <row r="3274">
          <cell r="A3274" t="str">
            <v>SJ-HM2017-K0-M</v>
          </cell>
          <cell r="B3274" t="str">
            <v>SJ-HM2017</v>
          </cell>
        </row>
        <row r="3275">
          <cell r="A3275" t="str">
            <v>SJ-HM2017-K0R-L</v>
          </cell>
          <cell r="B3275" t="str">
            <v>SJ-HM2017</v>
          </cell>
        </row>
        <row r="3276">
          <cell r="A3276" t="str">
            <v>SJ-HM2017-K0R-M</v>
          </cell>
          <cell r="B3276" t="str">
            <v>SJ-HM2017</v>
          </cell>
        </row>
        <row r="3277">
          <cell r="A3277" t="str">
            <v>SJ-HM2017-K0R-S</v>
          </cell>
          <cell r="B3277" t="str">
            <v>SJ-HM2017</v>
          </cell>
        </row>
        <row r="3278">
          <cell r="A3278" t="str">
            <v>SJ-HM2017-K0R-XL</v>
          </cell>
          <cell r="B3278" t="str">
            <v>SJ-HM2017</v>
          </cell>
        </row>
        <row r="3279">
          <cell r="A3279" t="str">
            <v>SJ-HM2017-K0R-XXL</v>
          </cell>
          <cell r="B3279" t="str">
            <v>SJ-HM2017</v>
          </cell>
        </row>
        <row r="3280">
          <cell r="A3280" t="str">
            <v>SJ-HM2017-K0-S</v>
          </cell>
          <cell r="B3280" t="str">
            <v>SJ-HM2017</v>
          </cell>
        </row>
        <row r="3281">
          <cell r="A3281" t="str">
            <v>SJ-HM2017-K0-XL</v>
          </cell>
          <cell r="B3281" t="str">
            <v>SJ-HM2017</v>
          </cell>
        </row>
        <row r="3282">
          <cell r="A3282" t="str">
            <v>SJ-HM2017-K0-XXL</v>
          </cell>
          <cell r="B3282" t="str">
            <v>SJ-HM2017</v>
          </cell>
        </row>
        <row r="3283">
          <cell r="A3283" t="str">
            <v>SJ-HM2017-KH-L</v>
          </cell>
          <cell r="B3283" t="str">
            <v>SJ-HM2017</v>
          </cell>
        </row>
        <row r="3284">
          <cell r="A3284" t="str">
            <v>SJ-HM2017-KH-M</v>
          </cell>
          <cell r="B3284" t="str">
            <v>SJ-HM2017</v>
          </cell>
        </row>
        <row r="3285">
          <cell r="A3285" t="str">
            <v>SJ-HM2017-KH-S</v>
          </cell>
          <cell r="B3285" t="str">
            <v>SJ-HM2017</v>
          </cell>
        </row>
        <row r="3286">
          <cell r="A3286" t="str">
            <v>SJ-HM2017-KH-XL</v>
          </cell>
          <cell r="B3286" t="str">
            <v>SJ-HM2017</v>
          </cell>
        </row>
        <row r="3287">
          <cell r="A3287" t="str">
            <v>SJ-HM2017-KH-XXL</v>
          </cell>
          <cell r="B3287" t="str">
            <v>SJ-HM2017</v>
          </cell>
        </row>
        <row r="3288">
          <cell r="A3288" t="str">
            <v>SJ-HM2017-PI-L</v>
          </cell>
          <cell r="B3288" t="str">
            <v>SJ-HM2017</v>
          </cell>
        </row>
        <row r="3289">
          <cell r="A3289" t="str">
            <v>SJ-HM2017-PI-M</v>
          </cell>
          <cell r="B3289" t="str">
            <v>SJ-HM2017</v>
          </cell>
        </row>
        <row r="3290">
          <cell r="A3290" t="str">
            <v>SJ-HM2017-PI-S</v>
          </cell>
          <cell r="B3290" t="str">
            <v>SJ-HM2017</v>
          </cell>
        </row>
        <row r="3291">
          <cell r="A3291" t="str">
            <v>SJ-HM2017-PI-XL</v>
          </cell>
          <cell r="B3291" t="str">
            <v>SJ-HM2017</v>
          </cell>
        </row>
        <row r="3292">
          <cell r="A3292" t="str">
            <v>SJ-HM2017-PI-XXL</v>
          </cell>
          <cell r="B3292" t="str">
            <v>SJ-HM2017</v>
          </cell>
        </row>
        <row r="3293">
          <cell r="A3293" t="str">
            <v>SJ-HM2017-W0-L</v>
          </cell>
          <cell r="B3293" t="str">
            <v>SJ-HM2017</v>
          </cell>
        </row>
        <row r="3294">
          <cell r="A3294" t="str">
            <v>SJ-HM2017-W0-M</v>
          </cell>
          <cell r="B3294" t="str">
            <v>SJ-HM2017</v>
          </cell>
        </row>
        <row r="3295">
          <cell r="A3295" t="str">
            <v>SJ-HM2017-W0-S</v>
          </cell>
          <cell r="B3295" t="str">
            <v>SJ-HM2017</v>
          </cell>
        </row>
        <row r="3296">
          <cell r="A3296" t="str">
            <v>SJ-HM2017-W0-XL</v>
          </cell>
          <cell r="B3296" t="str">
            <v>SJ-HM2017</v>
          </cell>
        </row>
        <row r="3297">
          <cell r="A3297" t="str">
            <v>SJ-HM2017-W0-XXL</v>
          </cell>
          <cell r="B3297" t="str">
            <v>SJ-HM2017</v>
          </cell>
        </row>
        <row r="3298">
          <cell r="A3298" t="str">
            <v>SJ-HM2017-ZL-L</v>
          </cell>
          <cell r="B3298" t="str">
            <v>SJ-HM2017</v>
          </cell>
        </row>
        <row r="3299">
          <cell r="A3299" t="str">
            <v>SJ-HM2017-ZL-M</v>
          </cell>
          <cell r="B3299" t="str">
            <v>SJ-HM2017</v>
          </cell>
        </row>
        <row r="3300">
          <cell r="A3300" t="str">
            <v>SJ-HM2017-ZL-S</v>
          </cell>
          <cell r="B3300" t="str">
            <v>SJ-HM2017</v>
          </cell>
        </row>
        <row r="3301">
          <cell r="A3301" t="str">
            <v>SJ-HM2017-ZL-XL</v>
          </cell>
          <cell r="B3301" t="str">
            <v>SJ-HM2017</v>
          </cell>
        </row>
        <row r="3302">
          <cell r="A3302" t="str">
            <v>SJ-HM2017-ZL-XXL</v>
          </cell>
          <cell r="B3302" t="str">
            <v>SJ-HM2017</v>
          </cell>
        </row>
        <row r="3303">
          <cell r="A3303" t="str">
            <v>SJ-HM205</v>
          </cell>
          <cell r="B3303" t="str">
            <v>SJ-HM205</v>
          </cell>
        </row>
        <row r="3304">
          <cell r="A3304" t="str">
            <v>SJ-HM205-B0</v>
          </cell>
          <cell r="B3304" t="str">
            <v>SJ-HM205</v>
          </cell>
        </row>
        <row r="3305">
          <cell r="A3305" t="str">
            <v>SJ-HM205-B0YH</v>
          </cell>
          <cell r="B3305" t="str">
            <v>SJ-HM205</v>
          </cell>
        </row>
        <row r="3306">
          <cell r="A3306" t="str">
            <v>SJ-HM205-G0</v>
          </cell>
          <cell r="B3306" t="str">
            <v>SJ-HM205</v>
          </cell>
        </row>
        <row r="3307">
          <cell r="A3307" t="str">
            <v>SJ-HM205-K0</v>
          </cell>
          <cell r="B3307" t="str">
            <v>SJ-HM205</v>
          </cell>
        </row>
        <row r="3308">
          <cell r="A3308" t="str">
            <v>SJ-HM205-R0</v>
          </cell>
          <cell r="B3308" t="str">
            <v>SJ-HM205</v>
          </cell>
        </row>
        <row r="3309">
          <cell r="A3309" t="str">
            <v>SJ-HM205-W0YH</v>
          </cell>
          <cell r="B3309" t="str">
            <v>SJ-HM205</v>
          </cell>
        </row>
        <row r="3310">
          <cell r="A3310" t="str">
            <v>SJ-HM2400</v>
          </cell>
          <cell r="B3310" t="str">
            <v>SJ-HM2400</v>
          </cell>
        </row>
        <row r="3311">
          <cell r="A3311" t="str">
            <v>SJ-HM2400-B0-L</v>
          </cell>
          <cell r="B3311" t="str">
            <v>SJ-HM2400</v>
          </cell>
        </row>
        <row r="3312">
          <cell r="A3312" t="str">
            <v>SJ-HM2400-B0-M</v>
          </cell>
          <cell r="B3312" t="str">
            <v>SJ-HM2400</v>
          </cell>
        </row>
        <row r="3313">
          <cell r="A3313" t="str">
            <v>SJ-HM2400-B0-S</v>
          </cell>
          <cell r="B3313" t="str">
            <v>SJ-HM2400</v>
          </cell>
        </row>
        <row r="3314">
          <cell r="A3314" t="str">
            <v>SJ-HM2400-B0-XL</v>
          </cell>
          <cell r="B3314" t="str">
            <v>SJ-HM2400</v>
          </cell>
        </row>
        <row r="3315">
          <cell r="A3315" t="str">
            <v>SJ-HM2400-B0-XXL</v>
          </cell>
          <cell r="B3315" t="str">
            <v>SJ-HM2400</v>
          </cell>
        </row>
        <row r="3316">
          <cell r="A3316" t="str">
            <v>SJ-HM2400-K0-L</v>
          </cell>
          <cell r="B3316" t="str">
            <v>SJ-HM2400</v>
          </cell>
        </row>
        <row r="3317">
          <cell r="A3317" t="str">
            <v>SJ-HM2400-K0-M</v>
          </cell>
          <cell r="B3317" t="str">
            <v>SJ-HM2400</v>
          </cell>
        </row>
        <row r="3318">
          <cell r="A3318" t="str">
            <v>SJ-HM2400-K0-S</v>
          </cell>
          <cell r="B3318" t="str">
            <v>SJ-HM2400</v>
          </cell>
        </row>
        <row r="3319">
          <cell r="A3319" t="str">
            <v>SJ-HM2400-K0-XL</v>
          </cell>
          <cell r="B3319" t="str">
            <v>SJ-HM2400</v>
          </cell>
        </row>
        <row r="3320">
          <cell r="A3320" t="str">
            <v>SJ-HM2400-K0-XXL</v>
          </cell>
          <cell r="B3320" t="str">
            <v>SJ-HM2400</v>
          </cell>
        </row>
        <row r="3321">
          <cell r="A3321" t="str">
            <v>SJ-HM2400-W0-L</v>
          </cell>
          <cell r="B3321" t="str">
            <v>SJ-HM2400</v>
          </cell>
        </row>
        <row r="3322">
          <cell r="A3322" t="str">
            <v>SJ-HM2400-W0-M</v>
          </cell>
          <cell r="B3322" t="str">
            <v>SJ-HM2400</v>
          </cell>
        </row>
        <row r="3323">
          <cell r="A3323" t="str">
            <v>SJ-HM2400-W0-S</v>
          </cell>
          <cell r="B3323" t="str">
            <v>SJ-HM2400</v>
          </cell>
        </row>
        <row r="3324">
          <cell r="A3324" t="str">
            <v>SJ-HM2400-W0-XL</v>
          </cell>
          <cell r="B3324" t="str">
            <v>SJ-HM2400</v>
          </cell>
        </row>
        <row r="3325">
          <cell r="A3325" t="str">
            <v>SJ-HM2400-W0-XXL</v>
          </cell>
          <cell r="B3325" t="str">
            <v>SJ-HM2400</v>
          </cell>
        </row>
        <row r="3326">
          <cell r="A3326" t="str">
            <v>SJ-HM2400-Y0-L</v>
          </cell>
          <cell r="B3326" t="str">
            <v>SJ-HM2400</v>
          </cell>
        </row>
        <row r="3327">
          <cell r="A3327" t="str">
            <v>SJ-HM2400-Y0-M</v>
          </cell>
          <cell r="B3327" t="str">
            <v>SJ-HM2400</v>
          </cell>
        </row>
        <row r="3328">
          <cell r="A3328" t="str">
            <v>SJ-HM2400-Y0-S</v>
          </cell>
          <cell r="B3328" t="str">
            <v>SJ-HM2400</v>
          </cell>
        </row>
        <row r="3329">
          <cell r="A3329" t="str">
            <v>SJ-HM2400-Y0-XL</v>
          </cell>
          <cell r="B3329" t="str">
            <v>SJ-HM2400</v>
          </cell>
        </row>
        <row r="3330">
          <cell r="A3330" t="str">
            <v>SJ-HM2400-Y0-XXL</v>
          </cell>
          <cell r="B3330" t="str">
            <v>SJ-HM2400</v>
          </cell>
        </row>
        <row r="3331">
          <cell r="A3331" t="str">
            <v>SJ-HM402-K0</v>
          </cell>
          <cell r="B3331" t="str">
            <v>GM-SJ002</v>
          </cell>
        </row>
        <row r="3332">
          <cell r="A3332" t="str">
            <v>SJ-HM402-W0</v>
          </cell>
          <cell r="B3332" t="str">
            <v>GM-SJ002</v>
          </cell>
        </row>
        <row r="3333">
          <cell r="A3333" t="str">
            <v>SJ-HM402-W1</v>
          </cell>
          <cell r="B3333" t="str">
            <v>GM-SJ002</v>
          </cell>
        </row>
        <row r="3334">
          <cell r="A3334" t="str">
            <v>SJ-HMLS42-K0-L</v>
          </cell>
          <cell r="B3334" t="str">
            <v>SJ-HMLS42</v>
          </cell>
        </row>
        <row r="3335">
          <cell r="A3335" t="str">
            <v>SJ-HMLS42-K0-XL</v>
          </cell>
          <cell r="B3335" t="str">
            <v>SJ-HMLS42</v>
          </cell>
        </row>
        <row r="3336">
          <cell r="A3336" t="str">
            <v>SJ-HMLS42-K0-XXL</v>
          </cell>
          <cell r="B3336" t="str">
            <v>SJ-HMLS42</v>
          </cell>
        </row>
        <row r="3337">
          <cell r="A3337" t="str">
            <v>SJ-HMLS42-P0-L</v>
          </cell>
          <cell r="B3337" t="str">
            <v>SJ-HMLS42</v>
          </cell>
        </row>
        <row r="3338">
          <cell r="A3338" t="str">
            <v>SJ-HMLS42-P0-XL</v>
          </cell>
          <cell r="B3338" t="str">
            <v>SJ-HMLS42</v>
          </cell>
        </row>
        <row r="3339">
          <cell r="A3339" t="str">
            <v>SJ-HMLS42-P0-XXL</v>
          </cell>
          <cell r="B3339" t="str">
            <v>SJ-HMLS42</v>
          </cell>
        </row>
        <row r="3340">
          <cell r="A3340" t="str">
            <v>SJ-HMLS42-Pi-L</v>
          </cell>
          <cell r="B3340" t="str">
            <v>SJ-HMLS42</v>
          </cell>
        </row>
        <row r="3341">
          <cell r="A3341" t="str">
            <v>SJ-HMLS42-Pi-XL</v>
          </cell>
          <cell r="B3341" t="str">
            <v>SJ-HMLS42</v>
          </cell>
        </row>
        <row r="3342">
          <cell r="A3342" t="str">
            <v>SJ-HMLS42-Pi-XXL</v>
          </cell>
          <cell r="B3342" t="str">
            <v>SJ-HMLS42</v>
          </cell>
        </row>
        <row r="3343">
          <cell r="A3343" t="str">
            <v>SJ-HMLS42-W0-L</v>
          </cell>
          <cell r="B3343" t="str">
            <v>SJ-HMLS42</v>
          </cell>
        </row>
        <row r="3344">
          <cell r="A3344" t="str">
            <v>SJ-HMLS42-W0-XL</v>
          </cell>
          <cell r="B3344" t="str">
            <v>SJ-HMLS42</v>
          </cell>
        </row>
        <row r="3345">
          <cell r="A3345" t="str">
            <v>SJ-HMLS42-W0-XXL</v>
          </cell>
          <cell r="B3345" t="str">
            <v>SJ-HMLS42</v>
          </cell>
        </row>
        <row r="3346">
          <cell r="A3346" t="str">
            <v>SJ-NA204-G0-L</v>
          </cell>
          <cell r="B3346" t="str">
            <v>SJ-NA204</v>
          </cell>
        </row>
        <row r="3347">
          <cell r="A3347" t="str">
            <v>SJ-NA204-G0-M</v>
          </cell>
          <cell r="B3347" t="str">
            <v>SJ-NA204</v>
          </cell>
        </row>
        <row r="3348">
          <cell r="A3348" t="str">
            <v>SJ-NA204-G0-S</v>
          </cell>
          <cell r="B3348" t="str">
            <v>SJ-NA204</v>
          </cell>
        </row>
        <row r="3349">
          <cell r="A3349" t="str">
            <v>SJ-NA204-G0-XL</v>
          </cell>
          <cell r="B3349" t="str">
            <v>SJ-NA204</v>
          </cell>
        </row>
        <row r="3350">
          <cell r="A3350" t="str">
            <v>SJ-NA204-G0-XS</v>
          </cell>
          <cell r="B3350" t="str">
            <v>SJ-NA204</v>
          </cell>
        </row>
        <row r="3351">
          <cell r="A3351" t="str">
            <v>SJ-NA204-K0-2XL</v>
          </cell>
          <cell r="B3351" t="str">
            <v>SJ-NA204</v>
          </cell>
        </row>
        <row r="3352">
          <cell r="A3352" t="str">
            <v>SJ-NA204-K0-L</v>
          </cell>
          <cell r="B3352" t="str">
            <v>SJ-NA204</v>
          </cell>
        </row>
        <row r="3353">
          <cell r="A3353" t="str">
            <v>SJ-NA204-K0-S</v>
          </cell>
          <cell r="B3353" t="str">
            <v>SJ-NA204</v>
          </cell>
        </row>
        <row r="3354">
          <cell r="A3354" t="str">
            <v>SJ-NA204-K0-XL</v>
          </cell>
          <cell r="B3354" t="str">
            <v>SJ-NA204</v>
          </cell>
        </row>
        <row r="3355">
          <cell r="A3355" t="str">
            <v>SJ-NA204-K0-XS</v>
          </cell>
          <cell r="B3355" t="str">
            <v>SJ-NA204</v>
          </cell>
        </row>
        <row r="3356">
          <cell r="A3356" t="str">
            <v>SJ-NA204-R0-2XL</v>
          </cell>
          <cell r="B3356" t="str">
            <v>SJ-NA204</v>
          </cell>
        </row>
        <row r="3357">
          <cell r="A3357" t="str">
            <v>SJ-NA204-R0-M</v>
          </cell>
          <cell r="B3357" t="str">
            <v>SJ-NA204</v>
          </cell>
        </row>
        <row r="3358">
          <cell r="A3358" t="str">
            <v>SJ-NA204-R0-XL</v>
          </cell>
          <cell r="B3358" t="str">
            <v>SJ-NA204</v>
          </cell>
        </row>
        <row r="3359">
          <cell r="A3359" t="str">
            <v>SJ-NA204-R0-XS</v>
          </cell>
          <cell r="B3359" t="str">
            <v>SJ-NA204</v>
          </cell>
        </row>
        <row r="3360">
          <cell r="A3360" t="str">
            <v>SJ-NA204-W0-2XL</v>
          </cell>
          <cell r="B3360" t="str">
            <v>SJ-NA204</v>
          </cell>
        </row>
        <row r="3361">
          <cell r="A3361" t="str">
            <v>SJ-NA204-W0-S</v>
          </cell>
          <cell r="B3361" t="str">
            <v>SJ-NA204</v>
          </cell>
        </row>
        <row r="3362">
          <cell r="A3362" t="str">
            <v>SJ-NA204-W0-XL</v>
          </cell>
          <cell r="B3362" t="str">
            <v>SJ-NA204</v>
          </cell>
        </row>
        <row r="3363">
          <cell r="A3363" t="str">
            <v>SJ-NA204-ZL-2XL</v>
          </cell>
          <cell r="B3363" t="str">
            <v>SJ-NA204</v>
          </cell>
        </row>
        <row r="3364">
          <cell r="A3364" t="str">
            <v>SJ-NA204-ZL-L</v>
          </cell>
          <cell r="B3364" t="str">
            <v>SJ-NA204</v>
          </cell>
        </row>
        <row r="3365">
          <cell r="A3365" t="str">
            <v>SJ-NA204-ZL-M</v>
          </cell>
          <cell r="B3365" t="str">
            <v>SJ-NA204</v>
          </cell>
        </row>
        <row r="3366">
          <cell r="A3366" t="str">
            <v>SJ-NA204-ZL-S</v>
          </cell>
          <cell r="B3366" t="str">
            <v>SJ-NA204</v>
          </cell>
        </row>
        <row r="3367">
          <cell r="A3367" t="str">
            <v>SJ-NA204-ZL-XL</v>
          </cell>
          <cell r="B3367" t="str">
            <v>SJ-NA204</v>
          </cell>
        </row>
        <row r="3368">
          <cell r="A3368" t="str">
            <v>SJ-NA204-ZL-XS</v>
          </cell>
          <cell r="B3368" t="str">
            <v>SJ-NA204</v>
          </cell>
        </row>
        <row r="3369">
          <cell r="A3369" t="str">
            <v>SJ-ZQZ1701-K0-L</v>
          </cell>
          <cell r="B3369" t="str">
            <v>SJ-ZQZ1701</v>
          </cell>
        </row>
        <row r="3370">
          <cell r="A3370" t="str">
            <v>SJ-ZZN204</v>
          </cell>
          <cell r="B3370" t="str">
            <v>SJ-ZZN204</v>
          </cell>
        </row>
        <row r="3371">
          <cell r="A3371" t="str">
            <v>SJ-ZZN204AX</v>
          </cell>
          <cell r="B3371" t="str">
            <v>SJ-ZZN204</v>
          </cell>
        </row>
        <row r="3372">
          <cell r="A3372" t="str">
            <v>SJ-ZZN204AX-GM</v>
          </cell>
          <cell r="B3372" t="str">
            <v>SJ-ZZN204</v>
          </cell>
        </row>
        <row r="3373">
          <cell r="A3373" t="str">
            <v>SJ-ZZN204B0-2XL</v>
          </cell>
          <cell r="B3373" t="str">
            <v>SJ-ZZN204</v>
          </cell>
        </row>
        <row r="3374">
          <cell r="A3374" t="str">
            <v>SJ-ZZN204B0-L</v>
          </cell>
          <cell r="B3374" t="str">
            <v>SJ-ZZN204</v>
          </cell>
        </row>
        <row r="3375">
          <cell r="A3375" t="str">
            <v>SJ-ZZN204B0-M</v>
          </cell>
          <cell r="B3375" t="str">
            <v>SJ-ZZN204</v>
          </cell>
        </row>
        <row r="3376">
          <cell r="A3376" t="str">
            <v>SJ-ZZN204B0-S</v>
          </cell>
          <cell r="B3376" t="str">
            <v>SJ-ZZN204</v>
          </cell>
        </row>
        <row r="3377">
          <cell r="A3377" t="str">
            <v>SJ-ZZN204B0-XL</v>
          </cell>
          <cell r="B3377" t="str">
            <v>SJ-ZZN204</v>
          </cell>
        </row>
        <row r="3378">
          <cell r="A3378" t="str">
            <v>SJ-ZZN204B0-XS</v>
          </cell>
          <cell r="B3378" t="str">
            <v>SJ-ZZN204</v>
          </cell>
        </row>
        <row r="3379">
          <cell r="A3379" t="str">
            <v>SJ-ZZN204G0</v>
          </cell>
          <cell r="B3379" t="str">
            <v>SJ-ZZN204</v>
          </cell>
        </row>
        <row r="3380">
          <cell r="A3380" t="str">
            <v>SJ-ZZN204G02L</v>
          </cell>
          <cell r="B3380" t="str">
            <v>SJ-ZZN204</v>
          </cell>
        </row>
        <row r="3381">
          <cell r="A3381" t="str">
            <v>SJ-ZZN204G02L-GM</v>
          </cell>
          <cell r="B3381" t="str">
            <v>SJ-ZZN204</v>
          </cell>
        </row>
        <row r="3382">
          <cell r="A3382" t="str">
            <v>SJ-ZZN204G03L</v>
          </cell>
          <cell r="B3382" t="str">
            <v>SJ-ZZN204</v>
          </cell>
        </row>
        <row r="3383">
          <cell r="A3383" t="str">
            <v>SJ-ZZN204G03L-GM</v>
          </cell>
          <cell r="B3383" t="str">
            <v>SJ-ZZN204</v>
          </cell>
        </row>
        <row r="3384">
          <cell r="A3384" t="str">
            <v>SJ-ZZN204G04L</v>
          </cell>
          <cell r="B3384" t="str">
            <v>SJ-ZZN204</v>
          </cell>
        </row>
        <row r="3385">
          <cell r="A3385" t="str">
            <v>SJ-ZZN204G0-GM</v>
          </cell>
          <cell r="B3385" t="str">
            <v>SJ-ZZN204</v>
          </cell>
        </row>
        <row r="3386">
          <cell r="A3386" t="str">
            <v>SJ-ZZN204G0L</v>
          </cell>
          <cell r="B3386" t="str">
            <v>SJ-ZZN204</v>
          </cell>
        </row>
        <row r="3387">
          <cell r="A3387" t="str">
            <v>SJ-ZZN204G0L-GM</v>
          </cell>
          <cell r="B3387" t="str">
            <v>SJ-ZZN204</v>
          </cell>
        </row>
        <row r="3388">
          <cell r="A3388" t="str">
            <v>SJ-ZZN204G0XL</v>
          </cell>
          <cell r="B3388" t="str">
            <v>SJ-ZZN204</v>
          </cell>
        </row>
        <row r="3389">
          <cell r="A3389" t="str">
            <v>SJ-ZZN204G0XL-GM</v>
          </cell>
          <cell r="B3389" t="str">
            <v>SJ-ZZN204</v>
          </cell>
        </row>
        <row r="3390">
          <cell r="A3390" t="str">
            <v>SJ-ZZN204K0</v>
          </cell>
          <cell r="B3390" t="str">
            <v>SJ-ZZN204</v>
          </cell>
        </row>
        <row r="3391">
          <cell r="A3391" t="str">
            <v>SJ-ZZN204K02L</v>
          </cell>
          <cell r="B3391" t="str">
            <v>SJ-ZZN204</v>
          </cell>
        </row>
        <row r="3392">
          <cell r="A3392" t="str">
            <v>SJ-ZZN204K02L-GM</v>
          </cell>
          <cell r="B3392" t="str">
            <v>SJ-ZZN204</v>
          </cell>
        </row>
        <row r="3393">
          <cell r="A3393" t="str">
            <v>SJ-ZZN204K03L</v>
          </cell>
          <cell r="B3393" t="str">
            <v>SJ-ZZN204</v>
          </cell>
        </row>
        <row r="3394">
          <cell r="A3394" t="str">
            <v>SJ-ZZN204K03L-GM</v>
          </cell>
          <cell r="B3394" t="str">
            <v>SJ-ZZN204</v>
          </cell>
        </row>
        <row r="3395">
          <cell r="A3395" t="str">
            <v>SJ-ZZN204K04L</v>
          </cell>
          <cell r="B3395" t="str">
            <v>SJ-ZZN204</v>
          </cell>
        </row>
        <row r="3396">
          <cell r="A3396" t="str">
            <v>SJ-ZZN204K04L-GM</v>
          </cell>
          <cell r="B3396" t="str">
            <v>SJ-ZZN204</v>
          </cell>
        </row>
        <row r="3397">
          <cell r="A3397" t="str">
            <v>SJ-ZZN204K0-GM</v>
          </cell>
          <cell r="B3397" t="str">
            <v>SJ-ZZN204</v>
          </cell>
        </row>
        <row r="3398">
          <cell r="A3398" t="str">
            <v>SJ-ZZN204K0L</v>
          </cell>
          <cell r="B3398" t="str">
            <v>SJ-ZZN204</v>
          </cell>
        </row>
        <row r="3399">
          <cell r="A3399" t="str">
            <v>SJ-ZZN204K0L-GM</v>
          </cell>
          <cell r="B3399" t="str">
            <v>SJ-ZZN204</v>
          </cell>
        </row>
        <row r="3400">
          <cell r="A3400" t="str">
            <v>SJ-ZZN204K0XL</v>
          </cell>
          <cell r="B3400" t="str">
            <v>SJ-ZZN204</v>
          </cell>
        </row>
        <row r="3401">
          <cell r="A3401" t="str">
            <v>SJ-ZZN204K0XL-GM</v>
          </cell>
          <cell r="B3401" t="str">
            <v>SJ-ZZN204</v>
          </cell>
        </row>
        <row r="3402">
          <cell r="A3402" t="str">
            <v>SJ-ZZN204R02L</v>
          </cell>
          <cell r="B3402" t="str">
            <v>SJ-ZZN204</v>
          </cell>
        </row>
        <row r="3403">
          <cell r="A3403" t="str">
            <v>SJ-ZZN204R02L-GM</v>
          </cell>
          <cell r="B3403" t="str">
            <v>SJ-ZZN204</v>
          </cell>
        </row>
        <row r="3404">
          <cell r="A3404" t="str">
            <v>SJ-ZZN204R03L</v>
          </cell>
          <cell r="B3404" t="str">
            <v>SJ-ZZN204</v>
          </cell>
        </row>
        <row r="3405">
          <cell r="A3405" t="str">
            <v>SJ-ZZN204R03L-GM</v>
          </cell>
          <cell r="B3405" t="str">
            <v>SJ-ZZN204</v>
          </cell>
        </row>
        <row r="3406">
          <cell r="A3406" t="str">
            <v>SJ-ZZN204R04L</v>
          </cell>
          <cell r="B3406" t="str">
            <v>SJ-ZZN204</v>
          </cell>
        </row>
        <row r="3407">
          <cell r="A3407" t="str">
            <v>SJ-ZZN204R0L</v>
          </cell>
          <cell r="B3407" t="str">
            <v>SJ-ZZN204</v>
          </cell>
        </row>
        <row r="3408">
          <cell r="A3408" t="str">
            <v>SJ-ZZN204R0L-GM</v>
          </cell>
          <cell r="B3408" t="str">
            <v>SJ-ZZN204</v>
          </cell>
        </row>
        <row r="3409">
          <cell r="A3409" t="str">
            <v>SJ-ZZN204R0XL</v>
          </cell>
          <cell r="B3409" t="str">
            <v>SJ-ZZN204</v>
          </cell>
        </row>
        <row r="3410">
          <cell r="A3410" t="str">
            <v>SJ-ZZN204R0XL-GM</v>
          </cell>
          <cell r="B3410" t="str">
            <v>SJ-ZZN204</v>
          </cell>
        </row>
        <row r="3411">
          <cell r="A3411" t="str">
            <v>SJ-ZZN204W0</v>
          </cell>
          <cell r="B3411" t="str">
            <v>SJ-ZZN204</v>
          </cell>
        </row>
        <row r="3412">
          <cell r="A3412" t="str">
            <v>SJ-ZZN204W02L</v>
          </cell>
          <cell r="B3412" t="str">
            <v>SJ-ZZN204</v>
          </cell>
        </row>
        <row r="3413">
          <cell r="A3413" t="str">
            <v>SJ-ZZN204W02L-GM</v>
          </cell>
          <cell r="B3413" t="str">
            <v>SJ-ZZN204</v>
          </cell>
        </row>
        <row r="3414">
          <cell r="A3414" t="str">
            <v>SJ-ZZN204W03L</v>
          </cell>
          <cell r="B3414" t="str">
            <v>SJ-ZZN204</v>
          </cell>
        </row>
        <row r="3415">
          <cell r="A3415" t="str">
            <v>SJ-ZZN204W03L-GM</v>
          </cell>
          <cell r="B3415" t="str">
            <v>SJ-ZZN204</v>
          </cell>
        </row>
        <row r="3416">
          <cell r="A3416" t="str">
            <v>SJ-ZZN204W04L</v>
          </cell>
          <cell r="B3416" t="str">
            <v>SJ-ZZN204</v>
          </cell>
        </row>
        <row r="3417">
          <cell r="A3417" t="str">
            <v>SJ-ZZN204W0-GM</v>
          </cell>
          <cell r="B3417" t="str">
            <v>SJ-ZZN204</v>
          </cell>
        </row>
        <row r="3418">
          <cell r="A3418" t="str">
            <v>SJ-ZZN204W0L</v>
          </cell>
          <cell r="B3418" t="str">
            <v>SJ-ZZN204</v>
          </cell>
        </row>
        <row r="3419">
          <cell r="A3419" t="str">
            <v>SJ-ZZN204W0L-GM</v>
          </cell>
          <cell r="B3419" t="str">
            <v>SJ-ZZN204</v>
          </cell>
        </row>
        <row r="3420">
          <cell r="A3420" t="str">
            <v>SJ-ZZN204W0XL</v>
          </cell>
          <cell r="B3420" t="str">
            <v>SJ-ZZN204</v>
          </cell>
        </row>
        <row r="3421">
          <cell r="A3421" t="str">
            <v>SJ-ZZN204W0XL-GM</v>
          </cell>
          <cell r="B3421" t="str">
            <v>SJ-ZZN204</v>
          </cell>
        </row>
        <row r="3422">
          <cell r="A3422" t="str">
            <v>SJ-ZZN204ZL-2XL</v>
          </cell>
          <cell r="B3422" t="str">
            <v>SJ-ZZN204</v>
          </cell>
        </row>
        <row r="3423">
          <cell r="A3423" t="str">
            <v>SJ-ZZN204ZL-2XL-GM</v>
          </cell>
          <cell r="B3423" t="str">
            <v>SJ-ZZN204</v>
          </cell>
        </row>
        <row r="3424">
          <cell r="A3424" t="str">
            <v>SJ-ZZN204ZL-L</v>
          </cell>
          <cell r="B3424" t="str">
            <v>SJ-ZZN204</v>
          </cell>
        </row>
        <row r="3425">
          <cell r="A3425" t="str">
            <v>SJ-ZZN204ZL-M</v>
          </cell>
          <cell r="B3425" t="str">
            <v>SJ-ZZN204</v>
          </cell>
        </row>
        <row r="3426">
          <cell r="A3426" t="str">
            <v>SJ-ZZN204ZL-S</v>
          </cell>
          <cell r="B3426" t="str">
            <v>SJ-ZZN204</v>
          </cell>
        </row>
        <row r="3427">
          <cell r="A3427" t="str">
            <v>SJ-ZZN204ZL-S-GM</v>
          </cell>
          <cell r="B3427" t="str">
            <v>SJ-ZZN204</v>
          </cell>
        </row>
        <row r="3428">
          <cell r="A3428" t="str">
            <v>SJ-ZZN204ZL-XL</v>
          </cell>
          <cell r="B3428" t="str">
            <v>SJ-ZZN204</v>
          </cell>
        </row>
        <row r="3429">
          <cell r="A3429" t="str">
            <v>SJ-ZZN204ZL-XS</v>
          </cell>
          <cell r="B3429" t="str">
            <v>SJ-ZZN204</v>
          </cell>
        </row>
        <row r="3430">
          <cell r="A3430" t="str">
            <v>SK-LY168-311-4E-L</v>
          </cell>
          <cell r="B3430" t="str">
            <v>SK-LY168</v>
          </cell>
        </row>
        <row r="3431">
          <cell r="A3431" t="str">
            <v>SK-LY168-311-4E-M</v>
          </cell>
          <cell r="B3431" t="str">
            <v>SK-LY168</v>
          </cell>
        </row>
        <row r="3432">
          <cell r="A3432" t="str">
            <v>SK-LY168-311-4E-XL</v>
          </cell>
          <cell r="B3432" t="str">
            <v>SK-LY168</v>
          </cell>
        </row>
        <row r="3433">
          <cell r="A3433" t="str">
            <v>SK-LY168-311-4F-L</v>
          </cell>
          <cell r="B3433" t="str">
            <v>SK-LY168</v>
          </cell>
        </row>
        <row r="3434">
          <cell r="A3434" t="str">
            <v>SK-LY168-311-4F-M</v>
          </cell>
          <cell r="B3434" t="str">
            <v>SK-LY168</v>
          </cell>
        </row>
        <row r="3435">
          <cell r="A3435" t="str">
            <v>SK-LY168-311-4F-XL</v>
          </cell>
          <cell r="B3435" t="str">
            <v>SK-LY168</v>
          </cell>
        </row>
        <row r="3436">
          <cell r="A3436" t="str">
            <v>SK-LY168-311-4H-L</v>
          </cell>
          <cell r="B3436" t="str">
            <v>SK-LY168</v>
          </cell>
        </row>
        <row r="3437">
          <cell r="A3437" t="str">
            <v>SK-LY168-311-4H-M</v>
          </cell>
          <cell r="B3437" t="str">
            <v>SK-LY168</v>
          </cell>
        </row>
        <row r="3438">
          <cell r="A3438" t="str">
            <v>SK-LY168-311-4H-XL</v>
          </cell>
          <cell r="B3438" t="str">
            <v>SK-LY168</v>
          </cell>
        </row>
        <row r="3439">
          <cell r="A3439" t="str">
            <v>SK-LY168-311-76A-L</v>
          </cell>
          <cell r="B3439" t="str">
            <v>SK-LY168</v>
          </cell>
        </row>
        <row r="3440">
          <cell r="A3440" t="str">
            <v>SK-LY168-311-76A-M</v>
          </cell>
          <cell r="B3440" t="str">
            <v>SK-LY168</v>
          </cell>
        </row>
        <row r="3441">
          <cell r="A3441" t="str">
            <v>SK-LY168-311-76A-XL</v>
          </cell>
          <cell r="B3441" t="str">
            <v>SK-LY168</v>
          </cell>
        </row>
        <row r="3442">
          <cell r="A3442" t="str">
            <v>SK-LY168-311-76C-L</v>
          </cell>
          <cell r="B3442" t="str">
            <v>SK-LY168</v>
          </cell>
        </row>
        <row r="3443">
          <cell r="A3443" t="str">
            <v>SK-LY168-311-76C-XL</v>
          </cell>
          <cell r="B3443" t="str">
            <v>SK-LY168</v>
          </cell>
        </row>
        <row r="3444">
          <cell r="A3444" t="str">
            <v>SK-LY168-311-76D-L</v>
          </cell>
          <cell r="B3444" t="str">
            <v>SK-LY168</v>
          </cell>
        </row>
        <row r="3445">
          <cell r="A3445" t="str">
            <v>SK-LY168-311-76D-M</v>
          </cell>
          <cell r="B3445" t="str">
            <v>SK-LY168</v>
          </cell>
        </row>
        <row r="3446">
          <cell r="A3446" t="str">
            <v>SK-LY168-311-76D-XL</v>
          </cell>
          <cell r="B3446" t="str">
            <v>SK-LY168</v>
          </cell>
        </row>
        <row r="3447">
          <cell r="A3447" t="str">
            <v>SK-LY168-HSJK-168A-L</v>
          </cell>
          <cell r="B3447" t="str">
            <v>SK-LY168</v>
          </cell>
        </row>
        <row r="3448">
          <cell r="A3448" t="str">
            <v>SK-LY168-HSJK-168A-M</v>
          </cell>
          <cell r="B3448" t="str">
            <v>SK-LY168</v>
          </cell>
        </row>
        <row r="3449">
          <cell r="A3449" t="str">
            <v>SK-LY168-HSJK-168A-XL</v>
          </cell>
          <cell r="B3449" t="str">
            <v>SK-LY168</v>
          </cell>
        </row>
        <row r="3450">
          <cell r="A3450" t="str">
            <v>SK-LY168-HSJK-168B-L</v>
          </cell>
          <cell r="B3450" t="str">
            <v>SK-LY168</v>
          </cell>
        </row>
        <row r="3451">
          <cell r="A3451" t="str">
            <v>SK-LY168-HSJK-168B-M</v>
          </cell>
          <cell r="B3451" t="str">
            <v>SK-LY168</v>
          </cell>
        </row>
        <row r="3452">
          <cell r="A3452" t="str">
            <v>SK-LY168-HSJK-168B-XL</v>
          </cell>
          <cell r="B3452" t="str">
            <v>SK-LY168</v>
          </cell>
        </row>
        <row r="3453">
          <cell r="A3453" t="str">
            <v>SK-LY168-HSJK-168C-L</v>
          </cell>
          <cell r="B3453" t="str">
            <v>SK-LY168</v>
          </cell>
        </row>
        <row r="3454">
          <cell r="A3454" t="str">
            <v>SK-LY168-HSJK-168C-M</v>
          </cell>
          <cell r="B3454" t="str">
            <v>SK-LY168</v>
          </cell>
        </row>
        <row r="3455">
          <cell r="A3455" t="str">
            <v>SK-LY168-HSJK-168C-XL</v>
          </cell>
          <cell r="B3455" t="str">
            <v>SK-LY168</v>
          </cell>
        </row>
        <row r="3456">
          <cell r="A3456" t="str">
            <v>SK-LY168-K77-1-M</v>
          </cell>
          <cell r="B3456" t="str">
            <v>SK-LY168</v>
          </cell>
        </row>
        <row r="3457">
          <cell r="A3457" t="str">
            <v>SK-LY168-K77-1-XL</v>
          </cell>
          <cell r="B3457" t="str">
            <v>SK-LY168</v>
          </cell>
        </row>
        <row r="3458">
          <cell r="A3458" t="str">
            <v>SK-LY168-K77-2-L</v>
          </cell>
          <cell r="B3458" t="str">
            <v>SK-LY168</v>
          </cell>
        </row>
        <row r="3459">
          <cell r="A3459" t="str">
            <v>SK-LY168-K77-2-M</v>
          </cell>
          <cell r="B3459" t="str">
            <v>SK-LY168</v>
          </cell>
        </row>
        <row r="3460">
          <cell r="A3460" t="str">
            <v>SK-LY168-K77-2-XL</v>
          </cell>
          <cell r="B3460" t="str">
            <v>SK-LY168</v>
          </cell>
        </row>
        <row r="3461">
          <cell r="A3461" t="str">
            <v>SK-LY168-K77-4-L</v>
          </cell>
          <cell r="B3461" t="str">
            <v>SK-LY168</v>
          </cell>
        </row>
        <row r="3462">
          <cell r="A3462" t="str">
            <v>SK-LY168-K77-4-M</v>
          </cell>
          <cell r="B3462" t="str">
            <v>SK-LY168</v>
          </cell>
        </row>
        <row r="3463">
          <cell r="A3463" t="str">
            <v>SK-LY168-K77-4-XL</v>
          </cell>
          <cell r="B3463" t="str">
            <v>SK-LY168</v>
          </cell>
        </row>
        <row r="3464">
          <cell r="A3464" t="str">
            <v>SK-SB012-GR-L</v>
          </cell>
          <cell r="B3464" t="str">
            <v>SK-SB012</v>
          </cell>
        </row>
        <row r="3465">
          <cell r="A3465" t="str">
            <v>SK-SB012-GR-M</v>
          </cell>
          <cell r="B3465" t="str">
            <v>SK-SB012</v>
          </cell>
        </row>
        <row r="3466">
          <cell r="A3466" t="str">
            <v>SK-SB012-GR-XL</v>
          </cell>
          <cell r="B3466" t="str">
            <v>SK-SB012</v>
          </cell>
        </row>
        <row r="3467">
          <cell r="A3467" t="str">
            <v>SK-SB012-KK-L</v>
          </cell>
          <cell r="B3467" t="str">
            <v>SK-SB012</v>
          </cell>
        </row>
        <row r="3468">
          <cell r="A3468" t="str">
            <v>SK-SB012-KK-M</v>
          </cell>
          <cell r="B3468" t="str">
            <v>SK-SB012</v>
          </cell>
        </row>
        <row r="3469">
          <cell r="A3469" t="str">
            <v>SK-SB012-KK-XL</v>
          </cell>
          <cell r="B3469" t="str">
            <v>SK-SB012</v>
          </cell>
        </row>
        <row r="3470">
          <cell r="A3470" t="str">
            <v>SK-SB012-NY-L</v>
          </cell>
          <cell r="B3470" t="str">
            <v>SK-SB012</v>
          </cell>
        </row>
        <row r="3471">
          <cell r="A3471" t="str">
            <v>SK-SB012-NY-M</v>
          </cell>
          <cell r="B3471" t="str">
            <v>SK-SB012</v>
          </cell>
        </row>
        <row r="3472">
          <cell r="A3472" t="str">
            <v>SK-SB012-NY-XL</v>
          </cell>
          <cell r="B3472" t="str">
            <v>SK-SB012</v>
          </cell>
        </row>
        <row r="3473">
          <cell r="A3473" t="str">
            <v>SK-SB012-WT-L</v>
          </cell>
          <cell r="B3473" t="str">
            <v>SK-SB012</v>
          </cell>
        </row>
        <row r="3474">
          <cell r="A3474" t="str">
            <v>SK-SB012-WT-M</v>
          </cell>
          <cell r="B3474" t="str">
            <v>SK-SB012</v>
          </cell>
        </row>
        <row r="3475">
          <cell r="A3475" t="str">
            <v>SK-SB012-WT-XL</v>
          </cell>
          <cell r="B3475" t="str">
            <v>SK-SB012</v>
          </cell>
        </row>
        <row r="3476">
          <cell r="A3476" t="str">
            <v>SKS-B301</v>
          </cell>
          <cell r="B3476" t="str">
            <v>SKS-B301</v>
          </cell>
        </row>
        <row r="3477">
          <cell r="A3477" t="str">
            <v>SKS-B334</v>
          </cell>
          <cell r="B3477" t="str">
            <v>SKS-B334</v>
          </cell>
        </row>
        <row r="3478">
          <cell r="A3478" t="str">
            <v>ST005-BK-2XL</v>
          </cell>
          <cell r="B3478" t="str">
            <v>ST005</v>
          </cell>
        </row>
        <row r="3479">
          <cell r="A3479" t="str">
            <v>ST005-BK-L</v>
          </cell>
          <cell r="B3479" t="str">
            <v>ST005</v>
          </cell>
        </row>
        <row r="3480">
          <cell r="A3480" t="str">
            <v>ST005-BK-M</v>
          </cell>
          <cell r="B3480" t="str">
            <v>ST005</v>
          </cell>
        </row>
        <row r="3481">
          <cell r="A3481" t="str">
            <v>ST005-BK-S</v>
          </cell>
          <cell r="B3481" t="str">
            <v>ST005</v>
          </cell>
        </row>
        <row r="3482">
          <cell r="A3482" t="str">
            <v>ST005-BK-XL</v>
          </cell>
          <cell r="B3482" t="str">
            <v>ST005</v>
          </cell>
        </row>
        <row r="3483">
          <cell r="A3483" t="str">
            <v>ST005-BL1-2XL</v>
          </cell>
          <cell r="B3483" t="str">
            <v>ST005</v>
          </cell>
        </row>
        <row r="3484">
          <cell r="A3484" t="str">
            <v>ST005-BL1-L</v>
          </cell>
          <cell r="B3484" t="str">
            <v>ST005</v>
          </cell>
        </row>
        <row r="3485">
          <cell r="A3485" t="str">
            <v>ST005-BL1-M</v>
          </cell>
          <cell r="B3485" t="str">
            <v>ST005</v>
          </cell>
        </row>
        <row r="3486">
          <cell r="A3486" t="str">
            <v>ST005-BL1-S</v>
          </cell>
          <cell r="B3486" t="str">
            <v>ST005</v>
          </cell>
        </row>
        <row r="3487">
          <cell r="A3487" t="str">
            <v>ST005-BL1-XL</v>
          </cell>
          <cell r="B3487" t="str">
            <v>ST005</v>
          </cell>
        </row>
        <row r="3488">
          <cell r="A3488" t="str">
            <v>ST005-BL2-2XL</v>
          </cell>
          <cell r="B3488" t="str">
            <v>ST005</v>
          </cell>
        </row>
        <row r="3489">
          <cell r="A3489" t="str">
            <v>ST005-BL2-L</v>
          </cell>
          <cell r="B3489" t="str">
            <v>ST005</v>
          </cell>
        </row>
        <row r="3490">
          <cell r="A3490" t="str">
            <v>ST005-BL2-M</v>
          </cell>
          <cell r="B3490" t="str">
            <v>ST005</v>
          </cell>
        </row>
        <row r="3491">
          <cell r="A3491" t="str">
            <v>ST005-BL2-S</v>
          </cell>
          <cell r="B3491" t="str">
            <v>ST005</v>
          </cell>
        </row>
        <row r="3492">
          <cell r="A3492" t="str">
            <v>ST005-BL2-XL</v>
          </cell>
          <cell r="B3492" t="str">
            <v>ST005</v>
          </cell>
        </row>
        <row r="3493">
          <cell r="A3493" t="str">
            <v>ST005-GN-2XL</v>
          </cell>
          <cell r="B3493" t="str">
            <v>ST005</v>
          </cell>
        </row>
        <row r="3494">
          <cell r="A3494" t="str">
            <v>ST005-GN-L</v>
          </cell>
          <cell r="B3494" t="str">
            <v>ST005</v>
          </cell>
        </row>
        <row r="3495">
          <cell r="A3495" t="str">
            <v>ST005-GN-M</v>
          </cell>
          <cell r="B3495" t="str">
            <v>ST005</v>
          </cell>
        </row>
        <row r="3496">
          <cell r="A3496" t="str">
            <v>ST005-GN-S</v>
          </cell>
          <cell r="B3496" t="str">
            <v>ST005</v>
          </cell>
        </row>
        <row r="3497">
          <cell r="A3497" t="str">
            <v>ST005-GN-XL</v>
          </cell>
          <cell r="B3497" t="str">
            <v>ST005</v>
          </cell>
        </row>
        <row r="3498">
          <cell r="A3498" t="str">
            <v>ST005-RD1-2XL</v>
          </cell>
          <cell r="B3498" t="str">
            <v>ST005</v>
          </cell>
        </row>
        <row r="3499">
          <cell r="A3499" t="str">
            <v>ST005-RD1-L</v>
          </cell>
          <cell r="B3499" t="str">
            <v>ST005</v>
          </cell>
        </row>
        <row r="3500">
          <cell r="A3500" t="str">
            <v>ST005-RD1-M</v>
          </cell>
          <cell r="B3500" t="str">
            <v>ST005</v>
          </cell>
        </row>
        <row r="3501">
          <cell r="A3501" t="str">
            <v>ST005-RD1-S</v>
          </cell>
          <cell r="B3501" t="str">
            <v>ST005</v>
          </cell>
        </row>
        <row r="3502">
          <cell r="A3502" t="str">
            <v>ST005-RD1-XL</v>
          </cell>
          <cell r="B3502" t="str">
            <v>ST005</v>
          </cell>
        </row>
        <row r="3503">
          <cell r="A3503" t="str">
            <v>ST005-RD-2XL</v>
          </cell>
          <cell r="B3503" t="str">
            <v>ST005</v>
          </cell>
        </row>
        <row r="3504">
          <cell r="A3504" t="str">
            <v>ST005-RD-L</v>
          </cell>
          <cell r="B3504" t="str">
            <v>ST005</v>
          </cell>
        </row>
        <row r="3505">
          <cell r="A3505" t="str">
            <v>ST005-RD-M</v>
          </cell>
          <cell r="B3505" t="str">
            <v>ST005</v>
          </cell>
        </row>
        <row r="3506">
          <cell r="A3506" t="str">
            <v>ST005-RD-S</v>
          </cell>
          <cell r="B3506" t="str">
            <v>ST005</v>
          </cell>
        </row>
        <row r="3507">
          <cell r="A3507" t="str">
            <v>ST005-RD-XL</v>
          </cell>
          <cell r="B3507" t="str">
            <v>ST005</v>
          </cell>
        </row>
        <row r="3508">
          <cell r="A3508" t="str">
            <v>ST005-YL-2XL</v>
          </cell>
          <cell r="B3508" t="str">
            <v>ST005</v>
          </cell>
        </row>
        <row r="3509">
          <cell r="A3509" t="str">
            <v>ST005-YL-L</v>
          </cell>
          <cell r="B3509" t="str">
            <v>ST005</v>
          </cell>
        </row>
        <row r="3510">
          <cell r="A3510" t="str">
            <v>ST005-YL-M</v>
          </cell>
          <cell r="B3510" t="str">
            <v>ST005</v>
          </cell>
        </row>
        <row r="3511">
          <cell r="A3511" t="str">
            <v>ST005-YL-S</v>
          </cell>
          <cell r="B3511" t="str">
            <v>ST005</v>
          </cell>
        </row>
        <row r="3512">
          <cell r="A3512" t="str">
            <v>ST005-YL-XL</v>
          </cell>
          <cell r="B3512" t="str">
            <v>ST005</v>
          </cell>
        </row>
        <row r="3513">
          <cell r="A3513" t="str">
            <v>ST006-BK-2XL</v>
          </cell>
          <cell r="B3513" t="str">
            <v>ST006</v>
          </cell>
        </row>
        <row r="3514">
          <cell r="A3514" t="str">
            <v>ST006-BK-L</v>
          </cell>
          <cell r="B3514" t="str">
            <v>ST006</v>
          </cell>
        </row>
        <row r="3515">
          <cell r="A3515" t="str">
            <v>ST006-BK-M</v>
          </cell>
          <cell r="B3515" t="str">
            <v>ST006</v>
          </cell>
        </row>
        <row r="3516">
          <cell r="A3516" t="str">
            <v>ST006-BK-S</v>
          </cell>
          <cell r="B3516" t="str">
            <v>ST006</v>
          </cell>
        </row>
        <row r="3517">
          <cell r="A3517" t="str">
            <v>ST006-BK-XL</v>
          </cell>
          <cell r="B3517" t="str">
            <v>ST006</v>
          </cell>
        </row>
        <row r="3518">
          <cell r="A3518" t="str">
            <v>ST006-BL2-2XL</v>
          </cell>
          <cell r="B3518" t="str">
            <v>ST006</v>
          </cell>
        </row>
        <row r="3519">
          <cell r="A3519" t="str">
            <v>ST006-BL2-L</v>
          </cell>
          <cell r="B3519" t="str">
            <v>ST006</v>
          </cell>
        </row>
        <row r="3520">
          <cell r="A3520" t="str">
            <v>ST006-BL2-M</v>
          </cell>
          <cell r="B3520" t="str">
            <v>ST006</v>
          </cell>
        </row>
        <row r="3521">
          <cell r="A3521" t="str">
            <v>ST006-BL2-S</v>
          </cell>
          <cell r="B3521" t="str">
            <v>ST006</v>
          </cell>
        </row>
        <row r="3522">
          <cell r="A3522" t="str">
            <v>ST006-BL2-XL</v>
          </cell>
          <cell r="B3522" t="str">
            <v>ST006</v>
          </cell>
        </row>
        <row r="3523">
          <cell r="A3523" t="str">
            <v>ST006-BL-2XL</v>
          </cell>
          <cell r="B3523" t="str">
            <v>ST006</v>
          </cell>
        </row>
        <row r="3524">
          <cell r="A3524" t="str">
            <v>ST006-BL-L</v>
          </cell>
          <cell r="B3524" t="str">
            <v>ST006</v>
          </cell>
        </row>
        <row r="3525">
          <cell r="A3525" t="str">
            <v>ST006-BL-M</v>
          </cell>
          <cell r="B3525" t="str">
            <v>ST006</v>
          </cell>
        </row>
        <row r="3526">
          <cell r="A3526" t="str">
            <v>ST006-BL-S</v>
          </cell>
          <cell r="B3526" t="str">
            <v>ST006</v>
          </cell>
        </row>
        <row r="3527">
          <cell r="A3527" t="str">
            <v>ST006-BL-XL</v>
          </cell>
          <cell r="B3527" t="str">
            <v>ST006</v>
          </cell>
        </row>
        <row r="3528">
          <cell r="A3528" t="str">
            <v>ST006-CF-2XL</v>
          </cell>
          <cell r="B3528" t="str">
            <v>ST006</v>
          </cell>
        </row>
        <row r="3529">
          <cell r="A3529" t="str">
            <v>ST006-CF-L</v>
          </cell>
          <cell r="B3529" t="str">
            <v>ST006</v>
          </cell>
        </row>
        <row r="3530">
          <cell r="A3530" t="str">
            <v>ST006-CF-M</v>
          </cell>
          <cell r="B3530" t="str">
            <v>ST006</v>
          </cell>
        </row>
        <row r="3531">
          <cell r="A3531" t="str">
            <v>ST006-CF-S</v>
          </cell>
          <cell r="B3531" t="str">
            <v>ST006</v>
          </cell>
        </row>
        <row r="3532">
          <cell r="A3532" t="str">
            <v>ST006-CF-XL</v>
          </cell>
          <cell r="B3532" t="str">
            <v>ST006</v>
          </cell>
        </row>
        <row r="3533">
          <cell r="A3533" t="str">
            <v>ST006-GN-2XL</v>
          </cell>
          <cell r="B3533" t="str">
            <v>ST006</v>
          </cell>
        </row>
        <row r="3534">
          <cell r="A3534" t="str">
            <v>ST006-GN-L</v>
          </cell>
          <cell r="B3534" t="str">
            <v>ST006</v>
          </cell>
        </row>
        <row r="3535">
          <cell r="A3535" t="str">
            <v>ST006-GN-M</v>
          </cell>
          <cell r="B3535" t="str">
            <v>ST006</v>
          </cell>
        </row>
        <row r="3536">
          <cell r="A3536" t="str">
            <v>ST006-GN-S</v>
          </cell>
          <cell r="B3536" t="str">
            <v>ST006</v>
          </cell>
        </row>
        <row r="3537">
          <cell r="A3537" t="str">
            <v>ST006-GN-XL</v>
          </cell>
          <cell r="B3537" t="str">
            <v>ST006</v>
          </cell>
        </row>
        <row r="3538">
          <cell r="A3538" t="str">
            <v>ST006-RD1-2XL</v>
          </cell>
          <cell r="B3538" t="str">
            <v>ST006</v>
          </cell>
        </row>
        <row r="3539">
          <cell r="A3539" t="str">
            <v>ST006-RD1-L</v>
          </cell>
          <cell r="B3539" t="str">
            <v>ST006</v>
          </cell>
        </row>
        <row r="3540">
          <cell r="A3540" t="str">
            <v>ST006-RD1-M</v>
          </cell>
          <cell r="B3540" t="str">
            <v>ST006</v>
          </cell>
        </row>
        <row r="3541">
          <cell r="A3541" t="str">
            <v>ST006-RD1-S</v>
          </cell>
          <cell r="B3541" t="str">
            <v>ST006</v>
          </cell>
        </row>
        <row r="3542">
          <cell r="A3542" t="str">
            <v>ST006-RD1-XL</v>
          </cell>
          <cell r="B3542" t="str">
            <v>ST006</v>
          </cell>
        </row>
        <row r="3543">
          <cell r="A3543" t="str">
            <v>ST006-RD2-2XL</v>
          </cell>
          <cell r="B3543" t="str">
            <v>ST006</v>
          </cell>
        </row>
        <row r="3544">
          <cell r="A3544" t="str">
            <v>ST006-RD2-L</v>
          </cell>
          <cell r="B3544" t="str">
            <v>ST006</v>
          </cell>
        </row>
        <row r="3545">
          <cell r="A3545" t="str">
            <v>ST006-RD2-M</v>
          </cell>
          <cell r="B3545" t="str">
            <v>ST006</v>
          </cell>
        </row>
        <row r="3546">
          <cell r="A3546" t="str">
            <v>ST006-RD2-S</v>
          </cell>
          <cell r="B3546" t="str">
            <v>ST006</v>
          </cell>
        </row>
        <row r="3547">
          <cell r="A3547" t="str">
            <v>ST006-RD2-XL</v>
          </cell>
          <cell r="B3547" t="str">
            <v>ST006</v>
          </cell>
        </row>
        <row r="3548">
          <cell r="A3548" t="str">
            <v>ST082-G0-L</v>
          </cell>
          <cell r="B3548" t="str">
            <v>ST082</v>
          </cell>
        </row>
        <row r="3549">
          <cell r="A3549" t="str">
            <v>ST082-G0-M</v>
          </cell>
          <cell r="B3549" t="str">
            <v>ST082</v>
          </cell>
        </row>
        <row r="3550">
          <cell r="A3550" t="str">
            <v>ST082-G0-S</v>
          </cell>
          <cell r="B3550" t="str">
            <v>ST082</v>
          </cell>
        </row>
        <row r="3551">
          <cell r="A3551" t="str">
            <v>ST082-G0-XL</v>
          </cell>
          <cell r="B3551" t="str">
            <v>ST082</v>
          </cell>
        </row>
        <row r="3552">
          <cell r="A3552" t="str">
            <v>ST082-G0-XXL</v>
          </cell>
          <cell r="B3552" t="str">
            <v>ST082</v>
          </cell>
        </row>
        <row r="3553">
          <cell r="A3553" t="str">
            <v>ST082-K0-L</v>
          </cell>
          <cell r="B3553" t="str">
            <v>ST082</v>
          </cell>
        </row>
        <row r="3554">
          <cell r="A3554" t="str">
            <v>ST082-K0-M</v>
          </cell>
          <cell r="B3554" t="str">
            <v>ST082</v>
          </cell>
        </row>
        <row r="3555">
          <cell r="A3555" t="str">
            <v>ST082-K0-S</v>
          </cell>
          <cell r="B3555" t="str">
            <v>ST082</v>
          </cell>
        </row>
        <row r="3556">
          <cell r="A3556" t="str">
            <v>ST082-K0-XL</v>
          </cell>
          <cell r="B3556" t="str">
            <v>ST082</v>
          </cell>
        </row>
        <row r="3557">
          <cell r="A3557" t="str">
            <v>ST082-K0-XXL</v>
          </cell>
          <cell r="B3557" t="str">
            <v>ST082</v>
          </cell>
        </row>
        <row r="3558">
          <cell r="A3558" t="str">
            <v>ST082-R0-L</v>
          </cell>
          <cell r="B3558" t="str">
            <v>ST082</v>
          </cell>
        </row>
        <row r="3559">
          <cell r="A3559" t="str">
            <v>ST082-R0-M</v>
          </cell>
          <cell r="B3559" t="str">
            <v>ST082</v>
          </cell>
        </row>
        <row r="3560">
          <cell r="A3560" t="str">
            <v>ST082-R0-S</v>
          </cell>
          <cell r="B3560" t="str">
            <v>ST082</v>
          </cell>
        </row>
        <row r="3561">
          <cell r="A3561" t="str">
            <v>ST082-R0-XL</v>
          </cell>
          <cell r="B3561" t="str">
            <v>ST082</v>
          </cell>
        </row>
        <row r="3562">
          <cell r="A3562" t="str">
            <v>ST082-R0-XXL</v>
          </cell>
          <cell r="B3562" t="str">
            <v>ST082</v>
          </cell>
        </row>
        <row r="3563">
          <cell r="A3563" t="str">
            <v>ST084-H10-L</v>
          </cell>
          <cell r="B3563" t="str">
            <v>ST084</v>
          </cell>
        </row>
        <row r="3564">
          <cell r="A3564" t="str">
            <v>ST084-H10-M</v>
          </cell>
          <cell r="B3564" t="str">
            <v>ST084</v>
          </cell>
        </row>
        <row r="3565">
          <cell r="A3565" t="str">
            <v>ST084-H10-S</v>
          </cell>
          <cell r="B3565" t="str">
            <v>ST084</v>
          </cell>
        </row>
        <row r="3566">
          <cell r="A3566" t="str">
            <v>ST084-H10-XL</v>
          </cell>
          <cell r="B3566" t="str">
            <v>ST084</v>
          </cell>
        </row>
        <row r="3567">
          <cell r="A3567" t="str">
            <v>ST084-H10-XXL</v>
          </cell>
          <cell r="B3567" t="str">
            <v>ST084</v>
          </cell>
        </row>
        <row r="3568">
          <cell r="A3568" t="str">
            <v>ST084-H12-L</v>
          </cell>
          <cell r="B3568" t="str">
            <v>ST084</v>
          </cell>
        </row>
        <row r="3569">
          <cell r="A3569" t="str">
            <v>ST084-H12-M</v>
          </cell>
          <cell r="B3569" t="str">
            <v>ST084</v>
          </cell>
        </row>
        <row r="3570">
          <cell r="A3570" t="str">
            <v>ST084-H12-S</v>
          </cell>
          <cell r="B3570" t="str">
            <v>ST084</v>
          </cell>
        </row>
        <row r="3571">
          <cell r="A3571" t="str">
            <v>ST084-H12-XL</v>
          </cell>
          <cell r="B3571" t="str">
            <v>ST084</v>
          </cell>
        </row>
        <row r="3572">
          <cell r="A3572" t="str">
            <v>ST084-H12-XS</v>
          </cell>
          <cell r="B3572" t="str">
            <v>ST084</v>
          </cell>
        </row>
        <row r="3573">
          <cell r="A3573" t="str">
            <v>ST084-H12-XXL</v>
          </cell>
          <cell r="B3573" t="str">
            <v>ST084</v>
          </cell>
        </row>
        <row r="3574">
          <cell r="A3574" t="str">
            <v>ST084-H15-L</v>
          </cell>
          <cell r="B3574" t="str">
            <v>ST084</v>
          </cell>
        </row>
        <row r="3575">
          <cell r="A3575" t="str">
            <v>ST084-H15-M</v>
          </cell>
          <cell r="B3575" t="str">
            <v>ST084</v>
          </cell>
        </row>
        <row r="3576">
          <cell r="A3576" t="str">
            <v>ST084-H15-S</v>
          </cell>
          <cell r="B3576" t="str">
            <v>ST084</v>
          </cell>
        </row>
        <row r="3577">
          <cell r="A3577" t="str">
            <v>ST084-H15-XL</v>
          </cell>
          <cell r="B3577" t="str">
            <v>ST084</v>
          </cell>
        </row>
        <row r="3578">
          <cell r="A3578" t="str">
            <v>ST084-H15-XS</v>
          </cell>
          <cell r="B3578" t="str">
            <v>ST084</v>
          </cell>
        </row>
        <row r="3579">
          <cell r="A3579" t="str">
            <v>ST084-H15-XXL</v>
          </cell>
          <cell r="B3579" t="str">
            <v>ST084</v>
          </cell>
        </row>
        <row r="3580">
          <cell r="A3580" t="str">
            <v>ST084-H16-L</v>
          </cell>
          <cell r="B3580" t="str">
            <v>ST084</v>
          </cell>
        </row>
        <row r="3581">
          <cell r="A3581" t="str">
            <v>ST084-H16-M</v>
          </cell>
          <cell r="B3581" t="str">
            <v>ST084</v>
          </cell>
        </row>
        <row r="3582">
          <cell r="A3582" t="str">
            <v>ST084-H16-S</v>
          </cell>
          <cell r="B3582" t="str">
            <v>ST084</v>
          </cell>
        </row>
        <row r="3583">
          <cell r="A3583" t="str">
            <v>ST084-H16-XL</v>
          </cell>
          <cell r="B3583" t="str">
            <v>ST084</v>
          </cell>
        </row>
        <row r="3584">
          <cell r="A3584" t="str">
            <v>ST084-H16-XXL</v>
          </cell>
          <cell r="B3584" t="str">
            <v>ST084</v>
          </cell>
        </row>
        <row r="3585">
          <cell r="A3585" t="str">
            <v>ST084-H1-L</v>
          </cell>
          <cell r="B3585" t="str">
            <v>ST084</v>
          </cell>
        </row>
        <row r="3586">
          <cell r="A3586" t="str">
            <v>ST084-H1-M</v>
          </cell>
          <cell r="B3586" t="str">
            <v>ST084</v>
          </cell>
        </row>
        <row r="3587">
          <cell r="A3587" t="str">
            <v>ST084-H1-S</v>
          </cell>
          <cell r="B3587" t="str">
            <v>ST084</v>
          </cell>
        </row>
        <row r="3588">
          <cell r="A3588" t="str">
            <v>ST084-H1-XL</v>
          </cell>
          <cell r="B3588" t="str">
            <v>ST084</v>
          </cell>
        </row>
        <row r="3589">
          <cell r="A3589" t="str">
            <v>ST084-H1-XXL</v>
          </cell>
          <cell r="B3589" t="str">
            <v>ST084</v>
          </cell>
        </row>
        <row r="3590">
          <cell r="A3590" t="str">
            <v>ST084-H2-L</v>
          </cell>
          <cell r="B3590" t="str">
            <v>ST084</v>
          </cell>
        </row>
        <row r="3591">
          <cell r="A3591" t="str">
            <v>ST084-H2-M</v>
          </cell>
          <cell r="B3591" t="str">
            <v>ST084</v>
          </cell>
        </row>
        <row r="3592">
          <cell r="A3592" t="str">
            <v>ST084-H2-S</v>
          </cell>
          <cell r="B3592" t="str">
            <v>ST084</v>
          </cell>
        </row>
        <row r="3593">
          <cell r="A3593" t="str">
            <v>ST084-H2-XL</v>
          </cell>
          <cell r="B3593" t="str">
            <v>ST084</v>
          </cell>
        </row>
        <row r="3594">
          <cell r="A3594" t="str">
            <v>ST084-H2-XXL</v>
          </cell>
          <cell r="B3594" t="str">
            <v>ST084</v>
          </cell>
        </row>
        <row r="3595">
          <cell r="A3595" t="str">
            <v>ST084-H3-L</v>
          </cell>
          <cell r="B3595" t="str">
            <v>ST084</v>
          </cell>
        </row>
        <row r="3596">
          <cell r="A3596" t="str">
            <v>ST084-H3-M</v>
          </cell>
          <cell r="B3596" t="str">
            <v>ST084</v>
          </cell>
        </row>
        <row r="3597">
          <cell r="A3597" t="str">
            <v>ST084-H3-S</v>
          </cell>
          <cell r="B3597" t="str">
            <v>ST084</v>
          </cell>
        </row>
        <row r="3598">
          <cell r="A3598" t="str">
            <v>ST084-H3-XL</v>
          </cell>
          <cell r="B3598" t="str">
            <v>ST084</v>
          </cell>
        </row>
        <row r="3599">
          <cell r="A3599" t="str">
            <v>ST084-H3-XS</v>
          </cell>
          <cell r="B3599" t="str">
            <v>ST084</v>
          </cell>
        </row>
        <row r="3600">
          <cell r="A3600" t="str">
            <v>ST084-H3-XXL</v>
          </cell>
          <cell r="B3600" t="str">
            <v>ST084</v>
          </cell>
        </row>
        <row r="3601">
          <cell r="A3601" t="str">
            <v>ST084-H4-L</v>
          </cell>
          <cell r="B3601" t="str">
            <v>ST084</v>
          </cell>
        </row>
        <row r="3602">
          <cell r="A3602" t="str">
            <v>ST084-H4-M</v>
          </cell>
          <cell r="B3602" t="str">
            <v>ST084</v>
          </cell>
        </row>
        <row r="3603">
          <cell r="A3603" t="str">
            <v>ST084-H4-S</v>
          </cell>
          <cell r="B3603" t="str">
            <v>ST084</v>
          </cell>
        </row>
        <row r="3604">
          <cell r="A3604" t="str">
            <v>ST084-H4-XL</v>
          </cell>
          <cell r="B3604" t="str">
            <v>ST084</v>
          </cell>
        </row>
        <row r="3605">
          <cell r="A3605" t="str">
            <v>ST084-H4-XXL</v>
          </cell>
          <cell r="B3605" t="str">
            <v>ST084</v>
          </cell>
        </row>
        <row r="3606">
          <cell r="A3606" t="str">
            <v>ST084-H6-L</v>
          </cell>
          <cell r="B3606" t="str">
            <v>ST084</v>
          </cell>
        </row>
        <row r="3607">
          <cell r="A3607" t="str">
            <v>ST084-H6-M</v>
          </cell>
          <cell r="B3607" t="str">
            <v>ST084</v>
          </cell>
        </row>
        <row r="3608">
          <cell r="A3608" t="str">
            <v>ST084-H6-S</v>
          </cell>
          <cell r="B3608" t="str">
            <v>ST084</v>
          </cell>
        </row>
        <row r="3609">
          <cell r="A3609" t="str">
            <v>ST084-H6-XL</v>
          </cell>
          <cell r="B3609" t="str">
            <v>ST084</v>
          </cell>
        </row>
        <row r="3610">
          <cell r="A3610" t="str">
            <v>ST084-H6-XXL</v>
          </cell>
          <cell r="B3610" t="str">
            <v>ST084</v>
          </cell>
        </row>
        <row r="3611">
          <cell r="A3611" t="str">
            <v>ST085-G912-L</v>
          </cell>
          <cell r="B3611" t="str">
            <v>ST085</v>
          </cell>
        </row>
        <row r="3612">
          <cell r="A3612" t="str">
            <v>ST085-G912-M</v>
          </cell>
          <cell r="B3612" t="str">
            <v>ST085</v>
          </cell>
        </row>
        <row r="3613">
          <cell r="A3613" t="str">
            <v>ST085-G912-S</v>
          </cell>
          <cell r="B3613" t="str">
            <v>ST085</v>
          </cell>
        </row>
        <row r="3614">
          <cell r="A3614" t="str">
            <v>ST085-G912-XL</v>
          </cell>
          <cell r="B3614" t="str">
            <v>ST085</v>
          </cell>
        </row>
        <row r="3615">
          <cell r="A3615" t="str">
            <v>ST085-G912-XXL</v>
          </cell>
          <cell r="B3615" t="str">
            <v>ST085</v>
          </cell>
        </row>
        <row r="3616">
          <cell r="A3616" t="str">
            <v>ST085-LB916-L</v>
          </cell>
          <cell r="B3616" t="str">
            <v>ST085</v>
          </cell>
        </row>
        <row r="3617">
          <cell r="A3617" t="str">
            <v>ST085-LB916-M</v>
          </cell>
          <cell r="B3617" t="str">
            <v>ST085</v>
          </cell>
        </row>
        <row r="3618">
          <cell r="A3618" t="str">
            <v>ST085-LB916-S</v>
          </cell>
          <cell r="B3618" t="str">
            <v>ST085</v>
          </cell>
        </row>
        <row r="3619">
          <cell r="A3619" t="str">
            <v>ST085-LB916-XL</v>
          </cell>
          <cell r="B3619" t="str">
            <v>ST085</v>
          </cell>
        </row>
        <row r="3620">
          <cell r="A3620" t="str">
            <v>ST085-LB916-XXL</v>
          </cell>
          <cell r="B3620" t="str">
            <v>ST085</v>
          </cell>
        </row>
        <row r="3621">
          <cell r="A3621" t="str">
            <v>ST085-LG907-L</v>
          </cell>
          <cell r="B3621" t="str">
            <v>ST085</v>
          </cell>
        </row>
        <row r="3622">
          <cell r="A3622" t="str">
            <v>ST085-LG907-M</v>
          </cell>
          <cell r="B3622" t="str">
            <v>ST085</v>
          </cell>
        </row>
        <row r="3623">
          <cell r="A3623" t="str">
            <v>ST085-LG907-S</v>
          </cell>
          <cell r="B3623" t="str">
            <v>ST085</v>
          </cell>
        </row>
        <row r="3624">
          <cell r="A3624" t="str">
            <v>ST085-LG907-XL</v>
          </cell>
          <cell r="B3624" t="str">
            <v>ST085</v>
          </cell>
        </row>
        <row r="3625">
          <cell r="A3625" t="str">
            <v>ST085-LG907-XXL</v>
          </cell>
          <cell r="B3625" t="str">
            <v>ST085</v>
          </cell>
        </row>
        <row r="3626">
          <cell r="A3626" t="str">
            <v>ST085-PI908-L</v>
          </cell>
          <cell r="B3626" t="str">
            <v>ST085</v>
          </cell>
        </row>
        <row r="3627">
          <cell r="A3627" t="str">
            <v>ST085-PI908-M</v>
          </cell>
          <cell r="B3627" t="str">
            <v>ST085</v>
          </cell>
        </row>
        <row r="3628">
          <cell r="A3628" t="str">
            <v>ST085-PI908-S</v>
          </cell>
          <cell r="B3628" t="str">
            <v>ST085</v>
          </cell>
        </row>
        <row r="3629">
          <cell r="A3629" t="str">
            <v>ST085-PI908-XL</v>
          </cell>
          <cell r="B3629" t="str">
            <v>ST085</v>
          </cell>
        </row>
        <row r="3630">
          <cell r="A3630" t="str">
            <v>ST085-PI908-XS</v>
          </cell>
          <cell r="B3630" t="str">
            <v>ST085</v>
          </cell>
        </row>
        <row r="3631">
          <cell r="A3631" t="str">
            <v>ST085-PI908-XXL</v>
          </cell>
          <cell r="B3631" t="str">
            <v>ST085</v>
          </cell>
        </row>
        <row r="3632">
          <cell r="A3632" t="str">
            <v>ST085-R901-L</v>
          </cell>
          <cell r="B3632" t="str">
            <v>ST085</v>
          </cell>
        </row>
        <row r="3633">
          <cell r="A3633" t="str">
            <v>ST085-R901-M</v>
          </cell>
          <cell r="B3633" t="str">
            <v>ST085</v>
          </cell>
        </row>
        <row r="3634">
          <cell r="A3634" t="str">
            <v>ST085-R901-S</v>
          </cell>
          <cell r="B3634" t="str">
            <v>ST085</v>
          </cell>
        </row>
        <row r="3635">
          <cell r="A3635" t="str">
            <v>ST085-R901-XL</v>
          </cell>
          <cell r="B3635" t="str">
            <v>ST085</v>
          </cell>
        </row>
        <row r="3636">
          <cell r="A3636" t="str">
            <v>ST085-R901-XXL</v>
          </cell>
          <cell r="B3636" t="str">
            <v>ST085</v>
          </cell>
        </row>
        <row r="3637">
          <cell r="A3637" t="str">
            <v>ST085-Sa911-L</v>
          </cell>
          <cell r="B3637" t="str">
            <v>ST085</v>
          </cell>
        </row>
        <row r="3638">
          <cell r="A3638" t="str">
            <v>ST085-Sa911-M</v>
          </cell>
          <cell r="B3638" t="str">
            <v>ST085</v>
          </cell>
        </row>
        <row r="3639">
          <cell r="A3639" t="str">
            <v>ST085-Sa911-S</v>
          </cell>
          <cell r="B3639" t="str">
            <v>ST085</v>
          </cell>
        </row>
        <row r="3640">
          <cell r="A3640" t="str">
            <v>ST085-Sa911-XL</v>
          </cell>
          <cell r="B3640" t="str">
            <v>ST085</v>
          </cell>
        </row>
        <row r="3641">
          <cell r="A3641" t="str">
            <v>ST085-Sa911-XXL</v>
          </cell>
          <cell r="B3641" t="str">
            <v>ST085</v>
          </cell>
        </row>
        <row r="3642">
          <cell r="A3642" t="str">
            <v>ST085-W902-L</v>
          </cell>
          <cell r="B3642" t="str">
            <v>ST085</v>
          </cell>
        </row>
        <row r="3643">
          <cell r="A3643" t="str">
            <v>ST085-W902-M</v>
          </cell>
          <cell r="B3643" t="str">
            <v>ST085</v>
          </cell>
        </row>
        <row r="3644">
          <cell r="A3644" t="str">
            <v>ST085-W902-S</v>
          </cell>
          <cell r="B3644" t="str">
            <v>ST085</v>
          </cell>
        </row>
        <row r="3645">
          <cell r="A3645" t="str">
            <v>ST085-W902-XL</v>
          </cell>
          <cell r="B3645" t="str">
            <v>ST085</v>
          </cell>
        </row>
        <row r="3646">
          <cell r="A3646" t="str">
            <v>ST085-W902-XXL</v>
          </cell>
          <cell r="B3646" t="str">
            <v>ST085</v>
          </cell>
        </row>
        <row r="3647">
          <cell r="A3647" t="str">
            <v>ST085-WR917-L</v>
          </cell>
          <cell r="B3647" t="str">
            <v>ST085</v>
          </cell>
        </row>
        <row r="3648">
          <cell r="A3648" t="str">
            <v>ST085-WR917-M</v>
          </cell>
          <cell r="B3648" t="str">
            <v>ST085</v>
          </cell>
        </row>
        <row r="3649">
          <cell r="A3649" t="str">
            <v>ST085-WR917-S</v>
          </cell>
          <cell r="B3649" t="str">
            <v>ST085</v>
          </cell>
        </row>
        <row r="3650">
          <cell r="A3650" t="str">
            <v>ST085-WR917-XL</v>
          </cell>
          <cell r="B3650" t="str">
            <v>ST085</v>
          </cell>
        </row>
        <row r="3651">
          <cell r="A3651" t="str">
            <v>ST085-WR917-XS</v>
          </cell>
          <cell r="B3651" t="str">
            <v>ST085</v>
          </cell>
        </row>
        <row r="3652">
          <cell r="A3652" t="str">
            <v>ST085-WR917-XXL</v>
          </cell>
          <cell r="B3652" t="str">
            <v>ST085</v>
          </cell>
        </row>
        <row r="3653">
          <cell r="A3653" t="str">
            <v>ST085-ZL918-L</v>
          </cell>
          <cell r="B3653" t="str">
            <v>ST085</v>
          </cell>
        </row>
        <row r="3654">
          <cell r="A3654" t="str">
            <v>ST085-ZL918-M</v>
          </cell>
          <cell r="B3654" t="str">
            <v>ST085</v>
          </cell>
        </row>
        <row r="3655">
          <cell r="A3655" t="str">
            <v>ST085-ZL918-S</v>
          </cell>
          <cell r="B3655" t="str">
            <v>ST085</v>
          </cell>
        </row>
        <row r="3656">
          <cell r="A3656" t="str">
            <v>ST085-ZL918-XL</v>
          </cell>
          <cell r="B3656" t="str">
            <v>ST085</v>
          </cell>
        </row>
        <row r="3657">
          <cell r="A3657" t="str">
            <v>ST085-ZL918-XS</v>
          </cell>
          <cell r="B3657" t="str">
            <v>ST085</v>
          </cell>
        </row>
        <row r="3658">
          <cell r="A3658" t="str">
            <v>ST085-ZL918-XXL</v>
          </cell>
          <cell r="B3658" t="str">
            <v>ST085</v>
          </cell>
        </row>
        <row r="3659">
          <cell r="A3659" t="str">
            <v>ST086-B0-L</v>
          </cell>
          <cell r="B3659" t="str">
            <v>ST086</v>
          </cell>
        </row>
        <row r="3660">
          <cell r="A3660" t="str">
            <v>ST086-B0-M</v>
          </cell>
          <cell r="B3660" t="str">
            <v>ST086</v>
          </cell>
        </row>
        <row r="3661">
          <cell r="A3661" t="str">
            <v>ST086-B0-S</v>
          </cell>
          <cell r="B3661" t="str">
            <v>ST086</v>
          </cell>
        </row>
        <row r="3662">
          <cell r="A3662" t="str">
            <v>ST086-B0-XL</v>
          </cell>
          <cell r="B3662" t="str">
            <v>ST086</v>
          </cell>
        </row>
        <row r="3663">
          <cell r="A3663" t="str">
            <v>ST086-B0-XXL</v>
          </cell>
          <cell r="B3663" t="str">
            <v>ST086</v>
          </cell>
        </row>
        <row r="3664">
          <cell r="A3664" t="str">
            <v>ST086-LB-L</v>
          </cell>
          <cell r="B3664" t="str">
            <v>ST086</v>
          </cell>
        </row>
        <row r="3665">
          <cell r="A3665" t="str">
            <v>ST086-LB-M</v>
          </cell>
          <cell r="B3665" t="str">
            <v>ST086</v>
          </cell>
        </row>
        <row r="3666">
          <cell r="A3666" t="str">
            <v>ST086-LB-S</v>
          </cell>
          <cell r="B3666" t="str">
            <v>ST086</v>
          </cell>
        </row>
        <row r="3667">
          <cell r="A3667" t="str">
            <v>ST086-LB-XL</v>
          </cell>
          <cell r="B3667" t="str">
            <v>ST086</v>
          </cell>
        </row>
        <row r="3668">
          <cell r="A3668" t="str">
            <v>ST086-LB-XXL</v>
          </cell>
          <cell r="B3668" t="str">
            <v>ST086</v>
          </cell>
        </row>
        <row r="3669">
          <cell r="A3669" t="str">
            <v>ST086-N0-L</v>
          </cell>
          <cell r="B3669" t="str">
            <v>ST086</v>
          </cell>
        </row>
        <row r="3670">
          <cell r="A3670" t="str">
            <v>ST086-N0-M</v>
          </cell>
          <cell r="B3670" t="str">
            <v>ST086</v>
          </cell>
        </row>
        <row r="3671">
          <cell r="A3671" t="str">
            <v>ST086-N0-S</v>
          </cell>
          <cell r="B3671" t="str">
            <v>ST086</v>
          </cell>
        </row>
        <row r="3672">
          <cell r="A3672" t="str">
            <v>ST086-N0-XL</v>
          </cell>
          <cell r="B3672" t="str">
            <v>ST086</v>
          </cell>
        </row>
        <row r="3673">
          <cell r="A3673" t="str">
            <v>ST086-N0-XXL</v>
          </cell>
          <cell r="B3673" t="str">
            <v>ST086</v>
          </cell>
        </row>
        <row r="3674">
          <cell r="A3674" t="str">
            <v>ST122-B0-2XL</v>
          </cell>
          <cell r="B3674" t="str">
            <v>ST122</v>
          </cell>
        </row>
        <row r="3675">
          <cell r="A3675" t="str">
            <v>ST122-B0-L</v>
          </cell>
          <cell r="B3675" t="str">
            <v>ST122</v>
          </cell>
        </row>
        <row r="3676">
          <cell r="A3676" t="str">
            <v>ST122-B0-M</v>
          </cell>
          <cell r="B3676" t="str">
            <v>ST122</v>
          </cell>
        </row>
        <row r="3677">
          <cell r="A3677" t="str">
            <v>ST122-B0-S</v>
          </cell>
          <cell r="B3677" t="str">
            <v>ST122</v>
          </cell>
        </row>
        <row r="3678">
          <cell r="A3678" t="str">
            <v>ST122-B0-XL</v>
          </cell>
          <cell r="B3678" t="str">
            <v>ST122</v>
          </cell>
        </row>
        <row r="3679">
          <cell r="A3679" t="str">
            <v>ST122-B0-XS</v>
          </cell>
          <cell r="B3679" t="str">
            <v>ST122</v>
          </cell>
        </row>
        <row r="3680">
          <cell r="A3680" t="str">
            <v>ST122-N0-2XL</v>
          </cell>
          <cell r="B3680" t="str">
            <v>ST122</v>
          </cell>
        </row>
        <row r="3681">
          <cell r="A3681" t="str">
            <v>ST122-N0-L</v>
          </cell>
          <cell r="B3681" t="str">
            <v>ST122</v>
          </cell>
        </row>
        <row r="3682">
          <cell r="A3682" t="str">
            <v>ST122-N0-M</v>
          </cell>
          <cell r="B3682" t="str">
            <v>ST122</v>
          </cell>
        </row>
        <row r="3683">
          <cell r="A3683" t="str">
            <v>ST122-N0-S</v>
          </cell>
          <cell r="B3683" t="str">
            <v>ST122</v>
          </cell>
        </row>
        <row r="3684">
          <cell r="A3684" t="str">
            <v>ST122-N0-XL</v>
          </cell>
          <cell r="B3684" t="str">
            <v>ST122</v>
          </cell>
        </row>
        <row r="3685">
          <cell r="A3685" t="str">
            <v>ST122-N0-XS</v>
          </cell>
          <cell r="B3685" t="str">
            <v>ST122</v>
          </cell>
        </row>
        <row r="3686">
          <cell r="A3686" t="str">
            <v>ST122-WR-2XL</v>
          </cell>
          <cell r="B3686" t="str">
            <v>ST122</v>
          </cell>
        </row>
        <row r="3687">
          <cell r="A3687" t="str">
            <v>ST122-WR-L</v>
          </cell>
          <cell r="B3687" t="str">
            <v>ST122</v>
          </cell>
        </row>
        <row r="3688">
          <cell r="A3688" t="str">
            <v>ST122-WR-M</v>
          </cell>
          <cell r="B3688" t="str">
            <v>ST122</v>
          </cell>
        </row>
        <row r="3689">
          <cell r="A3689" t="str">
            <v>ST122-WR-S</v>
          </cell>
          <cell r="B3689" t="str">
            <v>ST122</v>
          </cell>
        </row>
        <row r="3690">
          <cell r="A3690" t="str">
            <v>ST122-WR-XL</v>
          </cell>
          <cell r="B3690" t="str">
            <v>ST122</v>
          </cell>
        </row>
        <row r="3691">
          <cell r="A3691" t="str">
            <v>ST122-WR-XS</v>
          </cell>
          <cell r="B3691" t="str">
            <v>ST122</v>
          </cell>
        </row>
        <row r="3692">
          <cell r="A3692" t="str">
            <v>ST155-AG-30</v>
          </cell>
          <cell r="B3692" t="str">
            <v>ST155</v>
          </cell>
        </row>
        <row r="3693">
          <cell r="A3693" t="str">
            <v>ST155-AG-32</v>
          </cell>
          <cell r="B3693" t="str">
            <v>ST155</v>
          </cell>
        </row>
        <row r="3694">
          <cell r="A3694" t="str">
            <v>ST155-AG-34</v>
          </cell>
          <cell r="B3694" t="str">
            <v>ST155</v>
          </cell>
        </row>
        <row r="3695">
          <cell r="A3695" t="str">
            <v>ST155-AG-36</v>
          </cell>
          <cell r="B3695" t="str">
            <v>ST155</v>
          </cell>
        </row>
        <row r="3696">
          <cell r="A3696" t="str">
            <v>ST155-AG-38</v>
          </cell>
          <cell r="B3696" t="str">
            <v>ST155</v>
          </cell>
        </row>
        <row r="3697">
          <cell r="A3697" t="str">
            <v>ST155-AG-40</v>
          </cell>
          <cell r="B3697" t="str">
            <v>ST155</v>
          </cell>
        </row>
        <row r="3698">
          <cell r="A3698" t="str">
            <v>ST155-AG-42</v>
          </cell>
          <cell r="B3698" t="str">
            <v>ST155</v>
          </cell>
        </row>
        <row r="3699">
          <cell r="A3699" t="str">
            <v>ST155-C34-Ca-30</v>
          </cell>
          <cell r="B3699" t="str">
            <v>ST155</v>
          </cell>
        </row>
        <row r="3700">
          <cell r="A3700" t="str">
            <v>ST155-C34-Ca-32</v>
          </cell>
          <cell r="B3700" t="str">
            <v>ST155</v>
          </cell>
        </row>
        <row r="3701">
          <cell r="A3701" t="str">
            <v>ST155-C34-Ca-34</v>
          </cell>
          <cell r="B3701" t="str">
            <v>ST155</v>
          </cell>
        </row>
        <row r="3702">
          <cell r="A3702" t="str">
            <v>ST155-C34-Ca-36</v>
          </cell>
          <cell r="B3702" t="str">
            <v>ST155</v>
          </cell>
        </row>
        <row r="3703">
          <cell r="A3703" t="str">
            <v>ST155-C34-Ca-38</v>
          </cell>
          <cell r="B3703" t="str">
            <v>ST155</v>
          </cell>
        </row>
        <row r="3704">
          <cell r="A3704" t="str">
            <v>ST155-C34-Ca-40</v>
          </cell>
          <cell r="B3704" t="str">
            <v>ST155</v>
          </cell>
        </row>
        <row r="3705">
          <cell r="A3705" t="str">
            <v>ST155-C34-Ca-42</v>
          </cell>
          <cell r="B3705" t="str">
            <v>ST155</v>
          </cell>
        </row>
        <row r="3706">
          <cell r="A3706" t="str">
            <v>ST155-K0-30</v>
          </cell>
          <cell r="B3706" t="str">
            <v>ST155</v>
          </cell>
        </row>
        <row r="3707">
          <cell r="A3707" t="str">
            <v>ST155-K0-32</v>
          </cell>
          <cell r="B3707" t="str">
            <v>ST155</v>
          </cell>
        </row>
        <row r="3708">
          <cell r="A3708" t="str">
            <v>ST155-K0-34</v>
          </cell>
          <cell r="B3708" t="str">
            <v>ST155</v>
          </cell>
        </row>
        <row r="3709">
          <cell r="A3709" t="str">
            <v>ST155-K0-36</v>
          </cell>
          <cell r="B3709" t="str">
            <v>ST155</v>
          </cell>
        </row>
        <row r="3710">
          <cell r="A3710" t="str">
            <v>ST155-K0-38</v>
          </cell>
          <cell r="B3710" t="str">
            <v>ST155</v>
          </cell>
        </row>
        <row r="3711">
          <cell r="A3711" t="str">
            <v>ST155-K0-40</v>
          </cell>
          <cell r="B3711" t="str">
            <v>ST155</v>
          </cell>
        </row>
        <row r="3712">
          <cell r="A3712" t="str">
            <v>ST155-K0-42</v>
          </cell>
          <cell r="B3712" t="str">
            <v>ST155</v>
          </cell>
        </row>
        <row r="3713">
          <cell r="A3713" t="str">
            <v>ST155-KQ-30</v>
          </cell>
          <cell r="B3713" t="str">
            <v>ST155</v>
          </cell>
        </row>
        <row r="3714">
          <cell r="A3714" t="str">
            <v>ST155-KQ-32</v>
          </cell>
          <cell r="B3714" t="str">
            <v>ST155</v>
          </cell>
        </row>
        <row r="3715">
          <cell r="A3715" t="str">
            <v>ST155-KQ-34</v>
          </cell>
          <cell r="B3715" t="str">
            <v>ST155</v>
          </cell>
        </row>
        <row r="3716">
          <cell r="A3716" t="str">
            <v>ST155-KQ-36</v>
          </cell>
          <cell r="B3716" t="str">
            <v>ST155</v>
          </cell>
        </row>
        <row r="3717">
          <cell r="A3717" t="str">
            <v>ST155-KQ-38</v>
          </cell>
          <cell r="B3717" t="str">
            <v>ST155</v>
          </cell>
        </row>
        <row r="3718">
          <cell r="A3718" t="str">
            <v>ST155-KQ-40</v>
          </cell>
          <cell r="B3718" t="str">
            <v>ST155</v>
          </cell>
        </row>
        <row r="3719">
          <cell r="A3719" t="str">
            <v>ST155-KQ-42</v>
          </cell>
          <cell r="B3719" t="str">
            <v>ST155</v>
          </cell>
        </row>
        <row r="3720">
          <cell r="A3720" t="str">
            <v>ST155-N0-30</v>
          </cell>
          <cell r="B3720" t="str">
            <v>ST155</v>
          </cell>
        </row>
        <row r="3721">
          <cell r="A3721" t="str">
            <v>ST155-N0-32</v>
          </cell>
          <cell r="B3721" t="str">
            <v>ST155</v>
          </cell>
        </row>
        <row r="3722">
          <cell r="A3722" t="str">
            <v>ST155-N0-34</v>
          </cell>
          <cell r="B3722" t="str">
            <v>ST155</v>
          </cell>
        </row>
        <row r="3723">
          <cell r="A3723" t="str">
            <v>ST155-N0-36</v>
          </cell>
          <cell r="B3723" t="str">
            <v>ST155</v>
          </cell>
        </row>
        <row r="3724">
          <cell r="A3724" t="str">
            <v>ST155-N0-38</v>
          </cell>
          <cell r="B3724" t="str">
            <v>ST155</v>
          </cell>
        </row>
        <row r="3725">
          <cell r="A3725" t="str">
            <v>ST155-N0-40</v>
          </cell>
          <cell r="B3725" t="str">
            <v>ST155</v>
          </cell>
        </row>
        <row r="3726">
          <cell r="A3726" t="str">
            <v>ST155-N0-42</v>
          </cell>
          <cell r="B3726" t="str">
            <v>ST155</v>
          </cell>
        </row>
        <row r="3727">
          <cell r="A3727" t="str">
            <v>ST166-B28-1-L</v>
          </cell>
          <cell r="B3727" t="str">
            <v>ST166</v>
          </cell>
        </row>
        <row r="3728">
          <cell r="A3728" t="str">
            <v>ST166-B28-1-M</v>
          </cell>
          <cell r="B3728" t="str">
            <v>ST166</v>
          </cell>
        </row>
        <row r="3729">
          <cell r="A3729" t="str">
            <v>ST166-B28-1-S</v>
          </cell>
          <cell r="B3729" t="str">
            <v>ST166</v>
          </cell>
        </row>
        <row r="3730">
          <cell r="A3730" t="str">
            <v>ST166-B28-1-XL</v>
          </cell>
          <cell r="B3730" t="str">
            <v>ST166</v>
          </cell>
        </row>
        <row r="3731">
          <cell r="A3731" t="str">
            <v>ST166-B28-1-XXL</v>
          </cell>
          <cell r="B3731" t="str">
            <v>ST166</v>
          </cell>
        </row>
        <row r="3732">
          <cell r="A3732" t="str">
            <v>ST166-B28-3-L</v>
          </cell>
          <cell r="B3732" t="str">
            <v>ST166</v>
          </cell>
        </row>
        <row r="3733">
          <cell r="A3733" t="str">
            <v>ST166-B28-3-M</v>
          </cell>
          <cell r="B3733" t="str">
            <v>ST166</v>
          </cell>
        </row>
        <row r="3734">
          <cell r="A3734" t="str">
            <v>ST166-B28-3-S</v>
          </cell>
          <cell r="B3734" t="str">
            <v>ST166</v>
          </cell>
        </row>
        <row r="3735">
          <cell r="A3735" t="str">
            <v>ST166-B28-3-XL</v>
          </cell>
          <cell r="B3735" t="str">
            <v>ST166</v>
          </cell>
        </row>
        <row r="3736">
          <cell r="A3736" t="str">
            <v>ST166-B28-3-XXL</v>
          </cell>
          <cell r="B3736" t="str">
            <v>ST166</v>
          </cell>
        </row>
        <row r="3737">
          <cell r="A3737" t="str">
            <v>ST166-B28-4-L</v>
          </cell>
          <cell r="B3737" t="str">
            <v>ST166</v>
          </cell>
        </row>
        <row r="3738">
          <cell r="A3738" t="str">
            <v>ST166-B28-4-M</v>
          </cell>
          <cell r="B3738" t="str">
            <v>ST166</v>
          </cell>
        </row>
        <row r="3739">
          <cell r="A3739" t="str">
            <v>ST166-B28-4-S</v>
          </cell>
          <cell r="B3739" t="str">
            <v>ST166</v>
          </cell>
        </row>
        <row r="3740">
          <cell r="A3740" t="str">
            <v>ST166-B28-4-XL</v>
          </cell>
          <cell r="B3740" t="str">
            <v>ST166</v>
          </cell>
        </row>
        <row r="3741">
          <cell r="A3741" t="str">
            <v>ST166-B28-4-XXL</v>
          </cell>
          <cell r="B3741" t="str">
            <v>ST166</v>
          </cell>
        </row>
        <row r="3742">
          <cell r="A3742" t="str">
            <v>ST166-B28-5-L</v>
          </cell>
          <cell r="B3742" t="str">
            <v>ST166</v>
          </cell>
        </row>
        <row r="3743">
          <cell r="A3743" t="str">
            <v>ST166-B28-5-M</v>
          </cell>
          <cell r="B3743" t="str">
            <v>ST166</v>
          </cell>
        </row>
        <row r="3744">
          <cell r="A3744" t="str">
            <v>ST166-B28-5-S</v>
          </cell>
          <cell r="B3744" t="str">
            <v>ST166</v>
          </cell>
        </row>
        <row r="3745">
          <cell r="A3745" t="str">
            <v>ST166-B28-5-XL</v>
          </cell>
          <cell r="B3745" t="str">
            <v>ST166</v>
          </cell>
        </row>
        <row r="3746">
          <cell r="A3746" t="str">
            <v>ST166-B28-5-XXL</v>
          </cell>
          <cell r="B3746" t="str">
            <v>ST166</v>
          </cell>
        </row>
        <row r="3747">
          <cell r="A3747" t="str">
            <v>ST166-K33-1-L</v>
          </cell>
          <cell r="B3747" t="str">
            <v>ST166</v>
          </cell>
        </row>
        <row r="3748">
          <cell r="A3748" t="str">
            <v>ST166-K33-1-M</v>
          </cell>
          <cell r="B3748" t="str">
            <v>ST166</v>
          </cell>
        </row>
        <row r="3749">
          <cell r="A3749" t="str">
            <v>ST166-K33-1-S</v>
          </cell>
          <cell r="B3749" t="str">
            <v>ST166</v>
          </cell>
        </row>
        <row r="3750">
          <cell r="A3750" t="str">
            <v>ST166-K33-1-XL</v>
          </cell>
          <cell r="B3750" t="str">
            <v>ST166</v>
          </cell>
        </row>
        <row r="3751">
          <cell r="A3751" t="str">
            <v>ST166-K33-1-XXL</v>
          </cell>
          <cell r="B3751" t="str">
            <v>ST166</v>
          </cell>
        </row>
        <row r="3752">
          <cell r="A3752" t="str">
            <v>ST166-K33-2-L</v>
          </cell>
          <cell r="B3752" t="str">
            <v>ST166</v>
          </cell>
        </row>
        <row r="3753">
          <cell r="A3753" t="str">
            <v>ST166-K33-2-M</v>
          </cell>
          <cell r="B3753" t="str">
            <v>ST166</v>
          </cell>
        </row>
        <row r="3754">
          <cell r="A3754" t="str">
            <v>ST166-K33-2-S</v>
          </cell>
          <cell r="B3754" t="str">
            <v>ST166</v>
          </cell>
        </row>
        <row r="3755">
          <cell r="A3755" t="str">
            <v>ST166-K33-2-XL</v>
          </cell>
          <cell r="B3755" t="str">
            <v>ST166</v>
          </cell>
        </row>
        <row r="3756">
          <cell r="A3756" t="str">
            <v>ST166-K33-2-XXL</v>
          </cell>
          <cell r="B3756" t="str">
            <v>ST166</v>
          </cell>
        </row>
        <row r="3757">
          <cell r="A3757" t="str">
            <v>ST166-K33-4-L</v>
          </cell>
          <cell r="B3757" t="str">
            <v>ST166</v>
          </cell>
        </row>
        <row r="3758">
          <cell r="A3758" t="str">
            <v>ST166-K33-4-M</v>
          </cell>
          <cell r="B3758" t="str">
            <v>ST166</v>
          </cell>
        </row>
        <row r="3759">
          <cell r="A3759" t="str">
            <v>ST166-K33-4-S</v>
          </cell>
          <cell r="B3759" t="str">
            <v>ST166</v>
          </cell>
        </row>
        <row r="3760">
          <cell r="A3760" t="str">
            <v>ST166-K33-4-XL</v>
          </cell>
          <cell r="B3760" t="str">
            <v>ST166</v>
          </cell>
        </row>
        <row r="3761">
          <cell r="A3761" t="str">
            <v>ST166-K33-4-XXL</v>
          </cell>
          <cell r="B3761" t="str">
            <v>ST166</v>
          </cell>
        </row>
        <row r="3762">
          <cell r="A3762" t="str">
            <v>ST166-K73-1-L</v>
          </cell>
          <cell r="B3762" t="str">
            <v>ST166</v>
          </cell>
        </row>
        <row r="3763">
          <cell r="A3763" t="str">
            <v>ST166-K73-1-M</v>
          </cell>
          <cell r="B3763" t="str">
            <v>ST166</v>
          </cell>
        </row>
        <row r="3764">
          <cell r="A3764" t="str">
            <v>ST166-K73-1-S</v>
          </cell>
          <cell r="B3764" t="str">
            <v>ST166</v>
          </cell>
        </row>
        <row r="3765">
          <cell r="A3765" t="str">
            <v>ST166-K73-1-XL</v>
          </cell>
          <cell r="B3765" t="str">
            <v>ST166</v>
          </cell>
        </row>
        <row r="3766">
          <cell r="A3766" t="str">
            <v>ST166-K73-1-XXL</v>
          </cell>
          <cell r="B3766" t="str">
            <v>ST166</v>
          </cell>
        </row>
        <row r="3767">
          <cell r="A3767" t="str">
            <v>ST166-K73-2-L</v>
          </cell>
          <cell r="B3767" t="str">
            <v>ST166</v>
          </cell>
        </row>
        <row r="3768">
          <cell r="A3768" t="str">
            <v>ST166-K73-2-M</v>
          </cell>
          <cell r="B3768" t="str">
            <v>ST166</v>
          </cell>
        </row>
        <row r="3769">
          <cell r="A3769" t="str">
            <v>ST166-K73-2-S</v>
          </cell>
          <cell r="B3769" t="str">
            <v>ST166</v>
          </cell>
        </row>
        <row r="3770">
          <cell r="A3770" t="str">
            <v>ST166-K73-2-XL</v>
          </cell>
          <cell r="B3770" t="str">
            <v>ST166</v>
          </cell>
        </row>
        <row r="3771">
          <cell r="A3771" t="str">
            <v>ST166-K73-2-XXL</v>
          </cell>
          <cell r="B3771" t="str">
            <v>ST166</v>
          </cell>
        </row>
        <row r="3772">
          <cell r="A3772" t="str">
            <v>ST167-BK-L</v>
          </cell>
          <cell r="B3772" t="str">
            <v>ST167</v>
          </cell>
        </row>
        <row r="3773">
          <cell r="A3773" t="str">
            <v>ST167-BK-M</v>
          </cell>
          <cell r="B3773" t="str">
            <v>ST167</v>
          </cell>
        </row>
        <row r="3774">
          <cell r="A3774" t="str">
            <v>ST167-BK-S</v>
          </cell>
          <cell r="B3774" t="str">
            <v>ST167</v>
          </cell>
        </row>
        <row r="3775">
          <cell r="A3775" t="str">
            <v>ST167-BK-XL</v>
          </cell>
          <cell r="B3775" t="str">
            <v>ST167</v>
          </cell>
        </row>
        <row r="3776">
          <cell r="A3776" t="str">
            <v>ST167-BK-XXL</v>
          </cell>
          <cell r="B3776" t="str">
            <v>ST167</v>
          </cell>
        </row>
        <row r="3777">
          <cell r="A3777" t="str">
            <v>ST167-K0-L</v>
          </cell>
          <cell r="B3777" t="str">
            <v>ST167</v>
          </cell>
        </row>
        <row r="3778">
          <cell r="A3778" t="str">
            <v>ST167-K0-M</v>
          </cell>
          <cell r="B3778" t="str">
            <v>ST167</v>
          </cell>
        </row>
        <row r="3779">
          <cell r="A3779" t="str">
            <v>ST167-K0-S</v>
          </cell>
          <cell r="B3779" t="str">
            <v>ST167</v>
          </cell>
        </row>
        <row r="3780">
          <cell r="A3780" t="str">
            <v>ST167-K0-XL</v>
          </cell>
          <cell r="B3780" t="str">
            <v>ST167</v>
          </cell>
        </row>
        <row r="3781">
          <cell r="A3781" t="str">
            <v>ST167-K0-XXL</v>
          </cell>
          <cell r="B3781" t="str">
            <v>ST167</v>
          </cell>
        </row>
        <row r="3782">
          <cell r="A3782" t="str">
            <v>ST167-N0-L</v>
          </cell>
          <cell r="B3782" t="str">
            <v>ST167</v>
          </cell>
        </row>
        <row r="3783">
          <cell r="A3783" t="str">
            <v>ST167-N0-M</v>
          </cell>
          <cell r="B3783" t="str">
            <v>ST167</v>
          </cell>
        </row>
        <row r="3784">
          <cell r="A3784" t="str">
            <v>ST167-N0-S</v>
          </cell>
          <cell r="B3784" t="str">
            <v>ST167</v>
          </cell>
        </row>
        <row r="3785">
          <cell r="A3785" t="str">
            <v>ST167-N0-XL</v>
          </cell>
          <cell r="B3785" t="str">
            <v>ST167</v>
          </cell>
        </row>
        <row r="3786">
          <cell r="A3786" t="str">
            <v>ST167-N0-XXL</v>
          </cell>
          <cell r="B3786" t="str">
            <v>ST167</v>
          </cell>
        </row>
        <row r="3787">
          <cell r="A3787" t="str">
            <v>ST167-R0-L</v>
          </cell>
          <cell r="B3787" t="str">
            <v>ST167</v>
          </cell>
        </row>
        <row r="3788">
          <cell r="A3788" t="str">
            <v>ST167-R0-M</v>
          </cell>
          <cell r="B3788" t="str">
            <v>ST167</v>
          </cell>
        </row>
        <row r="3789">
          <cell r="A3789" t="str">
            <v>ST167-R0-S</v>
          </cell>
          <cell r="B3789" t="str">
            <v>ST167</v>
          </cell>
        </row>
        <row r="3790">
          <cell r="A3790" t="str">
            <v>ST167-R0-XL</v>
          </cell>
          <cell r="B3790" t="str">
            <v>ST167</v>
          </cell>
        </row>
        <row r="3791">
          <cell r="A3791" t="str">
            <v>ST167-R0-XXL</v>
          </cell>
          <cell r="B3791" t="str">
            <v>ST167</v>
          </cell>
        </row>
        <row r="3792">
          <cell r="A3792" t="str">
            <v>ST167-W0-L</v>
          </cell>
          <cell r="B3792" t="str">
            <v>ST167</v>
          </cell>
        </row>
        <row r="3793">
          <cell r="A3793" t="str">
            <v>ST167-W0-M</v>
          </cell>
          <cell r="B3793" t="str">
            <v>ST167</v>
          </cell>
        </row>
        <row r="3794">
          <cell r="A3794" t="str">
            <v>ST167-W0-S</v>
          </cell>
          <cell r="B3794" t="str">
            <v>ST167</v>
          </cell>
        </row>
        <row r="3795">
          <cell r="A3795" t="str">
            <v>ST167-W0-XL</v>
          </cell>
          <cell r="B3795" t="str">
            <v>ST167</v>
          </cell>
        </row>
        <row r="3796">
          <cell r="A3796" t="str">
            <v>ST167-W0-XXL</v>
          </cell>
          <cell r="B3796" t="str">
            <v>ST167</v>
          </cell>
        </row>
        <row r="3797">
          <cell r="A3797" t="str">
            <v>ST168-311-4E-L</v>
          </cell>
          <cell r="B3797" t="str">
            <v>ST168</v>
          </cell>
        </row>
        <row r="3798">
          <cell r="A3798" t="str">
            <v>ST168-311-4E-M</v>
          </cell>
          <cell r="B3798" t="str">
            <v>ST168</v>
          </cell>
        </row>
        <row r="3799">
          <cell r="A3799" t="str">
            <v>ST168-311-4E-XL</v>
          </cell>
          <cell r="B3799" t="str">
            <v>ST168</v>
          </cell>
        </row>
        <row r="3800">
          <cell r="A3800" t="str">
            <v>ST168-311-4F-L</v>
          </cell>
          <cell r="B3800" t="str">
            <v>ST168</v>
          </cell>
        </row>
        <row r="3801">
          <cell r="A3801" t="str">
            <v>ST168-311-4F-M</v>
          </cell>
          <cell r="B3801" t="str">
            <v>ST168</v>
          </cell>
        </row>
        <row r="3802">
          <cell r="A3802" t="str">
            <v>ST168-311-4F-XL</v>
          </cell>
          <cell r="B3802" t="str">
            <v>ST168</v>
          </cell>
        </row>
        <row r="3803">
          <cell r="A3803" t="str">
            <v>ST168-311-4H-L</v>
          </cell>
          <cell r="B3803" t="str">
            <v>ST168</v>
          </cell>
        </row>
        <row r="3804">
          <cell r="A3804" t="str">
            <v>ST168-311-4H-M</v>
          </cell>
          <cell r="B3804" t="str">
            <v>ST168</v>
          </cell>
        </row>
        <row r="3805">
          <cell r="A3805" t="str">
            <v>ST168-311-4H-XL</v>
          </cell>
          <cell r="B3805" t="str">
            <v>ST168</v>
          </cell>
        </row>
        <row r="3806">
          <cell r="A3806" t="str">
            <v>ST168-311-76A-L</v>
          </cell>
          <cell r="B3806" t="str">
            <v>ST168</v>
          </cell>
        </row>
        <row r="3807">
          <cell r="A3807" t="str">
            <v>ST168-311-76A-M</v>
          </cell>
          <cell r="B3807" t="str">
            <v>ST168</v>
          </cell>
        </row>
        <row r="3808">
          <cell r="A3808" t="str">
            <v>ST168-311-76A-XL</v>
          </cell>
          <cell r="B3808" t="str">
            <v>ST168</v>
          </cell>
        </row>
        <row r="3809">
          <cell r="A3809" t="str">
            <v>ST168-311-76C-L</v>
          </cell>
          <cell r="B3809" t="str">
            <v>ST168</v>
          </cell>
        </row>
        <row r="3810">
          <cell r="A3810" t="str">
            <v>ST168-311-76C-M</v>
          </cell>
          <cell r="B3810" t="str">
            <v>ST168</v>
          </cell>
        </row>
        <row r="3811">
          <cell r="A3811" t="str">
            <v>ST168-311-76C-XL</v>
          </cell>
          <cell r="B3811" t="str">
            <v>ST168</v>
          </cell>
        </row>
        <row r="3812">
          <cell r="A3812" t="str">
            <v>ST168-311-76D-L</v>
          </cell>
          <cell r="B3812" t="str">
            <v>ST168</v>
          </cell>
        </row>
        <row r="3813">
          <cell r="A3813" t="str">
            <v>ST168-311-76D-M</v>
          </cell>
          <cell r="B3813" t="str">
            <v>ST168</v>
          </cell>
        </row>
        <row r="3814">
          <cell r="A3814" t="str">
            <v>ST168-311-76D-XL</v>
          </cell>
          <cell r="B3814" t="str">
            <v>ST168</v>
          </cell>
        </row>
        <row r="3815">
          <cell r="A3815" t="str">
            <v>ST168-HSJK-168A-L</v>
          </cell>
          <cell r="B3815" t="str">
            <v>ST168</v>
          </cell>
        </row>
        <row r="3816">
          <cell r="A3816" t="str">
            <v>ST168-HSJK-168A-M</v>
          </cell>
          <cell r="B3816" t="str">
            <v>ST168</v>
          </cell>
        </row>
        <row r="3817">
          <cell r="A3817" t="str">
            <v>ST168-HSJK-168A-XL</v>
          </cell>
          <cell r="B3817" t="str">
            <v>ST168</v>
          </cell>
        </row>
        <row r="3818">
          <cell r="A3818" t="str">
            <v>ST168-HSJK-168B-L</v>
          </cell>
          <cell r="B3818" t="str">
            <v>ST168</v>
          </cell>
        </row>
        <row r="3819">
          <cell r="A3819" t="str">
            <v>ST168-HSJK-168B-M</v>
          </cell>
          <cell r="B3819" t="str">
            <v>ST168</v>
          </cell>
        </row>
        <row r="3820">
          <cell r="A3820" t="str">
            <v>ST168-HSJK-168B-XL</v>
          </cell>
          <cell r="B3820" t="str">
            <v>ST168</v>
          </cell>
        </row>
        <row r="3821">
          <cell r="A3821" t="str">
            <v>ST168-HSJK-168C-L</v>
          </cell>
          <cell r="B3821" t="str">
            <v>ST168</v>
          </cell>
        </row>
        <row r="3822">
          <cell r="A3822" t="str">
            <v>ST168-HSJK-168C-M</v>
          </cell>
          <cell r="B3822" t="str">
            <v>ST168</v>
          </cell>
        </row>
        <row r="3823">
          <cell r="A3823" t="str">
            <v>ST168-HSJK-168C-XL</v>
          </cell>
          <cell r="B3823" t="str">
            <v>ST168</v>
          </cell>
        </row>
        <row r="3824">
          <cell r="A3824" t="str">
            <v>ST168-K77-1-L</v>
          </cell>
          <cell r="B3824" t="str">
            <v>ST168</v>
          </cell>
        </row>
        <row r="3825">
          <cell r="A3825" t="str">
            <v>ST168-K77-1-M</v>
          </cell>
          <cell r="B3825" t="str">
            <v>ST168</v>
          </cell>
        </row>
        <row r="3826">
          <cell r="A3826" t="str">
            <v>ST168-K77-1-XL</v>
          </cell>
          <cell r="B3826" t="str">
            <v>ST168</v>
          </cell>
        </row>
        <row r="3827">
          <cell r="A3827" t="str">
            <v>ST168-K77-2-L</v>
          </cell>
          <cell r="B3827" t="str">
            <v>ST168</v>
          </cell>
        </row>
        <row r="3828">
          <cell r="A3828" t="str">
            <v>ST168-K77-2-M</v>
          </cell>
          <cell r="B3828" t="str">
            <v>ST168</v>
          </cell>
        </row>
        <row r="3829">
          <cell r="A3829" t="str">
            <v>ST168-K77-2-XL</v>
          </cell>
          <cell r="B3829" t="str">
            <v>ST168</v>
          </cell>
        </row>
        <row r="3830">
          <cell r="A3830" t="str">
            <v>ST168-K77-4-L</v>
          </cell>
          <cell r="B3830" t="str">
            <v>ST168</v>
          </cell>
        </row>
        <row r="3831">
          <cell r="A3831" t="str">
            <v>ST168-K77-4-M</v>
          </cell>
          <cell r="B3831" t="str">
            <v>ST168</v>
          </cell>
        </row>
        <row r="3832">
          <cell r="A3832" t="str">
            <v>ST168-K77-4-XL</v>
          </cell>
          <cell r="B3832" t="str">
            <v>ST168</v>
          </cell>
        </row>
        <row r="3833">
          <cell r="A3833" t="str">
            <v>ST170-GN-L</v>
          </cell>
          <cell r="B3833" t="str">
            <v>ST170</v>
          </cell>
        </row>
        <row r="3834">
          <cell r="A3834" t="str">
            <v>ST170-GN-M</v>
          </cell>
          <cell r="B3834" t="str">
            <v>ST170</v>
          </cell>
        </row>
        <row r="3835">
          <cell r="A3835" t="str">
            <v>ST170-GN-S</v>
          </cell>
          <cell r="B3835" t="str">
            <v>ST170</v>
          </cell>
        </row>
        <row r="3836">
          <cell r="A3836" t="str">
            <v>ST170-GN-XL</v>
          </cell>
          <cell r="B3836" t="str">
            <v>ST170</v>
          </cell>
        </row>
        <row r="3837">
          <cell r="A3837" t="str">
            <v>ST170-GN-XXL</v>
          </cell>
          <cell r="B3837" t="str">
            <v>ST170</v>
          </cell>
        </row>
        <row r="3838">
          <cell r="A3838" t="str">
            <v>ST170-LB-L</v>
          </cell>
          <cell r="B3838" t="str">
            <v>ST170</v>
          </cell>
        </row>
        <row r="3839">
          <cell r="A3839" t="str">
            <v>ST170-LB-M</v>
          </cell>
          <cell r="B3839" t="str">
            <v>ST170</v>
          </cell>
        </row>
        <row r="3840">
          <cell r="A3840" t="str">
            <v>ST170-LB-S</v>
          </cell>
          <cell r="B3840" t="str">
            <v>ST170</v>
          </cell>
        </row>
        <row r="3841">
          <cell r="A3841" t="str">
            <v>ST170-LB-XL</v>
          </cell>
          <cell r="B3841" t="str">
            <v>ST170</v>
          </cell>
        </row>
        <row r="3842">
          <cell r="A3842" t="str">
            <v>ST170-LB-XXL</v>
          </cell>
          <cell r="B3842" t="str">
            <v>ST170</v>
          </cell>
        </row>
        <row r="3843">
          <cell r="A3843" t="str">
            <v>ST170-LG-L</v>
          </cell>
          <cell r="B3843" t="str">
            <v>ST170</v>
          </cell>
        </row>
        <row r="3844">
          <cell r="A3844" t="str">
            <v>ST170-LG-M</v>
          </cell>
          <cell r="B3844" t="str">
            <v>ST170</v>
          </cell>
        </row>
        <row r="3845">
          <cell r="A3845" t="str">
            <v>ST170-LG-S</v>
          </cell>
          <cell r="B3845" t="str">
            <v>ST170</v>
          </cell>
        </row>
        <row r="3846">
          <cell r="A3846" t="str">
            <v>ST170-LG-XL</v>
          </cell>
          <cell r="B3846" t="str">
            <v>ST170</v>
          </cell>
        </row>
        <row r="3847">
          <cell r="A3847" t="str">
            <v>ST170-LG-XXL</v>
          </cell>
          <cell r="B3847" t="str">
            <v>ST170</v>
          </cell>
        </row>
        <row r="3848">
          <cell r="A3848" t="str">
            <v>ST170-PK-L</v>
          </cell>
          <cell r="B3848" t="str">
            <v>ST170</v>
          </cell>
        </row>
        <row r="3849">
          <cell r="A3849" t="str">
            <v>ST170-PK-M</v>
          </cell>
          <cell r="B3849" t="str">
            <v>ST170</v>
          </cell>
        </row>
        <row r="3850">
          <cell r="A3850" t="str">
            <v>ST170-PK-S</v>
          </cell>
          <cell r="B3850" t="str">
            <v>ST170</v>
          </cell>
        </row>
        <row r="3851">
          <cell r="A3851" t="str">
            <v>ST170-PK-XL</v>
          </cell>
          <cell r="B3851" t="str">
            <v>ST170</v>
          </cell>
        </row>
        <row r="3852">
          <cell r="A3852" t="str">
            <v>ST170-PK-XXL</v>
          </cell>
          <cell r="B3852" t="str">
            <v>ST170</v>
          </cell>
        </row>
        <row r="3853">
          <cell r="A3853" t="str">
            <v>ST170-SA-L</v>
          </cell>
          <cell r="B3853" t="str">
            <v>ST170</v>
          </cell>
        </row>
        <row r="3854">
          <cell r="A3854" t="str">
            <v>ST170-SA-M</v>
          </cell>
          <cell r="B3854" t="str">
            <v>ST170</v>
          </cell>
        </row>
        <row r="3855">
          <cell r="A3855" t="str">
            <v>ST170-SA-S</v>
          </cell>
          <cell r="B3855" t="str">
            <v>ST170</v>
          </cell>
        </row>
        <row r="3856">
          <cell r="A3856" t="str">
            <v>ST170-SA-XL</v>
          </cell>
          <cell r="B3856" t="str">
            <v>ST170</v>
          </cell>
        </row>
        <row r="3857">
          <cell r="A3857" t="str">
            <v>ST170-SA-XXL</v>
          </cell>
          <cell r="B3857" t="str">
            <v>ST170</v>
          </cell>
        </row>
        <row r="3858">
          <cell r="A3858" t="str">
            <v>ST170-WR-L</v>
          </cell>
          <cell r="B3858" t="str">
            <v>ST170</v>
          </cell>
        </row>
        <row r="3859">
          <cell r="A3859" t="str">
            <v>ST170-WR-M</v>
          </cell>
          <cell r="B3859" t="str">
            <v>ST170</v>
          </cell>
        </row>
        <row r="3860">
          <cell r="A3860" t="str">
            <v>ST170-WR-S</v>
          </cell>
          <cell r="B3860" t="str">
            <v>ST170</v>
          </cell>
        </row>
        <row r="3861">
          <cell r="A3861" t="str">
            <v>ST170-WR-XL</v>
          </cell>
          <cell r="B3861" t="str">
            <v>ST170</v>
          </cell>
        </row>
        <row r="3862">
          <cell r="A3862" t="str">
            <v>ST170-WR-XXL</v>
          </cell>
          <cell r="B3862" t="str">
            <v>ST170</v>
          </cell>
        </row>
        <row r="3863">
          <cell r="A3863" t="str">
            <v>ST170-WT-L</v>
          </cell>
          <cell r="B3863" t="str">
            <v>ST170</v>
          </cell>
        </row>
        <row r="3864">
          <cell r="A3864" t="str">
            <v>ST170-WT-M</v>
          </cell>
          <cell r="B3864" t="str">
            <v>ST170</v>
          </cell>
        </row>
        <row r="3865">
          <cell r="A3865" t="str">
            <v>ST170-WT-S</v>
          </cell>
          <cell r="B3865" t="str">
            <v>ST170</v>
          </cell>
        </row>
        <row r="3866">
          <cell r="A3866" t="str">
            <v>ST170-WT-XL</v>
          </cell>
          <cell r="B3866" t="str">
            <v>ST170</v>
          </cell>
        </row>
        <row r="3867">
          <cell r="A3867" t="str">
            <v>ST170-WT-XXL</v>
          </cell>
          <cell r="B3867" t="str">
            <v>ST170</v>
          </cell>
        </row>
        <row r="3868">
          <cell r="A3868" t="str">
            <v>ST170-ZL-L</v>
          </cell>
          <cell r="B3868" t="str">
            <v>ST170</v>
          </cell>
        </row>
        <row r="3869">
          <cell r="A3869" t="str">
            <v>ST170-ZL-M</v>
          </cell>
          <cell r="B3869" t="str">
            <v>ST170</v>
          </cell>
        </row>
        <row r="3870">
          <cell r="A3870" t="str">
            <v>ST170-ZL-S</v>
          </cell>
          <cell r="B3870" t="str">
            <v>ST170</v>
          </cell>
        </row>
        <row r="3871">
          <cell r="A3871" t="str">
            <v>ST170-ZL-XL</v>
          </cell>
          <cell r="B3871" t="str">
            <v>ST170</v>
          </cell>
        </row>
        <row r="3872">
          <cell r="A3872" t="str">
            <v>ST170-ZL-XXL</v>
          </cell>
          <cell r="B3872" t="str">
            <v>ST170</v>
          </cell>
        </row>
        <row r="3873">
          <cell r="A3873" t="str">
            <v>ST171-G912-L</v>
          </cell>
          <cell r="B3873" t="str">
            <v>ST171</v>
          </cell>
        </row>
        <row r="3874">
          <cell r="A3874" t="str">
            <v>ST171-G912-M</v>
          </cell>
          <cell r="B3874" t="str">
            <v>ST171</v>
          </cell>
        </row>
        <row r="3875">
          <cell r="A3875" t="str">
            <v>ST171-G912-S</v>
          </cell>
          <cell r="B3875" t="str">
            <v>ST171</v>
          </cell>
        </row>
        <row r="3876">
          <cell r="A3876" t="str">
            <v>ST171-G912-XL</v>
          </cell>
          <cell r="B3876" t="str">
            <v>ST171</v>
          </cell>
        </row>
        <row r="3877">
          <cell r="A3877" t="str">
            <v>ST171-G912-XXL</v>
          </cell>
          <cell r="B3877" t="str">
            <v>ST171</v>
          </cell>
        </row>
        <row r="3878">
          <cell r="A3878" t="str">
            <v>ST171-LB916-L</v>
          </cell>
          <cell r="B3878" t="str">
            <v>ST171</v>
          </cell>
        </row>
        <row r="3879">
          <cell r="A3879" t="str">
            <v>ST171-LB916-M</v>
          </cell>
          <cell r="B3879" t="str">
            <v>ST171</v>
          </cell>
        </row>
        <row r="3880">
          <cell r="A3880" t="str">
            <v>ST171-LB916-S</v>
          </cell>
          <cell r="B3880" t="str">
            <v>ST171</v>
          </cell>
        </row>
        <row r="3881">
          <cell r="A3881" t="str">
            <v>ST171-LB916-XL</v>
          </cell>
          <cell r="B3881" t="str">
            <v>ST171</v>
          </cell>
        </row>
        <row r="3882">
          <cell r="A3882" t="str">
            <v>ST171-LB916-XXL</v>
          </cell>
          <cell r="B3882" t="str">
            <v>ST171</v>
          </cell>
        </row>
        <row r="3883">
          <cell r="A3883" t="str">
            <v>ST171-LG907-L</v>
          </cell>
          <cell r="B3883" t="str">
            <v>ST171</v>
          </cell>
        </row>
        <row r="3884">
          <cell r="A3884" t="str">
            <v>ST171-LG907-M</v>
          </cell>
          <cell r="B3884" t="str">
            <v>ST171</v>
          </cell>
        </row>
        <row r="3885">
          <cell r="A3885" t="str">
            <v>ST171-LG907-S</v>
          </cell>
          <cell r="B3885" t="str">
            <v>ST171</v>
          </cell>
        </row>
        <row r="3886">
          <cell r="A3886" t="str">
            <v>ST171-LG907-XL</v>
          </cell>
          <cell r="B3886" t="str">
            <v>ST171</v>
          </cell>
        </row>
        <row r="3887">
          <cell r="A3887" t="str">
            <v>ST171-LG907-XXL</v>
          </cell>
          <cell r="B3887" t="str">
            <v>ST171</v>
          </cell>
        </row>
        <row r="3888">
          <cell r="A3888" t="str">
            <v>ST171-PI908-L</v>
          </cell>
          <cell r="B3888" t="str">
            <v>ST171</v>
          </cell>
        </row>
        <row r="3889">
          <cell r="A3889" t="str">
            <v>ST171-PI908-M</v>
          </cell>
          <cell r="B3889" t="str">
            <v>ST171</v>
          </cell>
        </row>
        <row r="3890">
          <cell r="A3890" t="str">
            <v>ST171-PI908-S</v>
          </cell>
          <cell r="B3890" t="str">
            <v>ST171</v>
          </cell>
        </row>
        <row r="3891">
          <cell r="A3891" t="str">
            <v>ST171-PI908-XL</v>
          </cell>
          <cell r="B3891" t="str">
            <v>ST171</v>
          </cell>
        </row>
        <row r="3892">
          <cell r="A3892" t="str">
            <v>ST171-PI908-XXL</v>
          </cell>
          <cell r="B3892" t="str">
            <v>ST171</v>
          </cell>
        </row>
        <row r="3893">
          <cell r="A3893" t="str">
            <v>ST171-Sa911-L</v>
          </cell>
          <cell r="B3893" t="str">
            <v>ST171</v>
          </cell>
        </row>
        <row r="3894">
          <cell r="A3894" t="str">
            <v>ST171-Sa911-M</v>
          </cell>
          <cell r="B3894" t="str">
            <v>ST171</v>
          </cell>
        </row>
        <row r="3895">
          <cell r="A3895" t="str">
            <v>ST171-Sa911-S</v>
          </cell>
          <cell r="B3895" t="str">
            <v>ST171</v>
          </cell>
        </row>
        <row r="3896">
          <cell r="A3896" t="str">
            <v>ST171-Sa911-XL</v>
          </cell>
          <cell r="B3896" t="str">
            <v>ST171</v>
          </cell>
        </row>
        <row r="3897">
          <cell r="A3897" t="str">
            <v>ST171-Sa911-XXL</v>
          </cell>
          <cell r="B3897" t="str">
            <v>ST171</v>
          </cell>
        </row>
        <row r="3898">
          <cell r="A3898" t="str">
            <v>ST171-W902-L</v>
          </cell>
          <cell r="B3898" t="str">
            <v>ST171</v>
          </cell>
        </row>
        <row r="3899">
          <cell r="A3899" t="str">
            <v>ST171-W902-M</v>
          </cell>
          <cell r="B3899" t="str">
            <v>ST171</v>
          </cell>
        </row>
        <row r="3900">
          <cell r="A3900" t="str">
            <v>ST171-W902-S</v>
          </cell>
          <cell r="B3900" t="str">
            <v>ST171</v>
          </cell>
        </row>
        <row r="3901">
          <cell r="A3901" t="str">
            <v>ST171-W902-XL</v>
          </cell>
          <cell r="B3901" t="str">
            <v>ST171</v>
          </cell>
        </row>
        <row r="3902">
          <cell r="A3902" t="str">
            <v>ST171-W902-XXL</v>
          </cell>
          <cell r="B3902" t="str">
            <v>ST171</v>
          </cell>
        </row>
        <row r="3903">
          <cell r="A3903" t="str">
            <v>ST171-WR917-L</v>
          </cell>
          <cell r="B3903" t="str">
            <v>ST171</v>
          </cell>
        </row>
        <row r="3904">
          <cell r="A3904" t="str">
            <v>ST171-WR917-M</v>
          </cell>
          <cell r="B3904" t="str">
            <v>ST171</v>
          </cell>
        </row>
        <row r="3905">
          <cell r="A3905" t="str">
            <v>ST171-WR917-S</v>
          </cell>
          <cell r="B3905" t="str">
            <v>ST171</v>
          </cell>
        </row>
        <row r="3906">
          <cell r="A3906" t="str">
            <v>ST171-WR917-XL</v>
          </cell>
          <cell r="B3906" t="str">
            <v>ST171</v>
          </cell>
        </row>
        <row r="3907">
          <cell r="A3907" t="str">
            <v>ST171-WR917-XXL</v>
          </cell>
          <cell r="B3907" t="str">
            <v>ST171</v>
          </cell>
        </row>
        <row r="3908">
          <cell r="A3908" t="str">
            <v>ST171-ZL918-L</v>
          </cell>
          <cell r="B3908" t="str">
            <v>ST171</v>
          </cell>
        </row>
        <row r="3909">
          <cell r="A3909" t="str">
            <v>ST171-ZL918-M</v>
          </cell>
          <cell r="B3909" t="str">
            <v>ST171</v>
          </cell>
        </row>
        <row r="3910">
          <cell r="A3910" t="str">
            <v>ST171-ZL918-S</v>
          </cell>
          <cell r="B3910" t="str">
            <v>ST171</v>
          </cell>
        </row>
        <row r="3911">
          <cell r="A3911" t="str">
            <v>ST171-ZL918-XL</v>
          </cell>
          <cell r="B3911" t="str">
            <v>ST171</v>
          </cell>
        </row>
        <row r="3912">
          <cell r="A3912" t="str">
            <v>ST171-ZL918-XXL</v>
          </cell>
          <cell r="B3912" t="str">
            <v>ST171</v>
          </cell>
        </row>
        <row r="3913">
          <cell r="A3913" t="str">
            <v>ST172-BK-L</v>
          </cell>
          <cell r="B3913" t="str">
            <v>ST172</v>
          </cell>
        </row>
        <row r="3914">
          <cell r="A3914" t="str">
            <v>ST172-BK-M</v>
          </cell>
          <cell r="B3914" t="str">
            <v>ST172</v>
          </cell>
        </row>
        <row r="3915">
          <cell r="A3915" t="str">
            <v>ST172-BK-S</v>
          </cell>
          <cell r="B3915" t="str">
            <v>ST172</v>
          </cell>
        </row>
        <row r="3916">
          <cell r="A3916" t="str">
            <v>ST172-BK-XL</v>
          </cell>
          <cell r="B3916" t="str">
            <v>ST172</v>
          </cell>
        </row>
        <row r="3917">
          <cell r="A3917" t="str">
            <v>ST172-BK-XXL</v>
          </cell>
          <cell r="B3917" t="str">
            <v>ST172</v>
          </cell>
        </row>
        <row r="3918">
          <cell r="A3918" t="str">
            <v>ST172-BL-L</v>
          </cell>
          <cell r="B3918" t="str">
            <v>ST172</v>
          </cell>
        </row>
        <row r="3919">
          <cell r="A3919" t="str">
            <v>ST172-BL-M</v>
          </cell>
          <cell r="B3919" t="str">
            <v>ST172</v>
          </cell>
        </row>
        <row r="3920">
          <cell r="A3920" t="str">
            <v>ST172-BL-S</v>
          </cell>
          <cell r="B3920" t="str">
            <v>ST172</v>
          </cell>
        </row>
        <row r="3921">
          <cell r="A3921" t="str">
            <v>ST172-BL-XL</v>
          </cell>
          <cell r="B3921" t="str">
            <v>ST172</v>
          </cell>
        </row>
        <row r="3922">
          <cell r="A3922" t="str">
            <v>ST172-BL-XXL</v>
          </cell>
          <cell r="B3922" t="str">
            <v>ST172</v>
          </cell>
        </row>
        <row r="3923">
          <cell r="A3923" t="str">
            <v>ST172-GR-L</v>
          </cell>
          <cell r="B3923" t="str">
            <v>ST172</v>
          </cell>
        </row>
        <row r="3924">
          <cell r="A3924" t="str">
            <v>ST172-GR-M</v>
          </cell>
          <cell r="B3924" t="str">
            <v>ST172</v>
          </cell>
        </row>
        <row r="3925">
          <cell r="A3925" t="str">
            <v>ST172-GR-S</v>
          </cell>
          <cell r="B3925" t="str">
            <v>ST172</v>
          </cell>
        </row>
        <row r="3926">
          <cell r="A3926" t="str">
            <v>ST172-GR-XL</v>
          </cell>
          <cell r="B3926" t="str">
            <v>ST172</v>
          </cell>
        </row>
        <row r="3927">
          <cell r="A3927" t="str">
            <v>ST172-GR-XXL</v>
          </cell>
          <cell r="B3927" t="str">
            <v>ST172</v>
          </cell>
        </row>
        <row r="3928">
          <cell r="A3928" t="str">
            <v>ST172-NY-L</v>
          </cell>
          <cell r="B3928" t="str">
            <v>ST172</v>
          </cell>
        </row>
        <row r="3929">
          <cell r="A3929" t="str">
            <v>ST172-NY-M</v>
          </cell>
          <cell r="B3929" t="str">
            <v>ST172</v>
          </cell>
        </row>
        <row r="3930">
          <cell r="A3930" t="str">
            <v>ST172-NY-S</v>
          </cell>
          <cell r="B3930" t="str">
            <v>ST172</v>
          </cell>
        </row>
        <row r="3931">
          <cell r="A3931" t="str">
            <v>ST172-NY-XL</v>
          </cell>
          <cell r="B3931" t="str">
            <v>ST172</v>
          </cell>
        </row>
        <row r="3932">
          <cell r="A3932" t="str">
            <v>ST172-NY-XXL</v>
          </cell>
          <cell r="B3932" t="str">
            <v>ST172</v>
          </cell>
        </row>
        <row r="3933">
          <cell r="A3933" t="str">
            <v>ST172-PK-L</v>
          </cell>
          <cell r="B3933" t="str">
            <v>ST172</v>
          </cell>
        </row>
        <row r="3934">
          <cell r="A3934" t="str">
            <v>ST172-PK-M</v>
          </cell>
          <cell r="B3934" t="str">
            <v>ST172</v>
          </cell>
        </row>
        <row r="3935">
          <cell r="A3935" t="str">
            <v>ST172-PK-S</v>
          </cell>
          <cell r="B3935" t="str">
            <v>ST172</v>
          </cell>
        </row>
        <row r="3936">
          <cell r="A3936" t="str">
            <v>ST172-PK-XL</v>
          </cell>
          <cell r="B3936" t="str">
            <v>ST172</v>
          </cell>
        </row>
        <row r="3937">
          <cell r="A3937" t="str">
            <v>ST172-PK-XXL</v>
          </cell>
          <cell r="B3937" t="str">
            <v>ST172</v>
          </cell>
        </row>
        <row r="3938">
          <cell r="A3938" t="str">
            <v>ST172-PP-L</v>
          </cell>
          <cell r="B3938" t="str">
            <v>ST172</v>
          </cell>
        </row>
        <row r="3939">
          <cell r="A3939" t="str">
            <v>ST172-PP-M</v>
          </cell>
          <cell r="B3939" t="str">
            <v>ST172</v>
          </cell>
        </row>
        <row r="3940">
          <cell r="A3940" t="str">
            <v>ST172-PP-S</v>
          </cell>
          <cell r="B3940" t="str">
            <v>ST172</v>
          </cell>
        </row>
        <row r="3941">
          <cell r="A3941" t="str">
            <v>ST172-PP-XL</v>
          </cell>
          <cell r="B3941" t="str">
            <v>ST172</v>
          </cell>
        </row>
        <row r="3942">
          <cell r="A3942" t="str">
            <v>ST172-PP-XXL</v>
          </cell>
          <cell r="B3942" t="str">
            <v>ST172</v>
          </cell>
        </row>
        <row r="3943">
          <cell r="A3943" t="str">
            <v>ST172-WR-L</v>
          </cell>
          <cell r="B3943" t="str">
            <v>ST172</v>
          </cell>
        </row>
        <row r="3944">
          <cell r="A3944" t="str">
            <v>ST172-WR-M</v>
          </cell>
          <cell r="B3944" t="str">
            <v>ST172</v>
          </cell>
        </row>
        <row r="3945">
          <cell r="A3945" t="str">
            <v>ST172-WR-S</v>
          </cell>
          <cell r="B3945" t="str">
            <v>ST172</v>
          </cell>
        </row>
        <row r="3946">
          <cell r="A3946" t="str">
            <v>ST172-WR-XL</v>
          </cell>
          <cell r="B3946" t="str">
            <v>ST172</v>
          </cell>
        </row>
        <row r="3947">
          <cell r="A3947" t="str">
            <v>ST172-WR-XXL</v>
          </cell>
          <cell r="B3947" t="str">
            <v>ST172</v>
          </cell>
        </row>
        <row r="3948">
          <cell r="A3948" t="str">
            <v>ST172-WT1-L</v>
          </cell>
          <cell r="B3948" t="str">
            <v>ST172</v>
          </cell>
        </row>
        <row r="3949">
          <cell r="A3949" t="str">
            <v>ST172-WT1-M</v>
          </cell>
          <cell r="B3949" t="str">
            <v>ST172</v>
          </cell>
        </row>
        <row r="3950">
          <cell r="A3950" t="str">
            <v>ST172-WT1-S</v>
          </cell>
          <cell r="B3950" t="str">
            <v>ST172</v>
          </cell>
        </row>
        <row r="3951">
          <cell r="A3951" t="str">
            <v>ST172-WT1-XL</v>
          </cell>
          <cell r="B3951" t="str">
            <v>ST172</v>
          </cell>
        </row>
        <row r="3952">
          <cell r="A3952" t="str">
            <v>ST172-WT1-XXL</v>
          </cell>
          <cell r="B3952" t="str">
            <v>ST172</v>
          </cell>
        </row>
        <row r="3953">
          <cell r="A3953" t="str">
            <v>ST172-WT2-L</v>
          </cell>
          <cell r="B3953" t="str">
            <v>ST172</v>
          </cell>
        </row>
        <row r="3954">
          <cell r="A3954" t="str">
            <v>ST172-WT2-M</v>
          </cell>
          <cell r="B3954" t="str">
            <v>ST172</v>
          </cell>
        </row>
        <row r="3955">
          <cell r="A3955" t="str">
            <v>ST172-WT2-S</v>
          </cell>
          <cell r="B3955" t="str">
            <v>ST172</v>
          </cell>
        </row>
        <row r="3956">
          <cell r="A3956" t="str">
            <v>ST172-WT2-XL</v>
          </cell>
          <cell r="B3956" t="str">
            <v>ST172</v>
          </cell>
        </row>
        <row r="3957">
          <cell r="A3957" t="str">
            <v>ST172-WT2-XXL</v>
          </cell>
          <cell r="B3957" t="str">
            <v>ST172</v>
          </cell>
        </row>
        <row r="3958">
          <cell r="A3958" t="str">
            <v>ST173-BK-L</v>
          </cell>
          <cell r="B3958" t="str">
            <v>ST173</v>
          </cell>
        </row>
        <row r="3959">
          <cell r="A3959" t="str">
            <v>ST173-BK-M</v>
          </cell>
          <cell r="B3959" t="str">
            <v>ST173</v>
          </cell>
        </row>
        <row r="3960">
          <cell r="A3960" t="str">
            <v>ST173-BK-S</v>
          </cell>
          <cell r="B3960" t="str">
            <v>ST173</v>
          </cell>
        </row>
        <row r="3961">
          <cell r="A3961" t="str">
            <v>ST173-BK-XL</v>
          </cell>
          <cell r="B3961" t="str">
            <v>ST173</v>
          </cell>
        </row>
        <row r="3962">
          <cell r="A3962" t="str">
            <v>ST173-BK-XXL</v>
          </cell>
          <cell r="B3962" t="str">
            <v>ST173</v>
          </cell>
        </row>
        <row r="3963">
          <cell r="A3963" t="str">
            <v>ST173-BL-L</v>
          </cell>
          <cell r="B3963" t="str">
            <v>ST173</v>
          </cell>
        </row>
        <row r="3964">
          <cell r="A3964" t="str">
            <v>ST173-BL-M</v>
          </cell>
          <cell r="B3964" t="str">
            <v>ST173</v>
          </cell>
        </row>
        <row r="3965">
          <cell r="A3965" t="str">
            <v>ST173-BL-S</v>
          </cell>
          <cell r="B3965" t="str">
            <v>ST173</v>
          </cell>
        </row>
        <row r="3966">
          <cell r="A3966" t="str">
            <v>ST173-BL-XL</v>
          </cell>
          <cell r="B3966" t="str">
            <v>ST173</v>
          </cell>
        </row>
        <row r="3967">
          <cell r="A3967" t="str">
            <v>ST173-BL-XXL</v>
          </cell>
          <cell r="B3967" t="str">
            <v>ST173</v>
          </cell>
        </row>
        <row r="3968">
          <cell r="A3968" t="str">
            <v>ST173-GR-L</v>
          </cell>
          <cell r="B3968" t="str">
            <v>ST173</v>
          </cell>
        </row>
        <row r="3969">
          <cell r="A3969" t="str">
            <v>ST173-GR-M</v>
          </cell>
          <cell r="B3969" t="str">
            <v>ST173</v>
          </cell>
        </row>
        <row r="3970">
          <cell r="A3970" t="str">
            <v>ST173-GR-S</v>
          </cell>
          <cell r="B3970" t="str">
            <v>ST173</v>
          </cell>
        </row>
        <row r="3971">
          <cell r="A3971" t="str">
            <v>ST173-GR-XL</v>
          </cell>
          <cell r="B3971" t="str">
            <v>ST173</v>
          </cell>
        </row>
        <row r="3972">
          <cell r="A3972" t="str">
            <v>ST173-GR-XXL</v>
          </cell>
          <cell r="B3972" t="str">
            <v>ST173</v>
          </cell>
        </row>
        <row r="3973">
          <cell r="A3973" t="str">
            <v>ST173-NY-L</v>
          </cell>
          <cell r="B3973" t="str">
            <v>ST173</v>
          </cell>
        </row>
        <row r="3974">
          <cell r="A3974" t="str">
            <v>ST173-NY-M</v>
          </cell>
          <cell r="B3974" t="str">
            <v>ST173</v>
          </cell>
        </row>
        <row r="3975">
          <cell r="A3975" t="str">
            <v>ST173-NY-S</v>
          </cell>
          <cell r="B3975" t="str">
            <v>ST173</v>
          </cell>
        </row>
        <row r="3976">
          <cell r="A3976" t="str">
            <v>ST173-NY-XL</v>
          </cell>
          <cell r="B3976" t="str">
            <v>ST173</v>
          </cell>
        </row>
        <row r="3977">
          <cell r="A3977" t="str">
            <v>ST173-NY-XXL</v>
          </cell>
          <cell r="B3977" t="str">
            <v>ST173</v>
          </cell>
        </row>
        <row r="3978">
          <cell r="A3978" t="str">
            <v>ST173-PK-L</v>
          </cell>
          <cell r="B3978" t="str">
            <v>ST173</v>
          </cell>
        </row>
        <row r="3979">
          <cell r="A3979" t="str">
            <v>ST173-PK-M</v>
          </cell>
          <cell r="B3979" t="str">
            <v>ST173</v>
          </cell>
        </row>
        <row r="3980">
          <cell r="A3980" t="str">
            <v>ST173-PK-S</v>
          </cell>
          <cell r="B3980" t="str">
            <v>ST173</v>
          </cell>
        </row>
        <row r="3981">
          <cell r="A3981" t="str">
            <v>ST173-PK-XL</v>
          </cell>
          <cell r="B3981" t="str">
            <v>ST173</v>
          </cell>
        </row>
        <row r="3982">
          <cell r="A3982" t="str">
            <v>ST173-PK-XXL</v>
          </cell>
          <cell r="B3982" t="str">
            <v>ST173</v>
          </cell>
        </row>
        <row r="3983">
          <cell r="A3983" t="str">
            <v>ST173-PP-L</v>
          </cell>
          <cell r="B3983" t="str">
            <v>ST173</v>
          </cell>
        </row>
        <row r="3984">
          <cell r="A3984" t="str">
            <v>ST173-PP-M</v>
          </cell>
          <cell r="B3984" t="str">
            <v>ST173</v>
          </cell>
        </row>
        <row r="3985">
          <cell r="A3985" t="str">
            <v>ST173-PP-S</v>
          </cell>
          <cell r="B3985" t="str">
            <v>ST173</v>
          </cell>
        </row>
        <row r="3986">
          <cell r="A3986" t="str">
            <v>ST173-PP-XL</v>
          </cell>
          <cell r="B3986" t="str">
            <v>ST173</v>
          </cell>
        </row>
        <row r="3987">
          <cell r="A3987" t="str">
            <v>ST173-PP-XXL</v>
          </cell>
          <cell r="B3987" t="str">
            <v>ST173</v>
          </cell>
        </row>
        <row r="3988">
          <cell r="A3988" t="str">
            <v>ST173-WR-L</v>
          </cell>
          <cell r="B3988" t="str">
            <v>ST173</v>
          </cell>
        </row>
        <row r="3989">
          <cell r="A3989" t="str">
            <v>ST173-WR-M</v>
          </cell>
          <cell r="B3989" t="str">
            <v>ST173</v>
          </cell>
        </row>
        <row r="3990">
          <cell r="A3990" t="str">
            <v>ST173-WR-S</v>
          </cell>
          <cell r="B3990" t="str">
            <v>ST173</v>
          </cell>
        </row>
        <row r="3991">
          <cell r="A3991" t="str">
            <v>ST173-WR-XL</v>
          </cell>
          <cell r="B3991" t="str">
            <v>ST173</v>
          </cell>
        </row>
        <row r="3992">
          <cell r="A3992" t="str">
            <v>ST173-WR-XXL</v>
          </cell>
          <cell r="B3992" t="str">
            <v>ST173</v>
          </cell>
        </row>
        <row r="3993">
          <cell r="A3993" t="str">
            <v>ST173-WT1-L</v>
          </cell>
          <cell r="B3993" t="str">
            <v>ST173</v>
          </cell>
        </row>
        <row r="3994">
          <cell r="A3994" t="str">
            <v>ST173-WT1-M</v>
          </cell>
          <cell r="B3994" t="str">
            <v>ST173</v>
          </cell>
        </row>
        <row r="3995">
          <cell r="A3995" t="str">
            <v>ST173-WT1-S</v>
          </cell>
          <cell r="B3995" t="str">
            <v>ST173</v>
          </cell>
        </row>
        <row r="3996">
          <cell r="A3996" t="str">
            <v>ST173-WT1-XL</v>
          </cell>
          <cell r="B3996" t="str">
            <v>ST173</v>
          </cell>
        </row>
        <row r="3997">
          <cell r="A3997" t="str">
            <v>ST173-WT1-XXL</v>
          </cell>
          <cell r="B3997" t="str">
            <v>ST173</v>
          </cell>
        </row>
        <row r="3998">
          <cell r="A3998" t="str">
            <v>ST173-WT2-L</v>
          </cell>
          <cell r="B3998" t="str">
            <v>ST173</v>
          </cell>
        </row>
        <row r="3999">
          <cell r="A3999" t="str">
            <v>ST173-WT2-M</v>
          </cell>
          <cell r="B3999" t="str">
            <v>ST173</v>
          </cell>
        </row>
        <row r="4000">
          <cell r="A4000" t="str">
            <v>ST173-WT2-S</v>
          </cell>
          <cell r="B4000" t="str">
            <v>ST173</v>
          </cell>
        </row>
        <row r="4001">
          <cell r="A4001" t="str">
            <v>ST173-WT2-XL</v>
          </cell>
          <cell r="B4001" t="str">
            <v>ST173</v>
          </cell>
        </row>
        <row r="4002">
          <cell r="A4002" t="str">
            <v>ST173-WT2-XXL</v>
          </cell>
          <cell r="B4002" t="str">
            <v>ST173</v>
          </cell>
        </row>
        <row r="4003">
          <cell r="A4003" t="str">
            <v>ST181-G912-L</v>
          </cell>
          <cell r="B4003" t="str">
            <v>ST181</v>
          </cell>
        </row>
        <row r="4004">
          <cell r="A4004" t="str">
            <v>ST181-G912-M</v>
          </cell>
          <cell r="B4004" t="str">
            <v>ST181</v>
          </cell>
        </row>
        <row r="4005">
          <cell r="A4005" t="str">
            <v>ST181-G912-S</v>
          </cell>
          <cell r="B4005" t="str">
            <v>ST181</v>
          </cell>
        </row>
        <row r="4006">
          <cell r="A4006" t="str">
            <v>ST181-G912-XL</v>
          </cell>
          <cell r="B4006" t="str">
            <v>ST181</v>
          </cell>
        </row>
        <row r="4007">
          <cell r="A4007" t="str">
            <v>ST181-G912-XXL</v>
          </cell>
          <cell r="B4007" t="str">
            <v>ST181</v>
          </cell>
        </row>
        <row r="4008">
          <cell r="A4008" t="str">
            <v>ST181-LB916-L</v>
          </cell>
          <cell r="B4008" t="str">
            <v>ST181</v>
          </cell>
        </row>
        <row r="4009">
          <cell r="A4009" t="str">
            <v>ST181-LB916-M</v>
          </cell>
          <cell r="B4009" t="str">
            <v>ST181</v>
          </cell>
        </row>
        <row r="4010">
          <cell r="A4010" t="str">
            <v>ST181-LB916-S</v>
          </cell>
          <cell r="B4010" t="str">
            <v>ST181</v>
          </cell>
        </row>
        <row r="4011">
          <cell r="A4011" t="str">
            <v>ST181-LB916-XL</v>
          </cell>
          <cell r="B4011" t="str">
            <v>ST181</v>
          </cell>
        </row>
        <row r="4012">
          <cell r="A4012" t="str">
            <v>ST181-LB916-XXL</v>
          </cell>
          <cell r="B4012" t="str">
            <v>ST181</v>
          </cell>
        </row>
        <row r="4013">
          <cell r="A4013" t="str">
            <v>ST181-LG907-L</v>
          </cell>
          <cell r="B4013" t="str">
            <v>ST181</v>
          </cell>
        </row>
        <row r="4014">
          <cell r="A4014" t="str">
            <v>ST181-LG907-M</v>
          </cell>
          <cell r="B4014" t="str">
            <v>ST181</v>
          </cell>
        </row>
        <row r="4015">
          <cell r="A4015" t="str">
            <v>ST181-LG907-S</v>
          </cell>
          <cell r="B4015" t="str">
            <v>ST181</v>
          </cell>
        </row>
        <row r="4016">
          <cell r="A4016" t="str">
            <v>ST181-LG907-XL</v>
          </cell>
          <cell r="B4016" t="str">
            <v>ST181</v>
          </cell>
        </row>
        <row r="4017">
          <cell r="A4017" t="str">
            <v>ST181-LG907-XXL</v>
          </cell>
          <cell r="B4017" t="str">
            <v>ST181</v>
          </cell>
        </row>
        <row r="4018">
          <cell r="A4018" t="str">
            <v>ST181-PI908-L</v>
          </cell>
          <cell r="B4018" t="str">
            <v>ST181</v>
          </cell>
        </row>
        <row r="4019">
          <cell r="A4019" t="str">
            <v>ST181-PI908-M</v>
          </cell>
          <cell r="B4019" t="str">
            <v>ST181</v>
          </cell>
        </row>
        <row r="4020">
          <cell r="A4020" t="str">
            <v>ST181-PI908-S</v>
          </cell>
          <cell r="B4020" t="str">
            <v>ST181</v>
          </cell>
        </row>
        <row r="4021">
          <cell r="A4021" t="str">
            <v>ST181-PI908-XL</v>
          </cell>
          <cell r="B4021" t="str">
            <v>ST181</v>
          </cell>
        </row>
        <row r="4022">
          <cell r="A4022" t="str">
            <v>ST181-PI908-XXL</v>
          </cell>
          <cell r="B4022" t="str">
            <v>ST181</v>
          </cell>
        </row>
        <row r="4023">
          <cell r="A4023" t="str">
            <v>ST181-Sa911-L</v>
          </cell>
          <cell r="B4023" t="str">
            <v>ST181</v>
          </cell>
        </row>
        <row r="4024">
          <cell r="A4024" t="str">
            <v>ST181-Sa911-M</v>
          </cell>
          <cell r="B4024" t="str">
            <v>ST181</v>
          </cell>
        </row>
        <row r="4025">
          <cell r="A4025" t="str">
            <v>ST181-Sa911-S</v>
          </cell>
          <cell r="B4025" t="str">
            <v>ST181</v>
          </cell>
        </row>
        <row r="4026">
          <cell r="A4026" t="str">
            <v>ST181-Sa911-XL</v>
          </cell>
          <cell r="B4026" t="str">
            <v>ST181</v>
          </cell>
        </row>
        <row r="4027">
          <cell r="A4027" t="str">
            <v>ST181-Sa911-XXL</v>
          </cell>
          <cell r="B4027" t="str">
            <v>ST181</v>
          </cell>
        </row>
        <row r="4028">
          <cell r="A4028" t="str">
            <v>ST181-W902-L</v>
          </cell>
          <cell r="B4028" t="str">
            <v>ST181</v>
          </cell>
        </row>
        <row r="4029">
          <cell r="A4029" t="str">
            <v>ST181-W902-M</v>
          </cell>
          <cell r="B4029" t="str">
            <v>ST181</v>
          </cell>
        </row>
        <row r="4030">
          <cell r="A4030" t="str">
            <v>ST181-W902-S</v>
          </cell>
          <cell r="B4030" t="str">
            <v>ST181</v>
          </cell>
        </row>
        <row r="4031">
          <cell r="A4031" t="str">
            <v>ST181-W902-XL</v>
          </cell>
          <cell r="B4031" t="str">
            <v>ST181</v>
          </cell>
        </row>
        <row r="4032">
          <cell r="A4032" t="str">
            <v>ST181-W902-XXL</v>
          </cell>
          <cell r="B4032" t="str">
            <v>ST181</v>
          </cell>
        </row>
        <row r="4033">
          <cell r="A4033" t="str">
            <v>ST181-WR917-L</v>
          </cell>
          <cell r="B4033" t="str">
            <v>ST181</v>
          </cell>
        </row>
        <row r="4034">
          <cell r="A4034" t="str">
            <v>ST181-WR917-M</v>
          </cell>
          <cell r="B4034" t="str">
            <v>ST181</v>
          </cell>
        </row>
        <row r="4035">
          <cell r="A4035" t="str">
            <v>ST181-WR917-S</v>
          </cell>
          <cell r="B4035" t="str">
            <v>ST181</v>
          </cell>
        </row>
        <row r="4036">
          <cell r="A4036" t="str">
            <v>ST181-WR917-XL</v>
          </cell>
          <cell r="B4036" t="str">
            <v>ST181</v>
          </cell>
        </row>
        <row r="4037">
          <cell r="A4037" t="str">
            <v>ST181-WR917-XXL</v>
          </cell>
          <cell r="B4037" t="str">
            <v>ST181</v>
          </cell>
        </row>
        <row r="4038">
          <cell r="A4038" t="str">
            <v>ST181-ZL918-L</v>
          </cell>
          <cell r="B4038" t="str">
            <v>ST181</v>
          </cell>
        </row>
        <row r="4039">
          <cell r="A4039" t="str">
            <v>ST181-ZL918-M</v>
          </cell>
          <cell r="B4039" t="str">
            <v>ST181</v>
          </cell>
        </row>
        <row r="4040">
          <cell r="A4040" t="str">
            <v>ST181-ZL918-S</v>
          </cell>
          <cell r="B4040" t="str">
            <v>ST181</v>
          </cell>
        </row>
        <row r="4041">
          <cell r="A4041" t="str">
            <v>ST181-ZL918-XL</v>
          </cell>
          <cell r="B4041" t="str">
            <v>ST181</v>
          </cell>
        </row>
        <row r="4042">
          <cell r="A4042" t="str">
            <v>ST181-ZL918-XXL</v>
          </cell>
          <cell r="B4042" t="str">
            <v>ST181</v>
          </cell>
        </row>
        <row r="4043">
          <cell r="A4043" t="str">
            <v>STJ-1235</v>
          </cell>
          <cell r="B4043" t="str">
            <v>STJ-1235</v>
          </cell>
        </row>
        <row r="4044">
          <cell r="A4044" t="str">
            <v>STJ-1235W0</v>
          </cell>
          <cell r="B4044" t="str">
            <v>STJ-1235</v>
          </cell>
        </row>
        <row r="4045">
          <cell r="A4045" t="str">
            <v>STJ-CF1245-BK</v>
          </cell>
          <cell r="B4045" t="str">
            <v>STJ-CF1245</v>
          </cell>
        </row>
        <row r="4046">
          <cell r="A4046" t="str">
            <v>STJ-CF1245-SUMMERTIME-BK</v>
          </cell>
          <cell r="B4046" t="str">
            <v>STJ-CF1245</v>
          </cell>
        </row>
        <row r="4047">
          <cell r="A4047" t="str">
            <v>STJ-CF1245-SUMMERTIME-BUGR</v>
          </cell>
          <cell r="B4047" t="str">
            <v>STJ-CF1245</v>
          </cell>
        </row>
        <row r="4048">
          <cell r="A4048" t="str">
            <v>STJ-CF1245-SUMMERTIME-WH</v>
          </cell>
          <cell r="B4048" t="str">
            <v>STJ-CF1245</v>
          </cell>
        </row>
        <row r="4049">
          <cell r="A4049" t="str">
            <v>STJ-CF1245-WHOSAID-LTBU</v>
          </cell>
          <cell r="B4049" t="str">
            <v>STJ-CF1245</v>
          </cell>
        </row>
        <row r="4050">
          <cell r="A4050" t="str">
            <v>STJ-ZS55016B01X</v>
          </cell>
          <cell r="B4050" t="str">
            <v>STJ-ZS55016</v>
          </cell>
        </row>
        <row r="4051">
          <cell r="A4051" t="str">
            <v>STJ-ZS55016B0L</v>
          </cell>
          <cell r="B4051" t="str">
            <v>STJ-ZS55016</v>
          </cell>
        </row>
        <row r="4052">
          <cell r="A4052" t="str">
            <v>STJ-ZS55016B0M</v>
          </cell>
          <cell r="B4052" t="str">
            <v>STJ-ZS55016</v>
          </cell>
        </row>
        <row r="4053">
          <cell r="A4053" t="str">
            <v>STJ-ZS55016B0XL</v>
          </cell>
          <cell r="B4053" t="str">
            <v>STJ-ZS55016</v>
          </cell>
        </row>
        <row r="4054">
          <cell r="A4054" t="str">
            <v>STJ-ZS55016B31X</v>
          </cell>
          <cell r="B4054" t="str">
            <v>STJ-ZS55016</v>
          </cell>
        </row>
        <row r="4055">
          <cell r="A4055" t="str">
            <v>STJ-ZS55016B3L</v>
          </cell>
          <cell r="B4055" t="str">
            <v>STJ-ZS55016</v>
          </cell>
        </row>
        <row r="4056">
          <cell r="A4056" t="str">
            <v>STJ-ZS55016B3M</v>
          </cell>
          <cell r="B4056" t="str">
            <v>STJ-ZS55016</v>
          </cell>
        </row>
        <row r="4057">
          <cell r="A4057" t="str">
            <v>STJ-ZS55016B3XL</v>
          </cell>
          <cell r="B4057" t="str">
            <v>STJ-ZS55016</v>
          </cell>
        </row>
        <row r="4058">
          <cell r="A4058" t="str">
            <v>STJ-ZS55016G01X</v>
          </cell>
          <cell r="B4058" t="str">
            <v>STJ-ZS55016</v>
          </cell>
        </row>
        <row r="4059">
          <cell r="A4059" t="str">
            <v>STJ-ZS55016G0L</v>
          </cell>
          <cell r="B4059" t="str">
            <v>STJ-ZS55016</v>
          </cell>
        </row>
        <row r="4060">
          <cell r="A4060" t="str">
            <v>STJ-ZS55016G0M</v>
          </cell>
          <cell r="B4060" t="str">
            <v>STJ-ZS55016</v>
          </cell>
        </row>
        <row r="4061">
          <cell r="A4061" t="str">
            <v>STJ-ZS55016G0XL</v>
          </cell>
          <cell r="B4061" t="str">
            <v>STJ-ZS55016</v>
          </cell>
        </row>
        <row r="4062">
          <cell r="A4062" t="str">
            <v>STJ-ZS55016K01X</v>
          </cell>
          <cell r="B4062" t="str">
            <v>STJ-ZS55016</v>
          </cell>
        </row>
        <row r="4063">
          <cell r="A4063" t="str">
            <v>STJ-ZS55016K0L</v>
          </cell>
          <cell r="B4063" t="str">
            <v>STJ-ZS55016</v>
          </cell>
        </row>
        <row r="4064">
          <cell r="A4064" t="str">
            <v>STJ-ZS55016K0M</v>
          </cell>
          <cell r="B4064" t="str">
            <v>STJ-ZS55016</v>
          </cell>
        </row>
        <row r="4065">
          <cell r="A4065" t="str">
            <v>STJ-ZS55016K0XL</v>
          </cell>
          <cell r="B4065" t="str">
            <v>STJ-ZS55016</v>
          </cell>
        </row>
        <row r="4066">
          <cell r="A4066" t="str">
            <v>STJ-ZS55016R21X</v>
          </cell>
          <cell r="B4066" t="str">
            <v>STJ-ZS55016</v>
          </cell>
        </row>
        <row r="4067">
          <cell r="A4067" t="str">
            <v>STJ-ZS55016R2L</v>
          </cell>
          <cell r="B4067" t="str">
            <v>STJ-ZS55016</v>
          </cell>
        </row>
        <row r="4068">
          <cell r="A4068" t="str">
            <v>STJ-ZS55016R2M</v>
          </cell>
          <cell r="B4068" t="str">
            <v>STJ-ZS55016</v>
          </cell>
        </row>
        <row r="4069">
          <cell r="A4069" t="str">
            <v>STJ-ZS55016R2XL</v>
          </cell>
          <cell r="B4069" t="str">
            <v>STJ-ZS55016</v>
          </cell>
        </row>
        <row r="4070">
          <cell r="A4070" t="str">
            <v>STJ-ZS55016W01X</v>
          </cell>
          <cell r="B4070" t="str">
            <v>STJ-ZS55016</v>
          </cell>
        </row>
        <row r="4071">
          <cell r="A4071" t="str">
            <v>STJ-ZS55016W0L</v>
          </cell>
          <cell r="B4071" t="str">
            <v>STJ-ZS55016</v>
          </cell>
        </row>
        <row r="4072">
          <cell r="A4072" t="str">
            <v>STJ-ZS55016W0M</v>
          </cell>
          <cell r="B4072" t="str">
            <v>STJ-ZS55016</v>
          </cell>
        </row>
        <row r="4073">
          <cell r="A4073" t="str">
            <v>STJ-ZS55016W0XL</v>
          </cell>
          <cell r="B4073" t="str">
            <v>STJ-ZS55016</v>
          </cell>
        </row>
        <row r="4074">
          <cell r="A4074" t="str">
            <v>STJ-ZS55016Y01X</v>
          </cell>
          <cell r="B4074" t="str">
            <v>STJ-ZS55016</v>
          </cell>
        </row>
        <row r="4075">
          <cell r="A4075" t="str">
            <v>STJ-ZS55016Y0L</v>
          </cell>
          <cell r="B4075" t="str">
            <v>STJ-ZS55016</v>
          </cell>
        </row>
        <row r="4076">
          <cell r="A4076" t="str">
            <v>STJ-ZS55016Y0M</v>
          </cell>
          <cell r="B4076" t="str">
            <v>STJ-ZS55016</v>
          </cell>
        </row>
        <row r="4077">
          <cell r="A4077" t="str">
            <v>STJ-ZS55016Y0XL</v>
          </cell>
          <cell r="B4077" t="str">
            <v>STJ-ZS55016</v>
          </cell>
        </row>
        <row r="4078">
          <cell r="A4078" t="str">
            <v>ST-K157-AG-32</v>
          </cell>
          <cell r="B4078" t="str">
            <v>ST-K157</v>
          </cell>
        </row>
        <row r="4079">
          <cell r="A4079" t="str">
            <v>ST-K157-AG-34</v>
          </cell>
          <cell r="B4079" t="str">
            <v>ST-K157</v>
          </cell>
        </row>
        <row r="4080">
          <cell r="A4080" t="str">
            <v>ST-K157-AG-36</v>
          </cell>
          <cell r="B4080" t="str">
            <v>ST-K157</v>
          </cell>
        </row>
        <row r="4081">
          <cell r="A4081" t="str">
            <v>ST-K157-AG-38</v>
          </cell>
          <cell r="B4081" t="str">
            <v>ST-K157</v>
          </cell>
        </row>
        <row r="4082">
          <cell r="A4082" t="str">
            <v>ST-K157-AG-40</v>
          </cell>
          <cell r="B4082" t="str">
            <v>ST-K157</v>
          </cell>
        </row>
        <row r="4083">
          <cell r="A4083" t="str">
            <v>ST-K157-AG-42</v>
          </cell>
          <cell r="B4083" t="str">
            <v>ST-K157</v>
          </cell>
        </row>
        <row r="4084">
          <cell r="A4084" t="str">
            <v>ST-K157-AG-44</v>
          </cell>
          <cell r="B4084" t="str">
            <v>ST-K157</v>
          </cell>
        </row>
        <row r="4085">
          <cell r="A4085" t="str">
            <v>ST-K157-B0-32</v>
          </cell>
          <cell r="B4085" t="str">
            <v>ST-K157</v>
          </cell>
        </row>
        <row r="4086">
          <cell r="A4086" t="str">
            <v>ST-K157-B0-34</v>
          </cell>
          <cell r="B4086" t="str">
            <v>ST-K157</v>
          </cell>
        </row>
        <row r="4087">
          <cell r="A4087" t="str">
            <v>ST-K157-B0-36</v>
          </cell>
          <cell r="B4087" t="str">
            <v>ST-K157</v>
          </cell>
        </row>
        <row r="4088">
          <cell r="A4088" t="str">
            <v>ST-K157-B0-38</v>
          </cell>
          <cell r="B4088" t="str">
            <v>ST-K157</v>
          </cell>
        </row>
        <row r="4089">
          <cell r="A4089" t="str">
            <v>ST-K157-B0-40</v>
          </cell>
          <cell r="B4089" t="str">
            <v>ST-K157</v>
          </cell>
        </row>
        <row r="4090">
          <cell r="A4090" t="str">
            <v>ST-K157-B0-42</v>
          </cell>
          <cell r="B4090" t="str">
            <v>ST-K157</v>
          </cell>
        </row>
        <row r="4091">
          <cell r="A4091" t="str">
            <v>ST-K157-B0-44</v>
          </cell>
          <cell r="B4091" t="str">
            <v>ST-K157</v>
          </cell>
        </row>
        <row r="4092">
          <cell r="A4092" t="str">
            <v>ST-K157-K0-32</v>
          </cell>
          <cell r="B4092" t="str">
            <v>ST-K157</v>
          </cell>
        </row>
        <row r="4093">
          <cell r="A4093" t="str">
            <v>ST-K157-K0-34</v>
          </cell>
          <cell r="B4093" t="str">
            <v>ST-K157</v>
          </cell>
        </row>
        <row r="4094">
          <cell r="A4094" t="str">
            <v>ST-K157-K0-36</v>
          </cell>
          <cell r="B4094" t="str">
            <v>ST-K157</v>
          </cell>
        </row>
        <row r="4095">
          <cell r="A4095" t="str">
            <v>ST-K157-K0-38</v>
          </cell>
          <cell r="B4095" t="str">
            <v>ST-K157</v>
          </cell>
        </row>
        <row r="4096">
          <cell r="A4096" t="str">
            <v>ST-K157-K0-40</v>
          </cell>
          <cell r="B4096" t="str">
            <v>ST-K157</v>
          </cell>
        </row>
        <row r="4097">
          <cell r="A4097" t="str">
            <v>ST-K157-K0-42</v>
          </cell>
          <cell r="B4097" t="str">
            <v>ST-K157</v>
          </cell>
        </row>
        <row r="4098">
          <cell r="A4098" t="str">
            <v>ST-K157-K0-44</v>
          </cell>
          <cell r="B4098" t="str">
            <v>ST-K157</v>
          </cell>
        </row>
        <row r="4099">
          <cell r="A4099" t="str">
            <v>ST-K157-KQ-32</v>
          </cell>
          <cell r="B4099" t="str">
            <v>ST-K157</v>
          </cell>
        </row>
        <row r="4100">
          <cell r="A4100" t="str">
            <v>ST-K157-KQ-34</v>
          </cell>
          <cell r="B4100" t="str">
            <v>ST-K157</v>
          </cell>
        </row>
        <row r="4101">
          <cell r="A4101" t="str">
            <v>ST-K157-KQ-36</v>
          </cell>
          <cell r="B4101" t="str">
            <v>ST-K157</v>
          </cell>
        </row>
        <row r="4102">
          <cell r="A4102" t="str">
            <v>ST-K157-KQ-38</v>
          </cell>
          <cell r="B4102" t="str">
            <v>ST-K157</v>
          </cell>
        </row>
        <row r="4103">
          <cell r="A4103" t="str">
            <v>ST-K157-KQ-40</v>
          </cell>
          <cell r="B4103" t="str">
            <v>ST-K157</v>
          </cell>
        </row>
        <row r="4104">
          <cell r="A4104" t="str">
            <v>ST-K157-KQ-42</v>
          </cell>
          <cell r="B4104" t="str">
            <v>ST-K157</v>
          </cell>
        </row>
        <row r="4105">
          <cell r="A4105" t="str">
            <v>ST-K157-KQ-44</v>
          </cell>
          <cell r="B4105" t="str">
            <v>ST-K157</v>
          </cell>
        </row>
        <row r="4106">
          <cell r="A4106" t="str">
            <v>ST-K157-OR-32</v>
          </cell>
          <cell r="B4106" t="str">
            <v>ST-K157</v>
          </cell>
        </row>
        <row r="4107">
          <cell r="A4107" t="str">
            <v>ST-K157-OR-34</v>
          </cell>
          <cell r="B4107" t="str">
            <v>ST-K157</v>
          </cell>
        </row>
        <row r="4108">
          <cell r="A4108" t="str">
            <v>ST-K157-OR-36</v>
          </cell>
          <cell r="B4108" t="str">
            <v>ST-K157</v>
          </cell>
        </row>
        <row r="4109">
          <cell r="A4109" t="str">
            <v>ST-K157-OR-38</v>
          </cell>
          <cell r="B4109" t="str">
            <v>ST-K157</v>
          </cell>
        </row>
        <row r="4110">
          <cell r="A4110" t="str">
            <v>ST-K157-OR-40</v>
          </cell>
          <cell r="B4110" t="str">
            <v>ST-K157</v>
          </cell>
        </row>
        <row r="4111">
          <cell r="A4111" t="str">
            <v>ST-K157-OR-42</v>
          </cell>
          <cell r="B4111" t="str">
            <v>ST-K157</v>
          </cell>
        </row>
        <row r="4112">
          <cell r="A4112" t="str">
            <v>ST-K157-OR-44</v>
          </cell>
          <cell r="B4112" t="str">
            <v>ST-K157</v>
          </cell>
        </row>
        <row r="4113">
          <cell r="A4113" t="str">
            <v>ST-K518-B0-32</v>
          </cell>
          <cell r="B4113" t="str">
            <v>ST-K518</v>
          </cell>
        </row>
        <row r="4114">
          <cell r="A4114" t="str">
            <v>ST-K518-B0-34</v>
          </cell>
          <cell r="B4114" t="str">
            <v>ST-K518</v>
          </cell>
        </row>
        <row r="4115">
          <cell r="A4115" t="str">
            <v>ST-K518-B0-36</v>
          </cell>
          <cell r="B4115" t="str">
            <v>ST-K518</v>
          </cell>
        </row>
        <row r="4116">
          <cell r="A4116" t="str">
            <v>ST-K518-B0-38</v>
          </cell>
          <cell r="B4116" t="str">
            <v>ST-K518</v>
          </cell>
        </row>
        <row r="4117">
          <cell r="A4117" t="str">
            <v>ST-K518-B0-40</v>
          </cell>
          <cell r="B4117" t="str">
            <v>ST-K518</v>
          </cell>
        </row>
        <row r="4118">
          <cell r="A4118" t="str">
            <v>ST-K518-B0-42</v>
          </cell>
          <cell r="B4118" t="str">
            <v>ST-K518</v>
          </cell>
        </row>
        <row r="4119">
          <cell r="A4119" t="str">
            <v>ST-K518-B0-44</v>
          </cell>
          <cell r="B4119" t="str">
            <v>ST-K518</v>
          </cell>
        </row>
        <row r="4120">
          <cell r="A4120" t="str">
            <v>ST-K518-G0-32</v>
          </cell>
          <cell r="B4120" t="str">
            <v>ST-K518</v>
          </cell>
        </row>
        <row r="4121">
          <cell r="A4121" t="str">
            <v>ST-K518-G0-34</v>
          </cell>
          <cell r="B4121" t="str">
            <v>ST-K518</v>
          </cell>
        </row>
        <row r="4122">
          <cell r="A4122" t="str">
            <v>ST-K518-G0-36</v>
          </cell>
          <cell r="B4122" t="str">
            <v>ST-K518</v>
          </cell>
        </row>
        <row r="4123">
          <cell r="A4123" t="str">
            <v>ST-K518-G0-38</v>
          </cell>
          <cell r="B4123" t="str">
            <v>ST-K518</v>
          </cell>
        </row>
        <row r="4124">
          <cell r="A4124" t="str">
            <v>ST-K518-G0-40</v>
          </cell>
          <cell r="B4124" t="str">
            <v>ST-K518</v>
          </cell>
        </row>
        <row r="4125">
          <cell r="A4125" t="str">
            <v>ST-K518-G0-42</v>
          </cell>
          <cell r="B4125" t="str">
            <v>ST-K518</v>
          </cell>
        </row>
        <row r="4126">
          <cell r="A4126" t="str">
            <v>ST-K518-G0-44</v>
          </cell>
          <cell r="B4126" t="str">
            <v>ST-K518</v>
          </cell>
        </row>
        <row r="4127">
          <cell r="A4127" t="str">
            <v>ST-K518-K0-32</v>
          </cell>
          <cell r="B4127" t="str">
            <v>ST-K518</v>
          </cell>
        </row>
        <row r="4128">
          <cell r="A4128" t="str">
            <v>ST-K518-K0-34</v>
          </cell>
          <cell r="B4128" t="str">
            <v>ST-K518</v>
          </cell>
        </row>
        <row r="4129">
          <cell r="A4129" t="str">
            <v>ST-K518-K0-36</v>
          </cell>
          <cell r="B4129" t="str">
            <v>ST-K518</v>
          </cell>
        </row>
        <row r="4130">
          <cell r="A4130" t="str">
            <v>ST-K518-K0-38</v>
          </cell>
          <cell r="B4130" t="str">
            <v>ST-K518</v>
          </cell>
        </row>
        <row r="4131">
          <cell r="A4131" t="str">
            <v>ST-K518-K0-40</v>
          </cell>
          <cell r="B4131" t="str">
            <v>ST-K518</v>
          </cell>
        </row>
        <row r="4132">
          <cell r="A4132" t="str">
            <v>ST-K518-K0-42</v>
          </cell>
          <cell r="B4132" t="str">
            <v>ST-K518</v>
          </cell>
        </row>
        <row r="4133">
          <cell r="A4133" t="str">
            <v>ST-K518-K0-44</v>
          </cell>
          <cell r="B4133" t="str">
            <v>ST-K518</v>
          </cell>
        </row>
        <row r="4134">
          <cell r="A4134" t="str">
            <v>ST-K518-KQ-32</v>
          </cell>
          <cell r="B4134" t="str">
            <v>ST-K518</v>
          </cell>
        </row>
        <row r="4135">
          <cell r="A4135" t="str">
            <v>ST-K518-KQ-34</v>
          </cell>
          <cell r="B4135" t="str">
            <v>ST-K518</v>
          </cell>
        </row>
        <row r="4136">
          <cell r="A4136" t="str">
            <v>ST-K518-KQ-36</v>
          </cell>
          <cell r="B4136" t="str">
            <v>ST-K518</v>
          </cell>
        </row>
        <row r="4137">
          <cell r="A4137" t="str">
            <v>ST-K518-KQ-38</v>
          </cell>
          <cell r="B4137" t="str">
            <v>ST-K518</v>
          </cell>
        </row>
        <row r="4138">
          <cell r="A4138" t="str">
            <v>ST-K518-KQ-40</v>
          </cell>
          <cell r="B4138" t="str">
            <v>ST-K518</v>
          </cell>
        </row>
        <row r="4139">
          <cell r="A4139" t="str">
            <v>ST-K518-KQ-42</v>
          </cell>
          <cell r="B4139" t="str">
            <v>ST-K518</v>
          </cell>
        </row>
        <row r="4140">
          <cell r="A4140" t="str">
            <v>ST-K518-KQ-44</v>
          </cell>
          <cell r="B4140" t="str">
            <v>ST-K518</v>
          </cell>
        </row>
        <row r="4141">
          <cell r="A4141" t="str">
            <v>ST-K518-OR-32</v>
          </cell>
          <cell r="B4141" t="str">
            <v>ST-K518</v>
          </cell>
        </row>
        <row r="4142">
          <cell r="A4142" t="str">
            <v>ST-K518-OR-34</v>
          </cell>
          <cell r="B4142" t="str">
            <v>ST-K518</v>
          </cell>
        </row>
        <row r="4143">
          <cell r="A4143" t="str">
            <v>ST-K518-OR-36</v>
          </cell>
          <cell r="B4143" t="str">
            <v>ST-K518</v>
          </cell>
        </row>
        <row r="4144">
          <cell r="A4144" t="str">
            <v>ST-K518-OR-38</v>
          </cell>
          <cell r="B4144" t="str">
            <v>ST-K518</v>
          </cell>
        </row>
        <row r="4145">
          <cell r="A4145" t="str">
            <v>ST-K518-OR-40</v>
          </cell>
          <cell r="B4145" t="str">
            <v>ST-K518</v>
          </cell>
        </row>
        <row r="4146">
          <cell r="A4146" t="str">
            <v>ST-K518-OR-42</v>
          </cell>
          <cell r="B4146" t="str">
            <v>ST-K518</v>
          </cell>
        </row>
        <row r="4147">
          <cell r="A4147" t="str">
            <v>ST-K518-OR-44</v>
          </cell>
          <cell r="B4147" t="str">
            <v>ST-K518</v>
          </cell>
        </row>
        <row r="4148">
          <cell r="A4148" t="str">
            <v>ST-K559-K0-32</v>
          </cell>
          <cell r="B4148" t="str">
            <v>ST-K559</v>
          </cell>
        </row>
        <row r="4149">
          <cell r="A4149" t="str">
            <v>ST-K559-K0-34</v>
          </cell>
          <cell r="B4149" t="str">
            <v>ST-K559</v>
          </cell>
        </row>
        <row r="4150">
          <cell r="A4150" t="str">
            <v>ST-K559-K0-36</v>
          </cell>
          <cell r="B4150" t="str">
            <v>ST-K559</v>
          </cell>
        </row>
        <row r="4151">
          <cell r="A4151" t="str">
            <v>ST-K559-K0-38</v>
          </cell>
          <cell r="B4151" t="str">
            <v>ST-K559</v>
          </cell>
        </row>
        <row r="4152">
          <cell r="A4152" t="str">
            <v>ST-K559-K0-40</v>
          </cell>
          <cell r="B4152" t="str">
            <v>ST-K559</v>
          </cell>
        </row>
        <row r="4153">
          <cell r="A4153" t="str">
            <v>ST-K559-K0-42</v>
          </cell>
          <cell r="B4153" t="str">
            <v>ST-K559</v>
          </cell>
        </row>
        <row r="4154">
          <cell r="A4154" t="str">
            <v>ST-K559-K0-44</v>
          </cell>
          <cell r="B4154" t="str">
            <v>ST-K559</v>
          </cell>
        </row>
        <row r="4155">
          <cell r="A4155" t="str">
            <v>ST-K559-KQ-32</v>
          </cell>
          <cell r="B4155" t="str">
            <v>ST-K559</v>
          </cell>
        </row>
        <row r="4156">
          <cell r="A4156" t="str">
            <v>ST-K559-KQ-34</v>
          </cell>
          <cell r="B4156" t="str">
            <v>ST-K559</v>
          </cell>
        </row>
        <row r="4157">
          <cell r="A4157" t="str">
            <v>ST-K559-KQ-36</v>
          </cell>
          <cell r="B4157" t="str">
            <v>ST-K559</v>
          </cell>
        </row>
        <row r="4158">
          <cell r="A4158" t="str">
            <v>ST-K559-KQ-38</v>
          </cell>
          <cell r="B4158" t="str">
            <v>ST-K559</v>
          </cell>
        </row>
        <row r="4159">
          <cell r="A4159" t="str">
            <v>ST-K559-KQ-40</v>
          </cell>
          <cell r="B4159" t="str">
            <v>ST-K559</v>
          </cell>
        </row>
        <row r="4160">
          <cell r="A4160" t="str">
            <v>ST-K559-KQ-42</v>
          </cell>
          <cell r="B4160" t="str">
            <v>ST-K559</v>
          </cell>
        </row>
        <row r="4161">
          <cell r="A4161" t="str">
            <v>ST-K559-KQ-44</v>
          </cell>
          <cell r="B4161" t="str">
            <v>ST-K559</v>
          </cell>
        </row>
        <row r="4162">
          <cell r="A4162" t="str">
            <v>ST-K559-LB-32</v>
          </cell>
          <cell r="B4162" t="str">
            <v>ST-K559</v>
          </cell>
        </row>
        <row r="4163">
          <cell r="A4163" t="str">
            <v>ST-K559-LB-34</v>
          </cell>
          <cell r="B4163" t="str">
            <v>ST-K559</v>
          </cell>
        </row>
        <row r="4164">
          <cell r="A4164" t="str">
            <v>ST-K559-LB-36</v>
          </cell>
          <cell r="B4164" t="str">
            <v>ST-K559</v>
          </cell>
        </row>
        <row r="4165">
          <cell r="A4165" t="str">
            <v>ST-K559-LB-38</v>
          </cell>
          <cell r="B4165" t="str">
            <v>ST-K559</v>
          </cell>
        </row>
        <row r="4166">
          <cell r="A4166" t="str">
            <v>ST-K559-LB-40</v>
          </cell>
          <cell r="B4166" t="str">
            <v>ST-K559</v>
          </cell>
        </row>
        <row r="4167">
          <cell r="A4167" t="str">
            <v>ST-K559-LB-42</v>
          </cell>
          <cell r="B4167" t="str">
            <v>ST-K559</v>
          </cell>
        </row>
        <row r="4168">
          <cell r="A4168" t="str">
            <v>ST-K559-LB-44</v>
          </cell>
          <cell r="B4168" t="str">
            <v>ST-K559</v>
          </cell>
        </row>
        <row r="4169">
          <cell r="A4169" t="str">
            <v>ST-K559-OR-32</v>
          </cell>
          <cell r="B4169" t="str">
            <v>ST-K559</v>
          </cell>
        </row>
        <row r="4170">
          <cell r="A4170" t="str">
            <v>ST-K559-OR-34</v>
          </cell>
          <cell r="B4170" t="str">
            <v>ST-K559</v>
          </cell>
        </row>
        <row r="4171">
          <cell r="A4171" t="str">
            <v>ST-K559-OR-36</v>
          </cell>
          <cell r="B4171" t="str">
            <v>ST-K559</v>
          </cell>
        </row>
        <row r="4172">
          <cell r="A4172" t="str">
            <v>ST-K559-OR-38</v>
          </cell>
          <cell r="B4172" t="str">
            <v>ST-K559</v>
          </cell>
        </row>
        <row r="4173">
          <cell r="A4173" t="str">
            <v>ST-K559-OR-40</v>
          </cell>
          <cell r="B4173" t="str">
            <v>ST-K559</v>
          </cell>
        </row>
        <row r="4174">
          <cell r="A4174" t="str">
            <v>ST-K559-OR-42</v>
          </cell>
          <cell r="B4174" t="str">
            <v>ST-K559</v>
          </cell>
        </row>
        <row r="4175">
          <cell r="A4175" t="str">
            <v>ST-K559-OR-44</v>
          </cell>
          <cell r="B4175" t="str">
            <v>ST-K559</v>
          </cell>
        </row>
        <row r="4176">
          <cell r="A4176" t="str">
            <v>ST-K559-R0-32</v>
          </cell>
          <cell r="B4176" t="str">
            <v>ST-K559</v>
          </cell>
        </row>
        <row r="4177">
          <cell r="A4177" t="str">
            <v>ST-K559-R0-34</v>
          </cell>
          <cell r="B4177" t="str">
            <v>ST-K559</v>
          </cell>
        </row>
        <row r="4178">
          <cell r="A4178" t="str">
            <v>ST-K559-R0-36</v>
          </cell>
          <cell r="B4178" t="str">
            <v>ST-K559</v>
          </cell>
        </row>
        <row r="4179">
          <cell r="A4179" t="str">
            <v>ST-K559-R0-38</v>
          </cell>
          <cell r="B4179" t="str">
            <v>ST-K559</v>
          </cell>
        </row>
        <row r="4180">
          <cell r="A4180" t="str">
            <v>ST-K559-R0-40</v>
          </cell>
          <cell r="B4180" t="str">
            <v>ST-K559</v>
          </cell>
        </row>
        <row r="4181">
          <cell r="A4181" t="str">
            <v>ST-K559-R0-42</v>
          </cell>
          <cell r="B4181" t="str">
            <v>ST-K559</v>
          </cell>
        </row>
        <row r="4182">
          <cell r="A4182" t="str">
            <v>ST-K559-R0-44</v>
          </cell>
          <cell r="B4182" t="str">
            <v>ST-K559</v>
          </cell>
        </row>
        <row r="4183">
          <cell r="A4183" t="str">
            <v>SZ-IUYL002</v>
          </cell>
          <cell r="B4183" t="str">
            <v>SZ-IUYL002</v>
          </cell>
        </row>
        <row r="4184">
          <cell r="A4184" t="str">
            <v>Tee-MRG-VneckgreyXXL</v>
          </cell>
          <cell r="B4184" t="str">
            <v>Tee-MRG-Vneck</v>
          </cell>
        </row>
        <row r="4185">
          <cell r="A4185" t="str">
            <v>Tee-MRG-VneckHeiSXL</v>
          </cell>
          <cell r="B4185" t="str">
            <v>Tee-MRG-Vneck</v>
          </cell>
        </row>
        <row r="4186">
          <cell r="A4186" t="str">
            <v>Tee-MRG-VneckJHXL</v>
          </cell>
          <cell r="B4186" t="str">
            <v>Tee-MRG-Vneck</v>
          </cell>
        </row>
        <row r="4187">
          <cell r="A4187" t="str">
            <v>Tee-MRG-VneckJHXXL</v>
          </cell>
          <cell r="B4187" t="str">
            <v>Tee-MRG-Vneck</v>
          </cell>
        </row>
        <row r="4188">
          <cell r="A4188" t="str">
            <v>Tee-MRG-VneckZQXL</v>
          </cell>
          <cell r="B4188" t="str">
            <v>Tee-MRG-Vneck</v>
          </cell>
        </row>
        <row r="4189">
          <cell r="A4189" t="str">
            <v>Tee-MRG-VneckZQXXL</v>
          </cell>
          <cell r="B4189" t="str">
            <v>Tee-MRG-Vneck</v>
          </cell>
        </row>
        <row r="4190">
          <cell r="A4190" t="str">
            <v>TK-Ad413-GR-2XL</v>
          </cell>
          <cell r="B4190" t="str">
            <v>TK-Ad413</v>
          </cell>
        </row>
        <row r="4191">
          <cell r="A4191" t="str">
            <v>TK-Ad413-GR-L</v>
          </cell>
          <cell r="B4191" t="str">
            <v>TK-Ad413</v>
          </cell>
        </row>
        <row r="4192">
          <cell r="A4192" t="str">
            <v>TK-Ad413-GR-M</v>
          </cell>
          <cell r="B4192" t="str">
            <v>TK-Ad413</v>
          </cell>
        </row>
        <row r="4193">
          <cell r="A4193" t="str">
            <v>TK-Ad413-GR-XL</v>
          </cell>
          <cell r="B4193" t="str">
            <v>TK-Ad413</v>
          </cell>
        </row>
        <row r="4194">
          <cell r="A4194" t="str">
            <v>TK-Ad413-K0-2XL</v>
          </cell>
          <cell r="B4194" t="str">
            <v>TK-Ad413</v>
          </cell>
        </row>
        <row r="4195">
          <cell r="A4195" t="str">
            <v>TK-Ad413-K0-L</v>
          </cell>
          <cell r="B4195" t="str">
            <v>TK-Ad413</v>
          </cell>
        </row>
        <row r="4196">
          <cell r="A4196" t="str">
            <v>TK-Ad413-K0-M</v>
          </cell>
          <cell r="B4196" t="str">
            <v>TK-Ad413</v>
          </cell>
        </row>
        <row r="4197">
          <cell r="A4197" t="str">
            <v>TK-Ad413-K0-XL</v>
          </cell>
          <cell r="B4197" t="str">
            <v>TK-Ad413</v>
          </cell>
        </row>
        <row r="4198">
          <cell r="A4198" t="str">
            <v>TK-Ad413SH-2XL</v>
          </cell>
          <cell r="B4198" t="str">
            <v>TK-Ad413</v>
          </cell>
        </row>
        <row r="4199">
          <cell r="A4199" t="str">
            <v>TK-Ad413-SH-L</v>
          </cell>
          <cell r="B4199" t="str">
            <v>TK-Ad413</v>
          </cell>
        </row>
        <row r="4200">
          <cell r="A4200" t="str">
            <v>TK-Ad413-SH-M</v>
          </cell>
          <cell r="B4200" t="str">
            <v>TK-Ad413</v>
          </cell>
        </row>
        <row r="4201">
          <cell r="A4201" t="str">
            <v>TK-Ad413-SH-XL</v>
          </cell>
          <cell r="B4201" t="str">
            <v>TK-Ad413</v>
          </cell>
        </row>
        <row r="4202">
          <cell r="A4202" t="str">
            <v>TK-C412H</v>
          </cell>
          <cell r="B4202" t="str">
            <v>TK-C412H</v>
          </cell>
        </row>
        <row r="4203">
          <cell r="A4203" t="str">
            <v>TK-C412H-GR-2XL</v>
          </cell>
          <cell r="B4203" t="str">
            <v>TK-C412H</v>
          </cell>
        </row>
        <row r="4204">
          <cell r="A4204" t="str">
            <v>TK-C412H-GR-L</v>
          </cell>
          <cell r="B4204" t="str">
            <v>TK-C412H</v>
          </cell>
        </row>
        <row r="4205">
          <cell r="A4205" t="str">
            <v>TK-C412H-GR-M</v>
          </cell>
          <cell r="B4205" t="str">
            <v>TK-C412H</v>
          </cell>
        </row>
        <row r="4206">
          <cell r="A4206" t="str">
            <v>TK-C412H-GR-XL</v>
          </cell>
          <cell r="B4206" t="str">
            <v>TK-C412H</v>
          </cell>
        </row>
        <row r="4207">
          <cell r="A4207" t="str">
            <v>TK-C412H-K0-2XL</v>
          </cell>
          <cell r="B4207" t="str">
            <v>TK-C412H</v>
          </cell>
        </row>
        <row r="4208">
          <cell r="A4208" t="str">
            <v>TK-C412H-K0-L</v>
          </cell>
          <cell r="B4208" t="str">
            <v>TK-C412H</v>
          </cell>
        </row>
        <row r="4209">
          <cell r="A4209" t="str">
            <v>TK-C412H-K0-M</v>
          </cell>
          <cell r="B4209" t="str">
            <v>TK-C412H</v>
          </cell>
        </row>
        <row r="4210">
          <cell r="A4210" t="str">
            <v>TK-C412H-K0-XL</v>
          </cell>
          <cell r="B4210" t="str">
            <v>TK-C412H</v>
          </cell>
        </row>
        <row r="4211">
          <cell r="A4211" t="str">
            <v>TK-C412H-SH-2XL</v>
          </cell>
          <cell r="B4211" t="str">
            <v>TK-C412H</v>
          </cell>
        </row>
        <row r="4212">
          <cell r="A4212" t="str">
            <v>TK-C412H-SH-L</v>
          </cell>
          <cell r="B4212" t="str">
            <v>TK-C412H</v>
          </cell>
        </row>
        <row r="4213">
          <cell r="A4213" t="str">
            <v>TK-C412H-SH-M</v>
          </cell>
          <cell r="B4213" t="str">
            <v>TK-C412H</v>
          </cell>
        </row>
        <row r="4214">
          <cell r="A4214" t="str">
            <v>TK-C412H-SH-XL</v>
          </cell>
          <cell r="B4214" t="str">
            <v>TK-C412H</v>
          </cell>
        </row>
        <row r="4215">
          <cell r="A4215" t="str">
            <v>TK-J0102</v>
          </cell>
          <cell r="B4215" t="str">
            <v>TK-J0102</v>
          </cell>
        </row>
        <row r="4216">
          <cell r="A4216" t="str">
            <v>TK-J01H-GR-10/12</v>
          </cell>
          <cell r="B4216" t="str">
            <v>TK-J0102</v>
          </cell>
        </row>
        <row r="4217">
          <cell r="A4217" t="str">
            <v>TK-J01H-GR-14/16</v>
          </cell>
          <cell r="B4217" t="str">
            <v>TK-J0102</v>
          </cell>
        </row>
        <row r="4218">
          <cell r="A4218" t="str">
            <v>TK-J01H-GR-18/20</v>
          </cell>
          <cell r="B4218" t="str">
            <v>TK-J0102</v>
          </cell>
        </row>
        <row r="4219">
          <cell r="A4219" t="str">
            <v>TK-J01H-GR-2T</v>
          </cell>
          <cell r="B4219" t="str">
            <v>TK-J0102</v>
          </cell>
        </row>
        <row r="4220">
          <cell r="A4220" t="str">
            <v>TK-J01H-GR-3T</v>
          </cell>
          <cell r="B4220" t="str">
            <v>TK-J0102</v>
          </cell>
        </row>
        <row r="4221">
          <cell r="A4221" t="str">
            <v>TK-J01H-GR-4</v>
          </cell>
          <cell r="B4221" t="str">
            <v>TK-J0102</v>
          </cell>
        </row>
        <row r="4222">
          <cell r="A4222" t="str">
            <v>TK-J01H-GR-4T</v>
          </cell>
          <cell r="B4222" t="str">
            <v>TK-J0102</v>
          </cell>
        </row>
        <row r="4223">
          <cell r="A4223" t="str">
            <v>TK-J01H-GR-5/6</v>
          </cell>
          <cell r="B4223" t="str">
            <v>TK-J0102</v>
          </cell>
        </row>
        <row r="4224">
          <cell r="A4224" t="str">
            <v>TK-J01H-GR-7</v>
          </cell>
          <cell r="B4224" t="str">
            <v>TK-J0102</v>
          </cell>
        </row>
        <row r="4225">
          <cell r="A4225" t="str">
            <v>TK-J01H-GR-8</v>
          </cell>
          <cell r="B4225" t="str">
            <v>TK-J0102</v>
          </cell>
        </row>
        <row r="4226">
          <cell r="A4226" t="str">
            <v>TK-J01H-K0-10/12</v>
          </cell>
          <cell r="B4226" t="str">
            <v>TK-J0102</v>
          </cell>
        </row>
        <row r="4227">
          <cell r="A4227" t="str">
            <v>TK-J01H-K0-14/16</v>
          </cell>
          <cell r="B4227" t="str">
            <v>TK-J0102</v>
          </cell>
        </row>
        <row r="4228">
          <cell r="A4228" t="str">
            <v>TK-J01H-K0-18/20</v>
          </cell>
          <cell r="B4228" t="str">
            <v>TK-J0102</v>
          </cell>
        </row>
        <row r="4229">
          <cell r="A4229" t="str">
            <v>TK-J01H-K0-2T</v>
          </cell>
          <cell r="B4229" t="str">
            <v>TK-J0102</v>
          </cell>
        </row>
        <row r="4230">
          <cell r="A4230" t="str">
            <v>TK-J01H-K0-3T</v>
          </cell>
          <cell r="B4230" t="str">
            <v>TK-J0102</v>
          </cell>
        </row>
        <row r="4231">
          <cell r="A4231" t="str">
            <v>TK-J01H-K0-4</v>
          </cell>
          <cell r="B4231" t="str">
            <v>TK-J0102</v>
          </cell>
        </row>
        <row r="4232">
          <cell r="A4232" t="str">
            <v>TK-J01H-K0-4T</v>
          </cell>
          <cell r="B4232" t="str">
            <v>TK-J0102</v>
          </cell>
        </row>
        <row r="4233">
          <cell r="A4233" t="str">
            <v>TK-J01H-K0-5/6</v>
          </cell>
          <cell r="B4233" t="str">
            <v>TK-J0102</v>
          </cell>
        </row>
        <row r="4234">
          <cell r="A4234" t="str">
            <v>TK-J01H-K0-7</v>
          </cell>
          <cell r="B4234" t="str">
            <v>TK-J0102</v>
          </cell>
        </row>
        <row r="4235">
          <cell r="A4235" t="str">
            <v>TK-J01H-K0-8</v>
          </cell>
          <cell r="B4235" t="str">
            <v>TK-J0102</v>
          </cell>
        </row>
        <row r="4236">
          <cell r="A4236" t="str">
            <v>TK-J01H-SH-10/12</v>
          </cell>
          <cell r="B4236" t="str">
            <v>TK-J0102</v>
          </cell>
        </row>
        <row r="4237">
          <cell r="A4237" t="str">
            <v>TK-J01H-SH-14/16</v>
          </cell>
          <cell r="B4237" t="str">
            <v>TK-J0102</v>
          </cell>
        </row>
        <row r="4238">
          <cell r="A4238" t="str">
            <v>TK-J01H-SH-18/20</v>
          </cell>
          <cell r="B4238" t="str">
            <v>TK-J0102</v>
          </cell>
        </row>
        <row r="4239">
          <cell r="A4239" t="str">
            <v>TK-J01H-SH-2T</v>
          </cell>
          <cell r="B4239" t="str">
            <v>TK-J0102</v>
          </cell>
        </row>
        <row r="4240">
          <cell r="A4240" t="str">
            <v>TK-J01H-SH-3T</v>
          </cell>
          <cell r="B4240" t="str">
            <v>TK-J0102</v>
          </cell>
        </row>
        <row r="4241">
          <cell r="A4241" t="str">
            <v>TK-J01H-SH-4</v>
          </cell>
          <cell r="B4241" t="str">
            <v>TK-J0102</v>
          </cell>
        </row>
        <row r="4242">
          <cell r="A4242" t="str">
            <v>TK-J01H-SH-4T</v>
          </cell>
          <cell r="B4242" t="str">
            <v>TK-J0102</v>
          </cell>
        </row>
        <row r="4243">
          <cell r="A4243" t="str">
            <v>TK-J01H-SH-5/6</v>
          </cell>
          <cell r="B4243" t="str">
            <v>TK-J0102</v>
          </cell>
        </row>
        <row r="4244">
          <cell r="A4244" t="str">
            <v>TK-J01H-SH-7</v>
          </cell>
          <cell r="B4244" t="str">
            <v>TK-J0102</v>
          </cell>
        </row>
        <row r="4245">
          <cell r="A4245" t="str">
            <v>TK-J01H-SH-8</v>
          </cell>
          <cell r="B4245" t="str">
            <v>TK-J0102</v>
          </cell>
        </row>
        <row r="4246">
          <cell r="A4246" t="str">
            <v>TK-J02H-GR-10/12</v>
          </cell>
          <cell r="B4246" t="str">
            <v>TK-J0102</v>
          </cell>
        </row>
        <row r="4247">
          <cell r="A4247" t="str">
            <v>TK-J02H-GR-14/16</v>
          </cell>
          <cell r="B4247" t="str">
            <v>TK-J0102</v>
          </cell>
        </row>
        <row r="4248">
          <cell r="A4248" t="str">
            <v>TK-J02H-GR-18/20</v>
          </cell>
          <cell r="B4248" t="str">
            <v>TK-J0102</v>
          </cell>
        </row>
        <row r="4249">
          <cell r="A4249" t="str">
            <v>TK-J02H-GR-2T</v>
          </cell>
          <cell r="B4249" t="str">
            <v>TK-J0102</v>
          </cell>
        </row>
        <row r="4250">
          <cell r="A4250" t="str">
            <v>TK-J02H-GR-3T</v>
          </cell>
          <cell r="B4250" t="str">
            <v>TK-J0102</v>
          </cell>
        </row>
        <row r="4251">
          <cell r="A4251" t="str">
            <v>TK-J02H-GR-4</v>
          </cell>
          <cell r="B4251" t="str">
            <v>TK-J0102</v>
          </cell>
        </row>
        <row r="4252">
          <cell r="A4252" t="str">
            <v>TK-J02H-GR-4T</v>
          </cell>
          <cell r="B4252" t="str">
            <v>TK-J0102</v>
          </cell>
        </row>
        <row r="4253">
          <cell r="A4253" t="str">
            <v>TK-J02H-GR-5/6</v>
          </cell>
          <cell r="B4253" t="str">
            <v>TK-J0102</v>
          </cell>
        </row>
        <row r="4254">
          <cell r="A4254" t="str">
            <v>TK-J02H-GR-7</v>
          </cell>
          <cell r="B4254" t="str">
            <v>TK-J0102</v>
          </cell>
        </row>
        <row r="4255">
          <cell r="A4255" t="str">
            <v>TK-J02H-GR-8</v>
          </cell>
          <cell r="B4255" t="str">
            <v>TK-J0102</v>
          </cell>
        </row>
        <row r="4256">
          <cell r="A4256" t="str">
            <v>TK-J02H-K0-10/12</v>
          </cell>
          <cell r="B4256" t="str">
            <v>TK-J0102</v>
          </cell>
        </row>
        <row r="4257">
          <cell r="A4257" t="str">
            <v>TK-J02H-K0-14/16</v>
          </cell>
          <cell r="B4257" t="str">
            <v>TK-J0102</v>
          </cell>
        </row>
        <row r="4258">
          <cell r="A4258" t="str">
            <v>TK-J02H-K0-18/20</v>
          </cell>
          <cell r="B4258" t="str">
            <v>TK-J0102</v>
          </cell>
        </row>
        <row r="4259">
          <cell r="A4259" t="str">
            <v>TK-J02H-K0-2T</v>
          </cell>
          <cell r="B4259" t="str">
            <v>TK-J0102</v>
          </cell>
        </row>
        <row r="4260">
          <cell r="A4260" t="str">
            <v>TK-J02H-K0-3T</v>
          </cell>
          <cell r="B4260" t="str">
            <v>TK-J0102</v>
          </cell>
        </row>
        <row r="4261">
          <cell r="A4261" t="str">
            <v>TK-J02H-K0-4</v>
          </cell>
          <cell r="B4261" t="str">
            <v>TK-J0102</v>
          </cell>
        </row>
        <row r="4262">
          <cell r="A4262" t="str">
            <v>TK-J02H-K0-4T</v>
          </cell>
          <cell r="B4262" t="str">
            <v>TK-J0102</v>
          </cell>
        </row>
        <row r="4263">
          <cell r="A4263" t="str">
            <v>TK-J02H-K0-5/6</v>
          </cell>
          <cell r="B4263" t="str">
            <v>TK-J0102</v>
          </cell>
        </row>
        <row r="4264">
          <cell r="A4264" t="str">
            <v>TK-J02H-K0-7</v>
          </cell>
          <cell r="B4264" t="str">
            <v>TK-J0102</v>
          </cell>
        </row>
        <row r="4265">
          <cell r="A4265" t="str">
            <v>TK-J02H-K0-8</v>
          </cell>
          <cell r="B4265" t="str">
            <v>TK-J0102</v>
          </cell>
        </row>
        <row r="4266">
          <cell r="A4266" t="str">
            <v>TK-J02H-SH-10/12</v>
          </cell>
          <cell r="B4266" t="str">
            <v>TK-J0102</v>
          </cell>
        </row>
        <row r="4267">
          <cell r="A4267" t="str">
            <v>TK-J02H-SH-14/16</v>
          </cell>
          <cell r="B4267" t="str">
            <v>TK-J0102</v>
          </cell>
        </row>
        <row r="4268">
          <cell r="A4268" t="str">
            <v>TK-J02H-SH-18/20</v>
          </cell>
          <cell r="B4268" t="str">
            <v>TK-J0102</v>
          </cell>
        </row>
        <row r="4269">
          <cell r="A4269" t="str">
            <v>TK-J02H-SH-2T</v>
          </cell>
          <cell r="B4269" t="str">
            <v>TK-J0102</v>
          </cell>
        </row>
        <row r="4270">
          <cell r="A4270" t="str">
            <v>TK-J02H-SH-3T</v>
          </cell>
          <cell r="B4270" t="str">
            <v>TK-J0102</v>
          </cell>
        </row>
        <row r="4271">
          <cell r="A4271" t="str">
            <v>TK-J02H-SH-4</v>
          </cell>
          <cell r="B4271" t="str">
            <v>TK-J0102</v>
          </cell>
        </row>
        <row r="4272">
          <cell r="A4272" t="str">
            <v>TK-J02H-SH-4T</v>
          </cell>
          <cell r="B4272" t="str">
            <v>TK-J0102</v>
          </cell>
        </row>
        <row r="4273">
          <cell r="A4273" t="str">
            <v>TK-J02H-SH-5/6</v>
          </cell>
          <cell r="B4273" t="str">
            <v>TK-J0102</v>
          </cell>
        </row>
        <row r="4274">
          <cell r="A4274" t="str">
            <v>TK-J02H-SH-7</v>
          </cell>
          <cell r="B4274" t="str">
            <v>TK-J0102</v>
          </cell>
        </row>
        <row r="4275">
          <cell r="A4275" t="str">
            <v>TK-J02H-SH-8</v>
          </cell>
          <cell r="B4275" t="str">
            <v>TK-J0102</v>
          </cell>
        </row>
        <row r="4276">
          <cell r="A4276" t="str">
            <v>Top-5505LB-2XL</v>
          </cell>
          <cell r="B4276" t="str">
            <v>FT5505</v>
          </cell>
        </row>
        <row r="4277">
          <cell r="A4277" t="str">
            <v>Top-5505LB-L</v>
          </cell>
          <cell r="B4277" t="str">
            <v>FT5505</v>
          </cell>
        </row>
        <row r="4278">
          <cell r="A4278" t="str">
            <v>Top-5505LB-M</v>
          </cell>
          <cell r="B4278" t="str">
            <v>FT5505</v>
          </cell>
        </row>
        <row r="4279">
          <cell r="A4279" t="str">
            <v>Top-5505LB-S</v>
          </cell>
          <cell r="B4279" t="str">
            <v>FT5505</v>
          </cell>
        </row>
        <row r="4280">
          <cell r="A4280" t="str">
            <v>Top-5505LB-XL</v>
          </cell>
          <cell r="B4280" t="str">
            <v>FT5505</v>
          </cell>
        </row>
        <row r="4281">
          <cell r="A4281" t="str">
            <v>Top-5505LB-XS</v>
          </cell>
          <cell r="B4281" t="str">
            <v>FT5505</v>
          </cell>
        </row>
        <row r="4282">
          <cell r="A4282" t="str">
            <v>Top-5505PI-2XL</v>
          </cell>
          <cell r="B4282" t="str">
            <v>FT5505</v>
          </cell>
        </row>
        <row r="4283">
          <cell r="A4283" t="str">
            <v>Top-5505PI-L</v>
          </cell>
          <cell r="B4283" t="str">
            <v>FT5505</v>
          </cell>
        </row>
        <row r="4284">
          <cell r="A4284" t="str">
            <v>Top-5505PI-M</v>
          </cell>
          <cell r="B4284" t="str">
            <v>FT5505</v>
          </cell>
        </row>
        <row r="4285">
          <cell r="A4285" t="str">
            <v>Top-5505PI-S</v>
          </cell>
          <cell r="B4285" t="str">
            <v>FT5505</v>
          </cell>
        </row>
        <row r="4286">
          <cell r="A4286" t="str">
            <v>Top-5505PI-XL</v>
          </cell>
          <cell r="B4286" t="str">
            <v>FT5505</v>
          </cell>
        </row>
        <row r="4287">
          <cell r="A4287" t="str">
            <v>Top-5505PI-XS</v>
          </cell>
          <cell r="B4287" t="str">
            <v>FT5505</v>
          </cell>
        </row>
        <row r="4288">
          <cell r="A4288" t="str">
            <v>Top-5505ZL-2XL</v>
          </cell>
          <cell r="B4288" t="str">
            <v>FT5505</v>
          </cell>
        </row>
        <row r="4289">
          <cell r="A4289" t="str">
            <v>Top-5505ZL-L</v>
          </cell>
          <cell r="B4289" t="str">
            <v>FT5505</v>
          </cell>
        </row>
        <row r="4290">
          <cell r="A4290" t="str">
            <v>Top-5505ZL-M</v>
          </cell>
          <cell r="B4290" t="str">
            <v>FT5505</v>
          </cell>
        </row>
        <row r="4291">
          <cell r="A4291" t="str">
            <v>Top-5505ZL-S</v>
          </cell>
          <cell r="B4291" t="str">
            <v>FT5505</v>
          </cell>
        </row>
        <row r="4292">
          <cell r="A4292" t="str">
            <v>Top-5505ZL-XL</v>
          </cell>
          <cell r="B4292" t="str">
            <v>FT5505</v>
          </cell>
        </row>
        <row r="4293">
          <cell r="A4293" t="str">
            <v>Top-5505ZL-XS</v>
          </cell>
          <cell r="B4293" t="str">
            <v>FT5505</v>
          </cell>
        </row>
        <row r="4294">
          <cell r="A4294" t="str">
            <v>Top-HM7702</v>
          </cell>
          <cell r="B4294" t="str">
            <v>Top-HM7702</v>
          </cell>
        </row>
        <row r="4295">
          <cell r="A4295" t="str">
            <v>Top-HM7702-GZK0-2XL</v>
          </cell>
          <cell r="B4295" t="str">
            <v>Top-HM7702</v>
          </cell>
        </row>
        <row r="4296">
          <cell r="A4296" t="str">
            <v>Top-HM7702-GZK0-3XL</v>
          </cell>
          <cell r="B4296" t="str">
            <v>Top-HM7702</v>
          </cell>
        </row>
        <row r="4297">
          <cell r="A4297" t="str">
            <v>Top-HM7702-GZK0-L</v>
          </cell>
          <cell r="B4297" t="str">
            <v>Top-HM7702</v>
          </cell>
        </row>
        <row r="4298">
          <cell r="A4298" t="str">
            <v>Top-HM7702-GZK0-M</v>
          </cell>
          <cell r="B4298" t="str">
            <v>Top-HM7702</v>
          </cell>
        </row>
        <row r="4299">
          <cell r="A4299" t="str">
            <v>Top-HM7702-GZK0-S</v>
          </cell>
          <cell r="B4299" t="str">
            <v>Top-HM7702</v>
          </cell>
        </row>
        <row r="4300">
          <cell r="A4300" t="str">
            <v>Top-HM7702-GZK0-XL</v>
          </cell>
          <cell r="B4300" t="str">
            <v>Top-HM7702</v>
          </cell>
        </row>
        <row r="4301">
          <cell r="A4301" t="str">
            <v>Top-HM7702-GZR0-2XL</v>
          </cell>
          <cell r="B4301" t="str">
            <v>Top-HM7702</v>
          </cell>
        </row>
        <row r="4302">
          <cell r="A4302" t="str">
            <v>Top-HM7702-GZR0-3XL</v>
          </cell>
          <cell r="B4302" t="str">
            <v>Top-HM7702</v>
          </cell>
        </row>
        <row r="4303">
          <cell r="A4303" t="str">
            <v>Top-HM7702-GZR0-L</v>
          </cell>
          <cell r="B4303" t="str">
            <v>Top-HM7702</v>
          </cell>
        </row>
        <row r="4304">
          <cell r="A4304" t="str">
            <v>Top-HM7702-GZR0-M</v>
          </cell>
          <cell r="B4304" t="str">
            <v>Top-HM7702</v>
          </cell>
        </row>
        <row r="4305">
          <cell r="A4305" t="str">
            <v>Top-HM7702-GZR0-S</v>
          </cell>
          <cell r="B4305" t="str">
            <v>Top-HM7702</v>
          </cell>
        </row>
        <row r="4306">
          <cell r="A4306" t="str">
            <v>Top-HM7702-GZR0-XL</v>
          </cell>
          <cell r="B4306" t="str">
            <v>Top-HM7702</v>
          </cell>
        </row>
        <row r="4307">
          <cell r="A4307" t="str">
            <v>Top-HM7702-K0-2XL</v>
          </cell>
          <cell r="B4307" t="str">
            <v>Top-HM7702</v>
          </cell>
        </row>
        <row r="4308">
          <cell r="A4308" t="str">
            <v>Top-HM7702-K0-3XL</v>
          </cell>
          <cell r="B4308" t="str">
            <v>Top-HM7702</v>
          </cell>
        </row>
        <row r="4309">
          <cell r="A4309" t="str">
            <v>Top-HM7702-K0-L</v>
          </cell>
          <cell r="B4309" t="str">
            <v>Top-HM7702</v>
          </cell>
        </row>
        <row r="4310">
          <cell r="A4310" t="str">
            <v>Top-HM7702-K0-M</v>
          </cell>
          <cell r="B4310" t="str">
            <v>Top-HM7702</v>
          </cell>
        </row>
        <row r="4311">
          <cell r="A4311" t="str">
            <v>Top-HM7702-K0-S</v>
          </cell>
          <cell r="B4311" t="str">
            <v>Top-HM7702</v>
          </cell>
        </row>
        <row r="4312">
          <cell r="A4312" t="str">
            <v>Top-HM7702-K0-XL</v>
          </cell>
          <cell r="B4312" t="str">
            <v>Top-HM7702</v>
          </cell>
        </row>
        <row r="4313">
          <cell r="A4313" t="str">
            <v>Top-HM7702-W0-2XL</v>
          </cell>
          <cell r="B4313" t="str">
            <v>Top-HM7702</v>
          </cell>
        </row>
        <row r="4314">
          <cell r="A4314" t="str">
            <v>Top-HM7702-W0-3XL</v>
          </cell>
          <cell r="B4314" t="str">
            <v>Top-HM7702</v>
          </cell>
        </row>
        <row r="4315">
          <cell r="A4315" t="str">
            <v>Top-HM7702-W0-L</v>
          </cell>
          <cell r="B4315" t="str">
            <v>Top-HM7702</v>
          </cell>
        </row>
        <row r="4316">
          <cell r="A4316" t="str">
            <v>Top-HM7702-W0-M</v>
          </cell>
          <cell r="B4316" t="str">
            <v>Top-HM7702</v>
          </cell>
        </row>
        <row r="4317">
          <cell r="A4317" t="str">
            <v>Top-HM7702-W0-S</v>
          </cell>
          <cell r="B4317" t="str">
            <v>Top-HM7702</v>
          </cell>
        </row>
        <row r="4318">
          <cell r="A4318" t="str">
            <v>Top-HM7702-W0-XL</v>
          </cell>
          <cell r="B4318" t="str">
            <v>Top-HM7702</v>
          </cell>
        </row>
        <row r="4319">
          <cell r="A4319" t="str">
            <v>Top-HM7702-Y0-2XL</v>
          </cell>
          <cell r="B4319" t="str">
            <v>Top-HM7702</v>
          </cell>
        </row>
        <row r="4320">
          <cell r="A4320" t="str">
            <v>Top-HM7702-Y0-3XL</v>
          </cell>
          <cell r="B4320" t="str">
            <v>Top-HM7702</v>
          </cell>
        </row>
        <row r="4321">
          <cell r="A4321" t="str">
            <v>Top-HM7702-Y0-L</v>
          </cell>
          <cell r="B4321" t="str">
            <v>Top-HM7702</v>
          </cell>
        </row>
        <row r="4322">
          <cell r="A4322" t="str">
            <v>Top-HM7702-Y0-M</v>
          </cell>
          <cell r="B4322" t="str">
            <v>Top-HM7702</v>
          </cell>
        </row>
        <row r="4323">
          <cell r="A4323" t="str">
            <v>Top-HM7702-Y0-S</v>
          </cell>
          <cell r="B4323" t="str">
            <v>Top-HM7702</v>
          </cell>
        </row>
        <row r="4324">
          <cell r="A4324" t="str">
            <v>Top-HM7702-Y0-XL</v>
          </cell>
          <cell r="B4324" t="str">
            <v>Top-HM7702</v>
          </cell>
        </row>
        <row r="4325">
          <cell r="A4325" t="str">
            <v>TX-7223-CO-4041</v>
          </cell>
          <cell r="B4325" t="str">
            <v>XZ-YG7223-GM</v>
          </cell>
        </row>
        <row r="4326">
          <cell r="A4326" t="str">
            <v>TX-7223-CO-4243</v>
          </cell>
          <cell r="B4326" t="str">
            <v>XZ-YG7223-GM</v>
          </cell>
        </row>
        <row r="4327">
          <cell r="A4327" t="str">
            <v>TX-7223-CO-4445</v>
          </cell>
          <cell r="B4327" t="str">
            <v>XZ-YG7223-GM</v>
          </cell>
        </row>
        <row r="4328">
          <cell r="A4328" t="str">
            <v>TX-7223-Da-4041</v>
          </cell>
          <cell r="B4328" t="str">
            <v>XZ-YG7223-GM</v>
          </cell>
        </row>
        <row r="4329">
          <cell r="A4329" t="str">
            <v>TX-7223-Da-4243</v>
          </cell>
          <cell r="B4329" t="str">
            <v>XZ-YG7223-GM</v>
          </cell>
        </row>
        <row r="4330">
          <cell r="A4330" t="str">
            <v>TX-7223-Da-4445</v>
          </cell>
          <cell r="B4330" t="str">
            <v>XZ-YG7223-GM</v>
          </cell>
        </row>
        <row r="4331">
          <cell r="A4331" t="str">
            <v>TX-7223-Gr-3637</v>
          </cell>
          <cell r="B4331" t="str">
            <v>XZ-YG7223-GM</v>
          </cell>
        </row>
        <row r="4332">
          <cell r="A4332" t="str">
            <v>TX-7223-PI-3637</v>
          </cell>
          <cell r="B4332" t="str">
            <v>XZ-YG7223-GM</v>
          </cell>
        </row>
        <row r="4333">
          <cell r="A4333" t="str">
            <v>TX-7223-PI-3839</v>
          </cell>
          <cell r="B4333" t="str">
            <v>XZ-YG7223-GM</v>
          </cell>
        </row>
        <row r="4334">
          <cell r="A4334" t="str">
            <v>TX-7223-PI-4041</v>
          </cell>
          <cell r="B4334" t="str">
            <v>XZ-YG7223-GM</v>
          </cell>
        </row>
        <row r="4335">
          <cell r="A4335" t="str">
            <v>TX-7223-RB-3637</v>
          </cell>
          <cell r="B4335" t="str">
            <v>XZ-YG7223-GM</v>
          </cell>
        </row>
        <row r="4336">
          <cell r="A4336" t="str">
            <v>TX-7223-RB-3839</v>
          </cell>
          <cell r="B4336" t="str">
            <v>XZ-YG7223-GM</v>
          </cell>
        </row>
        <row r="4337">
          <cell r="A4337" t="str">
            <v>TX-7223-RB-4041</v>
          </cell>
          <cell r="B4337" t="str">
            <v>XZ-YG7223-GM</v>
          </cell>
        </row>
        <row r="4338">
          <cell r="A4338" t="str">
            <v>TX-SM-7223-Gr-3637</v>
          </cell>
          <cell r="B4338" t="str">
            <v>TX-SM-7223</v>
          </cell>
        </row>
        <row r="4339">
          <cell r="A4339" t="str">
            <v>TX-SM-7223-PI-3637</v>
          </cell>
          <cell r="B4339" t="str">
            <v>TX-SM-7223</v>
          </cell>
        </row>
        <row r="4340">
          <cell r="A4340" t="str">
            <v>TZ-CAHM240-BEAR-L</v>
          </cell>
          <cell r="B4340" t="str">
            <v>TZ-CAHM240</v>
          </cell>
        </row>
        <row r="4341">
          <cell r="A4341" t="str">
            <v>TZ-CAHM240-BEAR-M</v>
          </cell>
          <cell r="B4341" t="str">
            <v>TZ-CAHM240</v>
          </cell>
        </row>
        <row r="4342">
          <cell r="A4342" t="str">
            <v>TZ-CAHM240-BEAR-S</v>
          </cell>
          <cell r="B4342" t="str">
            <v>TZ-CAHM240</v>
          </cell>
        </row>
        <row r="4343">
          <cell r="A4343" t="str">
            <v>TZ-CAHM240-BONE-L</v>
          </cell>
          <cell r="B4343" t="str">
            <v>TZ-CAHM240</v>
          </cell>
        </row>
        <row r="4344">
          <cell r="A4344" t="str">
            <v>TZ-CAHM240-BONE-M</v>
          </cell>
          <cell r="B4344" t="str">
            <v>TZ-CAHM240</v>
          </cell>
        </row>
        <row r="4345">
          <cell r="A4345" t="str">
            <v>TZ-CAHM240-BONE-S</v>
          </cell>
          <cell r="B4345" t="str">
            <v>TZ-CAHM240</v>
          </cell>
        </row>
        <row r="4346">
          <cell r="A4346" t="str">
            <v>TZ-CAHM240-CHRISMAS-L</v>
          </cell>
          <cell r="B4346" t="str">
            <v>TZ-CAHM240</v>
          </cell>
        </row>
        <row r="4347">
          <cell r="A4347" t="str">
            <v>TZ-CAHM240-CHRISMAS-M</v>
          </cell>
          <cell r="B4347" t="str">
            <v>TZ-CAHM240</v>
          </cell>
        </row>
        <row r="4348">
          <cell r="A4348" t="str">
            <v>TZ-CAHM240-CHRISMAS-S</v>
          </cell>
          <cell r="B4348" t="str">
            <v>TZ-CAHM240</v>
          </cell>
        </row>
        <row r="4349">
          <cell r="A4349" t="str">
            <v>TZ-CAHM240-DOT2-L</v>
          </cell>
          <cell r="B4349" t="str">
            <v>TZ-CAHM240</v>
          </cell>
        </row>
        <row r="4350">
          <cell r="A4350" t="str">
            <v>TZ-CAHM240-DOT2-M</v>
          </cell>
          <cell r="B4350" t="str">
            <v>TZ-CAHM240</v>
          </cell>
        </row>
        <row r="4351">
          <cell r="A4351" t="str">
            <v>TZ-CAHM240-DOT2-S</v>
          </cell>
          <cell r="B4351" t="str">
            <v>TZ-CAHM240</v>
          </cell>
        </row>
        <row r="4352">
          <cell r="A4352" t="str">
            <v>TZ-CAHM240-DOT-L</v>
          </cell>
          <cell r="B4352" t="str">
            <v>TZ-CAHM240</v>
          </cell>
        </row>
        <row r="4353">
          <cell r="A4353" t="str">
            <v>TZ-CAHM240-DOT-M</v>
          </cell>
          <cell r="B4353" t="str">
            <v>TZ-CAHM240</v>
          </cell>
        </row>
        <row r="4354">
          <cell r="A4354" t="str">
            <v>TZ-CAHM240-DOT-S</v>
          </cell>
          <cell r="B4354" t="str">
            <v>TZ-CAHM240</v>
          </cell>
        </row>
        <row r="4355">
          <cell r="A4355" t="str">
            <v>TZ-CAHM240-ELPH-L</v>
          </cell>
          <cell r="B4355" t="str">
            <v>TZ-CAHM240</v>
          </cell>
        </row>
        <row r="4356">
          <cell r="A4356" t="str">
            <v>TZ-CAHM240-ELPH-M</v>
          </cell>
          <cell r="B4356" t="str">
            <v>TZ-CAHM240</v>
          </cell>
        </row>
        <row r="4357">
          <cell r="A4357" t="str">
            <v>TZ-CAHM240-ELPH-S</v>
          </cell>
          <cell r="B4357" t="str">
            <v>TZ-CAHM240</v>
          </cell>
        </row>
        <row r="4358">
          <cell r="A4358" t="str">
            <v>TZ-CAHM240-LOVE-L</v>
          </cell>
          <cell r="B4358" t="str">
            <v>TZ-CAHM240</v>
          </cell>
        </row>
        <row r="4359">
          <cell r="A4359" t="str">
            <v>TZ-CAHM240-LOVE-M</v>
          </cell>
          <cell r="B4359" t="str">
            <v>TZ-CAHM240</v>
          </cell>
        </row>
        <row r="4360">
          <cell r="A4360" t="str">
            <v>TZ-CAHM240-LOVE-S</v>
          </cell>
          <cell r="B4360" t="str">
            <v>TZ-CAHM240</v>
          </cell>
        </row>
        <row r="4361">
          <cell r="A4361" t="str">
            <v>TZ-CAHM240-PAW-L</v>
          </cell>
          <cell r="B4361" t="str">
            <v>TZ-CAHM240</v>
          </cell>
        </row>
        <row r="4362">
          <cell r="A4362" t="str">
            <v>TZ-CAHM240-PAW-M</v>
          </cell>
          <cell r="B4362" t="str">
            <v>TZ-CAHM240</v>
          </cell>
        </row>
        <row r="4363">
          <cell r="A4363" t="str">
            <v>TZ-CAHM240-PAW-S</v>
          </cell>
          <cell r="B4363" t="str">
            <v>TZ-CAHM240</v>
          </cell>
        </row>
        <row r="4364">
          <cell r="A4364" t="str">
            <v>TZ-CAHM240-RABBIT-L</v>
          </cell>
          <cell r="B4364" t="str">
            <v>TZ-CAHM240</v>
          </cell>
        </row>
        <row r="4365">
          <cell r="A4365" t="str">
            <v>TZ-CAHM240-RABBIT-M</v>
          </cell>
          <cell r="B4365" t="str">
            <v>TZ-CAHM240</v>
          </cell>
        </row>
        <row r="4366">
          <cell r="A4366" t="str">
            <v>TZ-CAHM240-RABBIT-S</v>
          </cell>
          <cell r="B4366" t="str">
            <v>TZ-CAHM240</v>
          </cell>
        </row>
        <row r="4367">
          <cell r="A4367" t="str">
            <v>TZ-CAHM240-STAR-L</v>
          </cell>
          <cell r="B4367" t="str">
            <v>TZ-CAHM240</v>
          </cell>
        </row>
        <row r="4368">
          <cell r="A4368" t="str">
            <v>TZ-CAHM240-STAR-M</v>
          </cell>
          <cell r="B4368" t="str">
            <v>TZ-CAHM240</v>
          </cell>
        </row>
        <row r="4369">
          <cell r="A4369" t="str">
            <v>TZ-CAHM240-STAR-S</v>
          </cell>
          <cell r="B4369" t="str">
            <v>TZ-CAHM240</v>
          </cell>
        </row>
        <row r="4370">
          <cell r="A4370" t="str">
            <v>TZ-CAHM240-STRAWBERRY-L</v>
          </cell>
          <cell r="B4370" t="str">
            <v>TZ-CAHM240</v>
          </cell>
        </row>
        <row r="4371">
          <cell r="A4371" t="str">
            <v>TZ-CAHM240-STRAWBERRY-M</v>
          </cell>
          <cell r="B4371" t="str">
            <v>TZ-CAHM240</v>
          </cell>
        </row>
        <row r="4372">
          <cell r="A4372" t="str">
            <v>TZ-CAHM240-STRAWBERRY-S</v>
          </cell>
          <cell r="B4372" t="str">
            <v>TZ-CAHM240</v>
          </cell>
        </row>
        <row r="4373">
          <cell r="A4373" t="str">
            <v>TZ-IUYL240-BEAR-L</v>
          </cell>
          <cell r="B4373" t="str">
            <v>TZ-IUYL240</v>
          </cell>
        </row>
        <row r="4374">
          <cell r="A4374" t="str">
            <v>TZ-IUYL240-BEAR-M</v>
          </cell>
          <cell r="B4374" t="str">
            <v>TZ-IUYL240</v>
          </cell>
        </row>
        <row r="4375">
          <cell r="A4375" t="str">
            <v>TZ-IUYL240-BEAR-S</v>
          </cell>
          <cell r="B4375" t="str">
            <v>TZ-IUYL240</v>
          </cell>
        </row>
        <row r="4376">
          <cell r="A4376" t="str">
            <v>TZ-IUYL240-BONE-L</v>
          </cell>
          <cell r="B4376" t="str">
            <v>TZ-IUYL240</v>
          </cell>
        </row>
        <row r="4377">
          <cell r="A4377" t="str">
            <v>TZ-IUYL240-BONE-M</v>
          </cell>
          <cell r="B4377" t="str">
            <v>TZ-IUYL240</v>
          </cell>
        </row>
        <row r="4378">
          <cell r="A4378" t="str">
            <v>TZ-IUYL240-BONE-S</v>
          </cell>
          <cell r="B4378" t="str">
            <v>TZ-IUYL240</v>
          </cell>
        </row>
        <row r="4379">
          <cell r="A4379" t="str">
            <v>TZ-IUYL240-CHRISMAS-L</v>
          </cell>
          <cell r="B4379" t="str">
            <v>TZ-IUYL240</v>
          </cell>
        </row>
        <row r="4380">
          <cell r="A4380" t="str">
            <v>TZ-IUYL240-CHRISMAS-M</v>
          </cell>
          <cell r="B4380" t="str">
            <v>TZ-IUYL240</v>
          </cell>
        </row>
        <row r="4381">
          <cell r="A4381" t="str">
            <v>TZ-IUYL240-CHRISMAS-S</v>
          </cell>
          <cell r="B4381" t="str">
            <v>TZ-IUYL240</v>
          </cell>
        </row>
        <row r="4382">
          <cell r="A4382" t="str">
            <v>TZ-IUYL240-DOT2-L</v>
          </cell>
          <cell r="B4382" t="str">
            <v>TZ-IUYL240</v>
          </cell>
        </row>
        <row r="4383">
          <cell r="A4383" t="str">
            <v>TZ-IUYL240-DOT2-M</v>
          </cell>
          <cell r="B4383" t="str">
            <v>TZ-IUYL240</v>
          </cell>
        </row>
        <row r="4384">
          <cell r="A4384" t="str">
            <v>TZ-IUYL240-DOT2-S</v>
          </cell>
          <cell r="B4384" t="str">
            <v>TZ-IUYL240</v>
          </cell>
        </row>
        <row r="4385">
          <cell r="A4385" t="str">
            <v>TZ-IUYL240-DOT-L</v>
          </cell>
          <cell r="B4385" t="str">
            <v>TZ-IUYL240</v>
          </cell>
        </row>
        <row r="4386">
          <cell r="A4386" t="str">
            <v>TZ-IUYL240-DOT-M</v>
          </cell>
          <cell r="B4386" t="str">
            <v>TZ-IUYL240</v>
          </cell>
        </row>
        <row r="4387">
          <cell r="A4387" t="str">
            <v>TZ-IUYL240-DOT-S</v>
          </cell>
          <cell r="B4387" t="str">
            <v>TZ-IUYL240</v>
          </cell>
        </row>
        <row r="4388">
          <cell r="A4388" t="str">
            <v>TZ-IUYL240-ELPH-L</v>
          </cell>
          <cell r="B4388" t="str">
            <v>TZ-IUYL240</v>
          </cell>
        </row>
        <row r="4389">
          <cell r="A4389" t="str">
            <v>TZ-IUYL240-ELPH-M</v>
          </cell>
          <cell r="B4389" t="str">
            <v>TZ-IUYL240</v>
          </cell>
        </row>
        <row r="4390">
          <cell r="A4390" t="str">
            <v>TZ-IUYL240-ELPH-S</v>
          </cell>
          <cell r="B4390" t="str">
            <v>TZ-IUYL240</v>
          </cell>
        </row>
        <row r="4391">
          <cell r="A4391" t="str">
            <v>TZ-IUYL240LHY-BONE-L</v>
          </cell>
          <cell r="B4391" t="str">
            <v>TZ-IUYL240</v>
          </cell>
        </row>
        <row r="4392">
          <cell r="A4392" t="str">
            <v>TZ-IUYL240LHY-BONE-M</v>
          </cell>
          <cell r="B4392" t="str">
            <v>TZ-IUYL240</v>
          </cell>
        </row>
        <row r="4393">
          <cell r="A4393" t="str">
            <v>TZ-IUYL240LHY-BONE-S</v>
          </cell>
          <cell r="B4393" t="str">
            <v>TZ-IUYL240</v>
          </cell>
        </row>
        <row r="4394">
          <cell r="A4394" t="str">
            <v>TZ-IUYL240LHY-DOT-L</v>
          </cell>
          <cell r="B4394" t="str">
            <v>TZ-IUYL240</v>
          </cell>
        </row>
        <row r="4395">
          <cell r="A4395" t="str">
            <v>TZ-IUYL240LHY-DOT-M</v>
          </cell>
          <cell r="B4395" t="str">
            <v>TZ-IUYL240</v>
          </cell>
        </row>
        <row r="4396">
          <cell r="A4396" t="str">
            <v>TZ-IUYL240LHY-DOT-S</v>
          </cell>
          <cell r="B4396" t="str">
            <v>TZ-IUYL240</v>
          </cell>
        </row>
        <row r="4397">
          <cell r="A4397" t="str">
            <v>TZ-IUYL240LHY-ELPH-L</v>
          </cell>
          <cell r="B4397" t="str">
            <v>TZ-IUYL240</v>
          </cell>
        </row>
        <row r="4398">
          <cell r="A4398" t="str">
            <v>TZ-IUYL240LHY-ELPH-M</v>
          </cell>
          <cell r="B4398" t="str">
            <v>TZ-IUYL240</v>
          </cell>
        </row>
        <row r="4399">
          <cell r="A4399" t="str">
            <v>TZ-IUYL240LHY-ELPH-S</v>
          </cell>
          <cell r="B4399" t="str">
            <v>TZ-IUYL240</v>
          </cell>
        </row>
        <row r="4400">
          <cell r="A4400" t="str">
            <v>TZ-IUYL240LHY-PAW-L</v>
          </cell>
          <cell r="B4400" t="str">
            <v>TZ-IUYL240</v>
          </cell>
        </row>
        <row r="4401">
          <cell r="A4401" t="str">
            <v>TZ-IUYL240LHY-PAW-M</v>
          </cell>
          <cell r="B4401" t="str">
            <v>TZ-IUYL240</v>
          </cell>
        </row>
        <row r="4402">
          <cell r="A4402" t="str">
            <v>TZ-IUYL240LHY-PAW-S</v>
          </cell>
          <cell r="B4402" t="str">
            <v>TZ-IUYL240</v>
          </cell>
        </row>
        <row r="4403">
          <cell r="A4403" t="str">
            <v>TZ-IUYL240LHY-STAR-L</v>
          </cell>
          <cell r="B4403" t="str">
            <v>TZ-IUYL240</v>
          </cell>
        </row>
        <row r="4404">
          <cell r="A4404" t="str">
            <v>TZ-IUYL240LHY-STAR-M</v>
          </cell>
          <cell r="B4404" t="str">
            <v>TZ-IUYL240</v>
          </cell>
        </row>
        <row r="4405">
          <cell r="A4405" t="str">
            <v>TZ-IUYL240LHY-STAR-S</v>
          </cell>
          <cell r="B4405" t="str">
            <v>TZ-IUYL240</v>
          </cell>
        </row>
        <row r="4406">
          <cell r="A4406" t="str">
            <v>TZ-IUYL240LHY-STRAWBERRY-L</v>
          </cell>
          <cell r="B4406" t="str">
            <v>TZ-IUYL240</v>
          </cell>
        </row>
        <row r="4407">
          <cell r="A4407" t="str">
            <v>TZ-IUYL240LHY-STRAWBERRY-M</v>
          </cell>
          <cell r="B4407" t="str">
            <v>TZ-IUYL240</v>
          </cell>
        </row>
        <row r="4408">
          <cell r="A4408" t="str">
            <v>TZ-IUYL240LHY-STRAWBERRY-S</v>
          </cell>
          <cell r="B4408" t="str">
            <v>TZ-IUYL240</v>
          </cell>
        </row>
        <row r="4409">
          <cell r="A4409" t="str">
            <v>TZ-IUYL240-LOVE-L</v>
          </cell>
          <cell r="B4409" t="str">
            <v>TZ-IUYL240</v>
          </cell>
        </row>
        <row r="4410">
          <cell r="A4410" t="str">
            <v>TZ-IUYL240-LOVE-M</v>
          </cell>
          <cell r="B4410" t="str">
            <v>TZ-IUYL240</v>
          </cell>
        </row>
        <row r="4411">
          <cell r="A4411" t="str">
            <v>TZ-IUYL240-LOVE-S</v>
          </cell>
          <cell r="B4411" t="str">
            <v>TZ-IUYL240</v>
          </cell>
        </row>
        <row r="4412">
          <cell r="A4412" t="str">
            <v>TZ-IUYL240-PAW-L</v>
          </cell>
          <cell r="B4412" t="str">
            <v>TZ-IUYL240</v>
          </cell>
        </row>
        <row r="4413">
          <cell r="A4413" t="str">
            <v>TZ-IUYL240-PAW-M</v>
          </cell>
          <cell r="B4413" t="str">
            <v>TZ-IUYL240</v>
          </cell>
        </row>
        <row r="4414">
          <cell r="A4414" t="str">
            <v>TZ-IUYL240-PAW-S</v>
          </cell>
          <cell r="B4414" t="str">
            <v>TZ-IUYL240</v>
          </cell>
        </row>
        <row r="4415">
          <cell r="A4415" t="str">
            <v>TZ-IUYL240-RABBIT-L</v>
          </cell>
          <cell r="B4415" t="str">
            <v>TZ-IUYL240</v>
          </cell>
        </row>
        <row r="4416">
          <cell r="A4416" t="str">
            <v>TZ-IUYL240-RABBIT-M</v>
          </cell>
          <cell r="B4416" t="str">
            <v>TZ-IUYL240</v>
          </cell>
        </row>
        <row r="4417">
          <cell r="A4417" t="str">
            <v>TZ-IUYL240-RABBIT-S</v>
          </cell>
          <cell r="B4417" t="str">
            <v>TZ-IUYL240</v>
          </cell>
        </row>
        <row r="4418">
          <cell r="A4418" t="str">
            <v>TZ-IUYL240-STAR-L</v>
          </cell>
          <cell r="B4418" t="str">
            <v>TZ-IUYL240</v>
          </cell>
        </row>
        <row r="4419">
          <cell r="A4419" t="str">
            <v>TZ-IUYL240-STAR-M</v>
          </cell>
          <cell r="B4419" t="str">
            <v>TZ-IUYL240</v>
          </cell>
        </row>
        <row r="4420">
          <cell r="A4420" t="str">
            <v>TZ-IUYL240-STAR-S</v>
          </cell>
          <cell r="B4420" t="str">
            <v>TZ-IUYL240</v>
          </cell>
        </row>
        <row r="4421">
          <cell r="A4421" t="str">
            <v>TZ-IUYL240-STRAWBERRY-L</v>
          </cell>
          <cell r="B4421" t="str">
            <v>TZ-IUYL240</v>
          </cell>
        </row>
        <row r="4422">
          <cell r="A4422" t="str">
            <v>TZ-IUYL240-STRAWBERRY-M</v>
          </cell>
          <cell r="B4422" t="str">
            <v>TZ-IUYL240</v>
          </cell>
        </row>
        <row r="4423">
          <cell r="A4423" t="str">
            <v>TZ-IUYL240-STRAWBERRY-S</v>
          </cell>
          <cell r="B4423" t="str">
            <v>TZ-IUYL240</v>
          </cell>
        </row>
        <row r="4424">
          <cell r="A4424" t="str">
            <v>TZ-SY240-BONE-S</v>
          </cell>
          <cell r="B4424" t="str">
            <v>TZ-SY240</v>
          </cell>
        </row>
        <row r="4425">
          <cell r="A4425" t="str">
            <v>TZ-SY240-ELPH-S</v>
          </cell>
          <cell r="B4425" t="str">
            <v>TZ-SY240</v>
          </cell>
        </row>
        <row r="4426">
          <cell r="A4426" t="str">
            <v>TZ-SY240-STRAWBERRY-S</v>
          </cell>
          <cell r="B4426" t="str">
            <v>TZ-SY240</v>
          </cell>
        </row>
        <row r="4427">
          <cell r="A4427" t="str">
            <v>WJ-ZQ280-A6</v>
          </cell>
          <cell r="B4427" t="str">
            <v>WJ-ZQ280</v>
          </cell>
        </row>
        <row r="4428">
          <cell r="A4428" t="str">
            <v>WJ-ZQ650-C1</v>
          </cell>
          <cell r="B4428" t="str">
            <v>WJ-ZQ650</v>
          </cell>
        </row>
        <row r="4429">
          <cell r="A4429" t="str">
            <v>WJ-ZQ650-C10</v>
          </cell>
          <cell r="B4429" t="str">
            <v>WJ-ZQ650</v>
          </cell>
        </row>
        <row r="4430">
          <cell r="A4430" t="str">
            <v>WJ-ZQ650-C11</v>
          </cell>
          <cell r="B4430" t="str">
            <v>WJ-ZQ650</v>
          </cell>
        </row>
        <row r="4431">
          <cell r="A4431" t="str">
            <v>WJ-ZQ650-C2</v>
          </cell>
          <cell r="B4431" t="str">
            <v>WJ-ZQ650</v>
          </cell>
        </row>
        <row r="4432">
          <cell r="A4432" t="str">
            <v>WJ-ZQ650-C3</v>
          </cell>
          <cell r="B4432" t="str">
            <v>WJ-ZQ650</v>
          </cell>
        </row>
        <row r="4433">
          <cell r="A4433" t="str">
            <v>WJ-ZQ650-C4</v>
          </cell>
          <cell r="B4433" t="str">
            <v>WJ-ZQ650</v>
          </cell>
        </row>
        <row r="4434">
          <cell r="A4434" t="str">
            <v>WJ-ZQ650-C5</v>
          </cell>
          <cell r="B4434" t="str">
            <v>WJ-ZQ650</v>
          </cell>
        </row>
        <row r="4435">
          <cell r="A4435" t="str">
            <v>WJ-ZQ650-C6</v>
          </cell>
          <cell r="B4435" t="str">
            <v>WJ-ZQ650</v>
          </cell>
        </row>
        <row r="4436">
          <cell r="A4436" t="str">
            <v>WJ-ZQ650-C7</v>
          </cell>
          <cell r="B4436" t="str">
            <v>WJ-ZQ650</v>
          </cell>
        </row>
        <row r="4437">
          <cell r="A4437" t="str">
            <v>WJ-ZQ650-C8</v>
          </cell>
          <cell r="B4437" t="str">
            <v>WJ-ZQ650</v>
          </cell>
        </row>
        <row r="4438">
          <cell r="A4438" t="str">
            <v>WJ-ZQ650-C9</v>
          </cell>
          <cell r="B4438" t="str">
            <v>WJ-ZQ650</v>
          </cell>
        </row>
        <row r="4439">
          <cell r="A4439" t="str">
            <v>WM-ZQ5023-N0</v>
          </cell>
          <cell r="B4439" t="str">
            <v>WM-ZQ5023</v>
          </cell>
        </row>
        <row r="4440">
          <cell r="A4440" t="str">
            <v>WM-ZQ5023-R0</v>
          </cell>
          <cell r="B4440" t="str">
            <v>WM-ZQ5023</v>
          </cell>
        </row>
        <row r="4441">
          <cell r="A4441" t="str">
            <v>WM-ZQ5023-R1</v>
          </cell>
          <cell r="B4441" t="str">
            <v>WM-ZQ5023</v>
          </cell>
        </row>
        <row r="4442">
          <cell r="A4442" t="str">
            <v>WT-ZQ921-G7-2XL</v>
          </cell>
          <cell r="B4442" t="str">
            <v>WT-ZQ921</v>
          </cell>
        </row>
        <row r="4443">
          <cell r="A4443" t="str">
            <v>WT-ZQ921-G7-3XL</v>
          </cell>
          <cell r="B4443" t="str">
            <v>WT-ZQ921</v>
          </cell>
        </row>
        <row r="4444">
          <cell r="A4444" t="str">
            <v>WT-ZQ921-G7-4XL</v>
          </cell>
          <cell r="B4444" t="str">
            <v>WT-ZQ921</v>
          </cell>
        </row>
        <row r="4445">
          <cell r="A4445" t="str">
            <v>WT-ZQ921-G7-5XL</v>
          </cell>
          <cell r="B4445" t="str">
            <v>WT-ZQ921</v>
          </cell>
        </row>
        <row r="4446">
          <cell r="A4446" t="str">
            <v>WT-ZQ921-G7-L</v>
          </cell>
          <cell r="B4446" t="str">
            <v>WT-ZQ921</v>
          </cell>
        </row>
        <row r="4447">
          <cell r="A4447" t="str">
            <v>WT-ZQ921-G7-XL</v>
          </cell>
          <cell r="B4447" t="str">
            <v>WT-ZQ921</v>
          </cell>
        </row>
        <row r="4448">
          <cell r="A4448" t="str">
            <v>WT-ZQ921-K0-2XL</v>
          </cell>
          <cell r="B4448" t="str">
            <v>WT-ZQ921</v>
          </cell>
        </row>
        <row r="4449">
          <cell r="A4449" t="str">
            <v>WT-ZQ921-K0-3XL</v>
          </cell>
          <cell r="B4449" t="str">
            <v>WT-ZQ921</v>
          </cell>
        </row>
        <row r="4450">
          <cell r="A4450" t="str">
            <v>WT-ZQ921-K0-4XL</v>
          </cell>
          <cell r="B4450" t="str">
            <v>WT-ZQ921</v>
          </cell>
        </row>
        <row r="4451">
          <cell r="A4451" t="str">
            <v>WT-ZQ921-K0-5XL</v>
          </cell>
          <cell r="B4451" t="str">
            <v>WT-ZQ921</v>
          </cell>
        </row>
        <row r="4452">
          <cell r="A4452" t="str">
            <v>WT-ZQ921-K0-5XL-GM</v>
          </cell>
          <cell r="B4452" t="str">
            <v>WT-ZQ921</v>
          </cell>
        </row>
        <row r="4453">
          <cell r="A4453" t="str">
            <v>WT-ZQ921-K0-L</v>
          </cell>
          <cell r="B4453" t="str">
            <v>WT-ZQ921</v>
          </cell>
        </row>
        <row r="4454">
          <cell r="A4454" t="str">
            <v>WT-ZQ921-K0-XL</v>
          </cell>
          <cell r="B4454" t="str">
            <v>WT-ZQ921</v>
          </cell>
        </row>
        <row r="4455">
          <cell r="A4455" t="str">
            <v>WZ-LY152-A403</v>
          </cell>
          <cell r="B4455" t="str">
            <v>WZ-LY152</v>
          </cell>
        </row>
        <row r="4456">
          <cell r="A4456" t="str">
            <v>WZ-LY152-A404</v>
          </cell>
          <cell r="B4456" t="str">
            <v>WZ-LY152</v>
          </cell>
        </row>
        <row r="4457">
          <cell r="A4457" t="str">
            <v>WZ-LY152-A405</v>
          </cell>
          <cell r="B4457" t="str">
            <v>WZ-LY152</v>
          </cell>
        </row>
        <row r="4458">
          <cell r="A4458" t="str">
            <v>WZ-LY152-A407</v>
          </cell>
          <cell r="B4458" t="str">
            <v>WZ-LY152</v>
          </cell>
        </row>
        <row r="4459">
          <cell r="A4459" t="str">
            <v>WZ-LY152-DMNW</v>
          </cell>
          <cell r="B4459" t="str">
            <v>WZ-LY152</v>
          </cell>
        </row>
        <row r="4460">
          <cell r="A4460" t="str">
            <v>WZ-LY152-LA264</v>
          </cell>
          <cell r="B4460" t="str">
            <v>WZ-LY152</v>
          </cell>
        </row>
        <row r="4461">
          <cell r="A4461" t="str">
            <v>WZ-LY153-B069</v>
          </cell>
          <cell r="B4461" t="str">
            <v>WZ-LY153</v>
          </cell>
        </row>
        <row r="4462">
          <cell r="A4462" t="str">
            <v>WZ-LY153-B313</v>
          </cell>
          <cell r="B4462" t="str">
            <v>WZ-LY153</v>
          </cell>
        </row>
        <row r="4463">
          <cell r="A4463" t="str">
            <v>XQ-IUYL260-BK-M</v>
          </cell>
          <cell r="B4463" t="str">
            <v>XQ-IUYL260</v>
          </cell>
        </row>
        <row r="4464">
          <cell r="A4464" t="str">
            <v>XQ-IUYL260-BK-S</v>
          </cell>
          <cell r="B4464" t="str">
            <v>XQ-IUYL260</v>
          </cell>
        </row>
        <row r="4465">
          <cell r="A4465" t="str">
            <v>XQ-IUYL260-BL1-M</v>
          </cell>
          <cell r="B4465" t="str">
            <v>XQ-IUYL260</v>
          </cell>
        </row>
        <row r="4466">
          <cell r="A4466" t="str">
            <v>XQ-IUYL260-BL1-S</v>
          </cell>
          <cell r="B4466" t="str">
            <v>XQ-IUYL260</v>
          </cell>
        </row>
        <row r="4467">
          <cell r="A4467" t="str">
            <v>XQ-IUYL260-BL2-M</v>
          </cell>
          <cell r="B4467" t="str">
            <v>XQ-IUYL260</v>
          </cell>
        </row>
        <row r="4468">
          <cell r="A4468" t="str">
            <v>XQ-IUYL260-BL2-S</v>
          </cell>
          <cell r="B4468" t="str">
            <v>XQ-IUYL260</v>
          </cell>
        </row>
        <row r="4469">
          <cell r="A4469" t="str">
            <v>XQ-IUYL260-GN-M</v>
          </cell>
          <cell r="B4469" t="str">
            <v>XQ-IUYL260</v>
          </cell>
        </row>
        <row r="4470">
          <cell r="A4470" t="str">
            <v>XQ-IUYL260-GN-S</v>
          </cell>
          <cell r="B4470" t="str">
            <v>XQ-IUYL260</v>
          </cell>
        </row>
        <row r="4471">
          <cell r="A4471" t="str">
            <v>XQ-IUYL260-PK-M</v>
          </cell>
          <cell r="B4471" t="str">
            <v>XQ-IUYL260</v>
          </cell>
        </row>
        <row r="4472">
          <cell r="A4472" t="str">
            <v>XQ-IUYL260-PK-S</v>
          </cell>
          <cell r="B4472" t="str">
            <v>XQ-IUYL260</v>
          </cell>
        </row>
        <row r="4473">
          <cell r="A4473" t="str">
            <v>XQ-IUYL260-PP-M</v>
          </cell>
          <cell r="B4473" t="str">
            <v>XQ-IUYL260</v>
          </cell>
        </row>
        <row r="4474">
          <cell r="A4474" t="str">
            <v>XQ-IUYL260-PP-S</v>
          </cell>
          <cell r="B4474" t="str">
            <v>XQ-IUYL260</v>
          </cell>
        </row>
        <row r="4475">
          <cell r="A4475" t="str">
            <v>XQ-IUYL260-RD-M</v>
          </cell>
          <cell r="B4475" t="str">
            <v>XQ-IUYL260</v>
          </cell>
        </row>
        <row r="4476">
          <cell r="A4476" t="str">
            <v>XQ-IUYL260-RD-S</v>
          </cell>
          <cell r="B4476" t="str">
            <v>XQ-IUYL260</v>
          </cell>
        </row>
        <row r="4477">
          <cell r="A4477" t="str">
            <v>XQ-IUYL260-YL-M</v>
          </cell>
          <cell r="B4477" t="str">
            <v>XQ-IUYL260</v>
          </cell>
        </row>
        <row r="4478">
          <cell r="A4478" t="str">
            <v>XQ-IUYL260-YL-S</v>
          </cell>
          <cell r="B4478" t="str">
            <v>XQ-IUYL260</v>
          </cell>
        </row>
        <row r="4479">
          <cell r="A4479" t="str">
            <v>XQ-IUYL320-BK-L</v>
          </cell>
          <cell r="B4479" t="str">
            <v>XQ-IUYL320</v>
          </cell>
        </row>
        <row r="4480">
          <cell r="A4480" t="str">
            <v>XQ-IUYL320-BK-M</v>
          </cell>
          <cell r="B4480" t="str">
            <v>XQ-IUYL320</v>
          </cell>
        </row>
        <row r="4481">
          <cell r="A4481" t="str">
            <v>XQ-IUYL320-BK-S</v>
          </cell>
          <cell r="B4481" t="str">
            <v>XQ-IUYL320</v>
          </cell>
        </row>
        <row r="4482">
          <cell r="A4482" t="str">
            <v>XQ-IUYL320-BK-XL</v>
          </cell>
          <cell r="B4482" t="str">
            <v>XQ-IUYL320</v>
          </cell>
        </row>
        <row r="4483">
          <cell r="A4483" t="str">
            <v>XQ-IUYL320-BL-L</v>
          </cell>
          <cell r="B4483" t="str">
            <v>XQ-IUYL320</v>
          </cell>
        </row>
        <row r="4484">
          <cell r="A4484" t="str">
            <v>XQ-IUYL320-BL-M</v>
          </cell>
          <cell r="B4484" t="str">
            <v>XQ-IUYL320</v>
          </cell>
        </row>
        <row r="4485">
          <cell r="A4485" t="str">
            <v>XQ-IUYL320-BL-S</v>
          </cell>
          <cell r="B4485" t="str">
            <v>XQ-IUYL320</v>
          </cell>
        </row>
        <row r="4486">
          <cell r="A4486" t="str">
            <v>XQ-IUYL320-BL-XL</v>
          </cell>
          <cell r="B4486" t="str">
            <v>XQ-IUYL320</v>
          </cell>
        </row>
        <row r="4487">
          <cell r="A4487" t="str">
            <v>XQ-IUYL320-CF-L</v>
          </cell>
          <cell r="B4487" t="str">
            <v>XQ-IUYL320</v>
          </cell>
        </row>
        <row r="4488">
          <cell r="A4488" t="str">
            <v>XQ-IUYL320-CF-M</v>
          </cell>
          <cell r="B4488" t="str">
            <v>XQ-IUYL320</v>
          </cell>
        </row>
        <row r="4489">
          <cell r="A4489" t="str">
            <v>XQ-IUYL320-CF-S</v>
          </cell>
          <cell r="B4489" t="str">
            <v>XQ-IUYL320</v>
          </cell>
        </row>
        <row r="4490">
          <cell r="A4490" t="str">
            <v>XQ-IUYL320-CF-XL</v>
          </cell>
          <cell r="B4490" t="str">
            <v>XQ-IUYL320</v>
          </cell>
        </row>
        <row r="4491">
          <cell r="A4491" t="str">
            <v>XQ-IUYL320-DB-L</v>
          </cell>
          <cell r="B4491" t="str">
            <v>XQ-IUYL320</v>
          </cell>
        </row>
        <row r="4492">
          <cell r="A4492" t="str">
            <v>XQ-IUYL320-DB-M</v>
          </cell>
          <cell r="B4492" t="str">
            <v>XQ-IUYL320</v>
          </cell>
        </row>
        <row r="4493">
          <cell r="A4493" t="str">
            <v>XQ-IUYL320-DB-S</v>
          </cell>
          <cell r="B4493" t="str">
            <v>XQ-IUYL320</v>
          </cell>
        </row>
        <row r="4494">
          <cell r="A4494" t="str">
            <v>XQ-IUYL320-DB-XL</v>
          </cell>
          <cell r="B4494" t="str">
            <v>XQ-IUYL320</v>
          </cell>
        </row>
        <row r="4495">
          <cell r="A4495" t="str">
            <v>XQ-IUYL320-GN-L</v>
          </cell>
          <cell r="B4495" t="str">
            <v>XQ-IUYL320</v>
          </cell>
        </row>
        <row r="4496">
          <cell r="A4496" t="str">
            <v>XQ-IUYL320-GN-M</v>
          </cell>
          <cell r="B4496" t="str">
            <v>XQ-IUYL320</v>
          </cell>
        </row>
        <row r="4497">
          <cell r="A4497" t="str">
            <v>XQ-IUYL320-GN-S</v>
          </cell>
          <cell r="B4497" t="str">
            <v>XQ-IUYL320</v>
          </cell>
        </row>
        <row r="4498">
          <cell r="A4498" t="str">
            <v>XQ-IUYL320-GN-XL</v>
          </cell>
          <cell r="B4498" t="str">
            <v>XQ-IUYL320</v>
          </cell>
        </row>
        <row r="4499">
          <cell r="A4499" t="str">
            <v>XQ-IUYL320-PK-L</v>
          </cell>
          <cell r="B4499" t="str">
            <v>XQ-IUYL320</v>
          </cell>
        </row>
        <row r="4500">
          <cell r="A4500" t="str">
            <v>XQ-IUYL320-PK-M</v>
          </cell>
          <cell r="B4500" t="str">
            <v>XQ-IUYL320</v>
          </cell>
        </row>
        <row r="4501">
          <cell r="A4501" t="str">
            <v>XQ-IUYL320-PK-S</v>
          </cell>
          <cell r="B4501" t="str">
            <v>XQ-IUYL320</v>
          </cell>
        </row>
        <row r="4502">
          <cell r="A4502" t="str">
            <v>XQ-IUYL320-PK-XL</v>
          </cell>
          <cell r="B4502" t="str">
            <v>XQ-IUYL320</v>
          </cell>
        </row>
        <row r="4503">
          <cell r="A4503" t="str">
            <v>XQ-IUYL320-PP-L</v>
          </cell>
          <cell r="B4503" t="str">
            <v>XQ-IUYL320</v>
          </cell>
        </row>
        <row r="4504">
          <cell r="A4504" t="str">
            <v>XQ-IUYL320-PP-M</v>
          </cell>
          <cell r="B4504" t="str">
            <v>XQ-IUYL320</v>
          </cell>
        </row>
        <row r="4505">
          <cell r="A4505" t="str">
            <v>XQ-IUYL320-PP-S</v>
          </cell>
          <cell r="B4505" t="str">
            <v>XQ-IUYL320</v>
          </cell>
        </row>
        <row r="4506">
          <cell r="A4506" t="str">
            <v>XQ-IUYL320-PP-XL</v>
          </cell>
          <cell r="B4506" t="str">
            <v>XQ-IUYL320</v>
          </cell>
        </row>
        <row r="4507">
          <cell r="A4507" t="str">
            <v>XQ-IUYL320-RD-L</v>
          </cell>
          <cell r="B4507" t="str">
            <v>XQ-IUYL320</v>
          </cell>
        </row>
        <row r="4508">
          <cell r="A4508" t="str">
            <v>XQ-IUYL320-RD-M</v>
          </cell>
          <cell r="B4508" t="str">
            <v>XQ-IUYL320</v>
          </cell>
        </row>
        <row r="4509">
          <cell r="A4509" t="str">
            <v>XQ-IUYL320-RD-S</v>
          </cell>
          <cell r="B4509" t="str">
            <v>XQ-IUYL320</v>
          </cell>
        </row>
        <row r="4510">
          <cell r="A4510" t="str">
            <v>XQ-IUYL320-RD-XL</v>
          </cell>
          <cell r="B4510" t="str">
            <v>XQ-IUYL320</v>
          </cell>
        </row>
        <row r="4511">
          <cell r="A4511" t="str">
            <v>XQ-IUYL320-YL-L</v>
          </cell>
          <cell r="B4511" t="str">
            <v>XQ-IUYL320</v>
          </cell>
        </row>
        <row r="4512">
          <cell r="A4512" t="str">
            <v>XQ-IUYL320-YL-M</v>
          </cell>
          <cell r="B4512" t="str">
            <v>XQ-IUYL320</v>
          </cell>
        </row>
        <row r="4513">
          <cell r="A4513" t="str">
            <v>XQ-IUYL320-YL-S</v>
          </cell>
          <cell r="B4513" t="str">
            <v>XQ-IUYL320</v>
          </cell>
        </row>
        <row r="4514">
          <cell r="A4514" t="str">
            <v>XQ-IUYL320-YL-XL</v>
          </cell>
          <cell r="B4514" t="str">
            <v>XQ-IUYL320</v>
          </cell>
        </row>
        <row r="4515">
          <cell r="A4515" t="str">
            <v>XYZ-082-G0-L</v>
          </cell>
          <cell r="B4515" t="str">
            <v>XYZ-082</v>
          </cell>
        </row>
        <row r="4516">
          <cell r="A4516" t="str">
            <v>XYZ-082-G0-M</v>
          </cell>
          <cell r="B4516" t="str">
            <v>XYZ-082</v>
          </cell>
        </row>
        <row r="4517">
          <cell r="A4517" t="str">
            <v>XYZ-082-G0-S</v>
          </cell>
          <cell r="B4517" t="str">
            <v>XYZ-082</v>
          </cell>
        </row>
        <row r="4518">
          <cell r="A4518" t="str">
            <v>XYZ-082-G0-XL</v>
          </cell>
          <cell r="B4518" t="str">
            <v>XYZ-082</v>
          </cell>
        </row>
        <row r="4519">
          <cell r="A4519" t="str">
            <v>XYZ-082-G0-XXL</v>
          </cell>
          <cell r="B4519" t="str">
            <v>XYZ-082</v>
          </cell>
        </row>
        <row r="4520">
          <cell r="A4520" t="str">
            <v>XYZ-082-K0-L</v>
          </cell>
          <cell r="B4520" t="str">
            <v>XYZ-082</v>
          </cell>
        </row>
        <row r="4521">
          <cell r="A4521" t="str">
            <v>XYZ-082-K0-M</v>
          </cell>
          <cell r="B4521" t="str">
            <v>XYZ-082</v>
          </cell>
        </row>
        <row r="4522">
          <cell r="A4522" t="str">
            <v>XYZ-082-K0-S</v>
          </cell>
          <cell r="B4522" t="str">
            <v>XYZ-082</v>
          </cell>
        </row>
        <row r="4523">
          <cell r="A4523" t="str">
            <v>XYZ-082-K0-XL</v>
          </cell>
          <cell r="B4523" t="str">
            <v>XYZ-082</v>
          </cell>
        </row>
        <row r="4524">
          <cell r="A4524" t="str">
            <v>XYZ-082-K0-XXL</v>
          </cell>
          <cell r="B4524" t="str">
            <v>XYZ-082</v>
          </cell>
        </row>
        <row r="4525">
          <cell r="A4525" t="str">
            <v>XYZ-082-R0-L</v>
          </cell>
          <cell r="B4525" t="str">
            <v>XYZ-082</v>
          </cell>
        </row>
        <row r="4526">
          <cell r="A4526" t="str">
            <v>XYZ-082-R0-M</v>
          </cell>
          <cell r="B4526" t="str">
            <v>XYZ-082</v>
          </cell>
        </row>
        <row r="4527">
          <cell r="A4527" t="str">
            <v>XYZ-082-R0-S</v>
          </cell>
          <cell r="B4527" t="str">
            <v>XYZ-082</v>
          </cell>
        </row>
        <row r="4528">
          <cell r="A4528" t="str">
            <v>XYZ-082-R0-XL</v>
          </cell>
          <cell r="B4528" t="str">
            <v>XYZ-082</v>
          </cell>
        </row>
        <row r="4529">
          <cell r="A4529" t="str">
            <v>XYZ-082-R0-XXL</v>
          </cell>
          <cell r="B4529" t="str">
            <v>XYZ-082</v>
          </cell>
        </row>
        <row r="4530">
          <cell r="A4530" t="str">
            <v>XYZ-085-G912-L</v>
          </cell>
          <cell r="B4530" t="str">
            <v>XYZ-085</v>
          </cell>
        </row>
        <row r="4531">
          <cell r="A4531" t="str">
            <v>XYZ-085-G912-M</v>
          </cell>
          <cell r="B4531" t="str">
            <v>XYZ-085</v>
          </cell>
        </row>
        <row r="4532">
          <cell r="A4532" t="str">
            <v>XYZ-085-G912-S</v>
          </cell>
          <cell r="B4532" t="str">
            <v>XYZ-085</v>
          </cell>
        </row>
        <row r="4533">
          <cell r="A4533" t="str">
            <v>XYZ-085-G912-XL</v>
          </cell>
          <cell r="B4533" t="str">
            <v>XYZ-085</v>
          </cell>
        </row>
        <row r="4534">
          <cell r="A4534" t="str">
            <v>XYZ-085-G912-XXL</v>
          </cell>
          <cell r="B4534" t="str">
            <v>XYZ-085</v>
          </cell>
        </row>
        <row r="4535">
          <cell r="A4535" t="str">
            <v>XYZ-085-LB916-L</v>
          </cell>
          <cell r="B4535" t="str">
            <v>XYZ-085</v>
          </cell>
        </row>
        <row r="4536">
          <cell r="A4536" t="str">
            <v>XYZ-085-LB916-M</v>
          </cell>
          <cell r="B4536" t="str">
            <v>XYZ-085</v>
          </cell>
        </row>
        <row r="4537">
          <cell r="A4537" t="str">
            <v>XYZ-085-LB916-S</v>
          </cell>
          <cell r="B4537" t="str">
            <v>XYZ-085</v>
          </cell>
        </row>
        <row r="4538">
          <cell r="A4538" t="str">
            <v>XYZ-085-LB916-XL</v>
          </cell>
          <cell r="B4538" t="str">
            <v>XYZ-085</v>
          </cell>
        </row>
        <row r="4539">
          <cell r="A4539" t="str">
            <v>XYZ-085-LB916-XXL</v>
          </cell>
          <cell r="B4539" t="str">
            <v>XYZ-085</v>
          </cell>
        </row>
        <row r="4540">
          <cell r="A4540" t="str">
            <v>XYZ-085-LG907-L</v>
          </cell>
          <cell r="B4540" t="str">
            <v>XYZ-085</v>
          </cell>
        </row>
        <row r="4541">
          <cell r="A4541" t="str">
            <v>XYZ-085-LG907-M</v>
          </cell>
          <cell r="B4541" t="str">
            <v>XYZ-085</v>
          </cell>
        </row>
        <row r="4542">
          <cell r="A4542" t="str">
            <v>XYZ-085-LG907-S</v>
          </cell>
          <cell r="B4542" t="str">
            <v>XYZ-085</v>
          </cell>
        </row>
        <row r="4543">
          <cell r="A4543" t="str">
            <v>XYZ-085-LG907-XL</v>
          </cell>
          <cell r="B4543" t="str">
            <v>XYZ-085</v>
          </cell>
        </row>
        <row r="4544">
          <cell r="A4544" t="str">
            <v>XYZ-085-LG907-XXL</v>
          </cell>
          <cell r="B4544" t="str">
            <v>XYZ-085</v>
          </cell>
        </row>
        <row r="4545">
          <cell r="A4545" t="str">
            <v>XYZ-085-PI908-L</v>
          </cell>
          <cell r="B4545" t="str">
            <v>XYZ-085</v>
          </cell>
        </row>
        <row r="4546">
          <cell r="A4546" t="str">
            <v>XYZ-085-PI908-M</v>
          </cell>
          <cell r="B4546" t="str">
            <v>XYZ-085</v>
          </cell>
        </row>
        <row r="4547">
          <cell r="A4547" t="str">
            <v>XYZ-085-PI908-S</v>
          </cell>
          <cell r="B4547" t="str">
            <v>XYZ-085</v>
          </cell>
        </row>
        <row r="4548">
          <cell r="A4548" t="str">
            <v>XYZ-085-PI908-XL</v>
          </cell>
          <cell r="B4548" t="str">
            <v>XYZ-085</v>
          </cell>
        </row>
        <row r="4549">
          <cell r="A4549" t="str">
            <v>XYZ-085-PI908-XS</v>
          </cell>
          <cell r="B4549" t="str">
            <v>XYZ-085</v>
          </cell>
        </row>
        <row r="4550">
          <cell r="A4550" t="str">
            <v>XYZ-085-PI908-XXL</v>
          </cell>
          <cell r="B4550" t="str">
            <v>XYZ-085</v>
          </cell>
        </row>
        <row r="4551">
          <cell r="A4551" t="str">
            <v>XYZ-085-R901-L</v>
          </cell>
          <cell r="B4551" t="str">
            <v>XYZ-085</v>
          </cell>
        </row>
        <row r="4552">
          <cell r="A4552" t="str">
            <v>XYZ-085-R901-M</v>
          </cell>
          <cell r="B4552" t="str">
            <v>XYZ-085</v>
          </cell>
        </row>
        <row r="4553">
          <cell r="A4553" t="str">
            <v>XYZ-085-R901-S</v>
          </cell>
          <cell r="B4553" t="str">
            <v>XYZ-085</v>
          </cell>
        </row>
        <row r="4554">
          <cell r="A4554" t="str">
            <v>XYZ-085-R901-XL</v>
          </cell>
          <cell r="B4554" t="str">
            <v>XYZ-085</v>
          </cell>
        </row>
        <row r="4555">
          <cell r="A4555" t="str">
            <v>XYZ-085-R901-XXL</v>
          </cell>
          <cell r="B4555" t="str">
            <v>XYZ-085</v>
          </cell>
        </row>
        <row r="4556">
          <cell r="A4556" t="str">
            <v>XYZ-085-Sa911-L</v>
          </cell>
          <cell r="B4556" t="str">
            <v>XYZ-085</v>
          </cell>
        </row>
        <row r="4557">
          <cell r="A4557" t="str">
            <v>XYZ-085-Sa911-M</v>
          </cell>
          <cell r="B4557" t="str">
            <v>XYZ-085</v>
          </cell>
        </row>
        <row r="4558">
          <cell r="A4558" t="str">
            <v>XYZ-085-Sa911-S</v>
          </cell>
          <cell r="B4558" t="str">
            <v>XYZ-085</v>
          </cell>
        </row>
        <row r="4559">
          <cell r="A4559" t="str">
            <v>XYZ-085-Sa911-XL</v>
          </cell>
          <cell r="B4559" t="str">
            <v>XYZ-085</v>
          </cell>
        </row>
        <row r="4560">
          <cell r="A4560" t="str">
            <v>XYZ-085-Sa911-XXL</v>
          </cell>
          <cell r="B4560" t="str">
            <v>XYZ-085</v>
          </cell>
        </row>
        <row r="4561">
          <cell r="A4561" t="str">
            <v>XYZ-085-W902-L</v>
          </cell>
          <cell r="B4561" t="str">
            <v>XYZ-085</v>
          </cell>
        </row>
        <row r="4562">
          <cell r="A4562" t="str">
            <v>XYZ-085-W902-M</v>
          </cell>
          <cell r="B4562" t="str">
            <v>XYZ-085</v>
          </cell>
        </row>
        <row r="4563">
          <cell r="A4563" t="str">
            <v>XYZ-085-W902-S</v>
          </cell>
          <cell r="B4563" t="str">
            <v>XYZ-085</v>
          </cell>
        </row>
        <row r="4564">
          <cell r="A4564" t="str">
            <v>XYZ-085-W902-XL</v>
          </cell>
          <cell r="B4564" t="str">
            <v>XYZ-085</v>
          </cell>
        </row>
        <row r="4565">
          <cell r="A4565" t="str">
            <v>XYZ-085-W902-XXL</v>
          </cell>
          <cell r="B4565" t="str">
            <v>XYZ-085</v>
          </cell>
        </row>
        <row r="4566">
          <cell r="A4566" t="str">
            <v>XYZ-085-WR917-L</v>
          </cell>
          <cell r="B4566" t="str">
            <v>XYZ-085</v>
          </cell>
        </row>
        <row r="4567">
          <cell r="A4567" t="str">
            <v>XYZ-085-WR917-M</v>
          </cell>
          <cell r="B4567" t="str">
            <v>XYZ-085</v>
          </cell>
        </row>
        <row r="4568">
          <cell r="A4568" t="str">
            <v>XYZ-085-WR917-S</v>
          </cell>
          <cell r="B4568" t="str">
            <v>XYZ-085</v>
          </cell>
        </row>
        <row r="4569">
          <cell r="A4569" t="str">
            <v>XYZ-085-WR917-XL</v>
          </cell>
          <cell r="B4569" t="str">
            <v>XYZ-085</v>
          </cell>
        </row>
        <row r="4570">
          <cell r="A4570" t="str">
            <v>XYZ-085-WR917-XS</v>
          </cell>
          <cell r="B4570" t="str">
            <v>XYZ-085</v>
          </cell>
        </row>
        <row r="4571">
          <cell r="A4571" t="str">
            <v>XYZ-085-WR917-XXL</v>
          </cell>
          <cell r="B4571" t="str">
            <v>XYZ-085</v>
          </cell>
        </row>
        <row r="4572">
          <cell r="A4572" t="str">
            <v>XYZ-085-ZL918-L</v>
          </cell>
          <cell r="B4572" t="str">
            <v>XYZ-085</v>
          </cell>
        </row>
        <row r="4573">
          <cell r="A4573" t="str">
            <v>XYZ-085-ZL918-M</v>
          </cell>
          <cell r="B4573" t="str">
            <v>XYZ-085</v>
          </cell>
        </row>
        <row r="4574">
          <cell r="A4574" t="str">
            <v>XYZ-085-ZL918-S</v>
          </cell>
          <cell r="B4574" t="str">
            <v>XYZ-085</v>
          </cell>
        </row>
        <row r="4575">
          <cell r="A4575" t="str">
            <v>XYZ-085-ZL918-XL</v>
          </cell>
          <cell r="B4575" t="str">
            <v>XYZ-085</v>
          </cell>
        </row>
        <row r="4576">
          <cell r="A4576" t="str">
            <v>XYZ-085-ZL918-XS</v>
          </cell>
          <cell r="B4576" t="str">
            <v>XYZ-085</v>
          </cell>
        </row>
        <row r="4577">
          <cell r="A4577" t="str">
            <v>XYZ-085-ZL918-XXL</v>
          </cell>
          <cell r="B4577" t="str">
            <v>XYZ-085</v>
          </cell>
        </row>
        <row r="4578">
          <cell r="A4578" t="str">
            <v>XYZ-166-B28-1-L</v>
          </cell>
          <cell r="B4578" t="str">
            <v>XYZ-166</v>
          </cell>
        </row>
        <row r="4579">
          <cell r="A4579" t="str">
            <v>XYZ-166-B28-1-M</v>
          </cell>
          <cell r="B4579" t="str">
            <v>XYZ-166</v>
          </cell>
        </row>
        <row r="4580">
          <cell r="A4580" t="str">
            <v>XYZ-166-B28-1-S</v>
          </cell>
          <cell r="B4580" t="str">
            <v>XYZ-166</v>
          </cell>
        </row>
        <row r="4581">
          <cell r="A4581" t="str">
            <v>XYZ-166-B28-1-XL</v>
          </cell>
          <cell r="B4581" t="str">
            <v>XYZ-166</v>
          </cell>
        </row>
        <row r="4582">
          <cell r="A4582" t="str">
            <v>XYZ-166-B28-1-XXL</v>
          </cell>
          <cell r="B4582" t="str">
            <v>XYZ-166</v>
          </cell>
        </row>
        <row r="4583">
          <cell r="A4583" t="str">
            <v>XYZ-166-B28-3-L</v>
          </cell>
          <cell r="B4583" t="str">
            <v>XYZ-166</v>
          </cell>
        </row>
        <row r="4584">
          <cell r="A4584" t="str">
            <v>XYZ-166-B28-3-M</v>
          </cell>
          <cell r="B4584" t="str">
            <v>XYZ-166</v>
          </cell>
        </row>
        <row r="4585">
          <cell r="A4585" t="str">
            <v>XYZ-166-B28-3-S</v>
          </cell>
          <cell r="B4585" t="str">
            <v>XYZ-166</v>
          </cell>
        </row>
        <row r="4586">
          <cell r="A4586" t="str">
            <v>XYZ-166-B28-3-XL</v>
          </cell>
          <cell r="B4586" t="str">
            <v>XYZ-166</v>
          </cell>
        </row>
        <row r="4587">
          <cell r="A4587" t="str">
            <v>XYZ-166-B28-3-XXL</v>
          </cell>
          <cell r="B4587" t="str">
            <v>XYZ-166</v>
          </cell>
        </row>
        <row r="4588">
          <cell r="A4588" t="str">
            <v>XYZ-166-B28-4-L</v>
          </cell>
          <cell r="B4588" t="str">
            <v>XYZ-166</v>
          </cell>
        </row>
        <row r="4589">
          <cell r="A4589" t="str">
            <v>XYZ-166-B28-4-M</v>
          </cell>
          <cell r="B4589" t="str">
            <v>XYZ-166</v>
          </cell>
        </row>
        <row r="4590">
          <cell r="A4590" t="str">
            <v>XYZ-166-B28-4-S</v>
          </cell>
          <cell r="B4590" t="str">
            <v>XYZ-166</v>
          </cell>
        </row>
        <row r="4591">
          <cell r="A4591" t="str">
            <v>XYZ-166-B28-4-XL</v>
          </cell>
          <cell r="B4591" t="str">
            <v>XYZ-166</v>
          </cell>
        </row>
        <row r="4592">
          <cell r="A4592" t="str">
            <v>XYZ-166-B28-4-XXL</v>
          </cell>
          <cell r="B4592" t="str">
            <v>XYZ-166</v>
          </cell>
        </row>
        <row r="4593">
          <cell r="A4593" t="str">
            <v>XYZ-166-B28-5-L</v>
          </cell>
          <cell r="B4593" t="str">
            <v>XYZ-166</v>
          </cell>
        </row>
        <row r="4594">
          <cell r="A4594" t="str">
            <v>XYZ-166-B28-5-M</v>
          </cell>
          <cell r="B4594" t="str">
            <v>XYZ-166</v>
          </cell>
        </row>
        <row r="4595">
          <cell r="A4595" t="str">
            <v>XYZ-166-B28-5-S</v>
          </cell>
          <cell r="B4595" t="str">
            <v>XYZ-166</v>
          </cell>
        </row>
        <row r="4596">
          <cell r="A4596" t="str">
            <v>XYZ-166-B28-5-XL</v>
          </cell>
          <cell r="B4596" t="str">
            <v>XYZ-166</v>
          </cell>
        </row>
        <row r="4597">
          <cell r="A4597" t="str">
            <v>XYZ-166-B28-5-XXL</v>
          </cell>
          <cell r="B4597" t="str">
            <v>XYZ-166</v>
          </cell>
        </row>
        <row r="4598">
          <cell r="A4598" t="str">
            <v>XYZ-166-K33-1-L</v>
          </cell>
          <cell r="B4598" t="str">
            <v>XYZ-166</v>
          </cell>
        </row>
        <row r="4599">
          <cell r="A4599" t="str">
            <v>XYZ-166-K33-1-M</v>
          </cell>
          <cell r="B4599" t="str">
            <v>XYZ-166</v>
          </cell>
        </row>
        <row r="4600">
          <cell r="A4600" t="str">
            <v>XYZ-166-K33-1-S</v>
          </cell>
          <cell r="B4600" t="str">
            <v>XYZ-166</v>
          </cell>
        </row>
        <row r="4601">
          <cell r="A4601" t="str">
            <v>XYZ-166-K33-1-XL</v>
          </cell>
          <cell r="B4601" t="str">
            <v>XYZ-166</v>
          </cell>
        </row>
        <row r="4602">
          <cell r="A4602" t="str">
            <v>XYZ-166-K33-1-XXL</v>
          </cell>
          <cell r="B4602" t="str">
            <v>XYZ-166</v>
          </cell>
        </row>
        <row r="4603">
          <cell r="A4603" t="str">
            <v>XYZ-166-K33-2-L</v>
          </cell>
          <cell r="B4603" t="str">
            <v>XYZ-166</v>
          </cell>
        </row>
        <row r="4604">
          <cell r="A4604" t="str">
            <v>XYZ-166-K33-2-M</v>
          </cell>
          <cell r="B4604" t="str">
            <v>XYZ-166</v>
          </cell>
        </row>
        <row r="4605">
          <cell r="A4605" t="str">
            <v>XYZ-166-K33-2-S</v>
          </cell>
          <cell r="B4605" t="str">
            <v>XYZ-166</v>
          </cell>
        </row>
        <row r="4606">
          <cell r="A4606" t="str">
            <v>XYZ-166-K33-2-XL</v>
          </cell>
          <cell r="B4606" t="str">
            <v>XYZ-166</v>
          </cell>
        </row>
        <row r="4607">
          <cell r="A4607" t="str">
            <v>XYZ-166-K33-2-XXL</v>
          </cell>
          <cell r="B4607" t="str">
            <v>XYZ-166</v>
          </cell>
        </row>
        <row r="4608">
          <cell r="A4608" t="str">
            <v>XYZ-166-K33-4-L</v>
          </cell>
          <cell r="B4608" t="str">
            <v>XYZ-166</v>
          </cell>
        </row>
        <row r="4609">
          <cell r="A4609" t="str">
            <v>XYZ-166-K33-4-M</v>
          </cell>
          <cell r="B4609" t="str">
            <v>XYZ-166</v>
          </cell>
        </row>
        <row r="4610">
          <cell r="A4610" t="str">
            <v>XYZ-166-K33-4-S</v>
          </cell>
          <cell r="B4610" t="str">
            <v>XYZ-166</v>
          </cell>
        </row>
        <row r="4611">
          <cell r="A4611" t="str">
            <v>XYZ-166-K33-4-XL</v>
          </cell>
          <cell r="B4611" t="str">
            <v>XYZ-166</v>
          </cell>
        </row>
        <row r="4612">
          <cell r="A4612" t="str">
            <v>XYZ-166-K33-4-XXL</v>
          </cell>
          <cell r="B4612" t="str">
            <v>XYZ-166</v>
          </cell>
        </row>
        <row r="4613">
          <cell r="A4613" t="str">
            <v>XYZ-166-K73-1-L</v>
          </cell>
          <cell r="B4613" t="str">
            <v>XYZ-166</v>
          </cell>
        </row>
        <row r="4614">
          <cell r="A4614" t="str">
            <v>XYZ-166-K73-1-M</v>
          </cell>
          <cell r="B4614" t="str">
            <v>XYZ-166</v>
          </cell>
        </row>
        <row r="4615">
          <cell r="A4615" t="str">
            <v>XYZ-166-K73-1-S</v>
          </cell>
          <cell r="B4615" t="str">
            <v>XYZ-166</v>
          </cell>
        </row>
        <row r="4616">
          <cell r="A4616" t="str">
            <v>XYZ-166-K73-1-XL</v>
          </cell>
          <cell r="B4616" t="str">
            <v>XYZ-166</v>
          </cell>
        </row>
        <row r="4617">
          <cell r="A4617" t="str">
            <v>XYZ-166-K73-1-XXL</v>
          </cell>
          <cell r="B4617" t="str">
            <v>XYZ-166</v>
          </cell>
        </row>
        <row r="4618">
          <cell r="A4618" t="str">
            <v>XYZ-166-K73-2-L</v>
          </cell>
          <cell r="B4618" t="str">
            <v>XYZ-166</v>
          </cell>
        </row>
        <row r="4619">
          <cell r="A4619" t="str">
            <v>XYZ-166-K73-2-M</v>
          </cell>
          <cell r="B4619" t="str">
            <v>XYZ-166</v>
          </cell>
        </row>
        <row r="4620">
          <cell r="A4620" t="str">
            <v>XYZ-166-K73-2-S</v>
          </cell>
          <cell r="B4620" t="str">
            <v>XYZ-166</v>
          </cell>
        </row>
        <row r="4621">
          <cell r="A4621" t="str">
            <v>XYZ-166-K73-2-XL</v>
          </cell>
          <cell r="B4621" t="str">
            <v>XYZ-166</v>
          </cell>
        </row>
        <row r="4622">
          <cell r="A4622" t="str">
            <v>XYZ-166-K73-2-XXL</v>
          </cell>
          <cell r="B4622" t="str">
            <v>XYZ-166</v>
          </cell>
        </row>
        <row r="4623">
          <cell r="A4623" t="str">
            <v>XYZ-170-G912-L</v>
          </cell>
          <cell r="B4623" t="str">
            <v>XYZ-170</v>
          </cell>
        </row>
        <row r="4624">
          <cell r="A4624" t="str">
            <v>XYZ-170-G912-M</v>
          </cell>
          <cell r="B4624" t="str">
            <v>XYZ-170</v>
          </cell>
        </row>
        <row r="4625">
          <cell r="A4625" t="str">
            <v>XYZ-170-G912-S</v>
          </cell>
          <cell r="B4625" t="str">
            <v>XYZ-170</v>
          </cell>
        </row>
        <row r="4626">
          <cell r="A4626" t="str">
            <v>XYZ-170-G912-XL</v>
          </cell>
          <cell r="B4626" t="str">
            <v>XYZ-170</v>
          </cell>
        </row>
        <row r="4627">
          <cell r="A4627" t="str">
            <v>XYZ-170-G912-XXL</v>
          </cell>
          <cell r="B4627" t="str">
            <v>XYZ-170</v>
          </cell>
        </row>
        <row r="4628">
          <cell r="A4628" t="str">
            <v>XYZ-170-LB916-L</v>
          </cell>
          <cell r="B4628" t="str">
            <v>XYZ-170</v>
          </cell>
        </row>
        <row r="4629">
          <cell r="A4629" t="str">
            <v>XYZ-170-LB916-M</v>
          </cell>
          <cell r="B4629" t="str">
            <v>XYZ-170</v>
          </cell>
        </row>
        <row r="4630">
          <cell r="A4630" t="str">
            <v>XYZ-170-LB916-S</v>
          </cell>
          <cell r="B4630" t="str">
            <v>XYZ-170</v>
          </cell>
        </row>
        <row r="4631">
          <cell r="A4631" t="str">
            <v>XYZ-170-LB916-XL</v>
          </cell>
          <cell r="B4631" t="str">
            <v>XYZ-170</v>
          </cell>
        </row>
        <row r="4632">
          <cell r="A4632" t="str">
            <v>XYZ-170-LB916-XXL</v>
          </cell>
          <cell r="B4632" t="str">
            <v>XYZ-170</v>
          </cell>
        </row>
        <row r="4633">
          <cell r="A4633" t="str">
            <v>XYZ-170-LG907-L</v>
          </cell>
          <cell r="B4633" t="str">
            <v>XYZ-170</v>
          </cell>
        </row>
        <row r="4634">
          <cell r="A4634" t="str">
            <v>XYZ-170-LG907-M</v>
          </cell>
          <cell r="B4634" t="str">
            <v>XYZ-170</v>
          </cell>
        </row>
        <row r="4635">
          <cell r="A4635" t="str">
            <v>XYZ-170-LG907-S</v>
          </cell>
          <cell r="B4635" t="str">
            <v>XYZ-170</v>
          </cell>
        </row>
        <row r="4636">
          <cell r="A4636" t="str">
            <v>XYZ-170-LG907-XL</v>
          </cell>
          <cell r="B4636" t="str">
            <v>XYZ-170</v>
          </cell>
        </row>
        <row r="4637">
          <cell r="A4637" t="str">
            <v>XYZ-170-LG907-XXL</v>
          </cell>
          <cell r="B4637" t="str">
            <v>XYZ-170</v>
          </cell>
        </row>
        <row r="4638">
          <cell r="A4638" t="str">
            <v>XYZ-170-PI908-L</v>
          </cell>
          <cell r="B4638" t="str">
            <v>XYZ-170</v>
          </cell>
        </row>
        <row r="4639">
          <cell r="A4639" t="str">
            <v>XYZ-170-PI908-M</v>
          </cell>
          <cell r="B4639" t="str">
            <v>XYZ-170</v>
          </cell>
        </row>
        <row r="4640">
          <cell r="A4640" t="str">
            <v>XYZ-170-PI908-S</v>
          </cell>
          <cell r="B4640" t="str">
            <v>XYZ-170</v>
          </cell>
        </row>
        <row r="4641">
          <cell r="A4641" t="str">
            <v>XYZ-170-PI908-XL</v>
          </cell>
          <cell r="B4641" t="str">
            <v>XYZ-170</v>
          </cell>
        </row>
        <row r="4642">
          <cell r="A4642" t="str">
            <v>XYZ-170-PI908-XXL</v>
          </cell>
          <cell r="B4642" t="str">
            <v>XYZ-170</v>
          </cell>
        </row>
        <row r="4643">
          <cell r="A4643" t="str">
            <v>XYZ-170-Sa911-L</v>
          </cell>
          <cell r="B4643" t="str">
            <v>XYZ-170</v>
          </cell>
        </row>
        <row r="4644">
          <cell r="A4644" t="str">
            <v>XYZ-170-Sa911-M</v>
          </cell>
          <cell r="B4644" t="str">
            <v>XYZ-170</v>
          </cell>
        </row>
        <row r="4645">
          <cell r="A4645" t="str">
            <v>XYZ-170-Sa911-S</v>
          </cell>
          <cell r="B4645" t="str">
            <v>XYZ-170</v>
          </cell>
        </row>
        <row r="4646">
          <cell r="A4646" t="str">
            <v>XYZ-170-Sa911-XL</v>
          </cell>
          <cell r="B4646" t="str">
            <v>XYZ-170</v>
          </cell>
        </row>
        <row r="4647">
          <cell r="A4647" t="str">
            <v>XYZ-170-Sa911-XXL</v>
          </cell>
          <cell r="B4647" t="str">
            <v>XYZ-170</v>
          </cell>
        </row>
        <row r="4648">
          <cell r="A4648" t="str">
            <v>XYZ-170-W902-L</v>
          </cell>
          <cell r="B4648" t="str">
            <v>XYZ-170</v>
          </cell>
        </row>
        <row r="4649">
          <cell r="A4649" t="str">
            <v>XYZ-170-W902-M</v>
          </cell>
          <cell r="B4649" t="str">
            <v>XYZ-170</v>
          </cell>
        </row>
        <row r="4650">
          <cell r="A4650" t="str">
            <v>XYZ-170-W902-S</v>
          </cell>
          <cell r="B4650" t="str">
            <v>XYZ-170</v>
          </cell>
        </row>
        <row r="4651">
          <cell r="A4651" t="str">
            <v>XYZ-170-W902-XL</v>
          </cell>
          <cell r="B4651" t="str">
            <v>XYZ-170</v>
          </cell>
        </row>
        <row r="4652">
          <cell r="A4652" t="str">
            <v>XYZ-170-W902-XXL</v>
          </cell>
          <cell r="B4652" t="str">
            <v>XYZ-170</v>
          </cell>
        </row>
        <row r="4653">
          <cell r="A4653" t="str">
            <v>XYZ-170-WR917-L</v>
          </cell>
          <cell r="B4653" t="str">
            <v>XYZ-170</v>
          </cell>
        </row>
        <row r="4654">
          <cell r="A4654" t="str">
            <v>XYZ-170-WR917-M</v>
          </cell>
          <cell r="B4654" t="str">
            <v>XYZ-170</v>
          </cell>
        </row>
        <row r="4655">
          <cell r="A4655" t="str">
            <v>XYZ-170-WR917-S</v>
          </cell>
          <cell r="B4655" t="str">
            <v>XYZ-170</v>
          </cell>
        </row>
        <row r="4656">
          <cell r="A4656" t="str">
            <v>XYZ-170-WR917-XL</v>
          </cell>
          <cell r="B4656" t="str">
            <v>XYZ-170</v>
          </cell>
        </row>
        <row r="4657">
          <cell r="A4657" t="str">
            <v>XYZ-170-WR917-XXL</v>
          </cell>
          <cell r="B4657" t="str">
            <v>XYZ-170</v>
          </cell>
        </row>
        <row r="4658">
          <cell r="A4658" t="str">
            <v>XYZ-170-ZL918-L</v>
          </cell>
          <cell r="B4658" t="str">
            <v>XYZ-170</v>
          </cell>
        </row>
        <row r="4659">
          <cell r="A4659" t="str">
            <v>XYZ-170-ZL918-M</v>
          </cell>
          <cell r="B4659" t="str">
            <v>XYZ-170</v>
          </cell>
        </row>
        <row r="4660">
          <cell r="A4660" t="str">
            <v>XYZ-170-ZL918-S</v>
          </cell>
          <cell r="B4660" t="str">
            <v>XYZ-170</v>
          </cell>
        </row>
        <row r="4661">
          <cell r="A4661" t="str">
            <v>XYZ-170-ZL918-XL</v>
          </cell>
          <cell r="B4661" t="str">
            <v>XYZ-170</v>
          </cell>
        </row>
        <row r="4662">
          <cell r="A4662" t="str">
            <v>XYZ-170-ZL918-XXL</v>
          </cell>
          <cell r="B4662" t="str">
            <v>XYZ-170</v>
          </cell>
        </row>
        <row r="4663">
          <cell r="A4663" t="str">
            <v>XYZ-171-G912-L</v>
          </cell>
          <cell r="B4663" t="str">
            <v>XYZ-171</v>
          </cell>
        </row>
        <row r="4664">
          <cell r="A4664" t="str">
            <v>XYZ-171-G912-M</v>
          </cell>
          <cell r="B4664" t="str">
            <v>XYZ-171</v>
          </cell>
        </row>
        <row r="4665">
          <cell r="A4665" t="str">
            <v>XYZ-171-G912-S</v>
          </cell>
          <cell r="B4665" t="str">
            <v>XYZ-171</v>
          </cell>
        </row>
        <row r="4666">
          <cell r="A4666" t="str">
            <v>XYZ-171-G912-XL</v>
          </cell>
          <cell r="B4666" t="str">
            <v>XYZ-171</v>
          </cell>
        </row>
        <row r="4667">
          <cell r="A4667" t="str">
            <v>XYZ-171-G912-XXL</v>
          </cell>
          <cell r="B4667" t="str">
            <v>XYZ-171</v>
          </cell>
        </row>
        <row r="4668">
          <cell r="A4668" t="str">
            <v>XYZ-171-LB916-L</v>
          </cell>
          <cell r="B4668" t="str">
            <v>XYZ-171</v>
          </cell>
        </row>
        <row r="4669">
          <cell r="A4669" t="str">
            <v>XYZ-171-LB916-M</v>
          </cell>
          <cell r="B4669" t="str">
            <v>XYZ-171</v>
          </cell>
        </row>
        <row r="4670">
          <cell r="A4670" t="str">
            <v>XYZ-171-LB916-S</v>
          </cell>
          <cell r="B4670" t="str">
            <v>XYZ-171</v>
          </cell>
        </row>
        <row r="4671">
          <cell r="A4671" t="str">
            <v>XYZ-171-LB916-XL</v>
          </cell>
          <cell r="B4671" t="str">
            <v>XYZ-171</v>
          </cell>
        </row>
        <row r="4672">
          <cell r="A4672" t="str">
            <v>XYZ-171-LB916-XXL</v>
          </cell>
          <cell r="B4672" t="str">
            <v>XYZ-171</v>
          </cell>
        </row>
        <row r="4673">
          <cell r="A4673" t="str">
            <v>XYZ-171-LG907-L</v>
          </cell>
          <cell r="B4673" t="str">
            <v>XYZ-171</v>
          </cell>
        </row>
        <row r="4674">
          <cell r="A4674" t="str">
            <v>XYZ-171-LG907-M</v>
          </cell>
          <cell r="B4674" t="str">
            <v>XYZ-171</v>
          </cell>
        </row>
        <row r="4675">
          <cell r="A4675" t="str">
            <v>XYZ-171-LG907-S</v>
          </cell>
          <cell r="B4675" t="str">
            <v>XYZ-171</v>
          </cell>
        </row>
        <row r="4676">
          <cell r="A4676" t="str">
            <v>XYZ-171-LG907-XL</v>
          </cell>
          <cell r="B4676" t="str">
            <v>XYZ-171</v>
          </cell>
        </row>
        <row r="4677">
          <cell r="A4677" t="str">
            <v>XYZ-171-LG907-XXL</v>
          </cell>
          <cell r="B4677" t="str">
            <v>XYZ-171</v>
          </cell>
        </row>
        <row r="4678">
          <cell r="A4678" t="str">
            <v>XYZ-171-PI908-L</v>
          </cell>
          <cell r="B4678" t="str">
            <v>XYZ-171</v>
          </cell>
        </row>
        <row r="4679">
          <cell r="A4679" t="str">
            <v>XYZ-171-PI908-M</v>
          </cell>
          <cell r="B4679" t="str">
            <v>XYZ-171</v>
          </cell>
        </row>
        <row r="4680">
          <cell r="A4680" t="str">
            <v>XYZ-171-PI908-S</v>
          </cell>
          <cell r="B4680" t="str">
            <v>XYZ-171</v>
          </cell>
        </row>
        <row r="4681">
          <cell r="A4681" t="str">
            <v>XYZ-171-PI908-XL</v>
          </cell>
          <cell r="B4681" t="str">
            <v>XYZ-171</v>
          </cell>
        </row>
        <row r="4682">
          <cell r="A4682" t="str">
            <v>XYZ-171-PI908-XXL</v>
          </cell>
          <cell r="B4682" t="str">
            <v>XYZ-171</v>
          </cell>
        </row>
        <row r="4683">
          <cell r="A4683" t="str">
            <v>XYZ-171-Sa911-L</v>
          </cell>
          <cell r="B4683" t="str">
            <v>XYZ-171</v>
          </cell>
        </row>
        <row r="4684">
          <cell r="A4684" t="str">
            <v>XYZ-171-Sa911-M</v>
          </cell>
          <cell r="B4684" t="str">
            <v>XYZ-171</v>
          </cell>
        </row>
        <row r="4685">
          <cell r="A4685" t="str">
            <v>XYZ-171-Sa911-S</v>
          </cell>
          <cell r="B4685" t="str">
            <v>XYZ-171</v>
          </cell>
        </row>
        <row r="4686">
          <cell r="A4686" t="str">
            <v>XYZ-171-Sa911-XL</v>
          </cell>
          <cell r="B4686" t="str">
            <v>XYZ-171</v>
          </cell>
        </row>
        <row r="4687">
          <cell r="A4687" t="str">
            <v>XYZ-171-Sa911-XXL</v>
          </cell>
          <cell r="B4687" t="str">
            <v>XYZ-171</v>
          </cell>
        </row>
        <row r="4688">
          <cell r="A4688" t="str">
            <v>XYZ-171-W902-L</v>
          </cell>
          <cell r="B4688" t="str">
            <v>XYZ-171</v>
          </cell>
        </row>
        <row r="4689">
          <cell r="A4689" t="str">
            <v>XYZ-171-W902-M</v>
          </cell>
          <cell r="B4689" t="str">
            <v>XYZ-171</v>
          </cell>
        </row>
        <row r="4690">
          <cell r="A4690" t="str">
            <v>XYZ-171-W902-S</v>
          </cell>
          <cell r="B4690" t="str">
            <v>XYZ-171</v>
          </cell>
        </row>
        <row r="4691">
          <cell r="A4691" t="str">
            <v>XYZ-171-W902-XL</v>
          </cell>
          <cell r="B4691" t="str">
            <v>XYZ-171</v>
          </cell>
        </row>
        <row r="4692">
          <cell r="A4692" t="str">
            <v>XYZ-171-W902-XXL</v>
          </cell>
          <cell r="B4692" t="str">
            <v>XYZ-171</v>
          </cell>
        </row>
        <row r="4693">
          <cell r="A4693" t="str">
            <v>XYZ-171-WR917-L</v>
          </cell>
          <cell r="B4693" t="str">
            <v>XYZ-171</v>
          </cell>
        </row>
        <row r="4694">
          <cell r="A4694" t="str">
            <v>XYZ-171-WR917-M</v>
          </cell>
          <cell r="B4694" t="str">
            <v>XYZ-171</v>
          </cell>
        </row>
        <row r="4695">
          <cell r="A4695" t="str">
            <v>XYZ-171-WR917-S</v>
          </cell>
          <cell r="B4695" t="str">
            <v>XYZ-171</v>
          </cell>
        </row>
        <row r="4696">
          <cell r="A4696" t="str">
            <v>XYZ-171-WR917-XL</v>
          </cell>
          <cell r="B4696" t="str">
            <v>XYZ-171</v>
          </cell>
        </row>
        <row r="4697">
          <cell r="A4697" t="str">
            <v>XYZ-171-WR917-XXL</v>
          </cell>
          <cell r="B4697" t="str">
            <v>XYZ-171</v>
          </cell>
        </row>
        <row r="4698">
          <cell r="A4698" t="str">
            <v>XYZ-171-ZL918-L</v>
          </cell>
          <cell r="B4698" t="str">
            <v>XYZ-171</v>
          </cell>
        </row>
        <row r="4699">
          <cell r="A4699" t="str">
            <v>XYZ-171-ZL918-M</v>
          </cell>
          <cell r="B4699" t="str">
            <v>XYZ-171</v>
          </cell>
        </row>
        <row r="4700">
          <cell r="A4700" t="str">
            <v>XYZ-171-ZL918-S</v>
          </cell>
          <cell r="B4700" t="str">
            <v>XYZ-171</v>
          </cell>
        </row>
        <row r="4701">
          <cell r="A4701" t="str">
            <v>XYZ-171-ZL918-XL</v>
          </cell>
          <cell r="B4701" t="str">
            <v>XYZ-171</v>
          </cell>
        </row>
        <row r="4702">
          <cell r="A4702" t="str">
            <v>XYZ-171-ZL918-XXL</v>
          </cell>
          <cell r="B4702" t="str">
            <v>XYZ-171</v>
          </cell>
        </row>
        <row r="4703">
          <cell r="A4703" t="str">
            <v>XYZ-181-G912-L</v>
          </cell>
          <cell r="B4703" t="str">
            <v>XYZ-181</v>
          </cell>
        </row>
        <row r="4704">
          <cell r="A4704" t="str">
            <v>XYZ-181-G912-M</v>
          </cell>
          <cell r="B4704" t="str">
            <v>XYZ-181</v>
          </cell>
        </row>
        <row r="4705">
          <cell r="A4705" t="str">
            <v>XYZ-181-G912-S</v>
          </cell>
          <cell r="B4705" t="str">
            <v>XYZ-181</v>
          </cell>
        </row>
        <row r="4706">
          <cell r="A4706" t="str">
            <v>XYZ-181-G912-XL</v>
          </cell>
          <cell r="B4706" t="str">
            <v>XYZ-181</v>
          </cell>
        </row>
        <row r="4707">
          <cell r="A4707" t="str">
            <v>XYZ-181-G912-XXL</v>
          </cell>
          <cell r="B4707" t="str">
            <v>XYZ-181</v>
          </cell>
        </row>
        <row r="4708">
          <cell r="A4708" t="str">
            <v>XYZ-181-LB916-L</v>
          </cell>
          <cell r="B4708" t="str">
            <v>XYZ-181</v>
          </cell>
        </row>
        <row r="4709">
          <cell r="A4709" t="str">
            <v>XYZ-181-LB916-M</v>
          </cell>
          <cell r="B4709" t="str">
            <v>XYZ-181</v>
          </cell>
        </row>
        <row r="4710">
          <cell r="A4710" t="str">
            <v>XYZ-181-LB916-S</v>
          </cell>
          <cell r="B4710" t="str">
            <v>XYZ-181</v>
          </cell>
        </row>
        <row r="4711">
          <cell r="A4711" t="str">
            <v>XYZ-181-LB916-XL</v>
          </cell>
          <cell r="B4711" t="str">
            <v>XYZ-181</v>
          </cell>
        </row>
        <row r="4712">
          <cell r="A4712" t="str">
            <v>XYZ-181-LB916-XXL</v>
          </cell>
          <cell r="B4712" t="str">
            <v>XYZ-181</v>
          </cell>
        </row>
        <row r="4713">
          <cell r="A4713" t="str">
            <v>XYZ-181-LG907-L</v>
          </cell>
          <cell r="B4713" t="str">
            <v>XYZ-181</v>
          </cell>
        </row>
        <row r="4714">
          <cell r="A4714" t="str">
            <v>XYZ-181-LG907-M</v>
          </cell>
          <cell r="B4714" t="str">
            <v>XYZ-181</v>
          </cell>
        </row>
        <row r="4715">
          <cell r="A4715" t="str">
            <v>XYZ-181-LG907-S</v>
          </cell>
          <cell r="B4715" t="str">
            <v>XYZ-181</v>
          </cell>
        </row>
        <row r="4716">
          <cell r="A4716" t="str">
            <v>XYZ-181-LG907-XL</v>
          </cell>
          <cell r="B4716" t="str">
            <v>XYZ-181</v>
          </cell>
        </row>
        <row r="4717">
          <cell r="A4717" t="str">
            <v>XYZ-181-LG907-XXL</v>
          </cell>
          <cell r="B4717" t="str">
            <v>XYZ-181</v>
          </cell>
        </row>
        <row r="4718">
          <cell r="A4718" t="str">
            <v>XYZ-181-PI908-L</v>
          </cell>
          <cell r="B4718" t="str">
            <v>XYZ-181</v>
          </cell>
        </row>
        <row r="4719">
          <cell r="A4719" t="str">
            <v>XYZ-181-PI908-M</v>
          </cell>
          <cell r="B4719" t="str">
            <v>XYZ-181</v>
          </cell>
        </row>
        <row r="4720">
          <cell r="A4720" t="str">
            <v>XYZ-181-PI908-S</v>
          </cell>
          <cell r="B4720" t="str">
            <v>XYZ-181</v>
          </cell>
        </row>
        <row r="4721">
          <cell r="A4721" t="str">
            <v>XYZ-181-PI908-XL</v>
          </cell>
          <cell r="B4721" t="str">
            <v>XYZ-181</v>
          </cell>
        </row>
        <row r="4722">
          <cell r="A4722" t="str">
            <v>XYZ-181-PI908-XXL</v>
          </cell>
          <cell r="B4722" t="str">
            <v>XYZ-181</v>
          </cell>
        </row>
        <row r="4723">
          <cell r="A4723" t="str">
            <v>XYZ-181-Sa911-L</v>
          </cell>
          <cell r="B4723" t="str">
            <v>XYZ-181</v>
          </cell>
        </row>
        <row r="4724">
          <cell r="A4724" t="str">
            <v>XYZ-181-Sa911-M</v>
          </cell>
          <cell r="B4724" t="str">
            <v>XYZ-181</v>
          </cell>
        </row>
        <row r="4725">
          <cell r="A4725" t="str">
            <v>XYZ-181-Sa911-S</v>
          </cell>
          <cell r="B4725" t="str">
            <v>XYZ-181</v>
          </cell>
        </row>
        <row r="4726">
          <cell r="A4726" t="str">
            <v>XYZ-181-Sa911-XL</v>
          </cell>
          <cell r="B4726" t="str">
            <v>XYZ-181</v>
          </cell>
        </row>
        <row r="4727">
          <cell r="A4727" t="str">
            <v>XYZ-181-Sa911-XXL</v>
          </cell>
          <cell r="B4727" t="str">
            <v>XYZ-181</v>
          </cell>
        </row>
        <row r="4728">
          <cell r="A4728" t="str">
            <v>XYZ-181-W902-L</v>
          </cell>
          <cell r="B4728" t="str">
            <v>XYZ-181</v>
          </cell>
        </row>
        <row r="4729">
          <cell r="A4729" t="str">
            <v>XYZ-181-W902-M</v>
          </cell>
          <cell r="B4729" t="str">
            <v>XYZ-181</v>
          </cell>
        </row>
        <row r="4730">
          <cell r="A4730" t="str">
            <v>XYZ-181-W902-S</v>
          </cell>
          <cell r="B4730" t="str">
            <v>XYZ-181</v>
          </cell>
        </row>
        <row r="4731">
          <cell r="A4731" t="str">
            <v>XYZ-181-W902-XL</v>
          </cell>
          <cell r="B4731" t="str">
            <v>XYZ-181</v>
          </cell>
        </row>
        <row r="4732">
          <cell r="A4732" t="str">
            <v>XYZ-181-W902-XXL</v>
          </cell>
          <cell r="B4732" t="str">
            <v>XYZ-181</v>
          </cell>
        </row>
        <row r="4733">
          <cell r="A4733" t="str">
            <v>XYZ-181-WR917-L</v>
          </cell>
          <cell r="B4733" t="str">
            <v>XYZ-181</v>
          </cell>
        </row>
        <row r="4734">
          <cell r="A4734" t="str">
            <v>XYZ-181-WR917-M</v>
          </cell>
          <cell r="B4734" t="str">
            <v>XYZ-181</v>
          </cell>
        </row>
        <row r="4735">
          <cell r="A4735" t="str">
            <v>XYZ-181-WR917-S</v>
          </cell>
          <cell r="B4735" t="str">
            <v>XYZ-181</v>
          </cell>
        </row>
        <row r="4736">
          <cell r="A4736" t="str">
            <v>XYZ-181-WR917-XL</v>
          </cell>
          <cell r="B4736" t="str">
            <v>XYZ-181</v>
          </cell>
        </row>
        <row r="4737">
          <cell r="A4737" t="str">
            <v>XYZ-181-WR917-XXL</v>
          </cell>
          <cell r="B4737" t="str">
            <v>XYZ-181</v>
          </cell>
        </row>
        <row r="4738">
          <cell r="A4738" t="str">
            <v>XYZ-181-ZL918-L</v>
          </cell>
          <cell r="B4738" t="str">
            <v>XYZ-181</v>
          </cell>
        </row>
        <row r="4739">
          <cell r="A4739" t="str">
            <v>XYZ-181-ZL918-M</v>
          </cell>
          <cell r="B4739" t="str">
            <v>XYZ-181</v>
          </cell>
        </row>
        <row r="4740">
          <cell r="A4740" t="str">
            <v>XYZ-181-ZL918-S</v>
          </cell>
          <cell r="B4740" t="str">
            <v>XYZ-181</v>
          </cell>
        </row>
        <row r="4741">
          <cell r="A4741" t="str">
            <v>XYZ-181-ZL918-XL</v>
          </cell>
          <cell r="B4741" t="str">
            <v>XYZ-181</v>
          </cell>
        </row>
        <row r="4742">
          <cell r="A4742" t="str">
            <v>XYZ-181-ZL918-XXL</v>
          </cell>
          <cell r="B4742" t="str">
            <v>XYZ-181</v>
          </cell>
        </row>
        <row r="4743">
          <cell r="A4743" t="str">
            <v>XZ-001E0L</v>
          </cell>
          <cell r="B4743" t="str">
            <v>XZ-001</v>
          </cell>
        </row>
        <row r="4744">
          <cell r="A4744" t="str">
            <v>XZ-001E0M</v>
          </cell>
          <cell r="B4744" t="str">
            <v>XZ-001</v>
          </cell>
        </row>
        <row r="4745">
          <cell r="A4745" t="str">
            <v>XZ-001E0S</v>
          </cell>
          <cell r="B4745" t="str">
            <v>XZ-001</v>
          </cell>
        </row>
        <row r="4746">
          <cell r="A4746" t="str">
            <v>XZ-001W0L</v>
          </cell>
          <cell r="B4746" t="str">
            <v>XZ-001</v>
          </cell>
        </row>
        <row r="4747">
          <cell r="A4747" t="str">
            <v>XZ-001W0M</v>
          </cell>
          <cell r="B4747" t="str">
            <v>XZ-001</v>
          </cell>
        </row>
        <row r="4748">
          <cell r="A4748" t="str">
            <v>XZ-001W0S</v>
          </cell>
          <cell r="B4748" t="str">
            <v>XZ-001</v>
          </cell>
        </row>
        <row r="4749">
          <cell r="A4749" t="str">
            <v>XZ-001ZEL</v>
          </cell>
          <cell r="B4749" t="str">
            <v>XZ-001</v>
          </cell>
        </row>
        <row r="4750">
          <cell r="A4750" t="str">
            <v>XZ-001ZEM</v>
          </cell>
          <cell r="B4750" t="str">
            <v>XZ-001</v>
          </cell>
        </row>
        <row r="4751">
          <cell r="A4751" t="str">
            <v>XZ-001ZES</v>
          </cell>
          <cell r="B4751" t="str">
            <v>XZ-001</v>
          </cell>
        </row>
        <row r="4752">
          <cell r="A4752" t="str">
            <v>XZ-002CWL</v>
          </cell>
          <cell r="B4752" t="str">
            <v>XZ-002</v>
          </cell>
        </row>
        <row r="4753">
          <cell r="A4753" t="str">
            <v>XZ-002CWM</v>
          </cell>
          <cell r="B4753" t="str">
            <v>XZ-002</v>
          </cell>
        </row>
        <row r="4754">
          <cell r="A4754" t="str">
            <v>XZ-002CWS</v>
          </cell>
          <cell r="B4754" t="str">
            <v>XZ-002</v>
          </cell>
        </row>
        <row r="4755">
          <cell r="A4755" t="str">
            <v>XZ-002GRL</v>
          </cell>
          <cell r="B4755" t="str">
            <v>XZ-002</v>
          </cell>
        </row>
        <row r="4756">
          <cell r="A4756" t="str">
            <v>XZ-002GRM</v>
          </cell>
          <cell r="B4756" t="str">
            <v>XZ-002</v>
          </cell>
        </row>
        <row r="4757">
          <cell r="A4757" t="str">
            <v>XZ-002GRS</v>
          </cell>
          <cell r="B4757" t="str">
            <v>XZ-002</v>
          </cell>
        </row>
        <row r="4758">
          <cell r="A4758" t="str">
            <v>XZ-002W0L</v>
          </cell>
          <cell r="B4758" t="str">
            <v>XZ-002</v>
          </cell>
        </row>
        <row r="4759">
          <cell r="A4759" t="str">
            <v>XZ-003B0L</v>
          </cell>
          <cell r="B4759" t="str">
            <v>XZ-003</v>
          </cell>
        </row>
        <row r="4760">
          <cell r="A4760" t="str">
            <v>XZ-003B0M</v>
          </cell>
          <cell r="B4760" t="str">
            <v>XZ-003</v>
          </cell>
        </row>
        <row r="4761">
          <cell r="A4761" t="str">
            <v>XZ-003B0S</v>
          </cell>
          <cell r="B4761" t="str">
            <v>XZ-003</v>
          </cell>
        </row>
        <row r="4762">
          <cell r="A4762" t="str">
            <v>XZ-003R0L</v>
          </cell>
          <cell r="B4762" t="str">
            <v>XZ-003</v>
          </cell>
        </row>
        <row r="4763">
          <cell r="A4763" t="str">
            <v>XZ-003R0M</v>
          </cell>
          <cell r="B4763" t="str">
            <v>XZ-003</v>
          </cell>
        </row>
        <row r="4764">
          <cell r="A4764" t="str">
            <v>XZ-003R0S</v>
          </cell>
          <cell r="B4764" t="str">
            <v>XZ-003</v>
          </cell>
        </row>
        <row r="4765">
          <cell r="A4765" t="str">
            <v>XZ-004B0M</v>
          </cell>
          <cell r="B4765" t="str">
            <v>XZ-004</v>
          </cell>
        </row>
        <row r="4766">
          <cell r="A4766" t="str">
            <v>XZ-004B0S</v>
          </cell>
          <cell r="B4766" t="str">
            <v>XZ-004</v>
          </cell>
        </row>
        <row r="4767">
          <cell r="A4767" t="str">
            <v>XZ-004BOL</v>
          </cell>
          <cell r="B4767" t="str">
            <v>XZ-004</v>
          </cell>
        </row>
        <row r="4768">
          <cell r="A4768" t="str">
            <v>XZ-004G0L</v>
          </cell>
          <cell r="B4768" t="str">
            <v>XZ-004</v>
          </cell>
        </row>
        <row r="4769">
          <cell r="A4769" t="str">
            <v>XZ-004G0M</v>
          </cell>
          <cell r="B4769" t="str">
            <v>XZ-004</v>
          </cell>
        </row>
        <row r="4770">
          <cell r="A4770" t="str">
            <v>XZ-004G0S</v>
          </cell>
          <cell r="B4770" t="str">
            <v>XZ-004</v>
          </cell>
        </row>
        <row r="4771">
          <cell r="A4771" t="str">
            <v>XZ-004K0L</v>
          </cell>
          <cell r="B4771" t="str">
            <v>XZ-004</v>
          </cell>
        </row>
        <row r="4772">
          <cell r="A4772" t="str">
            <v>XZ-004K0M</v>
          </cell>
          <cell r="B4772" t="str">
            <v>XZ-004</v>
          </cell>
        </row>
        <row r="4773">
          <cell r="A4773" t="str">
            <v>XZ-004K0S</v>
          </cell>
          <cell r="B4773" t="str">
            <v>XZ-004</v>
          </cell>
        </row>
        <row r="4774">
          <cell r="A4774" t="str">
            <v>XZ-004R0L</v>
          </cell>
          <cell r="B4774" t="str">
            <v>XZ-004</v>
          </cell>
        </row>
        <row r="4775">
          <cell r="A4775" t="str">
            <v>XZ-004R0M</v>
          </cell>
          <cell r="B4775" t="str">
            <v>XZ-004</v>
          </cell>
        </row>
        <row r="4776">
          <cell r="A4776" t="str">
            <v>XZ-004R0S</v>
          </cell>
          <cell r="B4776" t="str">
            <v>XZ-004</v>
          </cell>
        </row>
        <row r="4777">
          <cell r="A4777" t="str">
            <v>XZ-004SLL</v>
          </cell>
          <cell r="B4777" t="str">
            <v>XZ-004</v>
          </cell>
        </row>
        <row r="4778">
          <cell r="A4778" t="str">
            <v>XZ-004SLM</v>
          </cell>
          <cell r="B4778" t="str">
            <v>XZ-004</v>
          </cell>
        </row>
        <row r="4779">
          <cell r="A4779" t="str">
            <v>XZ-004SLS</v>
          </cell>
          <cell r="B4779" t="str">
            <v>XZ-004</v>
          </cell>
        </row>
        <row r="4780">
          <cell r="A4780" t="str">
            <v>XZ-005</v>
          </cell>
          <cell r="B4780" t="str">
            <v>XZ-005</v>
          </cell>
        </row>
        <row r="4781">
          <cell r="A4781" t="str">
            <v>XZ-005GEL</v>
          </cell>
          <cell r="B4781" t="str">
            <v>XZ-005</v>
          </cell>
        </row>
        <row r="4782">
          <cell r="A4782" t="str">
            <v>XZ-005GEM</v>
          </cell>
          <cell r="B4782" t="str">
            <v>XZ-005</v>
          </cell>
        </row>
        <row r="4783">
          <cell r="A4783" t="str">
            <v>XZ-005GES</v>
          </cell>
          <cell r="B4783" t="str">
            <v>XZ-005</v>
          </cell>
        </row>
        <row r="4784">
          <cell r="A4784" t="str">
            <v>XZ-005P0L</v>
          </cell>
          <cell r="B4784" t="str">
            <v>XZ-005</v>
          </cell>
        </row>
        <row r="4785">
          <cell r="A4785" t="str">
            <v>XZ-005P0M</v>
          </cell>
          <cell r="B4785" t="str">
            <v>XZ-005</v>
          </cell>
        </row>
        <row r="4786">
          <cell r="A4786" t="str">
            <v>XZ-005P0S</v>
          </cell>
          <cell r="B4786" t="str">
            <v>XZ-005</v>
          </cell>
        </row>
        <row r="4787">
          <cell r="A4787" t="str">
            <v>XZ-005Y0L</v>
          </cell>
          <cell r="B4787" t="str">
            <v>XZ-005</v>
          </cell>
        </row>
        <row r="4788">
          <cell r="A4788" t="str">
            <v>XZ-005Y0M</v>
          </cell>
          <cell r="B4788" t="str">
            <v>XZ-005</v>
          </cell>
        </row>
        <row r="4789">
          <cell r="A4789" t="str">
            <v>XZ-005Y0S</v>
          </cell>
          <cell r="B4789" t="str">
            <v>XZ-005</v>
          </cell>
        </row>
        <row r="4790">
          <cell r="A4790" t="str">
            <v>XZ-006</v>
          </cell>
          <cell r="B4790" t="str">
            <v>XZ-006</v>
          </cell>
        </row>
        <row r="4791">
          <cell r="A4791" t="str">
            <v>XZ-006B0L</v>
          </cell>
          <cell r="B4791" t="str">
            <v>XZ-006</v>
          </cell>
        </row>
        <row r="4792">
          <cell r="A4792" t="str">
            <v>XZ-006B0M</v>
          </cell>
          <cell r="B4792" t="str">
            <v>XZ-006</v>
          </cell>
        </row>
        <row r="4793">
          <cell r="A4793" t="str">
            <v>XZ-006B0S</v>
          </cell>
          <cell r="B4793" t="str">
            <v>XZ-006</v>
          </cell>
        </row>
        <row r="4794">
          <cell r="A4794" t="str">
            <v>XZ-006GRL</v>
          </cell>
          <cell r="B4794" t="str">
            <v>XZ-006</v>
          </cell>
        </row>
        <row r="4795">
          <cell r="A4795" t="str">
            <v>XZ-006GRM</v>
          </cell>
          <cell r="B4795" t="str">
            <v>XZ-006</v>
          </cell>
        </row>
        <row r="4796">
          <cell r="A4796" t="str">
            <v>XZ-006GRS</v>
          </cell>
          <cell r="B4796" t="str">
            <v>XZ-006</v>
          </cell>
        </row>
        <row r="4797">
          <cell r="A4797" t="str">
            <v>XZ-006R0L</v>
          </cell>
          <cell r="B4797" t="str">
            <v>XZ-006</v>
          </cell>
        </row>
        <row r="4798">
          <cell r="A4798" t="str">
            <v>XZ-006R0M</v>
          </cell>
          <cell r="B4798" t="str">
            <v>XZ-006</v>
          </cell>
        </row>
        <row r="4799">
          <cell r="A4799" t="str">
            <v>XZ-006R0S</v>
          </cell>
          <cell r="B4799" t="str">
            <v>XZ-006</v>
          </cell>
        </row>
        <row r="4800">
          <cell r="A4800" t="str">
            <v>XZ-007</v>
          </cell>
          <cell r="B4800" t="str">
            <v>XZ-007</v>
          </cell>
        </row>
        <row r="4801">
          <cell r="A4801" t="str">
            <v>XZ-007GRL</v>
          </cell>
          <cell r="B4801" t="str">
            <v>XZ-007</v>
          </cell>
        </row>
        <row r="4802">
          <cell r="A4802" t="str">
            <v>XZ-007GRM</v>
          </cell>
          <cell r="B4802" t="str">
            <v>XZ-007</v>
          </cell>
        </row>
        <row r="4803">
          <cell r="A4803" t="str">
            <v>XZ-007GRS</v>
          </cell>
          <cell r="B4803" t="str">
            <v>XZ-007</v>
          </cell>
        </row>
        <row r="4804">
          <cell r="A4804" t="str">
            <v>XZ-007GRXL</v>
          </cell>
          <cell r="B4804" t="str">
            <v>XZ-007</v>
          </cell>
        </row>
        <row r="4805">
          <cell r="A4805" t="str">
            <v>XZ-007W0L</v>
          </cell>
          <cell r="B4805" t="str">
            <v>XZ-007</v>
          </cell>
        </row>
        <row r="4806">
          <cell r="A4806" t="str">
            <v>XZ-007W0M</v>
          </cell>
          <cell r="B4806" t="str">
            <v>XZ-007</v>
          </cell>
        </row>
        <row r="4807">
          <cell r="A4807" t="str">
            <v>XZ-007W0S</v>
          </cell>
          <cell r="B4807" t="str">
            <v>XZ-007</v>
          </cell>
        </row>
        <row r="4808">
          <cell r="A4808" t="str">
            <v>XZ-007W0XL</v>
          </cell>
          <cell r="B4808" t="str">
            <v>XZ-007</v>
          </cell>
        </row>
        <row r="4809">
          <cell r="A4809" t="str">
            <v>XZ-011</v>
          </cell>
          <cell r="B4809" t="str">
            <v>XZ-011</v>
          </cell>
        </row>
        <row r="4810">
          <cell r="A4810" t="str">
            <v>XZ-011CoL</v>
          </cell>
          <cell r="B4810" t="str">
            <v>XZ-011</v>
          </cell>
        </row>
        <row r="4811">
          <cell r="A4811" t="str">
            <v>XZ-011CoXL</v>
          </cell>
          <cell r="B4811" t="str">
            <v>XZ-011</v>
          </cell>
        </row>
        <row r="4812">
          <cell r="A4812" t="str">
            <v>XZ-011R6S</v>
          </cell>
          <cell r="B4812" t="str">
            <v>XZ-011</v>
          </cell>
        </row>
        <row r="4813">
          <cell r="A4813" t="str">
            <v>XZ-013</v>
          </cell>
          <cell r="B4813" t="str">
            <v>XZ-013</v>
          </cell>
        </row>
        <row r="4814">
          <cell r="A4814" t="str">
            <v>XZ-013-Cat-3637</v>
          </cell>
          <cell r="B4814" t="str">
            <v>XZ-013</v>
          </cell>
        </row>
        <row r="4815">
          <cell r="A4815" t="str">
            <v>XZ-013-Cat-3839</v>
          </cell>
          <cell r="B4815" t="str">
            <v>XZ-013</v>
          </cell>
        </row>
        <row r="4816">
          <cell r="A4816" t="str">
            <v>XZ-013-GR1-3637</v>
          </cell>
          <cell r="B4816" t="str">
            <v>XZ-013</v>
          </cell>
        </row>
        <row r="4817">
          <cell r="A4817" t="str">
            <v>XZ-013-GR1-3839</v>
          </cell>
          <cell r="B4817" t="str">
            <v>XZ-013</v>
          </cell>
        </row>
        <row r="4818">
          <cell r="A4818" t="str">
            <v>XZ-013-GR1-4041</v>
          </cell>
          <cell r="B4818" t="str">
            <v>XZ-013</v>
          </cell>
        </row>
        <row r="4819">
          <cell r="A4819" t="str">
            <v>XZ-013-GR1-4243</v>
          </cell>
          <cell r="B4819" t="str">
            <v>XZ-013</v>
          </cell>
        </row>
        <row r="4820">
          <cell r="A4820" t="str">
            <v>XZ-013GR1L</v>
          </cell>
          <cell r="B4820" t="str">
            <v>XZ-013</v>
          </cell>
        </row>
        <row r="4821">
          <cell r="A4821" t="str">
            <v>XZ-013GR1M</v>
          </cell>
          <cell r="B4821" t="str">
            <v>XZ-013</v>
          </cell>
        </row>
        <row r="4822">
          <cell r="A4822" t="str">
            <v>XZ-013GR1S</v>
          </cell>
          <cell r="B4822" t="str">
            <v>XZ-013</v>
          </cell>
        </row>
        <row r="4823">
          <cell r="A4823" t="str">
            <v>XZ-013GR1XL</v>
          </cell>
          <cell r="B4823" t="str">
            <v>XZ-013</v>
          </cell>
        </row>
        <row r="4824">
          <cell r="A4824" t="str">
            <v>XZ-013-GR2-3637</v>
          </cell>
          <cell r="B4824" t="str">
            <v>XZ-013</v>
          </cell>
        </row>
        <row r="4825">
          <cell r="A4825" t="str">
            <v>XZ-013-GR2-3839</v>
          </cell>
          <cell r="B4825" t="str">
            <v>XZ-013</v>
          </cell>
        </row>
        <row r="4826">
          <cell r="A4826" t="str">
            <v>XZ-013-GR2-4041</v>
          </cell>
          <cell r="B4826" t="str">
            <v>XZ-013</v>
          </cell>
        </row>
        <row r="4827">
          <cell r="A4827" t="str">
            <v>XZ-013-GR2-4243</v>
          </cell>
          <cell r="B4827" t="str">
            <v>XZ-013</v>
          </cell>
        </row>
        <row r="4828">
          <cell r="A4828" t="str">
            <v>XZ-013GR2L</v>
          </cell>
          <cell r="B4828" t="str">
            <v>XZ-013</v>
          </cell>
        </row>
        <row r="4829">
          <cell r="A4829" t="str">
            <v>XZ-013GR2M</v>
          </cell>
          <cell r="B4829" t="str">
            <v>XZ-013</v>
          </cell>
        </row>
        <row r="4830">
          <cell r="A4830" t="str">
            <v>XZ-013GR2S</v>
          </cell>
          <cell r="B4830" t="str">
            <v>XZ-013</v>
          </cell>
        </row>
        <row r="4831">
          <cell r="A4831" t="str">
            <v>XZ-013GR2XL</v>
          </cell>
          <cell r="B4831" t="str">
            <v>XZ-013</v>
          </cell>
        </row>
        <row r="4832">
          <cell r="A4832" t="str">
            <v>XZ-013GR3-2XL</v>
          </cell>
          <cell r="B4832" t="str">
            <v>XZ-013</v>
          </cell>
        </row>
        <row r="4833">
          <cell r="A4833" t="str">
            <v>XZ-013-GR3-3536</v>
          </cell>
          <cell r="B4833" t="str">
            <v>XZ-013</v>
          </cell>
        </row>
        <row r="4834">
          <cell r="A4834" t="str">
            <v>XZ-013-GR3-3738</v>
          </cell>
          <cell r="B4834" t="str">
            <v>XZ-013</v>
          </cell>
        </row>
        <row r="4835">
          <cell r="A4835" t="str">
            <v>XZ-013-GR3-3940</v>
          </cell>
          <cell r="B4835" t="str">
            <v>XZ-013</v>
          </cell>
        </row>
        <row r="4836">
          <cell r="A4836" t="str">
            <v>XZ-013-GR3-4142</v>
          </cell>
          <cell r="B4836" t="str">
            <v>XZ-013</v>
          </cell>
        </row>
        <row r="4837">
          <cell r="A4837" t="str">
            <v>XZ-013-GR3-4344</v>
          </cell>
          <cell r="B4837" t="str">
            <v>XZ-013</v>
          </cell>
        </row>
        <row r="4838">
          <cell r="A4838" t="str">
            <v>XZ-013GR3L</v>
          </cell>
          <cell r="B4838" t="str">
            <v>XZ-013</v>
          </cell>
        </row>
        <row r="4839">
          <cell r="A4839" t="str">
            <v>XZ-013GR3M</v>
          </cell>
          <cell r="B4839" t="str">
            <v>XZ-013</v>
          </cell>
        </row>
        <row r="4840">
          <cell r="A4840" t="str">
            <v>XZ-013GR3S</v>
          </cell>
          <cell r="B4840" t="str">
            <v>XZ-013</v>
          </cell>
        </row>
        <row r="4841">
          <cell r="A4841" t="str">
            <v>XZ-013GR3XL</v>
          </cell>
          <cell r="B4841" t="str">
            <v>XZ-013</v>
          </cell>
        </row>
        <row r="4842">
          <cell r="A4842" t="str">
            <v>XZ-013-Owl-3637</v>
          </cell>
          <cell r="B4842" t="str">
            <v>XZ-013</v>
          </cell>
        </row>
        <row r="4843">
          <cell r="A4843" t="str">
            <v>XZ-013-Owl-3839</v>
          </cell>
          <cell r="B4843" t="str">
            <v>XZ-013</v>
          </cell>
        </row>
        <row r="4844">
          <cell r="A4844" t="str">
            <v>XZ-013-PI3-3536</v>
          </cell>
          <cell r="B4844" t="str">
            <v>XZ-013</v>
          </cell>
        </row>
        <row r="4845">
          <cell r="A4845" t="str">
            <v>XZ-013-PI3-3738</v>
          </cell>
          <cell r="B4845" t="str">
            <v>XZ-013</v>
          </cell>
        </row>
        <row r="4846">
          <cell r="A4846" t="str">
            <v>XZ-013-PI3-3940</v>
          </cell>
          <cell r="B4846" t="str">
            <v>XZ-013</v>
          </cell>
        </row>
        <row r="4847">
          <cell r="A4847" t="str">
            <v>XZ-013PI3L</v>
          </cell>
          <cell r="B4847" t="str">
            <v>XZ-013</v>
          </cell>
        </row>
        <row r="4848">
          <cell r="A4848" t="str">
            <v>XZ-013PI3M</v>
          </cell>
          <cell r="B4848" t="str">
            <v>XZ-013</v>
          </cell>
        </row>
        <row r="4849">
          <cell r="A4849" t="str">
            <v>XZ-013PI3S</v>
          </cell>
          <cell r="B4849" t="str">
            <v>XZ-013</v>
          </cell>
        </row>
        <row r="4850">
          <cell r="A4850" t="str">
            <v>XZ-013-WH1-3637</v>
          </cell>
          <cell r="B4850" t="str">
            <v>XZ-013</v>
          </cell>
        </row>
        <row r="4851">
          <cell r="A4851" t="str">
            <v>XZ-013-WH1-3839</v>
          </cell>
          <cell r="B4851" t="str">
            <v>XZ-013</v>
          </cell>
        </row>
        <row r="4852">
          <cell r="A4852" t="str">
            <v>XZ-013WH1M</v>
          </cell>
          <cell r="B4852" t="str">
            <v>XZ-013</v>
          </cell>
        </row>
        <row r="4853">
          <cell r="A4853" t="str">
            <v>XZ-013WH1S</v>
          </cell>
          <cell r="B4853" t="str">
            <v>XZ-013</v>
          </cell>
        </row>
        <row r="4854">
          <cell r="A4854" t="str">
            <v>XZ-013-WH2-3637</v>
          </cell>
          <cell r="B4854" t="str">
            <v>XZ-013</v>
          </cell>
        </row>
        <row r="4855">
          <cell r="A4855" t="str">
            <v>XZ-013-WH2-3839</v>
          </cell>
          <cell r="B4855" t="str">
            <v>XZ-013</v>
          </cell>
        </row>
        <row r="4856">
          <cell r="A4856" t="str">
            <v>XZ-013WH2M</v>
          </cell>
          <cell r="B4856" t="str">
            <v>XZ-013</v>
          </cell>
        </row>
        <row r="4857">
          <cell r="A4857" t="str">
            <v>XZ-013WH2S</v>
          </cell>
          <cell r="B4857" t="str">
            <v>XZ-013</v>
          </cell>
        </row>
        <row r="4858">
          <cell r="A4858" t="str">
            <v>XZ-013-WH3-3536</v>
          </cell>
          <cell r="B4858" t="str">
            <v>XZ-013</v>
          </cell>
        </row>
        <row r="4859">
          <cell r="A4859" t="str">
            <v>XZ-013-WH3-3738</v>
          </cell>
          <cell r="B4859" t="str">
            <v>XZ-013</v>
          </cell>
        </row>
        <row r="4860">
          <cell r="A4860" t="str">
            <v>XZ-013-WH3-3940</v>
          </cell>
          <cell r="B4860" t="str">
            <v>XZ-013</v>
          </cell>
        </row>
        <row r="4861">
          <cell r="A4861" t="str">
            <v>XZ-013WH3L</v>
          </cell>
          <cell r="B4861" t="str">
            <v>XZ-013</v>
          </cell>
        </row>
        <row r="4862">
          <cell r="A4862" t="str">
            <v>XZ-013WH3M</v>
          </cell>
          <cell r="B4862" t="str">
            <v>XZ-013</v>
          </cell>
        </row>
        <row r="4863">
          <cell r="A4863" t="str">
            <v>XZ-013WH3S</v>
          </cell>
          <cell r="B4863" t="str">
            <v>XZ-013</v>
          </cell>
        </row>
        <row r="4864">
          <cell r="A4864" t="str">
            <v>XZ-056</v>
          </cell>
          <cell r="B4864" t="str">
            <v>XZ-056</v>
          </cell>
        </row>
        <row r="4865">
          <cell r="A4865" t="str">
            <v>XZ-056-G0-L</v>
          </cell>
          <cell r="B4865" t="str">
            <v>XZ-056</v>
          </cell>
        </row>
        <row r="4866">
          <cell r="A4866" t="str">
            <v>XZ-056-G0-M</v>
          </cell>
          <cell r="B4866" t="str">
            <v>XZ-056</v>
          </cell>
        </row>
        <row r="4867">
          <cell r="A4867" t="str">
            <v>XZ-056-G0-S</v>
          </cell>
          <cell r="B4867" t="str">
            <v>XZ-056</v>
          </cell>
        </row>
        <row r="4868">
          <cell r="A4868" t="str">
            <v>XZ-056-R3-L</v>
          </cell>
          <cell r="B4868" t="str">
            <v>XZ-056</v>
          </cell>
        </row>
        <row r="4869">
          <cell r="A4869" t="str">
            <v>XZ-056-R3-M</v>
          </cell>
          <cell r="B4869" t="str">
            <v>XZ-056</v>
          </cell>
        </row>
        <row r="4870">
          <cell r="A4870" t="str">
            <v>XZ-056-R3-S</v>
          </cell>
          <cell r="B4870" t="str">
            <v>XZ-056</v>
          </cell>
        </row>
        <row r="4871">
          <cell r="A4871" t="str">
            <v>XZ-056-W0-L</v>
          </cell>
          <cell r="B4871" t="str">
            <v>XZ-056</v>
          </cell>
        </row>
        <row r="4872">
          <cell r="A4872" t="str">
            <v>XZ-056-W0-M</v>
          </cell>
          <cell r="B4872" t="str">
            <v>XZ-056</v>
          </cell>
        </row>
        <row r="4873">
          <cell r="A4873" t="str">
            <v>XZ-056-W0-S</v>
          </cell>
          <cell r="B4873" t="str">
            <v>XZ-056</v>
          </cell>
        </row>
        <row r="4874">
          <cell r="A4874" t="str">
            <v>XZ-2115</v>
          </cell>
          <cell r="B4874" t="str">
            <v>XZ-2115</v>
          </cell>
        </row>
        <row r="4875">
          <cell r="A4875" t="str">
            <v>XZ-2115Gr35</v>
          </cell>
          <cell r="B4875" t="str">
            <v>XZ-2115</v>
          </cell>
        </row>
        <row r="4876">
          <cell r="A4876" t="str">
            <v>XZ-2115Gr36</v>
          </cell>
          <cell r="B4876" t="str">
            <v>XZ-2115</v>
          </cell>
        </row>
        <row r="4877">
          <cell r="A4877" t="str">
            <v>XZ-2115Gr38</v>
          </cell>
          <cell r="B4877" t="str">
            <v>XZ-2115</v>
          </cell>
        </row>
        <row r="4878">
          <cell r="A4878" t="str">
            <v>XZ-2115Li35</v>
          </cell>
          <cell r="B4878" t="str">
            <v>XZ-2115</v>
          </cell>
        </row>
        <row r="4879">
          <cell r="A4879" t="str">
            <v>XZ-2115Li36</v>
          </cell>
          <cell r="B4879" t="str">
            <v>XZ-2115</v>
          </cell>
        </row>
        <row r="4880">
          <cell r="A4880" t="str">
            <v>XZ-2115Li38</v>
          </cell>
          <cell r="B4880" t="str">
            <v>XZ-2115</v>
          </cell>
        </row>
        <row r="4881">
          <cell r="A4881" t="str">
            <v>XZ-2115Pi35</v>
          </cell>
          <cell r="B4881" t="str">
            <v>XZ-2115</v>
          </cell>
        </row>
        <row r="4882">
          <cell r="A4882" t="str">
            <v>XZ-2115Pi37</v>
          </cell>
          <cell r="B4882" t="str">
            <v>XZ-2115</v>
          </cell>
        </row>
        <row r="4883">
          <cell r="A4883" t="str">
            <v>XZ-2115Pi39</v>
          </cell>
          <cell r="B4883" t="str">
            <v>XZ-2115</v>
          </cell>
        </row>
        <row r="4884">
          <cell r="A4884" t="str">
            <v>XZ-2116BR42</v>
          </cell>
          <cell r="B4884" t="str">
            <v>XZ-2115</v>
          </cell>
        </row>
        <row r="4885">
          <cell r="A4885" t="str">
            <v>XZ-2116BR44</v>
          </cell>
          <cell r="B4885" t="str">
            <v>XZ-2115</v>
          </cell>
        </row>
        <row r="4886">
          <cell r="A4886" t="str">
            <v>XZ-2116G042</v>
          </cell>
          <cell r="B4886" t="str">
            <v>XZ-2115</v>
          </cell>
        </row>
        <row r="4887">
          <cell r="A4887" t="str">
            <v>XZ-2116G044</v>
          </cell>
          <cell r="B4887" t="str">
            <v>XZ-2115</v>
          </cell>
        </row>
        <row r="4888">
          <cell r="A4888" t="str">
            <v>XZ-2116Pi38</v>
          </cell>
          <cell r="B4888" t="str">
            <v>XZ-2115</v>
          </cell>
        </row>
        <row r="4889">
          <cell r="A4889" t="str">
            <v>XZ-2116Pi40</v>
          </cell>
          <cell r="B4889" t="str">
            <v>XZ-2115</v>
          </cell>
        </row>
        <row r="4890">
          <cell r="A4890" t="str">
            <v>XZ-2116R038</v>
          </cell>
          <cell r="B4890" t="str">
            <v>XZ-2115</v>
          </cell>
        </row>
        <row r="4891">
          <cell r="A4891" t="str">
            <v>XZ-2116R040</v>
          </cell>
          <cell r="B4891" t="str">
            <v>XZ-2115</v>
          </cell>
        </row>
        <row r="4892">
          <cell r="A4892" t="str">
            <v>XZ-2116Y038</v>
          </cell>
          <cell r="B4892" t="str">
            <v>XZ-2115</v>
          </cell>
        </row>
        <row r="4893">
          <cell r="A4893" t="str">
            <v>XZ-2116Y040</v>
          </cell>
          <cell r="B4893" t="str">
            <v>XZ-2115</v>
          </cell>
        </row>
        <row r="4894">
          <cell r="A4894" t="str">
            <v>XZ-7178</v>
          </cell>
          <cell r="B4894" t="str">
            <v>XZ-7178</v>
          </cell>
        </row>
        <row r="4895">
          <cell r="A4895" t="str">
            <v>XZ-7178-CG0-36-37</v>
          </cell>
          <cell r="B4895" t="str">
            <v>XZ-7178</v>
          </cell>
        </row>
        <row r="4896">
          <cell r="A4896" t="str">
            <v>XZ-7178-CG0-36-37-1</v>
          </cell>
          <cell r="B4896" t="str">
            <v>XZ-7178</v>
          </cell>
        </row>
        <row r="4897">
          <cell r="A4897" t="str">
            <v>XZ-7178-CG0-38-39</v>
          </cell>
          <cell r="B4897" t="str">
            <v>XZ-7178</v>
          </cell>
        </row>
        <row r="4898">
          <cell r="A4898" t="str">
            <v>XZ-7178-CG0-38-39-1</v>
          </cell>
          <cell r="B4898" t="str">
            <v>XZ-7178</v>
          </cell>
        </row>
        <row r="4899">
          <cell r="A4899" t="str">
            <v>XZ-7178-CG0-40-41</v>
          </cell>
          <cell r="B4899" t="str">
            <v>XZ-7178</v>
          </cell>
        </row>
        <row r="4900">
          <cell r="A4900" t="str">
            <v>XZ-7178-CG0-40-41-1</v>
          </cell>
          <cell r="B4900" t="str">
            <v>XZ-7178</v>
          </cell>
        </row>
        <row r="4901">
          <cell r="A4901" t="str">
            <v>XZ-7178-CP0-36-37</v>
          </cell>
          <cell r="B4901" t="str">
            <v>XZ-7178</v>
          </cell>
        </row>
        <row r="4902">
          <cell r="A4902" t="str">
            <v>XZ-7178-CP0-36-37-1</v>
          </cell>
          <cell r="B4902" t="str">
            <v>XZ-7178</v>
          </cell>
        </row>
        <row r="4903">
          <cell r="A4903" t="str">
            <v>XZ-7178-CP0-38-39</v>
          </cell>
          <cell r="B4903" t="str">
            <v>XZ-7178</v>
          </cell>
        </row>
        <row r="4904">
          <cell r="A4904" t="str">
            <v>XZ-7178-CP0-38-39-1</v>
          </cell>
          <cell r="B4904" t="str">
            <v>XZ-7178</v>
          </cell>
        </row>
        <row r="4905">
          <cell r="A4905" t="str">
            <v>XZ-7178-CP0-40-41</v>
          </cell>
          <cell r="B4905" t="str">
            <v>XZ-7178</v>
          </cell>
        </row>
        <row r="4906">
          <cell r="A4906" t="str">
            <v>XZ-7178-CP0-40-41-1</v>
          </cell>
          <cell r="B4906" t="str">
            <v>XZ-7178</v>
          </cell>
        </row>
        <row r="4907">
          <cell r="A4907" t="str">
            <v>XZ-7178-CY0-36-37</v>
          </cell>
          <cell r="B4907" t="str">
            <v>XZ-7178</v>
          </cell>
        </row>
        <row r="4908">
          <cell r="A4908" t="str">
            <v>XZ-7178-CY0-36-37-1</v>
          </cell>
          <cell r="B4908" t="str">
            <v>XZ-7178</v>
          </cell>
        </row>
        <row r="4909">
          <cell r="A4909" t="str">
            <v>XZ-7178-CY0-38-39</v>
          </cell>
          <cell r="B4909" t="str">
            <v>XZ-7178</v>
          </cell>
        </row>
        <row r="4910">
          <cell r="A4910" t="str">
            <v>XZ-7178-CY0-38-39-1</v>
          </cell>
          <cell r="B4910" t="str">
            <v>XZ-7178</v>
          </cell>
        </row>
        <row r="4911">
          <cell r="A4911" t="str">
            <v>XZ-7178-CY0-40-41</v>
          </cell>
          <cell r="B4911" t="str">
            <v>XZ-7178</v>
          </cell>
        </row>
        <row r="4912">
          <cell r="A4912" t="str">
            <v>XZ-7178-CY0-40-41-1</v>
          </cell>
          <cell r="B4912" t="str">
            <v>XZ-7178</v>
          </cell>
        </row>
        <row r="4913">
          <cell r="A4913" t="str">
            <v>XZ-CL01</v>
          </cell>
          <cell r="B4913" t="str">
            <v>XZ-CL01</v>
          </cell>
        </row>
        <row r="4914">
          <cell r="A4914" t="str">
            <v>XZ-CL01-E0-36/37</v>
          </cell>
          <cell r="B4914" t="str">
            <v>XZ-CL01</v>
          </cell>
        </row>
        <row r="4915">
          <cell r="A4915" t="str">
            <v>XZ-CL01-E0-38/39</v>
          </cell>
          <cell r="B4915" t="str">
            <v>XZ-CL01</v>
          </cell>
        </row>
        <row r="4916">
          <cell r="A4916" t="str">
            <v>XZ-CL01-E0-40/41</v>
          </cell>
          <cell r="B4916" t="str">
            <v>XZ-CL01</v>
          </cell>
        </row>
        <row r="4917">
          <cell r="A4917" t="str">
            <v>XZ-CL01-N0-36/37</v>
          </cell>
          <cell r="B4917" t="str">
            <v>XZ-CL01</v>
          </cell>
        </row>
        <row r="4918">
          <cell r="A4918" t="str">
            <v>XZ-CL01-N0-38/39</v>
          </cell>
          <cell r="B4918" t="str">
            <v>XZ-CL01</v>
          </cell>
        </row>
        <row r="4919">
          <cell r="A4919" t="str">
            <v>XZ-CL01-N0-40/41</v>
          </cell>
          <cell r="B4919" t="str">
            <v>XZ-CL01</v>
          </cell>
        </row>
        <row r="4920">
          <cell r="A4920" t="str">
            <v>XZ-CL01-R6-36/37</v>
          </cell>
          <cell r="B4920" t="str">
            <v>XZ-CL01</v>
          </cell>
        </row>
        <row r="4921">
          <cell r="A4921" t="str">
            <v>XZ-CL01-R6-38/39</v>
          </cell>
          <cell r="B4921" t="str">
            <v>XZ-CL01</v>
          </cell>
        </row>
        <row r="4922">
          <cell r="A4922" t="str">
            <v>XZ-CL01-R6-40/41</v>
          </cell>
          <cell r="B4922" t="str">
            <v>XZ-CL01</v>
          </cell>
        </row>
        <row r="4923">
          <cell r="A4923" t="str">
            <v>XZ-CL02</v>
          </cell>
          <cell r="B4923" t="str">
            <v>XZ-CL02</v>
          </cell>
        </row>
        <row r="4924">
          <cell r="A4924" t="str">
            <v>XZ-CL02-E0-41/42</v>
          </cell>
          <cell r="B4924" t="str">
            <v>XZ-CL02</v>
          </cell>
        </row>
        <row r="4925">
          <cell r="A4925" t="str">
            <v>XZ-CL02-E0-43/44</v>
          </cell>
          <cell r="B4925" t="str">
            <v>XZ-CL02</v>
          </cell>
        </row>
        <row r="4926">
          <cell r="A4926" t="str">
            <v>XZ-CL02-N0-41/42</v>
          </cell>
          <cell r="B4926" t="str">
            <v>XZ-CL02</v>
          </cell>
        </row>
        <row r="4927">
          <cell r="A4927" t="str">
            <v>XZ-CL02-N0-43/44</v>
          </cell>
          <cell r="B4927" t="str">
            <v>XZ-CL02</v>
          </cell>
        </row>
        <row r="4928">
          <cell r="A4928" t="str">
            <v>XZ-CL02-R2-35/36</v>
          </cell>
          <cell r="B4928" t="str">
            <v>XZ-CL02</v>
          </cell>
        </row>
        <row r="4929">
          <cell r="A4929" t="str">
            <v>XZ-CL02-R2-37/38</v>
          </cell>
          <cell r="B4929" t="str">
            <v>XZ-CL02</v>
          </cell>
        </row>
        <row r="4930">
          <cell r="A4930" t="str">
            <v>XZ-CL02-R2-39/40</v>
          </cell>
          <cell r="B4930" t="str">
            <v>XZ-CL02</v>
          </cell>
        </row>
        <row r="4931">
          <cell r="A4931" t="str">
            <v>XZ-CL02-R6-35/36</v>
          </cell>
          <cell r="B4931" t="str">
            <v>XZ-CL02</v>
          </cell>
        </row>
        <row r="4932">
          <cell r="A4932" t="str">
            <v>XZ-CL02-R6-37/38</v>
          </cell>
          <cell r="B4932" t="str">
            <v>XZ-CL02</v>
          </cell>
        </row>
        <row r="4933">
          <cell r="A4933" t="str">
            <v>XZ-CL02-R6-39/40</v>
          </cell>
          <cell r="B4933" t="str">
            <v>XZ-CL02</v>
          </cell>
        </row>
        <row r="4934">
          <cell r="A4934" t="str">
            <v>XZ-CL05</v>
          </cell>
          <cell r="B4934" t="str">
            <v>XZ-CL05</v>
          </cell>
        </row>
        <row r="4935">
          <cell r="A4935" t="str">
            <v>XZ-CL05-36/37</v>
          </cell>
          <cell r="B4935" t="str">
            <v>XZ-CL05</v>
          </cell>
        </row>
        <row r="4936">
          <cell r="A4936" t="str">
            <v>XZ-CL05-38/39</v>
          </cell>
          <cell r="B4936" t="str">
            <v>XZ-CL05</v>
          </cell>
        </row>
        <row r="4937">
          <cell r="A4937" t="str">
            <v>XZ-CL05-40/41</v>
          </cell>
          <cell r="B4937" t="str">
            <v>XZ-CL05</v>
          </cell>
        </row>
        <row r="4938">
          <cell r="A4938" t="str">
            <v>XZ-CL1055E0</v>
          </cell>
          <cell r="B4938" t="str">
            <v>XZ-CL1055</v>
          </cell>
        </row>
        <row r="4939">
          <cell r="A4939" t="str">
            <v>XZ-CL1055E2</v>
          </cell>
          <cell r="B4939" t="str">
            <v>XZ-CL1055</v>
          </cell>
        </row>
        <row r="4940">
          <cell r="A4940" t="str">
            <v>XZ-CL1055R6</v>
          </cell>
          <cell r="B4940" t="str">
            <v>XZ-CL1055</v>
          </cell>
        </row>
        <row r="4941">
          <cell r="A4941" t="str">
            <v>XZ-CL1055W0</v>
          </cell>
          <cell r="B4941" t="str">
            <v>XZ-CL1055</v>
          </cell>
        </row>
        <row r="4942">
          <cell r="A4942" t="str">
            <v>XZ-CL1537-CO-35/36</v>
          </cell>
          <cell r="B4942" t="str">
            <v>XZ-CL1537</v>
          </cell>
        </row>
        <row r="4943">
          <cell r="A4943" t="str">
            <v>XZ-CL1537-CO-37/38</v>
          </cell>
          <cell r="B4943" t="str">
            <v>XZ-CL1537</v>
          </cell>
        </row>
        <row r="4944">
          <cell r="A4944" t="str">
            <v>XZ-CL1537-CO-39/40</v>
          </cell>
          <cell r="B4944" t="str">
            <v>XZ-CL1537</v>
          </cell>
        </row>
        <row r="4945">
          <cell r="A4945" t="str">
            <v>XZ-CL1537-E0-41/42</v>
          </cell>
          <cell r="B4945" t="str">
            <v>XZ-CL1537</v>
          </cell>
        </row>
        <row r="4946">
          <cell r="A4946" t="str">
            <v>XZ-CL1537-E0-43/44</v>
          </cell>
          <cell r="B4946" t="str">
            <v>XZ-CL1537</v>
          </cell>
        </row>
        <row r="4947">
          <cell r="A4947" t="str">
            <v>XZ-CL1537-E0-45/46</v>
          </cell>
          <cell r="B4947" t="str">
            <v>XZ-CL1537</v>
          </cell>
        </row>
        <row r="4948">
          <cell r="A4948" t="str">
            <v>XZ-CL1537-KH-35/36</v>
          </cell>
          <cell r="B4948" t="str">
            <v>XZ-CL1537</v>
          </cell>
        </row>
        <row r="4949">
          <cell r="A4949" t="str">
            <v>XZ-CL1537-KH-37/38</v>
          </cell>
          <cell r="B4949" t="str">
            <v>XZ-CL1537</v>
          </cell>
        </row>
        <row r="4950">
          <cell r="A4950" t="str">
            <v>XZ-CL1537-KH-39/40</v>
          </cell>
          <cell r="B4950" t="str">
            <v>XZ-CL1537</v>
          </cell>
        </row>
        <row r="4951">
          <cell r="A4951" t="str">
            <v>XZ-CL1537-N5-41/42</v>
          </cell>
          <cell r="B4951" t="str">
            <v>XZ-CL1537</v>
          </cell>
        </row>
        <row r="4952">
          <cell r="A4952" t="str">
            <v>XZ-CL1537-N5-43/44</v>
          </cell>
          <cell r="B4952" t="str">
            <v>XZ-CL1537</v>
          </cell>
        </row>
        <row r="4953">
          <cell r="A4953" t="str">
            <v>XZ-CL1537-N5-45/46</v>
          </cell>
          <cell r="B4953" t="str">
            <v>XZ-CL1537</v>
          </cell>
        </row>
        <row r="4954">
          <cell r="A4954" t="str">
            <v>XZ-CL1537-PI-35/36</v>
          </cell>
          <cell r="B4954" t="str">
            <v>XZ-CL1537</v>
          </cell>
        </row>
        <row r="4955">
          <cell r="A4955" t="str">
            <v>XZ-CL1537-PI-37/38</v>
          </cell>
          <cell r="B4955" t="str">
            <v>XZ-CL1537</v>
          </cell>
        </row>
        <row r="4956">
          <cell r="A4956" t="str">
            <v>XZ-CL1537-PI-39/40</v>
          </cell>
          <cell r="B4956" t="str">
            <v>XZ-CL1537</v>
          </cell>
        </row>
        <row r="4957">
          <cell r="A4957" t="str">
            <v>XZ-CL16011</v>
          </cell>
          <cell r="B4957" t="str">
            <v>XZ-CL16011</v>
          </cell>
        </row>
        <row r="4958">
          <cell r="A4958" t="str">
            <v>XZ-CL16011-E0-42/43</v>
          </cell>
          <cell r="B4958" t="str">
            <v>XZ-CL16011</v>
          </cell>
        </row>
        <row r="4959">
          <cell r="A4959" t="str">
            <v>XZ-CL16011-E1-42/43</v>
          </cell>
          <cell r="B4959" t="str">
            <v>XZ-CL16011</v>
          </cell>
        </row>
        <row r="4960">
          <cell r="A4960" t="str">
            <v>XZ-CL16011-E2-40/41</v>
          </cell>
          <cell r="B4960" t="str">
            <v>XZ-CL16011</v>
          </cell>
        </row>
        <row r="4961">
          <cell r="A4961" t="str">
            <v>XZ-CL16011-N0-36/37</v>
          </cell>
          <cell r="B4961" t="str">
            <v>XZ-CL16011</v>
          </cell>
        </row>
        <row r="4962">
          <cell r="A4962" t="str">
            <v>XZ-CL16011-N0-38/39</v>
          </cell>
          <cell r="B4962" t="str">
            <v>XZ-CL16011</v>
          </cell>
        </row>
        <row r="4963">
          <cell r="A4963" t="str">
            <v>XZ-CL16011-N0-40/41</v>
          </cell>
          <cell r="B4963" t="str">
            <v>XZ-CL16011</v>
          </cell>
        </row>
        <row r="4964">
          <cell r="A4964" t="str">
            <v>XZ-CL16011-N0-42/43</v>
          </cell>
          <cell r="B4964" t="str">
            <v>XZ-CL16011</v>
          </cell>
        </row>
        <row r="4965">
          <cell r="A4965" t="str">
            <v>XZ-CL16011-N2-40/41</v>
          </cell>
          <cell r="B4965" t="str">
            <v>XZ-CL16011</v>
          </cell>
        </row>
        <row r="4966">
          <cell r="A4966" t="str">
            <v>XZ-CL16011-R0-36/37</v>
          </cell>
          <cell r="B4966" t="str">
            <v>XZ-CL16011</v>
          </cell>
        </row>
        <row r="4967">
          <cell r="A4967" t="str">
            <v>XZ-CL16011-R0-38/39</v>
          </cell>
          <cell r="B4967" t="str">
            <v>XZ-CL16011</v>
          </cell>
        </row>
        <row r="4968">
          <cell r="A4968" t="str">
            <v>XZ-CL16011-R0-40/41</v>
          </cell>
          <cell r="B4968" t="str">
            <v>XZ-CL16011</v>
          </cell>
        </row>
        <row r="4969">
          <cell r="A4969" t="str">
            <v>XZ-CL16011-R2-40/41</v>
          </cell>
          <cell r="B4969" t="str">
            <v>XZ-CL16011</v>
          </cell>
        </row>
        <row r="4970">
          <cell r="A4970" t="str">
            <v>XZ-CL16018</v>
          </cell>
          <cell r="B4970" t="str">
            <v>XZ-CL16018</v>
          </cell>
        </row>
        <row r="4971">
          <cell r="A4971" t="str">
            <v>XZ-CL16018-BC-36/37</v>
          </cell>
          <cell r="B4971" t="str">
            <v>XZ-CL16018</v>
          </cell>
        </row>
        <row r="4972">
          <cell r="A4972" t="str">
            <v>XZ-CL16018-BP-38/39</v>
          </cell>
          <cell r="B4972" t="str">
            <v>XZ-CL16018</v>
          </cell>
        </row>
        <row r="4973">
          <cell r="A4973" t="str">
            <v>XZ-CL16018-BP-40/41</v>
          </cell>
          <cell r="B4973" t="str">
            <v>XZ-CL16018</v>
          </cell>
        </row>
        <row r="4974">
          <cell r="A4974" t="str">
            <v>XZ-CL16018-BP-42/43</v>
          </cell>
          <cell r="B4974" t="str">
            <v>XZ-CL16018</v>
          </cell>
        </row>
        <row r="4975">
          <cell r="A4975" t="str">
            <v>XZ-CL16018-GC-36/37</v>
          </cell>
          <cell r="B4975" t="str">
            <v>XZ-CL16018</v>
          </cell>
        </row>
        <row r="4976">
          <cell r="A4976" t="str">
            <v>XZ-CL16018-GP-36-37</v>
          </cell>
          <cell r="B4976" t="str">
            <v>XZ-CL16018</v>
          </cell>
        </row>
        <row r="4977">
          <cell r="A4977" t="str">
            <v>XZ-CL16018-GP-38/39</v>
          </cell>
          <cell r="B4977" t="str">
            <v>XZ-CL16018</v>
          </cell>
        </row>
        <row r="4978">
          <cell r="A4978" t="str">
            <v>XZ-CL16018-GP-40/41</v>
          </cell>
          <cell r="B4978" t="str">
            <v>XZ-CL16018</v>
          </cell>
        </row>
        <row r="4979">
          <cell r="A4979" t="str">
            <v>XZ-CL16018-GP-42/43</v>
          </cell>
          <cell r="B4979" t="str">
            <v>XZ-CL16018</v>
          </cell>
        </row>
        <row r="4980">
          <cell r="A4980" t="str">
            <v>XZ-CL16018-PC-36/37</v>
          </cell>
          <cell r="B4980" t="str">
            <v>XZ-CL16018</v>
          </cell>
        </row>
        <row r="4981">
          <cell r="A4981" t="str">
            <v>XZ-CL16018-PC-38/39</v>
          </cell>
          <cell r="B4981" t="str">
            <v>XZ-CL16018</v>
          </cell>
        </row>
        <row r="4982">
          <cell r="A4982" t="str">
            <v>XZ-CL16018-PC-40/41</v>
          </cell>
          <cell r="B4982" t="str">
            <v>XZ-CL16018</v>
          </cell>
        </row>
        <row r="4983">
          <cell r="A4983" t="str">
            <v>XZ-CL16018-PP-36-37</v>
          </cell>
          <cell r="B4983" t="str">
            <v>XZ-CL16018</v>
          </cell>
        </row>
        <row r="4984">
          <cell r="A4984" t="str">
            <v>XZ-CL16018-PP-38/39</v>
          </cell>
          <cell r="B4984" t="str">
            <v>XZ-CL16018</v>
          </cell>
        </row>
        <row r="4985">
          <cell r="A4985" t="str">
            <v>XZ-CL16018-PP-40/41</v>
          </cell>
          <cell r="B4985" t="str">
            <v>XZ-CL16018</v>
          </cell>
        </row>
        <row r="4986">
          <cell r="A4986" t="str">
            <v>XZ-CL16022</v>
          </cell>
          <cell r="B4986" t="str">
            <v>XZ-CL16022</v>
          </cell>
        </row>
        <row r="4987">
          <cell r="A4987" t="str">
            <v>XZ-CL16022-E0-36/37</v>
          </cell>
          <cell r="B4987" t="str">
            <v>XZ-CL16022</v>
          </cell>
        </row>
        <row r="4988">
          <cell r="A4988" t="str">
            <v>XZ-CL16022-E0-38/39</v>
          </cell>
          <cell r="B4988" t="str">
            <v>XZ-CL16022</v>
          </cell>
        </row>
        <row r="4989">
          <cell r="A4989" t="str">
            <v>XZ-CL16022-E0-40/41</v>
          </cell>
          <cell r="B4989" t="str">
            <v>XZ-CL16022</v>
          </cell>
        </row>
        <row r="4990">
          <cell r="A4990" t="str">
            <v>XZ-CL16022-E0-42/43</v>
          </cell>
          <cell r="B4990" t="str">
            <v>XZ-CL16022</v>
          </cell>
        </row>
        <row r="4991">
          <cell r="A4991" t="str">
            <v>XZ-CL16022-K0-36/37</v>
          </cell>
          <cell r="B4991" t="str">
            <v>XZ-CL16022</v>
          </cell>
        </row>
        <row r="4992">
          <cell r="A4992" t="str">
            <v>XZ-CL16022-K0-38/39</v>
          </cell>
          <cell r="B4992" t="str">
            <v>XZ-CL16022</v>
          </cell>
        </row>
        <row r="4993">
          <cell r="A4993" t="str">
            <v>XZ-CL16022-K0-40/41</v>
          </cell>
          <cell r="B4993" t="str">
            <v>XZ-CL16022</v>
          </cell>
        </row>
        <row r="4994">
          <cell r="A4994" t="str">
            <v>XZ-CL16022-K0-42/43</v>
          </cell>
          <cell r="B4994" t="str">
            <v>XZ-CL16022</v>
          </cell>
        </row>
        <row r="4995">
          <cell r="A4995" t="str">
            <v>XZ-CL16022-R6-36/37</v>
          </cell>
          <cell r="B4995" t="str">
            <v>XZ-CL16022</v>
          </cell>
        </row>
        <row r="4996">
          <cell r="A4996" t="str">
            <v>XZ-CL16022-R6-38/39</v>
          </cell>
          <cell r="B4996" t="str">
            <v>XZ-CL16022</v>
          </cell>
        </row>
        <row r="4997">
          <cell r="A4997" t="str">
            <v>XZ-CL16022-R6-40/41</v>
          </cell>
          <cell r="B4997" t="str">
            <v>XZ-CL16022</v>
          </cell>
        </row>
        <row r="4998">
          <cell r="A4998" t="str">
            <v>XZ-CL16022-W1-36/37</v>
          </cell>
          <cell r="B4998" t="str">
            <v>XZ-CL16022</v>
          </cell>
        </row>
        <row r="4999">
          <cell r="A4999" t="str">
            <v>XZ-CL16022-W1-38/39</v>
          </cell>
          <cell r="B4999" t="str">
            <v>XZ-CL16022</v>
          </cell>
        </row>
        <row r="5000">
          <cell r="A5000" t="str">
            <v>XZ-CL16022-W1-40/41</v>
          </cell>
          <cell r="B5000" t="str">
            <v>XZ-CL16022</v>
          </cell>
        </row>
        <row r="5001">
          <cell r="A5001" t="str">
            <v>XZ-CLA1</v>
          </cell>
          <cell r="B5001" t="str">
            <v>XZ-CLA1</v>
          </cell>
        </row>
        <row r="5002">
          <cell r="A5002" t="str">
            <v>XZ-CLA1133DD</v>
          </cell>
          <cell r="B5002" t="str">
            <v>XZ-CLA1133</v>
          </cell>
        </row>
        <row r="5003">
          <cell r="A5003" t="str">
            <v>XZ-CLA1133R6</v>
          </cell>
          <cell r="B5003" t="str">
            <v>XZ-CLA1133</v>
          </cell>
        </row>
        <row r="5004">
          <cell r="A5004" t="str">
            <v>XZ-CLA1133W0</v>
          </cell>
          <cell r="B5004" t="str">
            <v>XZ-CLA1133</v>
          </cell>
        </row>
        <row r="5005">
          <cell r="A5005" t="str">
            <v>XZ-CLA177</v>
          </cell>
          <cell r="B5005" t="str">
            <v>XZ-CLA177</v>
          </cell>
        </row>
        <row r="5006">
          <cell r="A5006" t="str">
            <v>XZ-CLA177-DS-37/38</v>
          </cell>
          <cell r="B5006" t="str">
            <v>XZ-CLA177</v>
          </cell>
        </row>
        <row r="5007">
          <cell r="A5007" t="str">
            <v>XZ-CLA177-DS-39/40</v>
          </cell>
          <cell r="B5007" t="str">
            <v>XZ-CLA177</v>
          </cell>
        </row>
        <row r="5008">
          <cell r="A5008" t="str">
            <v>XZ-CLA177-E2-37/38</v>
          </cell>
          <cell r="B5008" t="str">
            <v>XZ-CLA177</v>
          </cell>
        </row>
        <row r="5009">
          <cell r="A5009" t="str">
            <v>XZ-CLA177-K0-41/42</v>
          </cell>
          <cell r="B5009" t="str">
            <v>XZ-CLA177</v>
          </cell>
        </row>
        <row r="5010">
          <cell r="A5010" t="str">
            <v>XZ-CLA177-K0-43/44</v>
          </cell>
          <cell r="B5010" t="str">
            <v>XZ-CLA177</v>
          </cell>
        </row>
        <row r="5011">
          <cell r="A5011" t="str">
            <v>XZ-CLA177-R6-37/38</v>
          </cell>
          <cell r="B5011" t="str">
            <v>XZ-CLA177</v>
          </cell>
        </row>
        <row r="5012">
          <cell r="A5012" t="str">
            <v>XZ-CLA177-R6-39/40</v>
          </cell>
          <cell r="B5012" t="str">
            <v>XZ-CLA177</v>
          </cell>
        </row>
        <row r="5013">
          <cell r="A5013" t="str">
            <v>XZ-CLA177-ZL-41/42</v>
          </cell>
          <cell r="B5013" t="str">
            <v>XZ-CLA177</v>
          </cell>
        </row>
        <row r="5014">
          <cell r="A5014" t="str">
            <v>XZ-CLA177-ZL-43/44</v>
          </cell>
          <cell r="B5014" t="str">
            <v>XZ-CLA177</v>
          </cell>
        </row>
        <row r="5015">
          <cell r="A5015" t="str">
            <v>XZ-CLA1-E0-35</v>
          </cell>
          <cell r="B5015" t="str">
            <v>XZ-CLA1</v>
          </cell>
        </row>
        <row r="5016">
          <cell r="A5016" t="str">
            <v>XZ-CLA1-E0-37</v>
          </cell>
          <cell r="B5016" t="str">
            <v>XZ-CLA1</v>
          </cell>
        </row>
        <row r="5017">
          <cell r="A5017" t="str">
            <v>XZ-CLA1-E0-38</v>
          </cell>
          <cell r="B5017" t="str">
            <v>XZ-CLA1</v>
          </cell>
        </row>
        <row r="5018">
          <cell r="A5018" t="str">
            <v>XZ-CLA1-E0-39</v>
          </cell>
          <cell r="B5018" t="str">
            <v>XZ-CLA1</v>
          </cell>
        </row>
        <row r="5019">
          <cell r="A5019" t="str">
            <v>XZ-CLA1-E0-40</v>
          </cell>
          <cell r="B5019" t="str">
            <v>XZ-CLA1</v>
          </cell>
        </row>
        <row r="5020">
          <cell r="A5020" t="str">
            <v>XZ-CLA1-K0-35</v>
          </cell>
          <cell r="B5020" t="str">
            <v>XZ-CLA1</v>
          </cell>
        </row>
        <row r="5021">
          <cell r="A5021" t="str">
            <v>XZ-CLA1-K0-36</v>
          </cell>
          <cell r="B5021" t="str">
            <v>XZ-CLA1</v>
          </cell>
        </row>
        <row r="5022">
          <cell r="A5022" t="str">
            <v>XZ-CLA1-K0-37</v>
          </cell>
          <cell r="B5022" t="str">
            <v>XZ-CLA1</v>
          </cell>
        </row>
        <row r="5023">
          <cell r="A5023" t="str">
            <v>XZ-CLA1-K0-38</v>
          </cell>
          <cell r="B5023" t="str">
            <v>XZ-CLA1</v>
          </cell>
        </row>
        <row r="5024">
          <cell r="A5024" t="str">
            <v>XZ-CLA1-K0-39</v>
          </cell>
          <cell r="B5024" t="str">
            <v>XZ-CLA1</v>
          </cell>
        </row>
        <row r="5025">
          <cell r="A5025" t="str">
            <v>XZ-CLA1-K0-40</v>
          </cell>
          <cell r="B5025" t="str">
            <v>XZ-CLA1</v>
          </cell>
        </row>
        <row r="5026">
          <cell r="A5026" t="str">
            <v>XZ-CLBH004</v>
          </cell>
          <cell r="B5026" t="str">
            <v>XZ-CLBH004</v>
          </cell>
        </row>
        <row r="5027">
          <cell r="A5027" t="str">
            <v>XZ-CLBH004-B0-L</v>
          </cell>
          <cell r="B5027" t="str">
            <v>XZ-CLBH004</v>
          </cell>
        </row>
        <row r="5028">
          <cell r="A5028" t="str">
            <v>XZ-CLBH004-B0-M</v>
          </cell>
          <cell r="B5028" t="str">
            <v>XZ-CLBH004</v>
          </cell>
        </row>
        <row r="5029">
          <cell r="A5029" t="str">
            <v>XZ-CLBH004-B0-S</v>
          </cell>
          <cell r="B5029" t="str">
            <v>XZ-CLBH004</v>
          </cell>
        </row>
        <row r="5030">
          <cell r="A5030" t="str">
            <v>XZ-CLBH004-R6-L</v>
          </cell>
          <cell r="B5030" t="str">
            <v>XZ-CLBH004</v>
          </cell>
        </row>
        <row r="5031">
          <cell r="A5031" t="str">
            <v>XZ-CLBH004-R6-M</v>
          </cell>
          <cell r="B5031" t="str">
            <v>XZ-CLBH004</v>
          </cell>
        </row>
        <row r="5032">
          <cell r="A5032" t="str">
            <v>XZ-CLBH004-R6-S</v>
          </cell>
          <cell r="B5032" t="str">
            <v>XZ-CLBH004</v>
          </cell>
        </row>
        <row r="5033">
          <cell r="A5033" t="str">
            <v>XZ-HM029</v>
          </cell>
          <cell r="B5033" t="str">
            <v>XZ-HM029</v>
          </cell>
        </row>
        <row r="5034">
          <cell r="A5034" t="str">
            <v>XZ-HM0299-GR-3637</v>
          </cell>
          <cell r="B5034" t="str">
            <v>XZ-HM029</v>
          </cell>
        </row>
        <row r="5035">
          <cell r="A5035" t="str">
            <v>XZ-HM0299-GR-3839</v>
          </cell>
          <cell r="B5035" t="str">
            <v>XZ-HM029</v>
          </cell>
        </row>
        <row r="5036">
          <cell r="A5036" t="str">
            <v>XZ-HM0299-GR-4041</v>
          </cell>
          <cell r="B5036" t="str">
            <v>XZ-HM029</v>
          </cell>
        </row>
        <row r="5037">
          <cell r="A5037" t="str">
            <v>XZ-HM0299-SH-4041</v>
          </cell>
          <cell r="B5037" t="str">
            <v>XZ-HM029</v>
          </cell>
        </row>
        <row r="5038">
          <cell r="A5038" t="str">
            <v>XZ-HM0299-SH-4243</v>
          </cell>
          <cell r="B5038" t="str">
            <v>XZ-HM029</v>
          </cell>
        </row>
        <row r="5039">
          <cell r="A5039" t="str">
            <v>XZ-HM0299-SH-4445</v>
          </cell>
          <cell r="B5039" t="str">
            <v>XZ-HM029</v>
          </cell>
        </row>
        <row r="5040">
          <cell r="A5040" t="str">
            <v>XZ-HM029-K0-41-42</v>
          </cell>
          <cell r="B5040" t="str">
            <v>XZ-HM029</v>
          </cell>
        </row>
        <row r="5041">
          <cell r="A5041" t="str">
            <v>XZ-HM029-K0-43-45</v>
          </cell>
          <cell r="B5041" t="str">
            <v>XZ-HM029</v>
          </cell>
        </row>
        <row r="5042">
          <cell r="A5042" t="str">
            <v>XZ-HM029-W0-35-37</v>
          </cell>
          <cell r="B5042" t="str">
            <v>XZ-HM029</v>
          </cell>
        </row>
        <row r="5043">
          <cell r="A5043" t="str">
            <v>XZ-HM029-W0-38-40</v>
          </cell>
          <cell r="B5043" t="str">
            <v>XZ-HM029</v>
          </cell>
        </row>
        <row r="5044">
          <cell r="A5044" t="str">
            <v>XZ-HM1200-BR-L</v>
          </cell>
          <cell r="B5044" t="str">
            <v>XZ-HM1200</v>
          </cell>
        </row>
        <row r="5045">
          <cell r="A5045" t="str">
            <v>XZ-HM1200-BR-M</v>
          </cell>
          <cell r="B5045" t="str">
            <v>XZ-HM1200</v>
          </cell>
        </row>
        <row r="5046">
          <cell r="A5046" t="str">
            <v>XZ-HM1200-BR-S</v>
          </cell>
          <cell r="B5046" t="str">
            <v>XZ-HM1200</v>
          </cell>
        </row>
        <row r="5047">
          <cell r="A5047" t="str">
            <v>XZ-HM1613</v>
          </cell>
          <cell r="B5047" t="str">
            <v>XZ-HM1613</v>
          </cell>
        </row>
        <row r="5048">
          <cell r="A5048" t="str">
            <v>XZ-HM1613-BR-L</v>
          </cell>
          <cell r="B5048" t="str">
            <v>XZ-HM1613</v>
          </cell>
        </row>
        <row r="5049">
          <cell r="A5049" t="str">
            <v>XZ-HM1613-BR-XL</v>
          </cell>
          <cell r="B5049" t="str">
            <v>XZ-HM1613</v>
          </cell>
        </row>
        <row r="5050">
          <cell r="A5050" t="str">
            <v>XZ-HM1613-GR-XL</v>
          </cell>
          <cell r="B5050" t="str">
            <v>XZ-HM1613</v>
          </cell>
        </row>
        <row r="5051">
          <cell r="A5051" t="str">
            <v>XZ-HM1613-W0-M</v>
          </cell>
          <cell r="B5051" t="str">
            <v>XZ-HM1613</v>
          </cell>
        </row>
        <row r="5052">
          <cell r="A5052" t="str">
            <v>XZ-HM1613-ZL-L</v>
          </cell>
          <cell r="B5052" t="str">
            <v>XZ-HM1613</v>
          </cell>
        </row>
        <row r="5053">
          <cell r="A5053" t="str">
            <v>XZ-HM1613-ZL-XL</v>
          </cell>
          <cell r="B5053" t="str">
            <v>XZ-HM1613</v>
          </cell>
        </row>
        <row r="5054">
          <cell r="A5054" t="str">
            <v>XZ-HM1657-DS-3536</v>
          </cell>
          <cell r="B5054" t="str">
            <v>XZ-HM1657</v>
          </cell>
        </row>
        <row r="5055">
          <cell r="A5055" t="str">
            <v>XZ-HM1657-DS-3738</v>
          </cell>
          <cell r="B5055" t="str">
            <v>XZ-HM1657</v>
          </cell>
        </row>
        <row r="5056">
          <cell r="A5056" t="str">
            <v>XZ-HM1657-DS-3940</v>
          </cell>
          <cell r="B5056" t="str">
            <v>XZ-HM1657</v>
          </cell>
        </row>
        <row r="5057">
          <cell r="A5057" t="str">
            <v>XZ-HM1657-E0-4142</v>
          </cell>
          <cell r="B5057" t="str">
            <v>XZ-HM1657</v>
          </cell>
        </row>
        <row r="5058">
          <cell r="A5058" t="str">
            <v>XZ-HM1657-E0-4344</v>
          </cell>
          <cell r="B5058" t="str">
            <v>XZ-HM1657</v>
          </cell>
        </row>
        <row r="5059">
          <cell r="A5059" t="str">
            <v>XZ-HM1657-N5-4142</v>
          </cell>
          <cell r="B5059" t="str">
            <v>XZ-HM1657</v>
          </cell>
        </row>
        <row r="5060">
          <cell r="A5060" t="str">
            <v>XZ-HM1657-N5-4344</v>
          </cell>
          <cell r="B5060" t="str">
            <v>XZ-HM1657</v>
          </cell>
        </row>
        <row r="5061">
          <cell r="A5061" t="str">
            <v>XZ-HM1657-PI-3536</v>
          </cell>
          <cell r="B5061" t="str">
            <v>XZ-HM1657</v>
          </cell>
        </row>
        <row r="5062">
          <cell r="A5062" t="str">
            <v>XZ-HM1657-PI-3738</v>
          </cell>
          <cell r="B5062" t="str">
            <v>XZ-HM1657</v>
          </cell>
        </row>
        <row r="5063">
          <cell r="A5063" t="str">
            <v>XZ-HM1657-PI-3940</v>
          </cell>
          <cell r="B5063" t="str">
            <v>XZ-HM1657</v>
          </cell>
        </row>
        <row r="5064">
          <cell r="A5064" t="str">
            <v>XZ-HM165-CO-L</v>
          </cell>
          <cell r="B5064" t="str">
            <v>XZ-HM165</v>
          </cell>
        </row>
        <row r="5065">
          <cell r="A5065" t="str">
            <v>XZ-HM168-CO-40/41</v>
          </cell>
          <cell r="B5065" t="str">
            <v>XZ-HM168</v>
          </cell>
        </row>
        <row r="5066">
          <cell r="A5066" t="str">
            <v>XZ-HM168-CO-40/41-GM</v>
          </cell>
          <cell r="B5066" t="str">
            <v>XZ-HM168</v>
          </cell>
        </row>
        <row r="5067">
          <cell r="A5067" t="str">
            <v>XZ-HM168-CO-42/43</v>
          </cell>
          <cell r="B5067" t="str">
            <v>XZ-HM168</v>
          </cell>
        </row>
        <row r="5068">
          <cell r="A5068" t="str">
            <v>XZ-HM168-P0-36/37-GM</v>
          </cell>
          <cell r="B5068" t="str">
            <v>XZ-HM168</v>
          </cell>
        </row>
        <row r="5069">
          <cell r="A5069" t="str">
            <v>XZ-HM168-P0-38/39-GM</v>
          </cell>
          <cell r="B5069" t="str">
            <v>XZ-HM168</v>
          </cell>
        </row>
        <row r="5070">
          <cell r="A5070" t="str">
            <v>XZ-HM168-R0-36/37-GM</v>
          </cell>
          <cell r="B5070" t="str">
            <v>XZ-HM168</v>
          </cell>
        </row>
        <row r="5071">
          <cell r="A5071" t="str">
            <v>XZ-HM219-GR-40-43</v>
          </cell>
          <cell r="B5071" t="str">
            <v>XZ-HM219</v>
          </cell>
        </row>
        <row r="5072">
          <cell r="A5072" t="str">
            <v>XZ-HM219-PI-35-39</v>
          </cell>
          <cell r="B5072" t="str">
            <v>XZ-HM219</v>
          </cell>
        </row>
        <row r="5073">
          <cell r="A5073" t="str">
            <v>XZ-HM3380-K0-3637</v>
          </cell>
          <cell r="B5073" t="str">
            <v>XZ-HM3380</v>
          </cell>
        </row>
        <row r="5074">
          <cell r="A5074" t="str">
            <v>XZ-HM3380-K0-3839</v>
          </cell>
          <cell r="B5074" t="str">
            <v>XZ-HM3380</v>
          </cell>
        </row>
        <row r="5075">
          <cell r="A5075" t="str">
            <v>XZ-HM3380-K0-4041</v>
          </cell>
          <cell r="B5075" t="str">
            <v>XZ-HM3380</v>
          </cell>
        </row>
        <row r="5076">
          <cell r="A5076" t="str">
            <v>XZ-HM3380-K0-4243</v>
          </cell>
          <cell r="B5076" t="str">
            <v>XZ-HM3380</v>
          </cell>
        </row>
        <row r="5077">
          <cell r="A5077" t="str">
            <v>XZ-HM3380-K0-4445</v>
          </cell>
          <cell r="B5077" t="str">
            <v>XZ-HM3380</v>
          </cell>
        </row>
        <row r="5078">
          <cell r="A5078" t="str">
            <v>XZ-HM3380-PI-4041</v>
          </cell>
          <cell r="B5078" t="str">
            <v>XZ-HM3380</v>
          </cell>
        </row>
        <row r="5079">
          <cell r="A5079" t="str">
            <v>XZ-HM3380-ZL-4041</v>
          </cell>
          <cell r="B5079" t="str">
            <v>XZ-HM3380</v>
          </cell>
        </row>
        <row r="5080">
          <cell r="A5080" t="str">
            <v>XZ-HM3380-ZL-4243</v>
          </cell>
          <cell r="B5080" t="str">
            <v>XZ-HM3380</v>
          </cell>
        </row>
        <row r="5081">
          <cell r="A5081" t="str">
            <v>XZ-HM3380-ZL-4445</v>
          </cell>
          <cell r="B5081" t="str">
            <v>XZ-HM3380</v>
          </cell>
        </row>
        <row r="5082">
          <cell r="A5082" t="str">
            <v>XZ-HM36-BE-L</v>
          </cell>
          <cell r="B5082" t="str">
            <v>XZ-HM36</v>
          </cell>
        </row>
        <row r="5083">
          <cell r="A5083" t="str">
            <v>XZ-HM36-BE-M</v>
          </cell>
          <cell r="B5083" t="str">
            <v>XZ-HM36</v>
          </cell>
        </row>
        <row r="5084">
          <cell r="A5084" t="str">
            <v>XZ-HM36-BE-XL</v>
          </cell>
          <cell r="B5084" t="str">
            <v>XZ-HM36</v>
          </cell>
        </row>
        <row r="5085">
          <cell r="A5085" t="str">
            <v>XZ-HM36-CO-L</v>
          </cell>
          <cell r="B5085" t="str">
            <v>XZ-HM36</v>
          </cell>
        </row>
        <row r="5086">
          <cell r="A5086" t="str">
            <v>XZ-HM36-CO-XL</v>
          </cell>
          <cell r="B5086" t="str">
            <v>XZ-HM36</v>
          </cell>
        </row>
        <row r="5087">
          <cell r="A5087" t="str">
            <v>XZ-HM36-PI-M</v>
          </cell>
          <cell r="B5087" t="str">
            <v>XZ-HM36</v>
          </cell>
        </row>
        <row r="5088">
          <cell r="A5088" t="str">
            <v>XZ-HM36-PI-S</v>
          </cell>
          <cell r="B5088" t="str">
            <v>XZ-HM36</v>
          </cell>
        </row>
        <row r="5089">
          <cell r="A5089" t="str">
            <v>XZ-HM6003</v>
          </cell>
          <cell r="B5089" t="str">
            <v>XZ-HM6003</v>
          </cell>
        </row>
        <row r="5090">
          <cell r="A5090" t="str">
            <v>XZ-HM6003-BR-4142</v>
          </cell>
          <cell r="B5090" t="str">
            <v>XZ-HM6003</v>
          </cell>
        </row>
        <row r="5091">
          <cell r="A5091" t="str">
            <v>XZ-HM6003-BR-4344</v>
          </cell>
          <cell r="B5091" t="str">
            <v>XZ-HM6003</v>
          </cell>
        </row>
        <row r="5092">
          <cell r="A5092" t="str">
            <v>XZ-HM6003-GR-4142</v>
          </cell>
          <cell r="B5092" t="str">
            <v>XZ-HM6003</v>
          </cell>
        </row>
        <row r="5093">
          <cell r="A5093" t="str">
            <v>XZ-HM6003-GR-4344</v>
          </cell>
          <cell r="B5093" t="str">
            <v>XZ-HM6003</v>
          </cell>
        </row>
        <row r="5094">
          <cell r="A5094" t="str">
            <v>XZ-HM6003-OR-3536</v>
          </cell>
          <cell r="B5094" t="str">
            <v>XZ-HM6003</v>
          </cell>
        </row>
        <row r="5095">
          <cell r="A5095" t="str">
            <v>XZ-HM6003-OR-3738</v>
          </cell>
          <cell r="B5095" t="str">
            <v>XZ-HM6003</v>
          </cell>
        </row>
        <row r="5096">
          <cell r="A5096" t="str">
            <v>XZ-HM6003-OR-3940</v>
          </cell>
          <cell r="B5096" t="str">
            <v>XZ-HM6003</v>
          </cell>
        </row>
        <row r="5097">
          <cell r="A5097" t="str">
            <v>XZ-HM6003-P0-3738</v>
          </cell>
          <cell r="B5097" t="str">
            <v>XZ-HM6003</v>
          </cell>
        </row>
        <row r="5098">
          <cell r="A5098" t="str">
            <v>XZ-HM6003-P0-3940</v>
          </cell>
          <cell r="B5098" t="str">
            <v>XZ-HM6003</v>
          </cell>
        </row>
        <row r="5099">
          <cell r="A5099" t="str">
            <v>XZ-HM6003-P2-3536</v>
          </cell>
          <cell r="B5099" t="str">
            <v>XZ-HM6003</v>
          </cell>
        </row>
        <row r="5100">
          <cell r="A5100" t="str">
            <v>XZ-HM6003-P2-3738</v>
          </cell>
          <cell r="B5100" t="str">
            <v>XZ-HM6003</v>
          </cell>
        </row>
        <row r="5101">
          <cell r="A5101" t="str">
            <v>XZ-HM6003-P2-3940</v>
          </cell>
          <cell r="B5101" t="str">
            <v>XZ-HM6003</v>
          </cell>
        </row>
        <row r="5102">
          <cell r="A5102" t="str">
            <v>XZ-HM801-Bear-CO-3637</v>
          </cell>
          <cell r="B5102" t="str">
            <v>XZ-HM801</v>
          </cell>
        </row>
        <row r="5103">
          <cell r="A5103" t="str">
            <v>XZ-HM801-Bear-CO-3839</v>
          </cell>
          <cell r="B5103" t="str">
            <v>XZ-HM801</v>
          </cell>
        </row>
        <row r="5104">
          <cell r="A5104" t="str">
            <v>XZ-HM801-Bear-CO-4041</v>
          </cell>
          <cell r="B5104" t="str">
            <v>XZ-HM801</v>
          </cell>
        </row>
        <row r="5105">
          <cell r="A5105" t="str">
            <v>XZ-HM801-PI-3637</v>
          </cell>
          <cell r="B5105" t="str">
            <v>XZ-HM801</v>
          </cell>
        </row>
        <row r="5106">
          <cell r="A5106" t="str">
            <v>XZ-HM801-PI-3839</v>
          </cell>
          <cell r="B5106" t="str">
            <v>XZ-HM801</v>
          </cell>
        </row>
        <row r="5107">
          <cell r="A5107" t="str">
            <v>XZ-HM801-PI-4041</v>
          </cell>
          <cell r="B5107" t="str">
            <v>XZ-HM801</v>
          </cell>
        </row>
        <row r="5108">
          <cell r="A5108" t="str">
            <v>XZ-HM8130</v>
          </cell>
          <cell r="B5108" t="str">
            <v>XZ-HM8130</v>
          </cell>
        </row>
        <row r="5109">
          <cell r="A5109" t="str">
            <v>XZ-HM8130-B0-3637</v>
          </cell>
          <cell r="B5109" t="str">
            <v>XZ-HM8130</v>
          </cell>
        </row>
        <row r="5110">
          <cell r="A5110" t="str">
            <v>XZ-HM8130-B0-3839</v>
          </cell>
          <cell r="B5110" t="str">
            <v>XZ-HM8130</v>
          </cell>
        </row>
        <row r="5111">
          <cell r="A5111" t="str">
            <v>XZ-HM8130-B0-4041</v>
          </cell>
          <cell r="B5111" t="str">
            <v>XZ-HM8130</v>
          </cell>
        </row>
        <row r="5112">
          <cell r="A5112" t="str">
            <v>XZ-HM8130-BR-4041</v>
          </cell>
          <cell r="B5112" t="str">
            <v>XZ-HM8130</v>
          </cell>
        </row>
        <row r="5113">
          <cell r="A5113" t="str">
            <v>XZ-HM8130-BR-4243</v>
          </cell>
          <cell r="B5113" t="str">
            <v>XZ-HM8130</v>
          </cell>
        </row>
        <row r="5114">
          <cell r="A5114" t="str">
            <v>XZ-HM8130-BR-4445</v>
          </cell>
          <cell r="B5114" t="str">
            <v>XZ-HM8130</v>
          </cell>
        </row>
        <row r="5115">
          <cell r="A5115" t="str">
            <v>XZ-HM8130-G0-3637</v>
          </cell>
          <cell r="B5115" t="str">
            <v>XZ-HM8130</v>
          </cell>
        </row>
        <row r="5116">
          <cell r="A5116" t="str">
            <v>XZ-HM8130-G0-3839</v>
          </cell>
          <cell r="B5116" t="str">
            <v>XZ-HM8130</v>
          </cell>
        </row>
        <row r="5117">
          <cell r="A5117" t="str">
            <v>XZ-HM8130-G0-4041</v>
          </cell>
          <cell r="B5117" t="str">
            <v>XZ-HM8130</v>
          </cell>
        </row>
        <row r="5118">
          <cell r="A5118" t="str">
            <v>XZ-HM8130-GR-4041</v>
          </cell>
          <cell r="B5118" t="str">
            <v>XZ-HM8130</v>
          </cell>
        </row>
        <row r="5119">
          <cell r="A5119" t="str">
            <v>XZ-HM8130-GR-4243</v>
          </cell>
          <cell r="B5119" t="str">
            <v>XZ-HM8130</v>
          </cell>
        </row>
        <row r="5120">
          <cell r="A5120" t="str">
            <v>XZ-HM8130-GR-4445</v>
          </cell>
          <cell r="B5120" t="str">
            <v>XZ-HM8130</v>
          </cell>
        </row>
        <row r="5121">
          <cell r="A5121" t="str">
            <v>XZ-HM8130-PI-3637</v>
          </cell>
          <cell r="B5121" t="str">
            <v>XZ-HM8130</v>
          </cell>
        </row>
        <row r="5122">
          <cell r="A5122" t="str">
            <v>XZ-HM8130-PI-3839</v>
          </cell>
          <cell r="B5122" t="str">
            <v>XZ-HM8130</v>
          </cell>
        </row>
        <row r="5123">
          <cell r="A5123" t="str">
            <v>XZ-HM8130-PI-4041</v>
          </cell>
          <cell r="B5123" t="str">
            <v>XZ-HM8130</v>
          </cell>
        </row>
        <row r="5124">
          <cell r="A5124" t="str">
            <v>XZ-HM8130-R0-3637</v>
          </cell>
          <cell r="B5124" t="str">
            <v>XZ-HM8130</v>
          </cell>
        </row>
        <row r="5125">
          <cell r="A5125" t="str">
            <v>XZ-HM8130-R0-3839</v>
          </cell>
          <cell r="B5125" t="str">
            <v>XZ-HM8130</v>
          </cell>
        </row>
        <row r="5126">
          <cell r="A5126" t="str">
            <v>XZ-HM8130-R0-4041</v>
          </cell>
          <cell r="B5126" t="str">
            <v>XZ-HM8130</v>
          </cell>
        </row>
        <row r="5127">
          <cell r="A5127" t="str">
            <v>XZ-HM8130-Y0-3637</v>
          </cell>
          <cell r="B5127" t="str">
            <v>XZ-HM8130</v>
          </cell>
        </row>
        <row r="5128">
          <cell r="A5128" t="str">
            <v>XZ-HM8130-Y0-3839</v>
          </cell>
          <cell r="B5128" t="str">
            <v>XZ-HM8130</v>
          </cell>
        </row>
        <row r="5129">
          <cell r="A5129" t="str">
            <v>XZ-HM8130-Y0-4041</v>
          </cell>
          <cell r="B5129" t="str">
            <v>XZ-HM8130</v>
          </cell>
        </row>
        <row r="5130">
          <cell r="A5130" t="str">
            <v>XZ-HMA119</v>
          </cell>
          <cell r="B5130" t="str">
            <v>XZ-HMA119</v>
          </cell>
        </row>
        <row r="5131">
          <cell r="A5131" t="str">
            <v>XZ-HMA119-GR-3738</v>
          </cell>
          <cell r="B5131" t="str">
            <v>XZ-HMA119</v>
          </cell>
        </row>
        <row r="5132">
          <cell r="A5132" t="str">
            <v>XZ-HMA119-GR-3940</v>
          </cell>
          <cell r="B5132" t="str">
            <v>XZ-HMA119</v>
          </cell>
        </row>
        <row r="5133">
          <cell r="A5133" t="str">
            <v>XZ-HMA119-Pi-3738</v>
          </cell>
          <cell r="B5133" t="str">
            <v>XZ-HMA119</v>
          </cell>
        </row>
        <row r="5134">
          <cell r="A5134" t="str">
            <v>XZ-HMA119-Pi-3940</v>
          </cell>
          <cell r="B5134" t="str">
            <v>XZ-HMA119</v>
          </cell>
        </row>
        <row r="5135">
          <cell r="A5135" t="str">
            <v>XZ-HMA119-SH-4344</v>
          </cell>
          <cell r="B5135" t="str">
            <v>XZ-HMA119</v>
          </cell>
        </row>
        <row r="5136">
          <cell r="A5136" t="str">
            <v>XZ-HMA119-ZL-4142</v>
          </cell>
          <cell r="B5136" t="str">
            <v>XZ-HMA119</v>
          </cell>
        </row>
        <row r="5137">
          <cell r="A5137" t="str">
            <v>XZ-HMA119-ZL-4344</v>
          </cell>
          <cell r="B5137" t="str">
            <v>XZ-HMA119</v>
          </cell>
        </row>
        <row r="5138">
          <cell r="A5138" t="str">
            <v>XZ-HMA185</v>
          </cell>
          <cell r="B5138" t="str">
            <v>XZ-HMA185</v>
          </cell>
        </row>
        <row r="5139">
          <cell r="A5139" t="str">
            <v>XZ-HMA185-BE-3738</v>
          </cell>
          <cell r="B5139" t="str">
            <v>XZ-HMA185</v>
          </cell>
        </row>
        <row r="5140">
          <cell r="A5140" t="str">
            <v>XZ-HMA185-BE-3940</v>
          </cell>
          <cell r="B5140" t="str">
            <v>XZ-HMA185</v>
          </cell>
        </row>
        <row r="5141">
          <cell r="A5141" t="str">
            <v>XZ-HMA185-CO-4142</v>
          </cell>
          <cell r="B5141" t="str">
            <v>XZ-HMA185</v>
          </cell>
        </row>
        <row r="5142">
          <cell r="A5142" t="str">
            <v>XZ-HMA185-CO-4344</v>
          </cell>
          <cell r="B5142" t="str">
            <v>XZ-HMA185</v>
          </cell>
        </row>
        <row r="5143">
          <cell r="A5143" t="str">
            <v>XZ-HMA185-GR-4142</v>
          </cell>
          <cell r="B5143" t="str">
            <v>XZ-HMA185</v>
          </cell>
        </row>
        <row r="5144">
          <cell r="A5144" t="str">
            <v>XZ-HMA185-GR-4344</v>
          </cell>
          <cell r="B5144" t="str">
            <v>XZ-HMA185</v>
          </cell>
        </row>
        <row r="5145">
          <cell r="A5145" t="str">
            <v>XZ-HMA185-P0-3738</v>
          </cell>
          <cell r="B5145" t="str">
            <v>XZ-HMA185</v>
          </cell>
        </row>
        <row r="5146">
          <cell r="A5146" t="str">
            <v>XZ-HMA185-P0-3940</v>
          </cell>
          <cell r="B5146" t="str">
            <v>XZ-HMA185</v>
          </cell>
        </row>
        <row r="5147">
          <cell r="A5147" t="str">
            <v>XZ-HMA185-Pi-3738</v>
          </cell>
          <cell r="B5147" t="str">
            <v>XZ-HMA185</v>
          </cell>
        </row>
        <row r="5148">
          <cell r="A5148" t="str">
            <v>XZ-HMA185-Pi-3940</v>
          </cell>
          <cell r="B5148" t="str">
            <v>XZ-HMA185</v>
          </cell>
        </row>
        <row r="5149">
          <cell r="A5149" t="str">
            <v>XZ-HMA190</v>
          </cell>
          <cell r="B5149" t="str">
            <v>XZ-HMA190</v>
          </cell>
        </row>
        <row r="5150">
          <cell r="A5150" t="str">
            <v>XZ-HMA190-B0-3738</v>
          </cell>
          <cell r="B5150" t="str">
            <v>XZ-HMA190</v>
          </cell>
        </row>
        <row r="5151">
          <cell r="A5151" t="str">
            <v>XZ-HMA190-B0-3940</v>
          </cell>
          <cell r="B5151" t="str">
            <v>XZ-HMA190</v>
          </cell>
        </row>
        <row r="5152">
          <cell r="A5152" t="str">
            <v>XZ-HMA190-BR-4142</v>
          </cell>
          <cell r="B5152" t="str">
            <v>XZ-HMA190</v>
          </cell>
        </row>
        <row r="5153">
          <cell r="A5153" t="str">
            <v>XZ-HMA190-BR-4344</v>
          </cell>
          <cell r="B5153" t="str">
            <v>XZ-HMA190</v>
          </cell>
        </row>
        <row r="5154">
          <cell r="A5154" t="str">
            <v>XZ-HMA190-CO-4142</v>
          </cell>
          <cell r="B5154" t="str">
            <v>XZ-HMA190</v>
          </cell>
        </row>
        <row r="5155">
          <cell r="A5155" t="str">
            <v>XZ-HMA190-CO-4344</v>
          </cell>
          <cell r="B5155" t="str">
            <v>XZ-HMA190</v>
          </cell>
        </row>
        <row r="5156">
          <cell r="A5156" t="str">
            <v>XZ-HMA190-CPi-3132</v>
          </cell>
          <cell r="B5156" t="str">
            <v>XZ-HMA190</v>
          </cell>
        </row>
        <row r="5157">
          <cell r="A5157" t="str">
            <v>XZ-HMA190-CPi-3334</v>
          </cell>
          <cell r="B5157" t="str">
            <v>XZ-HMA190</v>
          </cell>
        </row>
        <row r="5158">
          <cell r="A5158" t="str">
            <v>XZ-HMA190-CPi-3536</v>
          </cell>
          <cell r="B5158" t="str">
            <v>XZ-HMA190</v>
          </cell>
        </row>
        <row r="5159">
          <cell r="A5159" t="str">
            <v>XZ-HMA190-Gr-3738</v>
          </cell>
          <cell r="B5159" t="str">
            <v>XZ-HMA190</v>
          </cell>
        </row>
        <row r="5160">
          <cell r="A5160" t="str">
            <v>XZ-HMA190-MGR-4142</v>
          </cell>
          <cell r="B5160" t="str">
            <v>XZ-HMA190</v>
          </cell>
        </row>
        <row r="5161">
          <cell r="A5161" t="str">
            <v>XZ-HMA190-MGR-4344</v>
          </cell>
          <cell r="B5161" t="str">
            <v>XZ-HMA190</v>
          </cell>
        </row>
        <row r="5162">
          <cell r="A5162" t="str">
            <v>XZ-HMA190-P0-3738</v>
          </cell>
          <cell r="B5162" t="str">
            <v>XZ-HMA190</v>
          </cell>
        </row>
        <row r="5163">
          <cell r="A5163" t="str">
            <v>XZ-HMA190-P0-3940</v>
          </cell>
          <cell r="B5163" t="str">
            <v>XZ-HMA190</v>
          </cell>
        </row>
        <row r="5164">
          <cell r="A5164" t="str">
            <v>XZ-HMA190-Pi-3738</v>
          </cell>
          <cell r="B5164" t="str">
            <v>XZ-HMA190</v>
          </cell>
        </row>
        <row r="5165">
          <cell r="A5165" t="str">
            <v>XZ-HMA190-Pi-3940</v>
          </cell>
          <cell r="B5165" t="str">
            <v>XZ-HMA190</v>
          </cell>
        </row>
        <row r="5166">
          <cell r="A5166" t="str">
            <v>XZ-HMA190-W0-3132</v>
          </cell>
          <cell r="B5166" t="str">
            <v>XZ-HMA190</v>
          </cell>
        </row>
        <row r="5167">
          <cell r="A5167" t="str">
            <v>XZ-HMA190-W0-3334</v>
          </cell>
          <cell r="B5167" t="str">
            <v>XZ-HMA190</v>
          </cell>
        </row>
        <row r="5168">
          <cell r="A5168" t="str">
            <v>XZ-HMA190-W0-3536</v>
          </cell>
          <cell r="B5168" t="str">
            <v>XZ-HMA190</v>
          </cell>
        </row>
        <row r="5169">
          <cell r="A5169" t="str">
            <v>XZ-HMA190-W0-3738</v>
          </cell>
          <cell r="B5169" t="str">
            <v>XZ-HMA190</v>
          </cell>
        </row>
        <row r="5170">
          <cell r="A5170" t="str">
            <v>XZ-HMA190-W0-3940</v>
          </cell>
          <cell r="B5170" t="str">
            <v>XZ-HMA190</v>
          </cell>
        </row>
        <row r="5171">
          <cell r="A5171" t="str">
            <v>XZ-HMA194</v>
          </cell>
          <cell r="B5171" t="str">
            <v>XZ-HMA194</v>
          </cell>
        </row>
        <row r="5172">
          <cell r="A5172" t="str">
            <v>XZ-HMA194-B0-3738</v>
          </cell>
          <cell r="B5172" t="str">
            <v>XZ-HMA194</v>
          </cell>
        </row>
        <row r="5173">
          <cell r="A5173" t="str">
            <v>XZ-HMA194-B0-3940</v>
          </cell>
          <cell r="B5173" t="str">
            <v>XZ-HMA194</v>
          </cell>
        </row>
        <row r="5174">
          <cell r="A5174" t="str">
            <v>XZ-HMA194-CO-4142</v>
          </cell>
          <cell r="B5174" t="str">
            <v>XZ-HMA194</v>
          </cell>
        </row>
        <row r="5175">
          <cell r="A5175" t="str">
            <v>XZ-HMA194-CO-4344</v>
          </cell>
          <cell r="B5175" t="str">
            <v>XZ-HMA194</v>
          </cell>
        </row>
        <row r="5176">
          <cell r="A5176" t="str">
            <v>XZ-HMA194-GR-4142</v>
          </cell>
          <cell r="B5176" t="str">
            <v>XZ-HMA194</v>
          </cell>
        </row>
        <row r="5177">
          <cell r="A5177" t="str">
            <v>XZ-HMA194-GR-4344</v>
          </cell>
          <cell r="B5177" t="str">
            <v>XZ-HMA194</v>
          </cell>
        </row>
        <row r="5178">
          <cell r="A5178" t="str">
            <v>XZ-HMA194-KQ-4142</v>
          </cell>
          <cell r="B5178" t="str">
            <v>XZ-HMA194</v>
          </cell>
        </row>
        <row r="5179">
          <cell r="A5179" t="str">
            <v>XZ-HMA194-KQ-4344</v>
          </cell>
          <cell r="B5179" t="str">
            <v>XZ-HMA194</v>
          </cell>
        </row>
        <row r="5180">
          <cell r="A5180" t="str">
            <v>XZ-HMA194-Pi-3738</v>
          </cell>
          <cell r="B5180" t="str">
            <v>XZ-HMA194</v>
          </cell>
        </row>
        <row r="5181">
          <cell r="A5181" t="str">
            <v>XZ-HMA194-Pi-3940</v>
          </cell>
          <cell r="B5181" t="str">
            <v>XZ-HMA194</v>
          </cell>
        </row>
        <row r="5182">
          <cell r="A5182" t="str">
            <v>XZ-HMA194-R0-3738</v>
          </cell>
          <cell r="B5182" t="str">
            <v>XZ-HMA194</v>
          </cell>
        </row>
        <row r="5183">
          <cell r="A5183" t="str">
            <v>XZ-HMA194-R0-3940</v>
          </cell>
          <cell r="B5183" t="str">
            <v>XZ-HMA194</v>
          </cell>
        </row>
        <row r="5184">
          <cell r="A5184" t="str">
            <v>XZ-HMA195</v>
          </cell>
          <cell r="B5184" t="str">
            <v>XZ-HMA195</v>
          </cell>
        </row>
        <row r="5185">
          <cell r="A5185" t="str">
            <v>XZ-HMA195-B0-3738</v>
          </cell>
          <cell r="B5185" t="str">
            <v>XZ-HMA195</v>
          </cell>
        </row>
        <row r="5186">
          <cell r="A5186" t="str">
            <v>XZ-HMA195-B0-3940</v>
          </cell>
          <cell r="B5186" t="str">
            <v>XZ-HMA195</v>
          </cell>
        </row>
        <row r="5187">
          <cell r="A5187" t="str">
            <v>XZ-HMA195-Pi-3738</v>
          </cell>
          <cell r="B5187" t="str">
            <v>XZ-HMA195</v>
          </cell>
        </row>
        <row r="5188">
          <cell r="A5188" t="str">
            <v>XZ-HMA195-Pi-3940</v>
          </cell>
          <cell r="B5188" t="str">
            <v>XZ-HMA195</v>
          </cell>
        </row>
        <row r="5189">
          <cell r="A5189" t="str">
            <v>XZ-HMA204</v>
          </cell>
          <cell r="B5189" t="str">
            <v>XZ-HMA204</v>
          </cell>
        </row>
        <row r="5190">
          <cell r="A5190" t="str">
            <v>XZ-HMA204-B0-3738</v>
          </cell>
          <cell r="B5190" t="str">
            <v>XZ-HMA204</v>
          </cell>
        </row>
        <row r="5191">
          <cell r="A5191" t="str">
            <v>XZ-HMA204-B0-3940</v>
          </cell>
          <cell r="B5191" t="str">
            <v>XZ-HMA204</v>
          </cell>
        </row>
        <row r="5192">
          <cell r="A5192" t="str">
            <v>XZ-HMA204-Pi-3738</v>
          </cell>
          <cell r="B5192" t="str">
            <v>XZ-HMA204</v>
          </cell>
        </row>
        <row r="5193">
          <cell r="A5193" t="str">
            <v>XZ-HMA204-Pi-3940</v>
          </cell>
          <cell r="B5193" t="str">
            <v>XZ-HMA204</v>
          </cell>
        </row>
        <row r="5194">
          <cell r="A5194" t="str">
            <v>XZ-HMA204-R0-3738</v>
          </cell>
          <cell r="B5194" t="str">
            <v>XZ-HMA204</v>
          </cell>
        </row>
        <row r="5195">
          <cell r="A5195" t="str">
            <v>XZ-HMA204-R0-3940</v>
          </cell>
          <cell r="B5195" t="str">
            <v>XZ-HMA204</v>
          </cell>
        </row>
        <row r="5196">
          <cell r="A5196" t="str">
            <v>XZ-HMA204-W0-3738</v>
          </cell>
          <cell r="B5196" t="str">
            <v>XZ-HMA204</v>
          </cell>
        </row>
        <row r="5197">
          <cell r="A5197" t="str">
            <v>XZ-HMA204-W0-3940</v>
          </cell>
          <cell r="B5197" t="str">
            <v>XZ-HMA204</v>
          </cell>
        </row>
        <row r="5198">
          <cell r="A5198" t="str">
            <v>XZ-HMAS2002</v>
          </cell>
          <cell r="B5198" t="str">
            <v>XZ-HMAS2002</v>
          </cell>
        </row>
        <row r="5199">
          <cell r="A5199" t="str">
            <v>XZ-HMAS2002-BE-L</v>
          </cell>
          <cell r="B5199" t="str">
            <v>XZ-HMAS2002</v>
          </cell>
        </row>
        <row r="5200">
          <cell r="A5200" t="str">
            <v>XZ-HMAS2002-BE-XL</v>
          </cell>
          <cell r="B5200" t="str">
            <v>XZ-HMAS2002</v>
          </cell>
        </row>
        <row r="5201">
          <cell r="A5201" t="str">
            <v>XZ-HMAS2002-BR-L</v>
          </cell>
          <cell r="B5201" t="str">
            <v>XZ-HMAS2002</v>
          </cell>
        </row>
        <row r="5202">
          <cell r="A5202" t="str">
            <v>XZ-HMAS2002-BR-XL</v>
          </cell>
          <cell r="B5202" t="str">
            <v>XZ-HMAS2002</v>
          </cell>
        </row>
        <row r="5203">
          <cell r="A5203" t="str">
            <v>XZ-HMBH019</v>
          </cell>
          <cell r="B5203" t="str">
            <v>XZ-HMBH019</v>
          </cell>
        </row>
        <row r="5204">
          <cell r="A5204" t="str">
            <v>XZ-HMBH019-28-29</v>
          </cell>
          <cell r="B5204" t="str">
            <v>XZ-HMBH019</v>
          </cell>
        </row>
        <row r="5205">
          <cell r="A5205" t="str">
            <v>XZ-HMBH019-30-31</v>
          </cell>
          <cell r="B5205" t="str">
            <v>XZ-HMBH019</v>
          </cell>
        </row>
        <row r="5206">
          <cell r="A5206" t="str">
            <v>XZ-HMBH019-32-33</v>
          </cell>
          <cell r="B5206" t="str">
            <v>XZ-HMBH019</v>
          </cell>
        </row>
        <row r="5207">
          <cell r="A5207" t="str">
            <v>XZ-HMBH019-36-37</v>
          </cell>
          <cell r="B5207" t="str">
            <v>XZ-HMBH019</v>
          </cell>
        </row>
        <row r="5208">
          <cell r="A5208" t="str">
            <v>XZ-HMBH019-38-39</v>
          </cell>
          <cell r="B5208" t="str">
            <v>XZ-HMBH019</v>
          </cell>
        </row>
        <row r="5209">
          <cell r="A5209" t="str">
            <v>XZ-HMBH019-40-41</v>
          </cell>
          <cell r="B5209" t="str">
            <v>XZ-HMBH019</v>
          </cell>
        </row>
        <row r="5210">
          <cell r="A5210" t="str">
            <v>XZ-HMCAT250</v>
          </cell>
          <cell r="B5210" t="str">
            <v>XZ-HMCAT250</v>
          </cell>
        </row>
        <row r="5211">
          <cell r="A5211" t="str">
            <v>XZ-HMCAT250-CO-4041</v>
          </cell>
          <cell r="B5211" t="str">
            <v>XZ-HMCAT250</v>
          </cell>
        </row>
        <row r="5212">
          <cell r="A5212" t="str">
            <v>XZ-HMCAT250-CO-4243</v>
          </cell>
          <cell r="B5212" t="str">
            <v>XZ-HMCAT250</v>
          </cell>
        </row>
        <row r="5213">
          <cell r="A5213" t="str">
            <v>XZ-HMCAT250-CO-4445</v>
          </cell>
          <cell r="B5213" t="str">
            <v>XZ-HMCAT250</v>
          </cell>
        </row>
        <row r="5214">
          <cell r="A5214" t="str">
            <v>XZ-HMCAT250-GR-4041</v>
          </cell>
          <cell r="B5214" t="str">
            <v>XZ-HMCAT250</v>
          </cell>
        </row>
        <row r="5215">
          <cell r="A5215" t="str">
            <v>XZ-HMCAT250-GR-4243</v>
          </cell>
          <cell r="B5215" t="str">
            <v>XZ-HMCAT250</v>
          </cell>
        </row>
        <row r="5216">
          <cell r="A5216" t="str">
            <v>XZ-HMCAT250-GR-4445</v>
          </cell>
          <cell r="B5216" t="str">
            <v>XZ-HMCAT250</v>
          </cell>
        </row>
        <row r="5217">
          <cell r="A5217" t="str">
            <v>XZ-HMCAT250-Pi-3637</v>
          </cell>
          <cell r="B5217" t="str">
            <v>XZ-HMCAT250</v>
          </cell>
        </row>
        <row r="5218">
          <cell r="A5218" t="str">
            <v>XZ-HMCAT250-Pi-3839</v>
          </cell>
          <cell r="B5218" t="str">
            <v>XZ-HMCAT250</v>
          </cell>
        </row>
        <row r="5219">
          <cell r="A5219" t="str">
            <v>XZ-HMCAT250-Pi-4041</v>
          </cell>
          <cell r="B5219" t="str">
            <v>XZ-HMCAT250</v>
          </cell>
        </row>
        <row r="5220">
          <cell r="A5220" t="str">
            <v>XZ-HMCAT250-W0-3637</v>
          </cell>
          <cell r="B5220" t="str">
            <v>XZ-HMCAT250</v>
          </cell>
        </row>
        <row r="5221">
          <cell r="A5221" t="str">
            <v>XZ-HMCAT250-W0-3839</v>
          </cell>
          <cell r="B5221" t="str">
            <v>XZ-HMCAT250</v>
          </cell>
        </row>
        <row r="5222">
          <cell r="A5222" t="str">
            <v>XZ-HMCAT250-W0-4041</v>
          </cell>
          <cell r="B5222" t="str">
            <v>XZ-HMCAT250</v>
          </cell>
        </row>
        <row r="5223">
          <cell r="A5223" t="str">
            <v>XZ-HMCAT255</v>
          </cell>
          <cell r="B5223" t="str">
            <v>XZ-HMCAT255</v>
          </cell>
        </row>
        <row r="5224">
          <cell r="A5224" t="str">
            <v>XZ-HMCAT255-CO-4041</v>
          </cell>
          <cell r="B5224" t="str">
            <v>XZ-HMCAT255</v>
          </cell>
        </row>
        <row r="5225">
          <cell r="A5225" t="str">
            <v>XZ-HMCAT255-CO-4243</v>
          </cell>
          <cell r="B5225" t="str">
            <v>XZ-HMCAT255</v>
          </cell>
        </row>
        <row r="5226">
          <cell r="A5226" t="str">
            <v>XZ-HMCAT255-CO-4445</v>
          </cell>
          <cell r="B5226" t="str">
            <v>XZ-HMCAT255</v>
          </cell>
        </row>
        <row r="5227">
          <cell r="A5227" t="str">
            <v>XZ-HMCAT255-GR-4041</v>
          </cell>
          <cell r="B5227" t="str">
            <v>XZ-HMCAT255</v>
          </cell>
        </row>
        <row r="5228">
          <cell r="A5228" t="str">
            <v>XZ-HMCAT255-GR-4243</v>
          </cell>
          <cell r="B5228" t="str">
            <v>XZ-HMCAT255</v>
          </cell>
        </row>
        <row r="5229">
          <cell r="A5229" t="str">
            <v>XZ-HMCAT255-GR-4445</v>
          </cell>
          <cell r="B5229" t="str">
            <v>XZ-HMCAT255</v>
          </cell>
        </row>
        <row r="5230">
          <cell r="A5230" t="str">
            <v>XZ-HMCAT255-Pi-3637</v>
          </cell>
          <cell r="B5230" t="str">
            <v>XZ-HMCAT255</v>
          </cell>
        </row>
        <row r="5231">
          <cell r="A5231" t="str">
            <v>XZ-HMCAT255-Pi-3839</v>
          </cell>
          <cell r="B5231" t="str">
            <v>XZ-HMCAT255</v>
          </cell>
        </row>
        <row r="5232">
          <cell r="A5232" t="str">
            <v>XZ-HMCAT255-Pi-4041</v>
          </cell>
          <cell r="B5232" t="str">
            <v>XZ-HMCAT255</v>
          </cell>
        </row>
        <row r="5233">
          <cell r="A5233" t="str">
            <v>XZ-HMCAT255-W0-3637</v>
          </cell>
          <cell r="B5233" t="str">
            <v>XZ-HMCAT255</v>
          </cell>
        </row>
        <row r="5234">
          <cell r="A5234" t="str">
            <v>XZ-HMCAT255-W0-3839</v>
          </cell>
          <cell r="B5234" t="str">
            <v>XZ-HMCAT255</v>
          </cell>
        </row>
        <row r="5235">
          <cell r="A5235" t="str">
            <v>XZ-HMCAT255-W0-4041</v>
          </cell>
          <cell r="B5235" t="str">
            <v>XZ-HMCAT255</v>
          </cell>
        </row>
        <row r="5236">
          <cell r="A5236" t="str">
            <v>XZ-HMFox2200-B0-14/15</v>
          </cell>
          <cell r="B5236" t="str">
            <v>XZ-HMFox2200</v>
          </cell>
        </row>
        <row r="5237">
          <cell r="A5237" t="str">
            <v>XZ-HMFox2200-B0-16/17</v>
          </cell>
          <cell r="B5237" t="str">
            <v>XZ-HMFox2200</v>
          </cell>
        </row>
        <row r="5238">
          <cell r="A5238" t="str">
            <v>XZ-HMFox2200-B0-18/19</v>
          </cell>
          <cell r="B5238" t="str">
            <v>XZ-HMFox2200</v>
          </cell>
        </row>
        <row r="5239">
          <cell r="A5239" t="str">
            <v>XZ-HMFox2200-B0-20</v>
          </cell>
          <cell r="B5239" t="str">
            <v>XZ-HMFox2200</v>
          </cell>
        </row>
        <row r="5240">
          <cell r="A5240" t="str">
            <v>XZ-HMFox2200-CO-18/19</v>
          </cell>
          <cell r="B5240" t="str">
            <v>XZ-HMFox2200</v>
          </cell>
        </row>
        <row r="5241">
          <cell r="A5241" t="str">
            <v>XZ-HMFox2200-G0-16/17</v>
          </cell>
          <cell r="B5241" t="str">
            <v>XZ-HMFox2200</v>
          </cell>
        </row>
        <row r="5242">
          <cell r="A5242" t="str">
            <v>XZ-HMFox2200-G0-18/19</v>
          </cell>
          <cell r="B5242" t="str">
            <v>XZ-HMFox2200</v>
          </cell>
        </row>
        <row r="5243">
          <cell r="A5243" t="str">
            <v>XZ-HMFox2200-PI-18/19</v>
          </cell>
          <cell r="B5243" t="str">
            <v>XZ-HMFox2200</v>
          </cell>
        </row>
        <row r="5244">
          <cell r="A5244" t="str">
            <v>XZ-HMFox2200-R0-14/15</v>
          </cell>
          <cell r="B5244" t="str">
            <v>XZ-HMFox2200</v>
          </cell>
        </row>
        <row r="5245">
          <cell r="A5245" t="str">
            <v>XZ-HMFox2200-R0-16/17</v>
          </cell>
          <cell r="B5245" t="str">
            <v>XZ-HMFox2200</v>
          </cell>
        </row>
        <row r="5246">
          <cell r="A5246" t="str">
            <v>XZ-HMFox2200-R0-18/19</v>
          </cell>
          <cell r="B5246" t="str">
            <v>XZ-HMFox2200</v>
          </cell>
        </row>
        <row r="5247">
          <cell r="A5247" t="str">
            <v>XZ-HMFox2200-R0-20</v>
          </cell>
          <cell r="B5247" t="str">
            <v>XZ-HMFox2200</v>
          </cell>
        </row>
        <row r="5248">
          <cell r="A5248" t="str">
            <v>XZ-HMGG29</v>
          </cell>
          <cell r="B5248" t="str">
            <v>XZ-HMGG29</v>
          </cell>
        </row>
        <row r="5249">
          <cell r="A5249" t="str">
            <v>XZ-HMGG29-Y0-3637</v>
          </cell>
          <cell r="B5249" t="str">
            <v>XZ-HMGG29</v>
          </cell>
        </row>
        <row r="5250">
          <cell r="A5250" t="str">
            <v>XZ-HMGG29-Y0-3839</v>
          </cell>
          <cell r="B5250" t="str">
            <v>XZ-HMGG29</v>
          </cell>
        </row>
        <row r="5251">
          <cell r="A5251" t="str">
            <v>XZ-HMGR23</v>
          </cell>
          <cell r="B5251" t="str">
            <v>XZ-HMGR23</v>
          </cell>
        </row>
        <row r="5252">
          <cell r="A5252" t="str">
            <v>XZ-HMGR23-GR-3536</v>
          </cell>
          <cell r="B5252" t="str">
            <v>XZ-HMGR23</v>
          </cell>
        </row>
        <row r="5253">
          <cell r="A5253" t="str">
            <v>XZ-HMGR23-GR-3738</v>
          </cell>
          <cell r="B5253" t="str">
            <v>XZ-HMGR23</v>
          </cell>
        </row>
        <row r="5254">
          <cell r="A5254" t="str">
            <v>XZ-HMGR23-GR-3940</v>
          </cell>
          <cell r="B5254" t="str">
            <v>XZ-HMGR23</v>
          </cell>
        </row>
        <row r="5255">
          <cell r="A5255" t="str">
            <v>XZ-HMHM0133-W0-3637</v>
          </cell>
          <cell r="B5255" t="str">
            <v>XZ-HMHM0133</v>
          </cell>
        </row>
        <row r="5256">
          <cell r="A5256" t="str">
            <v>XZ-HMHM0133-W0-3839</v>
          </cell>
          <cell r="B5256" t="str">
            <v>XZ-HMHM0133</v>
          </cell>
        </row>
        <row r="5257">
          <cell r="A5257" t="str">
            <v>XZ-HMHX-ML299-B0-3536</v>
          </cell>
          <cell r="B5257" t="str">
            <v>XZ-HMHX-ML299</v>
          </cell>
        </row>
        <row r="5258">
          <cell r="A5258" t="str">
            <v>XZ-HMHX-ML299-B0-3738</v>
          </cell>
          <cell r="B5258" t="str">
            <v>XZ-HMHX-ML299</v>
          </cell>
        </row>
        <row r="5259">
          <cell r="A5259" t="str">
            <v>XZ-HMHX-ML299-B0-3940</v>
          </cell>
          <cell r="B5259" t="str">
            <v>XZ-HMHX-QE298</v>
          </cell>
        </row>
        <row r="5260">
          <cell r="A5260" t="str">
            <v>XZ-HMHX-ML299-PI-3536</v>
          </cell>
          <cell r="B5260" t="str">
            <v>XZ-HMHX-QE298</v>
          </cell>
        </row>
        <row r="5261">
          <cell r="A5261" t="str">
            <v>XZ-HMHX-ML299-PI-3738</v>
          </cell>
          <cell r="B5261" t="str">
            <v>XZ-HMHX-QE298</v>
          </cell>
        </row>
        <row r="5262">
          <cell r="A5262" t="str">
            <v>XZ-HMHX-ML299-PI-3940</v>
          </cell>
          <cell r="B5262" t="str">
            <v>XZ-HMHX-QE298</v>
          </cell>
        </row>
        <row r="5263">
          <cell r="A5263" t="str">
            <v>XZ-HMHX-ML299-PU-3536</v>
          </cell>
          <cell r="B5263" t="str">
            <v>XZ-HMHX-QE298</v>
          </cell>
        </row>
        <row r="5264">
          <cell r="A5264" t="str">
            <v>XZ-HMHX-ML299-PU-3738</v>
          </cell>
          <cell r="B5264" t="str">
            <v>XZ-HMHX-QE298</v>
          </cell>
        </row>
        <row r="5265">
          <cell r="A5265" t="str">
            <v>XZ-HMHX-ML299-PU-3940</v>
          </cell>
          <cell r="B5265" t="str">
            <v>XZ-HMHX-QE298</v>
          </cell>
        </row>
        <row r="5266">
          <cell r="A5266" t="str">
            <v>XZ-HMHX-ML299-PU-3940</v>
          </cell>
          <cell r="B5266" t="str">
            <v>XZ-HMHX-ML299</v>
          </cell>
        </row>
        <row r="5267">
          <cell r="A5267" t="str">
            <v>XZ-HMHX-QE004</v>
          </cell>
          <cell r="B5267" t="str">
            <v>XZ-HMHX-QE004</v>
          </cell>
        </row>
        <row r="5268">
          <cell r="A5268" t="str">
            <v>XZ-HMHX-QE004-GR-3536</v>
          </cell>
          <cell r="B5268" t="str">
            <v>XZ-HMHX-QE004</v>
          </cell>
        </row>
        <row r="5269">
          <cell r="A5269" t="str">
            <v>XZ-HMHX-QE004-GR-3738</v>
          </cell>
          <cell r="B5269" t="str">
            <v>XZ-HMHX-QE004</v>
          </cell>
        </row>
        <row r="5270">
          <cell r="A5270" t="str">
            <v>XZ-HMHX-QE004-GR-3940</v>
          </cell>
          <cell r="B5270" t="str">
            <v>XZ-HMHX-QE004</v>
          </cell>
        </row>
        <row r="5271">
          <cell r="A5271" t="str">
            <v>XZ-HMHX-QE004-GR-4142</v>
          </cell>
          <cell r="B5271" t="str">
            <v>XZ-HMHX-QE004</v>
          </cell>
        </row>
        <row r="5272">
          <cell r="A5272" t="str">
            <v>XZ-HMHX-QE004-GR-4344</v>
          </cell>
          <cell r="B5272" t="str">
            <v>XZ-HMHX-QE004</v>
          </cell>
        </row>
        <row r="5273">
          <cell r="A5273" t="str">
            <v>XZ-HMHX-QE004-K0-3536</v>
          </cell>
          <cell r="B5273" t="str">
            <v>XZ-HMHX-QE004</v>
          </cell>
        </row>
        <row r="5274">
          <cell r="A5274" t="str">
            <v>XZ-HMHX-QE004-K0-3738</v>
          </cell>
          <cell r="B5274" t="str">
            <v>XZ-HMHX-QE004</v>
          </cell>
        </row>
        <row r="5275">
          <cell r="A5275" t="str">
            <v>XZ-HMHX-QE004-K0-3940</v>
          </cell>
          <cell r="B5275" t="str">
            <v>XZ-HMHX-QE004</v>
          </cell>
        </row>
        <row r="5276">
          <cell r="A5276" t="str">
            <v>XZ-HMHX-QE004-K0-4142</v>
          </cell>
          <cell r="B5276" t="str">
            <v>XZ-HMHX-QE004</v>
          </cell>
        </row>
        <row r="5277">
          <cell r="A5277" t="str">
            <v>XZ-HMHX-QE004-K0-4344</v>
          </cell>
          <cell r="B5277" t="str">
            <v>XZ-HMHX-QE004</v>
          </cell>
        </row>
        <row r="5278">
          <cell r="A5278" t="str">
            <v>XZ-HMHX-QE004-PI-3536</v>
          </cell>
          <cell r="B5278" t="str">
            <v>XZ-HMHX-QE004</v>
          </cell>
        </row>
        <row r="5279">
          <cell r="A5279" t="str">
            <v>XZ-HMHX-QE004-PI-3738</v>
          </cell>
          <cell r="B5279" t="str">
            <v>XZ-HMHX-QE004</v>
          </cell>
        </row>
        <row r="5280">
          <cell r="A5280" t="str">
            <v>XZ-HMHX-QE004-PI-3940</v>
          </cell>
          <cell r="B5280" t="str">
            <v>XZ-HMHX-QE004</v>
          </cell>
        </row>
        <row r="5281">
          <cell r="A5281" t="str">
            <v>XZ-HMHX-QE298</v>
          </cell>
          <cell r="B5281" t="str">
            <v>XZ-HMHX-QE298</v>
          </cell>
        </row>
        <row r="5282">
          <cell r="A5282" t="str">
            <v>XZ-HMHX-TZ003-G0-3536</v>
          </cell>
          <cell r="B5282" t="str">
            <v>XZ-HMHX-TZ003</v>
          </cell>
        </row>
        <row r="5283">
          <cell r="A5283" t="str">
            <v>XZ-HMHX-TZ003-G0-3738</v>
          </cell>
          <cell r="B5283" t="str">
            <v>XZ-HMHX-TZ003</v>
          </cell>
        </row>
        <row r="5284">
          <cell r="A5284" t="str">
            <v>XZ-HMHX-TZ003-G0-3940</v>
          </cell>
          <cell r="B5284" t="str">
            <v>XZ-HMHX-TZ003</v>
          </cell>
        </row>
        <row r="5285">
          <cell r="A5285" t="str">
            <v>XZ-HMHX-TZ003-OR-3536</v>
          </cell>
          <cell r="B5285" t="str">
            <v>XZ-HMHX-TZ003</v>
          </cell>
        </row>
        <row r="5286">
          <cell r="A5286" t="str">
            <v>XZ-HMHX-TZ003-OR-3738</v>
          </cell>
          <cell r="B5286" t="str">
            <v>XZ-HMHX-TZ003</v>
          </cell>
        </row>
        <row r="5287">
          <cell r="A5287" t="str">
            <v>XZ-HMHX-TZ003-OR-3940</v>
          </cell>
          <cell r="B5287" t="str">
            <v>XZ-HMHX-TZ003</v>
          </cell>
        </row>
        <row r="5288">
          <cell r="A5288" t="str">
            <v>XZ-HMHX-TZ003-PI-3536</v>
          </cell>
          <cell r="B5288" t="str">
            <v>XZ-HMHX-TZ003</v>
          </cell>
        </row>
        <row r="5289">
          <cell r="A5289" t="str">
            <v>XZ-HMHX-TZ003-PI-3738</v>
          </cell>
          <cell r="B5289" t="str">
            <v>XZ-HMHX-TZ003</v>
          </cell>
        </row>
        <row r="5290">
          <cell r="A5290" t="str">
            <v>XZ-HMHX-TZ003-PI-3940</v>
          </cell>
          <cell r="B5290" t="str">
            <v>XZ-HMHX-TZ003</v>
          </cell>
        </row>
        <row r="5291">
          <cell r="A5291" t="str">
            <v>XZ-HMHX-TZ003-PU-3536</v>
          </cell>
          <cell r="B5291" t="str">
            <v>XZ-HMHX-TZ003</v>
          </cell>
        </row>
        <row r="5292">
          <cell r="A5292" t="str">
            <v>XZ-HMHX-TZ003-PU-3738</v>
          </cell>
          <cell r="B5292" t="str">
            <v>XZ-HMHX-TZ003</v>
          </cell>
        </row>
        <row r="5293">
          <cell r="A5293" t="str">
            <v>XZ-HMHX-TZ003-PU-3940</v>
          </cell>
          <cell r="B5293" t="str">
            <v>XZ-HMHX-TZ003</v>
          </cell>
        </row>
        <row r="5294">
          <cell r="A5294" t="str">
            <v>XZ-HMHX-YL001-PU-3940</v>
          </cell>
          <cell r="B5294" t="str">
            <v>XZ-HMHX-YL001</v>
          </cell>
        </row>
        <row r="5295">
          <cell r="A5295" t="str">
            <v>XZ-HMKid-XP04</v>
          </cell>
          <cell r="B5295" t="str">
            <v>XZ-HMKid-XP04</v>
          </cell>
        </row>
        <row r="5296">
          <cell r="A5296" t="str">
            <v>XZ-HMKid-XP04-BE-21</v>
          </cell>
          <cell r="B5296" t="str">
            <v>XZ-HMKid-XP04</v>
          </cell>
        </row>
        <row r="5297">
          <cell r="A5297" t="str">
            <v>XZ-HMKid-XP04-BE-22</v>
          </cell>
          <cell r="B5297" t="str">
            <v>XZ-HMKid-XP04</v>
          </cell>
        </row>
        <row r="5298">
          <cell r="A5298" t="str">
            <v>XZ-HMKid-XP04-CO-21</v>
          </cell>
          <cell r="B5298" t="str">
            <v>XZ-HMKid-XP04</v>
          </cell>
        </row>
        <row r="5299">
          <cell r="A5299" t="str">
            <v>XZ-HMKid-XP04-CO-22</v>
          </cell>
          <cell r="B5299" t="str">
            <v>XZ-HMKid-XP04</v>
          </cell>
        </row>
        <row r="5300">
          <cell r="A5300" t="str">
            <v>XZ-HMKid-XP04-PI-20</v>
          </cell>
          <cell r="B5300" t="str">
            <v>XZ-HMKid-XP04</v>
          </cell>
        </row>
        <row r="5301">
          <cell r="A5301" t="str">
            <v>XZ-HMKid-XP04-PI-21</v>
          </cell>
          <cell r="B5301" t="str">
            <v>XZ-HMKid-XP04</v>
          </cell>
        </row>
        <row r="5302">
          <cell r="A5302" t="str">
            <v>XZ-HMLion-3637</v>
          </cell>
          <cell r="B5302" t="str">
            <v>XZ-HMLion</v>
          </cell>
        </row>
        <row r="5303">
          <cell r="A5303" t="str">
            <v>XZ-HMLion-4041</v>
          </cell>
          <cell r="B5303" t="str">
            <v>XZ-HMLion</v>
          </cell>
        </row>
        <row r="5304">
          <cell r="A5304" t="str">
            <v>XZ-HMM311</v>
          </cell>
          <cell r="B5304" t="str">
            <v>XZ-HMM311</v>
          </cell>
        </row>
        <row r="5305">
          <cell r="A5305" t="str">
            <v>XZ-HMM311-B0-3637</v>
          </cell>
          <cell r="B5305" t="str">
            <v>XZ-HMM311</v>
          </cell>
        </row>
        <row r="5306">
          <cell r="A5306" t="str">
            <v>XZ-HMM311-B0-3839</v>
          </cell>
          <cell r="B5306" t="str">
            <v>XZ-HMM311</v>
          </cell>
        </row>
        <row r="5307">
          <cell r="A5307" t="str">
            <v>XZ-HMM311-B0-4041</v>
          </cell>
          <cell r="B5307" t="str">
            <v>XZ-HMM311</v>
          </cell>
        </row>
        <row r="5308">
          <cell r="A5308" t="str">
            <v>XZ-HMM311-GR-4243</v>
          </cell>
          <cell r="B5308" t="str">
            <v>XZ-HMM311</v>
          </cell>
        </row>
        <row r="5309">
          <cell r="A5309" t="str">
            <v>XZ-HMM311-GR-4445</v>
          </cell>
          <cell r="B5309" t="str">
            <v>XZ-HMM311</v>
          </cell>
        </row>
        <row r="5310">
          <cell r="A5310" t="str">
            <v>XZ-HMM311-KH-4243</v>
          </cell>
          <cell r="B5310" t="str">
            <v>XZ-HMM311</v>
          </cell>
        </row>
        <row r="5311">
          <cell r="A5311" t="str">
            <v>XZ-HMM311-KH-4445</v>
          </cell>
          <cell r="B5311" t="str">
            <v>XZ-HMM311</v>
          </cell>
        </row>
        <row r="5312">
          <cell r="A5312" t="str">
            <v>XZ-HMM311-PI-3637</v>
          </cell>
          <cell r="B5312" t="str">
            <v>XZ-HMM311</v>
          </cell>
        </row>
        <row r="5313">
          <cell r="A5313" t="str">
            <v>XZ-HMM311-PI-3839</v>
          </cell>
          <cell r="B5313" t="str">
            <v>XZ-HMM311</v>
          </cell>
        </row>
        <row r="5314">
          <cell r="A5314" t="str">
            <v>XZ-HMM311-PI-4041</v>
          </cell>
          <cell r="B5314" t="str">
            <v>XZ-HMM311</v>
          </cell>
        </row>
        <row r="5315">
          <cell r="A5315" t="str">
            <v>XZ-HMM311-W0-3637</v>
          </cell>
          <cell r="B5315" t="str">
            <v>XZ-HMM311</v>
          </cell>
        </row>
        <row r="5316">
          <cell r="A5316" t="str">
            <v>XZ-HMM311-W0-3839</v>
          </cell>
          <cell r="B5316" t="str">
            <v>XZ-HMM311</v>
          </cell>
        </row>
        <row r="5317">
          <cell r="A5317" t="str">
            <v>XZ-HMM311-W0-4041</v>
          </cell>
          <cell r="B5317" t="str">
            <v>XZ-HMM311</v>
          </cell>
        </row>
        <row r="5318">
          <cell r="A5318" t="str">
            <v>XZ-HMMC32-MC-3637</v>
          </cell>
          <cell r="B5318" t="str">
            <v>XZ-HMMC32</v>
          </cell>
        </row>
        <row r="5319">
          <cell r="A5319" t="str">
            <v>XZ-HMMC32-MC-3839</v>
          </cell>
          <cell r="B5319" t="str">
            <v>XZ-HMMC32</v>
          </cell>
        </row>
        <row r="5320">
          <cell r="A5320" t="str">
            <v>XZ-HMMC32-MC-4243</v>
          </cell>
          <cell r="B5320" t="str">
            <v>XZ-HMMC32</v>
          </cell>
        </row>
        <row r="5321">
          <cell r="A5321" t="str">
            <v>XZ-HMMC32-MC-4445</v>
          </cell>
          <cell r="B5321" t="str">
            <v>XZ-HMMC32</v>
          </cell>
        </row>
        <row r="5322">
          <cell r="A5322" t="str">
            <v>XZ-HMMG31-GR-37</v>
          </cell>
          <cell r="B5322" t="str">
            <v>XZ-HMMG31</v>
          </cell>
        </row>
        <row r="5323">
          <cell r="A5323" t="str">
            <v>XZ-HMMG60</v>
          </cell>
          <cell r="B5323" t="str">
            <v>XZ-HMMG60</v>
          </cell>
        </row>
        <row r="5324">
          <cell r="A5324" t="str">
            <v>XZ-HMMG60-GRH-30-31</v>
          </cell>
          <cell r="B5324" t="str">
            <v>XZ-HMMG60</v>
          </cell>
        </row>
        <row r="5325">
          <cell r="A5325" t="str">
            <v>XZ-HMMG60-GRH-32-33</v>
          </cell>
          <cell r="B5325" t="str">
            <v>XZ-HMMG60</v>
          </cell>
        </row>
        <row r="5326">
          <cell r="A5326" t="str">
            <v>XZ-HMMG60-GRH-34-35</v>
          </cell>
          <cell r="B5326" t="str">
            <v>XZ-HMMG60</v>
          </cell>
        </row>
        <row r="5327">
          <cell r="A5327" t="str">
            <v>XZ-HMMG60-GRH-40-41</v>
          </cell>
          <cell r="B5327" t="str">
            <v>XZ-HMMG60</v>
          </cell>
        </row>
        <row r="5328">
          <cell r="A5328" t="str">
            <v>XZ-HMMG60-GRH-42-43</v>
          </cell>
          <cell r="B5328" t="str">
            <v>XZ-HMMG60</v>
          </cell>
        </row>
        <row r="5329">
          <cell r="A5329" t="str">
            <v>XZ-HMMG60-PIB-34-35</v>
          </cell>
          <cell r="B5329" t="str">
            <v>XZ-HMMG60</v>
          </cell>
        </row>
        <row r="5330">
          <cell r="A5330" t="str">
            <v>XZ-HMMG60-PIH-34-35</v>
          </cell>
          <cell r="B5330" t="str">
            <v>XZ-HMMG60</v>
          </cell>
        </row>
        <row r="5331">
          <cell r="A5331" t="str">
            <v>XZ-HMMG60-PIH-36-37</v>
          </cell>
          <cell r="B5331" t="str">
            <v>XZ-HMMG60</v>
          </cell>
        </row>
        <row r="5332">
          <cell r="A5332" t="str">
            <v>XZ-HMMG60-PIH-38-39</v>
          </cell>
          <cell r="B5332" t="str">
            <v>XZ-HMMG60</v>
          </cell>
        </row>
        <row r="5333">
          <cell r="A5333" t="str">
            <v>XZ-HMMG60-PIH-40-41</v>
          </cell>
          <cell r="B5333" t="str">
            <v>XZ-HMMG60</v>
          </cell>
        </row>
        <row r="5334">
          <cell r="A5334" t="str">
            <v>XZ-HMMLD001-B0-3738</v>
          </cell>
          <cell r="B5334" t="str">
            <v>XZ-HMMLD001</v>
          </cell>
        </row>
        <row r="5335">
          <cell r="A5335" t="str">
            <v>XZ-HMMLD001-B0-3940</v>
          </cell>
          <cell r="B5335" t="str">
            <v>XZ-HMMLD001</v>
          </cell>
        </row>
        <row r="5336">
          <cell r="A5336" t="str">
            <v>XZ-HMMLD001-CO-4041</v>
          </cell>
          <cell r="B5336" t="str">
            <v>XZ-HMMLD001</v>
          </cell>
        </row>
        <row r="5337">
          <cell r="A5337" t="str">
            <v>XZ-HMMLD001-CO-4243</v>
          </cell>
          <cell r="B5337" t="str">
            <v>XZ-HMMLD001</v>
          </cell>
        </row>
        <row r="5338">
          <cell r="A5338" t="str">
            <v>XZ-HMMLD001-PI-3738</v>
          </cell>
          <cell r="B5338" t="str">
            <v>XZ-HMMLD001</v>
          </cell>
        </row>
        <row r="5339">
          <cell r="A5339" t="str">
            <v>XZ-HMMLD001-PI-3940</v>
          </cell>
          <cell r="B5339" t="str">
            <v>XZ-HMMLD001</v>
          </cell>
        </row>
        <row r="5340">
          <cell r="A5340" t="str">
            <v>XZ-HMMLD001-R0-3738</v>
          </cell>
          <cell r="B5340" t="str">
            <v>XZ-HMMLD001</v>
          </cell>
        </row>
        <row r="5341">
          <cell r="A5341" t="str">
            <v>XZ-HMMLD001-R0-3940</v>
          </cell>
          <cell r="B5341" t="str">
            <v>XZ-HMMLD001</v>
          </cell>
        </row>
        <row r="5342">
          <cell r="A5342" t="str">
            <v>XZ-HMMX360</v>
          </cell>
          <cell r="B5342" t="str">
            <v>XZ-HMMX360</v>
          </cell>
        </row>
        <row r="5343">
          <cell r="A5343" t="str">
            <v>XZ-HMMX360-GR-3637</v>
          </cell>
          <cell r="B5343" t="str">
            <v>XZ-HMMX360</v>
          </cell>
        </row>
        <row r="5344">
          <cell r="A5344" t="str">
            <v>XZ-HMMX360-GR-3839</v>
          </cell>
          <cell r="B5344" t="str">
            <v>XZ-HMMX360</v>
          </cell>
        </row>
        <row r="5345">
          <cell r="A5345" t="str">
            <v>XZ-HMMX360-GR-4041</v>
          </cell>
          <cell r="B5345" t="str">
            <v>XZ-HMMX360</v>
          </cell>
        </row>
        <row r="5346">
          <cell r="A5346" t="str">
            <v>XZ-HMSD269-K0-17</v>
          </cell>
          <cell r="B5346" t="str">
            <v>XZ-HMSD269</v>
          </cell>
        </row>
        <row r="5347">
          <cell r="A5347" t="str">
            <v>XZ-HMSD269-K0-19</v>
          </cell>
          <cell r="B5347" t="str">
            <v>XZ-HMSD269</v>
          </cell>
        </row>
        <row r="5348">
          <cell r="A5348" t="str">
            <v>XZ-HMSD269-K0-20</v>
          </cell>
          <cell r="B5348" t="str">
            <v>XZ-HMSD269</v>
          </cell>
        </row>
        <row r="5349">
          <cell r="A5349" t="str">
            <v>XZ-HMSD269-K0-21</v>
          </cell>
          <cell r="B5349" t="str">
            <v>XZ-HMSD269</v>
          </cell>
        </row>
        <row r="5350">
          <cell r="A5350" t="str">
            <v>XZ-HMSD269-K0-22</v>
          </cell>
          <cell r="B5350" t="str">
            <v>XZ-HMSD269</v>
          </cell>
        </row>
        <row r="5351">
          <cell r="A5351" t="str">
            <v>XZ-HMSD269-K0-24</v>
          </cell>
          <cell r="B5351" t="str">
            <v>XZ-HMSD269</v>
          </cell>
        </row>
        <row r="5352">
          <cell r="A5352" t="str">
            <v>XZ-HMSD269-R0-25</v>
          </cell>
          <cell r="B5352" t="str">
            <v>XZ-HMSD269</v>
          </cell>
        </row>
        <row r="5353">
          <cell r="A5353" t="str">
            <v>XZ-HMSD269-R0-26</v>
          </cell>
          <cell r="B5353" t="str">
            <v>XZ-HMSD269</v>
          </cell>
        </row>
        <row r="5354">
          <cell r="A5354" t="str">
            <v>XZ-HMSD269-R0-28</v>
          </cell>
          <cell r="B5354" t="str">
            <v>XZ-HMSD269</v>
          </cell>
        </row>
        <row r="5355">
          <cell r="A5355" t="str">
            <v>XZ-HMSD269-R0-29</v>
          </cell>
          <cell r="B5355" t="str">
            <v>XZ-HMSD269</v>
          </cell>
        </row>
        <row r="5356">
          <cell r="A5356" t="str">
            <v>XZ-HMTZ219</v>
          </cell>
          <cell r="B5356" t="str">
            <v>XZ-HMTZ219</v>
          </cell>
        </row>
        <row r="5357">
          <cell r="A5357" t="str">
            <v>XZ-HMTZ219-GR-4041</v>
          </cell>
          <cell r="B5357" t="str">
            <v>XZ-HMTZ219</v>
          </cell>
        </row>
        <row r="5358">
          <cell r="A5358" t="str">
            <v>XZ-HMTZ250</v>
          </cell>
          <cell r="B5358" t="str">
            <v>XZ-HMTZ250</v>
          </cell>
        </row>
        <row r="5359">
          <cell r="A5359" t="str">
            <v>XZ-HMTZ250-CO-4041</v>
          </cell>
          <cell r="B5359" t="str">
            <v>XZ-HMTZ250</v>
          </cell>
        </row>
        <row r="5360">
          <cell r="A5360" t="str">
            <v>XZ-HMTZ250-CO-4243</v>
          </cell>
          <cell r="B5360" t="str">
            <v>XZ-HMTZ250</v>
          </cell>
        </row>
        <row r="5361">
          <cell r="A5361" t="str">
            <v>XZ-HMTZ250-CO-4445</v>
          </cell>
          <cell r="B5361" t="str">
            <v>XZ-HMTZ250</v>
          </cell>
        </row>
        <row r="5362">
          <cell r="A5362" t="str">
            <v>XZ-HMTZ250-GR-4041</v>
          </cell>
          <cell r="B5362" t="str">
            <v>XZ-HMTZ250</v>
          </cell>
        </row>
        <row r="5363">
          <cell r="A5363" t="str">
            <v>XZ-HMTZ250-GR-4243</v>
          </cell>
          <cell r="B5363" t="str">
            <v>XZ-HMTZ250</v>
          </cell>
        </row>
        <row r="5364">
          <cell r="A5364" t="str">
            <v>XZ-HMTZ250-GR-4445</v>
          </cell>
          <cell r="B5364" t="str">
            <v>XZ-HMTZ250</v>
          </cell>
        </row>
        <row r="5365">
          <cell r="A5365" t="str">
            <v>XZ-HMTZ250-P0-3637</v>
          </cell>
          <cell r="B5365" t="str">
            <v>XZ-HMTZ250</v>
          </cell>
        </row>
        <row r="5366">
          <cell r="A5366" t="str">
            <v>XZ-HMTZ250-P0-3839</v>
          </cell>
          <cell r="B5366" t="str">
            <v>XZ-HMTZ250</v>
          </cell>
        </row>
        <row r="5367">
          <cell r="A5367" t="str">
            <v>XZ-HMTZ250-P0-4041</v>
          </cell>
          <cell r="B5367" t="str">
            <v>XZ-HMTZ250</v>
          </cell>
        </row>
        <row r="5368">
          <cell r="A5368" t="str">
            <v>XZ-HMTZ250-Pi-3637</v>
          </cell>
          <cell r="B5368" t="str">
            <v>XZ-HMTZ250</v>
          </cell>
        </row>
        <row r="5369">
          <cell r="A5369" t="str">
            <v>XZ-HMTZ250-Pi-3839</v>
          </cell>
          <cell r="B5369" t="str">
            <v>XZ-HMTZ250</v>
          </cell>
        </row>
        <row r="5370">
          <cell r="A5370" t="str">
            <v>XZ-HMTZ250-Pi-4041</v>
          </cell>
          <cell r="B5370" t="str">
            <v>XZ-HMTZ250</v>
          </cell>
        </row>
        <row r="5371">
          <cell r="A5371" t="str">
            <v>XZ-HMXX018</v>
          </cell>
          <cell r="B5371" t="str">
            <v>XZ-HMXX018</v>
          </cell>
        </row>
        <row r="5372">
          <cell r="A5372" t="str">
            <v>XZ-HMXX018-BR-3637</v>
          </cell>
          <cell r="B5372" t="str">
            <v>XZ-HMXX018</v>
          </cell>
        </row>
        <row r="5373">
          <cell r="A5373" t="str">
            <v>XZ-HMXX018-BR-3839</v>
          </cell>
          <cell r="B5373" t="str">
            <v>XZ-HMXX018</v>
          </cell>
        </row>
        <row r="5374">
          <cell r="A5374" t="str">
            <v>XZ-HMXX018-BR-4041</v>
          </cell>
          <cell r="B5374" t="str">
            <v>XZ-HMXX018</v>
          </cell>
        </row>
        <row r="5375">
          <cell r="A5375" t="str">
            <v>XZ-HMXX018-K0-3637</v>
          </cell>
          <cell r="B5375" t="str">
            <v>XZ-HMXX018</v>
          </cell>
        </row>
        <row r="5376">
          <cell r="A5376" t="str">
            <v>XZ-HMXX018-K0-3839</v>
          </cell>
          <cell r="B5376" t="str">
            <v>XZ-HMXX018</v>
          </cell>
        </row>
        <row r="5377">
          <cell r="A5377" t="str">
            <v>XZ-HMXX018-K0-3940</v>
          </cell>
          <cell r="B5377" t="str">
            <v>XZ-HMXX018</v>
          </cell>
        </row>
        <row r="5378">
          <cell r="A5378" t="str">
            <v>XZ-HMXX018-R0-3839</v>
          </cell>
          <cell r="B5378" t="str">
            <v>XZ-HMXX018</v>
          </cell>
        </row>
        <row r="5379">
          <cell r="A5379" t="str">
            <v>XZ-HMXX018-Y0-3637</v>
          </cell>
          <cell r="B5379" t="str">
            <v>XZ-HMXX018</v>
          </cell>
        </row>
        <row r="5380">
          <cell r="A5380" t="str">
            <v>XZ-HMXX018-Y0-3839</v>
          </cell>
          <cell r="B5380" t="str">
            <v>XZ-HMXX018</v>
          </cell>
        </row>
        <row r="5381">
          <cell r="A5381" t="str">
            <v>XZ-HMXX018-Y0-3940</v>
          </cell>
          <cell r="B5381" t="str">
            <v>XZ-HMXX018</v>
          </cell>
        </row>
        <row r="5382">
          <cell r="A5382" t="str">
            <v>XZ-HMXX390-Gird-P0-3637</v>
          </cell>
          <cell r="B5382" t="str">
            <v>XZ-HMXX390</v>
          </cell>
        </row>
        <row r="5383">
          <cell r="A5383" t="str">
            <v>XZ-HMXX390-Gird-P0-3839</v>
          </cell>
          <cell r="B5383" t="str">
            <v>XZ-HMXX390</v>
          </cell>
        </row>
        <row r="5384">
          <cell r="A5384" t="str">
            <v>XZ-HMXX390-Gird-YH-3637</v>
          </cell>
          <cell r="B5384" t="str">
            <v>XZ-HMXX390</v>
          </cell>
        </row>
        <row r="5385">
          <cell r="A5385" t="str">
            <v>XZ-HMXX390-Gird-YH-3839</v>
          </cell>
          <cell r="B5385" t="str">
            <v>XZ-HMXX390</v>
          </cell>
        </row>
        <row r="5386">
          <cell r="A5386" t="str">
            <v>XZ-HMXX390-Knit-BE-3637</v>
          </cell>
          <cell r="B5386" t="str">
            <v>XZ-HMXX390</v>
          </cell>
        </row>
        <row r="5387">
          <cell r="A5387" t="str">
            <v>XZ-HMXX390-Knit-BE-3839</v>
          </cell>
          <cell r="B5387" t="str">
            <v>XZ-HMXX390</v>
          </cell>
        </row>
        <row r="5388">
          <cell r="A5388" t="str">
            <v>XZ-HMXX390-Knit-P0-3637</v>
          </cell>
          <cell r="B5388" t="str">
            <v>XZ-HMXX390</v>
          </cell>
        </row>
        <row r="5389">
          <cell r="A5389" t="str">
            <v>XZ-HMXX390-Knit-P0-3839</v>
          </cell>
          <cell r="B5389" t="str">
            <v>XZ-HMXX390</v>
          </cell>
        </row>
        <row r="5390">
          <cell r="A5390" t="str">
            <v>XZ-HMXX390-Knit-PI-3637</v>
          </cell>
          <cell r="B5390" t="str">
            <v>XZ-HMXX390</v>
          </cell>
        </row>
        <row r="5391">
          <cell r="A5391" t="str">
            <v>XZ-HMXX390-Knit-PI-3839</v>
          </cell>
          <cell r="B5391" t="str">
            <v>XZ-HMXX390</v>
          </cell>
        </row>
        <row r="5392">
          <cell r="A5392" t="str">
            <v>XZ-HMXX390-Knit-QC-3637</v>
          </cell>
          <cell r="B5392" t="str">
            <v>XZ-HMXX390</v>
          </cell>
        </row>
        <row r="5393">
          <cell r="A5393" t="str">
            <v>XZ-HMXX390-Knit-QC-3839</v>
          </cell>
          <cell r="B5393" t="str">
            <v>XZ-HMXX390</v>
          </cell>
        </row>
        <row r="5394">
          <cell r="A5394" t="str">
            <v>XZ-HMXX390-Snow-R3-3637</v>
          </cell>
          <cell r="B5394" t="str">
            <v>XZ-HMXX390</v>
          </cell>
        </row>
        <row r="5395">
          <cell r="A5395" t="str">
            <v>XZ-HMXX390-Snow-R3-3839</v>
          </cell>
          <cell r="B5395" t="str">
            <v>XZ-HMXX390</v>
          </cell>
        </row>
        <row r="5396">
          <cell r="A5396" t="str">
            <v>XZ-HMXX390-Snow-W0-3637</v>
          </cell>
          <cell r="B5396" t="str">
            <v>XZ-HMXX390</v>
          </cell>
        </row>
        <row r="5397">
          <cell r="A5397" t="str">
            <v>XZ-HMXX390-Snow-W0-3839</v>
          </cell>
          <cell r="B5397" t="str">
            <v>XZ-HMXX390</v>
          </cell>
        </row>
        <row r="5398">
          <cell r="A5398" t="str">
            <v>XZ-HMXX390-Snow-ZL-3637</v>
          </cell>
          <cell r="B5398" t="str">
            <v>XZ-HMXX390</v>
          </cell>
        </row>
        <row r="5399">
          <cell r="A5399" t="str">
            <v>XZ-HMXX390-Snow-ZL-3839</v>
          </cell>
          <cell r="B5399" t="str">
            <v>XZ-HMXX390</v>
          </cell>
        </row>
        <row r="5400">
          <cell r="A5400" t="str">
            <v>XZ-HMXX390-Velet-P0-3637</v>
          </cell>
          <cell r="B5400" t="str">
            <v>XZ-HMXX390</v>
          </cell>
        </row>
        <row r="5401">
          <cell r="A5401" t="str">
            <v>XZ-HMXX390-Velet-P0-3839</v>
          </cell>
          <cell r="B5401" t="str">
            <v>XZ-HMXX390</v>
          </cell>
        </row>
        <row r="5402">
          <cell r="A5402" t="str">
            <v>XZ-HMXX390-Velet-R3-3637</v>
          </cell>
          <cell r="B5402" t="str">
            <v>XZ-HMXX390</v>
          </cell>
        </row>
        <row r="5403">
          <cell r="A5403" t="str">
            <v>XZ-HMXX390-Velet-R3-3839</v>
          </cell>
          <cell r="B5403" t="str">
            <v>XZ-HMXX390</v>
          </cell>
        </row>
        <row r="5404">
          <cell r="A5404" t="str">
            <v>XZ-HMXY21-R0-3637</v>
          </cell>
          <cell r="B5404" t="str">
            <v>XZ-HMXY21</v>
          </cell>
        </row>
        <row r="5405">
          <cell r="A5405" t="str">
            <v>XZ-HMXY21-R0-3839</v>
          </cell>
          <cell r="B5405" t="str">
            <v>XZ-HMXY21</v>
          </cell>
        </row>
        <row r="5406">
          <cell r="A5406" t="str">
            <v>XZ-HMXY21-ZL-4041</v>
          </cell>
          <cell r="B5406" t="str">
            <v>XZ-HMXY21</v>
          </cell>
        </row>
        <row r="5407">
          <cell r="A5407" t="str">
            <v>XZ-HMYZ22</v>
          </cell>
          <cell r="B5407" t="str">
            <v>XZ-HMYZ22</v>
          </cell>
        </row>
        <row r="5408">
          <cell r="A5408" t="str">
            <v>XZ-HMYZ22-GR-35(3)</v>
          </cell>
          <cell r="B5408" t="str">
            <v>XZ-HMYZ22</v>
          </cell>
        </row>
        <row r="5409">
          <cell r="A5409" t="str">
            <v>XZ-HMYZ22-GR-36(4)</v>
          </cell>
          <cell r="B5409" t="str">
            <v>XZ-HMYZ22</v>
          </cell>
        </row>
        <row r="5410">
          <cell r="A5410" t="str">
            <v>XZ-HMYZ22-GR-3637</v>
          </cell>
          <cell r="B5410" t="str">
            <v>XZ-HMYZ22</v>
          </cell>
        </row>
        <row r="5411">
          <cell r="A5411" t="str">
            <v>XZ-HMYZ22-GR-37(5)</v>
          </cell>
          <cell r="B5411" t="str">
            <v>XZ-HMYZ22</v>
          </cell>
        </row>
        <row r="5412">
          <cell r="A5412" t="str">
            <v>XZ-HMYZ22-GR-38(5.5)</v>
          </cell>
          <cell r="B5412" t="str">
            <v>XZ-HMYZ22</v>
          </cell>
        </row>
        <row r="5413">
          <cell r="A5413" t="str">
            <v>XZ-HMYZ22-GR-3839</v>
          </cell>
          <cell r="B5413" t="str">
            <v>XZ-HMYZ22</v>
          </cell>
        </row>
        <row r="5414">
          <cell r="A5414" t="str">
            <v>XZ-HMYZ22-GR-39(6)</v>
          </cell>
          <cell r="B5414" t="str">
            <v>XZ-HMYZ22</v>
          </cell>
        </row>
        <row r="5415">
          <cell r="A5415" t="str">
            <v>XZ-HMYZ22-GR-40(7)</v>
          </cell>
          <cell r="B5415" t="str">
            <v>XZ-HMYZ22</v>
          </cell>
        </row>
        <row r="5416">
          <cell r="A5416" t="str">
            <v>XZ-HMYZ22-GR-41(8)</v>
          </cell>
          <cell r="B5416" t="str">
            <v>XZ-HMYZ22</v>
          </cell>
        </row>
        <row r="5417">
          <cell r="A5417" t="str">
            <v>XZ-HMYZ22-GR-L</v>
          </cell>
          <cell r="B5417" t="str">
            <v>XZ-HMYZ22</v>
          </cell>
        </row>
        <row r="5418">
          <cell r="A5418" t="str">
            <v>XZ-HMYZ22-GR-M</v>
          </cell>
          <cell r="B5418" t="str">
            <v>XZ-HMYZ22</v>
          </cell>
        </row>
        <row r="5419">
          <cell r="A5419" t="str">
            <v>XZ-HMYZ22-GR-M+</v>
          </cell>
          <cell r="B5419" t="str">
            <v>XZ-HMYZ22</v>
          </cell>
        </row>
        <row r="5420">
          <cell r="A5420" t="str">
            <v>XZ-HMYZ22-GR-S</v>
          </cell>
          <cell r="B5420" t="str">
            <v>XZ-HMYZ22</v>
          </cell>
        </row>
        <row r="5421">
          <cell r="A5421" t="str">
            <v>XZ-HMYZ22-GR-XL</v>
          </cell>
          <cell r="B5421" t="str">
            <v>XZ-HMYZ22</v>
          </cell>
        </row>
        <row r="5422">
          <cell r="A5422" t="str">
            <v>XZ-HMYZ22-GR-XL+</v>
          </cell>
          <cell r="B5422" t="str">
            <v>XZ-HMYZ22</v>
          </cell>
        </row>
        <row r="5423">
          <cell r="A5423" t="str">
            <v>XZ-HMYZ22-PI-35(3)</v>
          </cell>
          <cell r="B5423" t="str">
            <v>XZ-HMYZ22</v>
          </cell>
        </row>
        <row r="5424">
          <cell r="A5424" t="str">
            <v>XZ-HMYZ22-PI-36(4)</v>
          </cell>
          <cell r="B5424" t="str">
            <v>XZ-HMYZ22</v>
          </cell>
        </row>
        <row r="5425">
          <cell r="A5425" t="str">
            <v>XZ-HMYZ22-PI-3637</v>
          </cell>
          <cell r="B5425" t="str">
            <v>XZ-HMYZ22</v>
          </cell>
        </row>
        <row r="5426">
          <cell r="A5426" t="str">
            <v>XZ-HMYZ22-PI-37(5)</v>
          </cell>
          <cell r="B5426" t="str">
            <v>XZ-HMYZ22</v>
          </cell>
        </row>
        <row r="5427">
          <cell r="A5427" t="str">
            <v>XZ-HMYZ22-PI-38(5.5)</v>
          </cell>
          <cell r="B5427" t="str">
            <v>XZ-HMYZ22</v>
          </cell>
        </row>
        <row r="5428">
          <cell r="A5428" t="str">
            <v>XZ-HMYZ22-PI-39(6)</v>
          </cell>
          <cell r="B5428" t="str">
            <v>XZ-HMYZ22</v>
          </cell>
        </row>
        <row r="5429">
          <cell r="A5429" t="str">
            <v>XZ-HMYZ22-PI-40(7)</v>
          </cell>
          <cell r="B5429" t="str">
            <v>XZ-HMYZ22</v>
          </cell>
        </row>
        <row r="5430">
          <cell r="A5430" t="str">
            <v>XZ-HMYZ22-PI-41(8)</v>
          </cell>
          <cell r="B5430" t="str">
            <v>XZ-HMYZ22</v>
          </cell>
        </row>
        <row r="5431">
          <cell r="A5431" t="str">
            <v>XZ-HMYZ22-PI-L</v>
          </cell>
          <cell r="B5431" t="str">
            <v>XZ-HMYZ22</v>
          </cell>
        </row>
        <row r="5432">
          <cell r="A5432" t="str">
            <v>XZ-HMYZ22-PI-M</v>
          </cell>
          <cell r="B5432" t="str">
            <v>XZ-HMYZ22</v>
          </cell>
        </row>
        <row r="5433">
          <cell r="A5433" t="str">
            <v>XZ-HMYZ22-PI-M+</v>
          </cell>
          <cell r="B5433" t="str">
            <v>XZ-HMYZ22</v>
          </cell>
        </row>
        <row r="5434">
          <cell r="A5434" t="str">
            <v>XZ-HMYZ22-PI-S</v>
          </cell>
          <cell r="B5434" t="str">
            <v>XZ-HMYZ22</v>
          </cell>
        </row>
        <row r="5435">
          <cell r="A5435" t="str">
            <v>XZ-HMYZ22-PI-XL</v>
          </cell>
          <cell r="B5435" t="str">
            <v>XZ-HMYZ22</v>
          </cell>
        </row>
        <row r="5436">
          <cell r="A5436" t="str">
            <v>XZ-HMYZ22-PI-XL+</v>
          </cell>
          <cell r="B5436" t="str">
            <v>XZ-HMYZ22</v>
          </cell>
        </row>
        <row r="5437">
          <cell r="A5437" t="str">
            <v>XZ-HMZJ23</v>
          </cell>
          <cell r="B5437" t="str">
            <v>XZ-HMZJ23</v>
          </cell>
        </row>
        <row r="5438">
          <cell r="A5438" t="str">
            <v>XZ-HMZJ23-GR-3637</v>
          </cell>
          <cell r="B5438" t="str">
            <v>XZ-HMZJ23</v>
          </cell>
        </row>
        <row r="5439">
          <cell r="A5439" t="str">
            <v>XZ-HMZJ23-GR-3839</v>
          </cell>
          <cell r="B5439" t="str">
            <v>XZ-HMZJ23</v>
          </cell>
        </row>
        <row r="5440">
          <cell r="A5440" t="str">
            <v>XZ-HMZJ23-GR-4041</v>
          </cell>
          <cell r="B5440" t="str">
            <v>XZ-HMZJ23</v>
          </cell>
        </row>
        <row r="5441">
          <cell r="A5441" t="str">
            <v>XZ-HMZJ23-GR-4243</v>
          </cell>
          <cell r="B5441" t="str">
            <v>XZ-HMZJ23</v>
          </cell>
        </row>
        <row r="5442">
          <cell r="A5442" t="str">
            <v>XZ-PW-1999-CO-37</v>
          </cell>
          <cell r="B5442" t="str">
            <v>XZ-PW-1999</v>
          </cell>
        </row>
        <row r="5443">
          <cell r="A5443" t="str">
            <v>XZ-PW-1999-CO-38</v>
          </cell>
          <cell r="B5443" t="str">
            <v>XZ-PW-1999</v>
          </cell>
        </row>
        <row r="5444">
          <cell r="A5444" t="str">
            <v>XZ-PW-1999-CO-39</v>
          </cell>
          <cell r="B5444" t="str">
            <v>XZ-PW-1999</v>
          </cell>
        </row>
        <row r="5445">
          <cell r="A5445" t="str">
            <v>XZ-PW-1999-CO-40</v>
          </cell>
          <cell r="B5445" t="str">
            <v>XZ-PW-1999</v>
          </cell>
        </row>
        <row r="5446">
          <cell r="A5446" t="str">
            <v>XZ-PW-1999-GR-36</v>
          </cell>
          <cell r="B5446" t="str">
            <v>XZ-PW-1999</v>
          </cell>
        </row>
        <row r="5447">
          <cell r="A5447" t="str">
            <v>XZ-PW-1999-GR-37</v>
          </cell>
          <cell r="B5447" t="str">
            <v>XZ-PW-1999</v>
          </cell>
        </row>
        <row r="5448">
          <cell r="A5448" t="str">
            <v>XZ-PW-1999-GR-38</v>
          </cell>
          <cell r="B5448" t="str">
            <v>XZ-PW-1999</v>
          </cell>
        </row>
        <row r="5449">
          <cell r="A5449" t="str">
            <v>XZ-PW-1999-GR-39</v>
          </cell>
          <cell r="B5449" t="str">
            <v>XZ-PW-1999</v>
          </cell>
        </row>
        <row r="5450">
          <cell r="A5450" t="str">
            <v>XZ-PW-1999-K0-36</v>
          </cell>
          <cell r="B5450" t="str">
            <v>XZ-PW-1999</v>
          </cell>
        </row>
        <row r="5451">
          <cell r="A5451" t="str">
            <v>XZ-PW-1999-K0-37</v>
          </cell>
          <cell r="B5451" t="str">
            <v>XZ-PW-1999</v>
          </cell>
        </row>
        <row r="5452">
          <cell r="A5452" t="str">
            <v>XZ-PW-1999-K0-38</v>
          </cell>
          <cell r="B5452" t="str">
            <v>XZ-PW-1999</v>
          </cell>
        </row>
        <row r="5453">
          <cell r="A5453" t="str">
            <v>XZ-PW-1999-K0-39</v>
          </cell>
          <cell r="B5453" t="str">
            <v>XZ-PW-1999</v>
          </cell>
        </row>
        <row r="5454">
          <cell r="A5454" t="str">
            <v>XZ-PW-1999-K0-40</v>
          </cell>
          <cell r="B5454" t="str">
            <v>XZ-PW-1999</v>
          </cell>
        </row>
        <row r="5455">
          <cell r="A5455" t="str">
            <v>XZ-PW-1999-LB-38</v>
          </cell>
          <cell r="B5455" t="str">
            <v>XZ-PW-1999</v>
          </cell>
        </row>
        <row r="5456">
          <cell r="A5456" t="str">
            <v>XZ-PW-1999-LB-39</v>
          </cell>
          <cell r="B5456" t="str">
            <v>XZ-PW-1999</v>
          </cell>
        </row>
        <row r="5457">
          <cell r="A5457" t="str">
            <v>XZ-PW-1999-LB-40</v>
          </cell>
          <cell r="B5457" t="str">
            <v>XZ-PW-1999</v>
          </cell>
        </row>
        <row r="5458">
          <cell r="A5458" t="str">
            <v>XZ-PW-1999-PU-40</v>
          </cell>
          <cell r="B5458" t="str">
            <v>XZ-PW-1999</v>
          </cell>
        </row>
        <row r="5459">
          <cell r="A5459" t="str">
            <v>XZ-PW-2001-BG-37</v>
          </cell>
          <cell r="B5459" t="str">
            <v>XZ-PW-2001</v>
          </cell>
        </row>
        <row r="5460">
          <cell r="A5460" t="str">
            <v>XZ-PW-2001-BG-38</v>
          </cell>
          <cell r="B5460" t="str">
            <v>XZ-PW-2001</v>
          </cell>
        </row>
        <row r="5461">
          <cell r="A5461" t="str">
            <v>XZ-PW-2001-C0-36</v>
          </cell>
          <cell r="B5461" t="str">
            <v>XZ-PW-2001</v>
          </cell>
        </row>
        <row r="5462">
          <cell r="A5462" t="str">
            <v>XZ-PW-2001-C0-37</v>
          </cell>
          <cell r="B5462" t="str">
            <v>XZ-PW-2001</v>
          </cell>
        </row>
        <row r="5463">
          <cell r="A5463" t="str">
            <v>XZ-PW-2001-G0-36</v>
          </cell>
          <cell r="B5463" t="str">
            <v>XZ-PW-2001</v>
          </cell>
        </row>
        <row r="5464">
          <cell r="A5464" t="str">
            <v>XZ-PW-2001-G0-37</v>
          </cell>
          <cell r="B5464" t="str">
            <v>XZ-PW-2001</v>
          </cell>
        </row>
        <row r="5465">
          <cell r="A5465" t="str">
            <v>XZ-PW-2001-G0-41</v>
          </cell>
          <cell r="B5465" t="str">
            <v>XZ-PW-2001</v>
          </cell>
        </row>
        <row r="5466">
          <cell r="A5466" t="str">
            <v>XZ-PW-2001-K0-36</v>
          </cell>
          <cell r="B5466" t="str">
            <v>XZ-PW-2001</v>
          </cell>
        </row>
        <row r="5467">
          <cell r="A5467" t="str">
            <v>XZ-PW-2001-K0-37</v>
          </cell>
          <cell r="B5467" t="str">
            <v>XZ-PW-2001</v>
          </cell>
        </row>
        <row r="5468">
          <cell r="A5468" t="str">
            <v>XZ-PW-2001-N0-36</v>
          </cell>
          <cell r="B5468" t="str">
            <v>XZ-PW-2001</v>
          </cell>
        </row>
        <row r="5469">
          <cell r="A5469" t="str">
            <v>XZ-PW-2001-N0-37</v>
          </cell>
          <cell r="B5469" t="str">
            <v>XZ-PW-2001</v>
          </cell>
        </row>
        <row r="5470">
          <cell r="A5470" t="str">
            <v>XZ-PW-2001-N0-38</v>
          </cell>
          <cell r="B5470" t="str">
            <v>XZ-PW-2001</v>
          </cell>
        </row>
        <row r="5471">
          <cell r="A5471" t="str">
            <v>XZ-PW-2001-R0-36</v>
          </cell>
          <cell r="B5471" t="str">
            <v>XZ-PW-2001</v>
          </cell>
        </row>
        <row r="5472">
          <cell r="A5472" t="str">
            <v>XZ-PW-2001-R0-37</v>
          </cell>
          <cell r="B5472" t="str">
            <v>XZ-PW-2001</v>
          </cell>
        </row>
        <row r="5473">
          <cell r="A5473" t="str">
            <v>XZ-SM-013GR1-S</v>
          </cell>
          <cell r="B5473" t="str">
            <v>XZ-SM-013</v>
          </cell>
        </row>
        <row r="5474">
          <cell r="A5474" t="str">
            <v>XZ-SM-013GR3-S</v>
          </cell>
          <cell r="B5474" t="str">
            <v>XZ-SM-013</v>
          </cell>
        </row>
        <row r="5475">
          <cell r="A5475" t="str">
            <v>XZ-SM-013PI3-M</v>
          </cell>
          <cell r="B5475" t="str">
            <v>XZ-SM-013</v>
          </cell>
        </row>
        <row r="5476">
          <cell r="A5476" t="str">
            <v>XZ-SM-013PI3-S</v>
          </cell>
          <cell r="B5476" t="str">
            <v>XZ-SM-013</v>
          </cell>
        </row>
        <row r="5477">
          <cell r="A5477" t="str">
            <v>XZ-SM-013WH1-S</v>
          </cell>
          <cell r="B5477" t="str">
            <v>XZ-SM-013</v>
          </cell>
        </row>
        <row r="5478">
          <cell r="A5478" t="str">
            <v>XZ-SM-013WH2-M</v>
          </cell>
          <cell r="B5478" t="str">
            <v>XZ-SM-013</v>
          </cell>
        </row>
        <row r="5479">
          <cell r="A5479" t="str">
            <v>XZ-SM-013WH2-S</v>
          </cell>
          <cell r="B5479" t="str">
            <v>XZ-SM-013</v>
          </cell>
        </row>
        <row r="5480">
          <cell r="A5480" t="str">
            <v>XZ-SM-013WH3-S</v>
          </cell>
          <cell r="B5480" t="str">
            <v>XZ-SM-013</v>
          </cell>
        </row>
        <row r="5481">
          <cell r="A5481" t="str">
            <v>XZ-SM-0299-SH-4243</v>
          </cell>
          <cell r="B5481" t="str">
            <v>XZ-SM-0299</v>
          </cell>
        </row>
        <row r="5482">
          <cell r="A5482" t="str">
            <v>XZ-SM-HMMF360-DB-L</v>
          </cell>
          <cell r="B5482" t="str">
            <v>XZ-SM-HMMF360</v>
          </cell>
        </row>
        <row r="5483">
          <cell r="A5483" t="str">
            <v>XZ-SM-HMMF360-LB-L</v>
          </cell>
          <cell r="B5483" t="str">
            <v>XZ-SM-HMMF360</v>
          </cell>
        </row>
        <row r="5484">
          <cell r="A5484" t="str">
            <v>XZ-SM-HMXX018-Y0-3839</v>
          </cell>
          <cell r="B5484" t="str">
            <v>XZ-SM-HMXX018</v>
          </cell>
        </row>
        <row r="5485">
          <cell r="A5485" t="str">
            <v>XZ-SM-YG7223Co4445</v>
          </cell>
          <cell r="B5485" t="str">
            <v>XZ-SM-YG7223</v>
          </cell>
        </row>
        <row r="5486">
          <cell r="A5486" t="str">
            <v>XZ-SM-YG7223Gr3637</v>
          </cell>
          <cell r="B5486" t="str">
            <v>XZ-SM-YG7223</v>
          </cell>
        </row>
        <row r="5487">
          <cell r="A5487" t="str">
            <v>XZ-SM-YG7223Gr3839</v>
          </cell>
          <cell r="B5487" t="str">
            <v>XZ-SM-YG7223</v>
          </cell>
        </row>
        <row r="5488">
          <cell r="A5488" t="str">
            <v>XZ-SM-YG7223Pu3637</v>
          </cell>
          <cell r="B5488" t="str">
            <v>XZ-SM-YG7223</v>
          </cell>
        </row>
        <row r="5489">
          <cell r="A5489" t="str">
            <v>XZ-SM-YG7223Pu3839</v>
          </cell>
          <cell r="B5489" t="str">
            <v>XZ-SM-YG7223</v>
          </cell>
        </row>
        <row r="5490">
          <cell r="A5490" t="str">
            <v>XZ-SM-ZQCB3056-B0-24</v>
          </cell>
          <cell r="B5490" t="str">
            <v>XZ-SM-ZQCB3056</v>
          </cell>
        </row>
        <row r="5491">
          <cell r="A5491" t="str">
            <v>XZ-SM-ZQCB3056-B0-25</v>
          </cell>
          <cell r="B5491" t="str">
            <v>XZ-SM-ZQCB3056</v>
          </cell>
        </row>
        <row r="5492">
          <cell r="A5492" t="str">
            <v>XZ-SM-ZQCB3056-E0-24</v>
          </cell>
          <cell r="B5492" t="str">
            <v>XZ-SM-ZQCB3056</v>
          </cell>
        </row>
        <row r="5493">
          <cell r="A5493" t="str">
            <v>XZ-SM-ZQCB3056-kQ-24</v>
          </cell>
          <cell r="B5493" t="str">
            <v>XZ-SM-ZQCB3056</v>
          </cell>
        </row>
        <row r="5494">
          <cell r="A5494" t="str">
            <v>XZ-SM-ZQCB3056-R1-24</v>
          </cell>
          <cell r="B5494" t="str">
            <v>XZ-SM-ZQCB3056</v>
          </cell>
        </row>
        <row r="5495">
          <cell r="A5495" t="str">
            <v>XZ-SM-ZQCB3056-R2-24</v>
          </cell>
          <cell r="B5495" t="str">
            <v>XZ-SM-ZQCB3056</v>
          </cell>
        </row>
        <row r="5496">
          <cell r="A5496" t="str">
            <v>XZ-SM-ZQCB3056-R2-25</v>
          </cell>
          <cell r="B5496" t="str">
            <v>XZ-SM-ZQCB3056</v>
          </cell>
        </row>
        <row r="5497">
          <cell r="A5497" t="str">
            <v>XZ-YG7223</v>
          </cell>
          <cell r="B5497" t="str">
            <v>XZ-YG7223-GM</v>
          </cell>
        </row>
        <row r="5498">
          <cell r="A5498" t="str">
            <v>XZ-YG7223Co4041</v>
          </cell>
          <cell r="B5498" t="str">
            <v>XZ-YG7223-GM</v>
          </cell>
        </row>
        <row r="5499">
          <cell r="A5499" t="str">
            <v>XZ-YG7223Co4243</v>
          </cell>
          <cell r="B5499" t="str">
            <v>XZ-YG7223-GM</v>
          </cell>
        </row>
        <row r="5500">
          <cell r="A5500" t="str">
            <v>XZ-YG7223Co4445</v>
          </cell>
          <cell r="B5500" t="str">
            <v>XZ-YG7223-GM</v>
          </cell>
        </row>
        <row r="5501">
          <cell r="A5501" t="str">
            <v>XZ-YG7223Da4041</v>
          </cell>
          <cell r="B5501" t="str">
            <v>XZ-YG7223-GM</v>
          </cell>
        </row>
        <row r="5502">
          <cell r="A5502" t="str">
            <v>XZ-YG7223Da4041-GM</v>
          </cell>
          <cell r="B5502" t="str">
            <v>XZ-YG7223-GM</v>
          </cell>
        </row>
        <row r="5503">
          <cell r="A5503" t="str">
            <v>XZ-YG7223Da4243</v>
          </cell>
          <cell r="B5503" t="str">
            <v>XZ-YG7223-GM</v>
          </cell>
        </row>
        <row r="5504">
          <cell r="A5504" t="str">
            <v>XZ-YG7223Da4445</v>
          </cell>
          <cell r="B5504" t="str">
            <v>XZ-YG7223-GM</v>
          </cell>
        </row>
        <row r="5505">
          <cell r="A5505" t="str">
            <v>XZ-YG7223Da4445-GM</v>
          </cell>
          <cell r="B5505" t="str">
            <v>XZ-YG7223-GM</v>
          </cell>
        </row>
        <row r="5506">
          <cell r="A5506" t="str">
            <v>XZ-YG7223-GM</v>
          </cell>
          <cell r="B5506" t="str">
            <v>XZ-YG7223-GM</v>
          </cell>
        </row>
        <row r="5507">
          <cell r="A5507" t="str">
            <v>XZ-YG7223Gr3637</v>
          </cell>
          <cell r="B5507" t="str">
            <v>XZ-YG7223-GM</v>
          </cell>
        </row>
        <row r="5508">
          <cell r="A5508" t="str">
            <v>XZ-YG7223Gr3839</v>
          </cell>
          <cell r="B5508" t="str">
            <v>XZ-YG7223-GM</v>
          </cell>
        </row>
        <row r="5509">
          <cell r="A5509" t="str">
            <v>XZ-YG7223Gr4041</v>
          </cell>
          <cell r="B5509" t="str">
            <v>XZ-YG7223-GM</v>
          </cell>
        </row>
        <row r="5510">
          <cell r="A5510" t="str">
            <v>XZ-YG7223Pu3637</v>
          </cell>
          <cell r="B5510" t="str">
            <v>XZ-YG7223-GM</v>
          </cell>
        </row>
        <row r="5511">
          <cell r="A5511" t="str">
            <v>XZ-YG7223Pu3839</v>
          </cell>
          <cell r="B5511" t="str">
            <v>XZ-YG7223-GM</v>
          </cell>
        </row>
        <row r="5512">
          <cell r="A5512" t="str">
            <v>XZ-YG7223Pu3839-GM</v>
          </cell>
          <cell r="B5512" t="str">
            <v>XZ-YG7223-GM</v>
          </cell>
        </row>
        <row r="5513">
          <cell r="A5513" t="str">
            <v>XZ-YG7223Pu3839-New</v>
          </cell>
          <cell r="B5513" t="str">
            <v>XZ-YG7223-GM</v>
          </cell>
        </row>
        <row r="5514">
          <cell r="A5514" t="str">
            <v>XZ-YG7223Pu4041</v>
          </cell>
          <cell r="B5514" t="str">
            <v>XZ-YG7223-GM</v>
          </cell>
        </row>
        <row r="5515">
          <cell r="A5515" t="str">
            <v>XZ-YG7223RB3637</v>
          </cell>
          <cell r="B5515" t="str">
            <v>XZ-YG7223-GM</v>
          </cell>
        </row>
        <row r="5516">
          <cell r="A5516" t="str">
            <v>XZ-YG7223RB3839</v>
          </cell>
          <cell r="B5516" t="str">
            <v>XZ-YG7223-GM</v>
          </cell>
        </row>
        <row r="5517">
          <cell r="A5517" t="str">
            <v>XZ-YG7223RB3839-GM</v>
          </cell>
          <cell r="B5517" t="str">
            <v>XZ-YG7223-GM</v>
          </cell>
        </row>
        <row r="5518">
          <cell r="A5518" t="str">
            <v>XZ-YG7223RB4041</v>
          </cell>
          <cell r="B5518" t="str">
            <v>XZ-YG7223-GM</v>
          </cell>
        </row>
        <row r="5519">
          <cell r="A5519" t="str">
            <v>XZ-ZQ1603-E0-270</v>
          </cell>
          <cell r="B5519" t="str">
            <v>XZ-ZQ1603</v>
          </cell>
        </row>
        <row r="5520">
          <cell r="A5520" t="str">
            <v>XZ-ZQ1603-KQ-240</v>
          </cell>
          <cell r="B5520" t="str">
            <v>XZ-ZQ1603</v>
          </cell>
        </row>
        <row r="5521">
          <cell r="A5521" t="str">
            <v>XZ-ZQ2176-B0-1415</v>
          </cell>
          <cell r="B5521" t="str">
            <v>XZ-ZQ2176</v>
          </cell>
        </row>
        <row r="5522">
          <cell r="A5522" t="str">
            <v>XZ-ZQ2176-B0-1617</v>
          </cell>
          <cell r="B5522" t="str">
            <v>XZ-ZQ2176</v>
          </cell>
        </row>
        <row r="5523">
          <cell r="A5523" t="str">
            <v>XZ-ZQ2176-B0-1819</v>
          </cell>
          <cell r="B5523" t="str">
            <v>XZ-ZQ2176</v>
          </cell>
        </row>
        <row r="5524">
          <cell r="A5524" t="str">
            <v>XZ-ZQ2176-B0-21</v>
          </cell>
          <cell r="B5524" t="str">
            <v>XZ-ZQ2176</v>
          </cell>
        </row>
        <row r="5525">
          <cell r="A5525" t="str">
            <v>XZ-ZQ2176-B0-22</v>
          </cell>
          <cell r="B5525" t="str">
            <v>XZ-ZQ2176</v>
          </cell>
        </row>
        <row r="5526">
          <cell r="A5526" t="str">
            <v>XZ-ZQ2176-B0-23</v>
          </cell>
          <cell r="B5526" t="str">
            <v>XZ-ZQ2176</v>
          </cell>
        </row>
        <row r="5527">
          <cell r="A5527" t="str">
            <v>XZ-ZQ2176-E0-1415</v>
          </cell>
          <cell r="B5527" t="str">
            <v>XZ-ZQ2176</v>
          </cell>
        </row>
        <row r="5528">
          <cell r="A5528" t="str">
            <v>XZ-ZQ2176-E0-1617</v>
          </cell>
          <cell r="B5528" t="str">
            <v>XZ-ZQ2176</v>
          </cell>
        </row>
        <row r="5529">
          <cell r="A5529" t="str">
            <v>XZ-ZQ2176-E0-1819</v>
          </cell>
          <cell r="B5529" t="str">
            <v>XZ-ZQ2176</v>
          </cell>
        </row>
        <row r="5530">
          <cell r="A5530" t="str">
            <v>XZ-ZQ2176-E0-20</v>
          </cell>
          <cell r="B5530" t="str">
            <v>XZ-ZQ2176</v>
          </cell>
        </row>
        <row r="5531">
          <cell r="A5531" t="str">
            <v>XZ-ZQ2176-E0-21</v>
          </cell>
          <cell r="B5531" t="str">
            <v>XZ-ZQ2176</v>
          </cell>
        </row>
        <row r="5532">
          <cell r="A5532" t="str">
            <v>XZ-ZQ2176-E0-22</v>
          </cell>
          <cell r="B5532" t="str">
            <v>XZ-ZQ2176</v>
          </cell>
        </row>
        <row r="5533">
          <cell r="A5533" t="str">
            <v>XZ-ZQ2176-E0-4041</v>
          </cell>
          <cell r="B5533" t="str">
            <v>XZ-ZQ2176</v>
          </cell>
        </row>
        <row r="5534">
          <cell r="A5534" t="str">
            <v>XZ-ZQ2176-E0-4243</v>
          </cell>
          <cell r="B5534" t="str">
            <v>XZ-ZQ2176</v>
          </cell>
        </row>
        <row r="5535">
          <cell r="A5535" t="str">
            <v>XZ-ZQ2176-E0-4445</v>
          </cell>
          <cell r="B5535" t="str">
            <v>XZ-ZQ2176</v>
          </cell>
        </row>
        <row r="5536">
          <cell r="A5536" t="str">
            <v>XZ-ZQ2176-K0-1415</v>
          </cell>
          <cell r="B5536" t="str">
            <v>XZ-ZQ2176</v>
          </cell>
        </row>
        <row r="5537">
          <cell r="A5537" t="str">
            <v>XZ-ZQ2176-K0-1617</v>
          </cell>
          <cell r="B5537" t="str">
            <v>XZ-ZQ2176</v>
          </cell>
        </row>
        <row r="5538">
          <cell r="A5538" t="str">
            <v>XZ-ZQ2176-K0-1819</v>
          </cell>
          <cell r="B5538" t="str">
            <v>XZ-ZQ2176</v>
          </cell>
        </row>
        <row r="5539">
          <cell r="A5539" t="str">
            <v>XZ-ZQ2176-K0-20</v>
          </cell>
          <cell r="B5539" t="str">
            <v>XZ-ZQ2176</v>
          </cell>
        </row>
        <row r="5540">
          <cell r="A5540" t="str">
            <v>XZ-ZQ2176-K0-21</v>
          </cell>
          <cell r="B5540" t="str">
            <v>XZ-ZQ2176</v>
          </cell>
        </row>
        <row r="5541">
          <cell r="A5541" t="str">
            <v>XZ-ZQ2176-K0-22</v>
          </cell>
          <cell r="B5541" t="str">
            <v>XZ-ZQ2176</v>
          </cell>
        </row>
        <row r="5542">
          <cell r="A5542" t="str">
            <v>XZ-ZQ2176-KQ-1415</v>
          </cell>
          <cell r="B5542" t="str">
            <v>XZ-ZQ2176</v>
          </cell>
        </row>
        <row r="5543">
          <cell r="A5543" t="str">
            <v>XZ-ZQ2176-KQ-1617</v>
          </cell>
          <cell r="B5543" t="str">
            <v>XZ-ZQ2176</v>
          </cell>
        </row>
        <row r="5544">
          <cell r="A5544" t="str">
            <v>XZ-ZQ2176-KQ-1819</v>
          </cell>
          <cell r="B5544" t="str">
            <v>XZ-ZQ2176</v>
          </cell>
        </row>
        <row r="5545">
          <cell r="A5545" t="str">
            <v>XZ-ZQ2176-KQ-20</v>
          </cell>
          <cell r="B5545" t="str">
            <v>XZ-ZQ2176</v>
          </cell>
        </row>
        <row r="5546">
          <cell r="A5546" t="str">
            <v>XZ-ZQ2176-KQ-21</v>
          </cell>
          <cell r="B5546" t="str">
            <v>XZ-ZQ2176</v>
          </cell>
        </row>
        <row r="5547">
          <cell r="A5547" t="str">
            <v>XZ-ZQ2176-KQ-22</v>
          </cell>
          <cell r="B5547" t="str">
            <v>XZ-ZQ2176</v>
          </cell>
        </row>
        <row r="5548">
          <cell r="A5548" t="str">
            <v>XZ-ZQ2176-KQ-4041</v>
          </cell>
          <cell r="B5548" t="str">
            <v>XZ-ZQ2176</v>
          </cell>
        </row>
        <row r="5549">
          <cell r="A5549" t="str">
            <v>XZ-ZQ2176-KQ-4243</v>
          </cell>
          <cell r="B5549" t="str">
            <v>XZ-ZQ2176</v>
          </cell>
        </row>
        <row r="5550">
          <cell r="A5550" t="str">
            <v>XZ-ZQ2176-KQ-4445</v>
          </cell>
          <cell r="B5550" t="str">
            <v>XZ-ZQ2176</v>
          </cell>
        </row>
        <row r="5551">
          <cell r="A5551" t="str">
            <v>XZ-ZQ2176-P0-1415</v>
          </cell>
          <cell r="B5551" t="str">
            <v>XZ-ZQ2176</v>
          </cell>
        </row>
        <row r="5552">
          <cell r="A5552" t="str">
            <v>XZ-ZQ2176-P0-1617</v>
          </cell>
          <cell r="B5552" t="str">
            <v>XZ-ZQ2176</v>
          </cell>
        </row>
        <row r="5553">
          <cell r="A5553" t="str">
            <v>XZ-ZQ2176-P0-1819</v>
          </cell>
          <cell r="B5553" t="str">
            <v>XZ-ZQ2176</v>
          </cell>
        </row>
        <row r="5554">
          <cell r="A5554" t="str">
            <v>XZ-ZQ2176-P0-20</v>
          </cell>
          <cell r="B5554" t="str">
            <v>XZ-ZQ2176</v>
          </cell>
        </row>
        <row r="5555">
          <cell r="A5555" t="str">
            <v>XZ-ZQ2176-P0-21</v>
          </cell>
          <cell r="B5555" t="str">
            <v>XZ-ZQ2176</v>
          </cell>
        </row>
        <row r="5556">
          <cell r="A5556" t="str">
            <v>XZ-ZQ2176-P0-22</v>
          </cell>
          <cell r="B5556" t="str">
            <v>XZ-ZQ2176</v>
          </cell>
        </row>
        <row r="5557">
          <cell r="A5557" t="str">
            <v>XZ-ZQ2176-P0-3637</v>
          </cell>
          <cell r="B5557" t="str">
            <v>XZ-ZQ2176</v>
          </cell>
        </row>
        <row r="5558">
          <cell r="A5558" t="str">
            <v>XZ-ZQ2176-P0-3839</v>
          </cell>
          <cell r="B5558" t="str">
            <v>XZ-ZQ2176</v>
          </cell>
        </row>
        <row r="5559">
          <cell r="A5559" t="str">
            <v>XZ-ZQ2176-P0-4041</v>
          </cell>
          <cell r="B5559" t="str">
            <v>XZ-ZQ2176</v>
          </cell>
        </row>
        <row r="5560">
          <cell r="A5560" t="str">
            <v>XZ-ZQ2176-R1-1415</v>
          </cell>
          <cell r="B5560" t="str">
            <v>XZ-ZQ2176</v>
          </cell>
        </row>
        <row r="5561">
          <cell r="A5561" t="str">
            <v>XZ-ZQ2176-R1-1617</v>
          </cell>
          <cell r="B5561" t="str">
            <v>XZ-ZQ2176</v>
          </cell>
        </row>
        <row r="5562">
          <cell r="A5562" t="str">
            <v>XZ-ZQ2176-R1-1617-GM</v>
          </cell>
          <cell r="B5562" t="str">
            <v>XZ-ZQ2176</v>
          </cell>
        </row>
        <row r="5563">
          <cell r="A5563" t="str">
            <v>XZ-ZQ2176-R1-1819</v>
          </cell>
          <cell r="B5563" t="str">
            <v>XZ-ZQ2176</v>
          </cell>
        </row>
        <row r="5564">
          <cell r="A5564" t="str">
            <v>XZ-ZQ2176-R1-20</v>
          </cell>
          <cell r="B5564" t="str">
            <v>XZ-ZQ2176</v>
          </cell>
        </row>
        <row r="5565">
          <cell r="A5565" t="str">
            <v>XZ-ZQ2176-R1-21</v>
          </cell>
          <cell r="B5565" t="str">
            <v>XZ-ZQ2176</v>
          </cell>
        </row>
        <row r="5566">
          <cell r="A5566" t="str">
            <v>XZ-ZQ2176-R1-22</v>
          </cell>
          <cell r="B5566" t="str">
            <v>XZ-ZQ2176</v>
          </cell>
        </row>
        <row r="5567">
          <cell r="A5567" t="str">
            <v>XZ-ZQ2176-R1-3637</v>
          </cell>
          <cell r="B5567" t="str">
            <v>XZ-ZQ2176</v>
          </cell>
        </row>
        <row r="5568">
          <cell r="A5568" t="str">
            <v>XZ-ZQ2176-R1-3839</v>
          </cell>
          <cell r="B5568" t="str">
            <v>XZ-ZQ2176</v>
          </cell>
        </row>
        <row r="5569">
          <cell r="A5569" t="str">
            <v>XZ-ZQ2176-R1-4041</v>
          </cell>
          <cell r="B5569" t="str">
            <v>XZ-ZQ2176</v>
          </cell>
        </row>
        <row r="5570">
          <cell r="A5570" t="str">
            <v>XZ-ZQ2182-B0-270</v>
          </cell>
          <cell r="B5570" t="str">
            <v>XZ-ZQ2182</v>
          </cell>
        </row>
        <row r="5571">
          <cell r="A5571" t="str">
            <v>XZ-ZQ2182-B0-280</v>
          </cell>
          <cell r="B5571" t="str">
            <v>XZ-ZQ2182</v>
          </cell>
        </row>
        <row r="5572">
          <cell r="A5572" t="str">
            <v>XZ-ZQ2182-B0-290</v>
          </cell>
          <cell r="B5572" t="str">
            <v>XZ-ZQ2182</v>
          </cell>
        </row>
        <row r="5573">
          <cell r="A5573" t="str">
            <v>XZ-ZQ2182-C0-270</v>
          </cell>
          <cell r="B5573" t="str">
            <v>XZ-ZQ2182</v>
          </cell>
        </row>
        <row r="5574">
          <cell r="A5574" t="str">
            <v>XZ-ZQ2182-C0-280</v>
          </cell>
          <cell r="B5574" t="str">
            <v>XZ-ZQ2182</v>
          </cell>
        </row>
        <row r="5575">
          <cell r="A5575" t="str">
            <v>XZ-ZQ2182-C0-290</v>
          </cell>
          <cell r="B5575" t="str">
            <v>XZ-ZQ2182</v>
          </cell>
        </row>
        <row r="5576">
          <cell r="A5576" t="str">
            <v>XZ-ZQ2182-E0-270</v>
          </cell>
          <cell r="B5576" t="str">
            <v>XZ-ZQ2182</v>
          </cell>
        </row>
        <row r="5577">
          <cell r="A5577" t="str">
            <v>XZ-ZQ2182-E0-280</v>
          </cell>
          <cell r="B5577" t="str">
            <v>XZ-ZQ2182</v>
          </cell>
        </row>
        <row r="5578">
          <cell r="A5578" t="str">
            <v>XZ-ZQ2182-E0-290</v>
          </cell>
          <cell r="B5578" t="str">
            <v>XZ-ZQ2182</v>
          </cell>
        </row>
        <row r="5579">
          <cell r="A5579" t="str">
            <v>XZ-ZQ2182-G0-3839</v>
          </cell>
          <cell r="B5579" t="str">
            <v>XZ-ZQ2182</v>
          </cell>
        </row>
        <row r="5580">
          <cell r="A5580" t="str">
            <v>XZ-ZQ2182-PI-3637</v>
          </cell>
          <cell r="B5580" t="str">
            <v>XZ-ZQ2182</v>
          </cell>
        </row>
        <row r="5581">
          <cell r="A5581" t="str">
            <v>XZ-ZQ2182-PI-3839</v>
          </cell>
          <cell r="B5581" t="str">
            <v>XZ-ZQ2182</v>
          </cell>
        </row>
        <row r="5582">
          <cell r="A5582" t="str">
            <v>XZ-ZQ2182-PI-4041</v>
          </cell>
          <cell r="B5582" t="str">
            <v>XZ-ZQ2182</v>
          </cell>
        </row>
        <row r="5583">
          <cell r="A5583" t="str">
            <v>XZ-ZQ2182-R0-3637</v>
          </cell>
          <cell r="B5583" t="str">
            <v>XZ-ZQ2182</v>
          </cell>
        </row>
        <row r="5584">
          <cell r="A5584" t="str">
            <v>XZ-ZQ2182-R0-3839</v>
          </cell>
          <cell r="B5584" t="str">
            <v>XZ-ZQ2182</v>
          </cell>
        </row>
        <row r="5585">
          <cell r="A5585" t="str">
            <v>XZ-ZQ2182-R0-4041</v>
          </cell>
          <cell r="B5585" t="str">
            <v>XZ-ZQ2182</v>
          </cell>
        </row>
        <row r="5586">
          <cell r="A5586" t="str">
            <v>XZ-ZQ2256-B0-1415</v>
          </cell>
          <cell r="B5586" t="str">
            <v>XZ-ZQ2256</v>
          </cell>
        </row>
        <row r="5587">
          <cell r="A5587" t="str">
            <v>XZ-ZQ2256-B0-1617</v>
          </cell>
          <cell r="B5587" t="str">
            <v>XZ-ZQ2256</v>
          </cell>
        </row>
        <row r="5588">
          <cell r="A5588" t="str">
            <v>XZ-ZQ2256-B0-1819</v>
          </cell>
          <cell r="B5588" t="str">
            <v>XZ-ZQ2256</v>
          </cell>
        </row>
        <row r="5589">
          <cell r="A5589" t="str">
            <v>XZ-ZQ2256-B0-20</v>
          </cell>
          <cell r="B5589" t="str">
            <v>XZ-ZQ2256</v>
          </cell>
        </row>
        <row r="5590">
          <cell r="A5590" t="str">
            <v>XZ-ZQ2256-B0-20-GM</v>
          </cell>
          <cell r="B5590" t="str">
            <v>XZ-ZQ2256</v>
          </cell>
        </row>
        <row r="5591">
          <cell r="A5591" t="str">
            <v>XZ-ZQ2256-B0-21</v>
          </cell>
          <cell r="B5591" t="str">
            <v>XZ-ZQ2256</v>
          </cell>
        </row>
        <row r="5592">
          <cell r="A5592" t="str">
            <v>XZ-ZQ2256-B0-21-GM</v>
          </cell>
          <cell r="B5592" t="str">
            <v>XZ-ZQ2256</v>
          </cell>
        </row>
        <row r="5593">
          <cell r="A5593" t="str">
            <v>XZ-ZQ2256-B0-22</v>
          </cell>
          <cell r="B5593" t="str">
            <v>XZ-ZQ2256</v>
          </cell>
        </row>
        <row r="5594">
          <cell r="A5594" t="str">
            <v>XZ-ZQ2256-B0-24</v>
          </cell>
          <cell r="B5594" t="str">
            <v>XZ-ZQ2256</v>
          </cell>
        </row>
        <row r="5595">
          <cell r="A5595" t="str">
            <v>XZ-ZQ2256-B0-24-GM</v>
          </cell>
          <cell r="B5595" t="str">
            <v>XZ-ZQ2256</v>
          </cell>
        </row>
        <row r="5596">
          <cell r="A5596" t="str">
            <v>XZ-ZQ2256-B0-25</v>
          </cell>
          <cell r="B5596" t="str">
            <v>XZ-ZQ2256</v>
          </cell>
        </row>
        <row r="5597">
          <cell r="A5597" t="str">
            <v>XZ-ZQ2256-B0-26</v>
          </cell>
          <cell r="B5597" t="str">
            <v>XZ-ZQ2256</v>
          </cell>
        </row>
        <row r="5598">
          <cell r="A5598" t="str">
            <v>XZ-ZQ2256-B0-27</v>
          </cell>
          <cell r="B5598" t="str">
            <v>XZ-ZQ2256</v>
          </cell>
        </row>
        <row r="5599">
          <cell r="A5599" t="str">
            <v>XZ-ZQ2256-B0-28</v>
          </cell>
          <cell r="B5599" t="str">
            <v>XZ-ZQ2256</v>
          </cell>
        </row>
        <row r="5600">
          <cell r="A5600" t="str">
            <v>XZ-ZQ2256-G0-1415</v>
          </cell>
          <cell r="B5600" t="str">
            <v>XZ-ZQ2256</v>
          </cell>
        </row>
        <row r="5601">
          <cell r="A5601" t="str">
            <v>XZ-ZQ2256-G0-1617</v>
          </cell>
          <cell r="B5601" t="str">
            <v>XZ-ZQ2256</v>
          </cell>
        </row>
        <row r="5602">
          <cell r="A5602" t="str">
            <v>XZ-ZQ2256-G0-1819</v>
          </cell>
          <cell r="B5602" t="str">
            <v>XZ-ZQ2256</v>
          </cell>
        </row>
        <row r="5603">
          <cell r="A5603" t="str">
            <v>XZ-ZQ2256-G0-20</v>
          </cell>
          <cell r="B5603" t="str">
            <v>XZ-ZQ2256</v>
          </cell>
        </row>
        <row r="5604">
          <cell r="A5604" t="str">
            <v>XZ-ZQ2256-G0-21</v>
          </cell>
          <cell r="B5604" t="str">
            <v>XZ-ZQ2256</v>
          </cell>
        </row>
        <row r="5605">
          <cell r="A5605" t="str">
            <v>XZ-ZQ2256-G0-22</v>
          </cell>
          <cell r="B5605" t="str">
            <v>XZ-ZQ2256</v>
          </cell>
        </row>
        <row r="5606">
          <cell r="A5606" t="str">
            <v>XZ-ZQ2256-G0-22-GM</v>
          </cell>
          <cell r="B5606" t="str">
            <v>XZ-ZQ2256</v>
          </cell>
        </row>
        <row r="5607">
          <cell r="A5607" t="str">
            <v>XZ-ZQ2256-G0-24</v>
          </cell>
          <cell r="B5607" t="str">
            <v>XZ-ZQ2256</v>
          </cell>
        </row>
        <row r="5608">
          <cell r="A5608" t="str">
            <v>XZ-ZQ2256-G0-25</v>
          </cell>
          <cell r="B5608" t="str">
            <v>XZ-ZQ2256</v>
          </cell>
        </row>
        <row r="5609">
          <cell r="A5609" t="str">
            <v>XZ-ZQ2256-G0-26</v>
          </cell>
          <cell r="B5609" t="str">
            <v>XZ-ZQ2256</v>
          </cell>
        </row>
        <row r="5610">
          <cell r="A5610" t="str">
            <v>XZ-ZQ2256-G0-27</v>
          </cell>
          <cell r="B5610" t="str">
            <v>XZ-ZQ2256</v>
          </cell>
        </row>
        <row r="5611">
          <cell r="A5611" t="str">
            <v>XZ-ZQ2256-G0-28</v>
          </cell>
          <cell r="B5611" t="str">
            <v>XZ-ZQ2256</v>
          </cell>
        </row>
        <row r="5612">
          <cell r="A5612" t="str">
            <v>XZ-ZQ2256-K0-1415</v>
          </cell>
          <cell r="B5612" t="str">
            <v>XZ-ZQ2256</v>
          </cell>
        </row>
        <row r="5613">
          <cell r="A5613" t="str">
            <v>XZ-ZQ2256-K0-1617</v>
          </cell>
          <cell r="B5613" t="str">
            <v>XZ-ZQ2256</v>
          </cell>
        </row>
        <row r="5614">
          <cell r="A5614" t="str">
            <v>XZ-ZQ2256-K0-1617-GM</v>
          </cell>
          <cell r="B5614" t="str">
            <v>XZ-ZQ2256</v>
          </cell>
        </row>
        <row r="5615">
          <cell r="A5615" t="str">
            <v>XZ-ZQ2256-K0-1819</v>
          </cell>
          <cell r="B5615" t="str">
            <v>XZ-ZQ2256</v>
          </cell>
        </row>
        <row r="5616">
          <cell r="A5616" t="str">
            <v>XZ-ZQ2256-K0-1819-GM</v>
          </cell>
          <cell r="B5616" t="str">
            <v>XZ-ZQ2256</v>
          </cell>
        </row>
        <row r="5617">
          <cell r="A5617" t="str">
            <v>XZ-ZQ2256-K0-20</v>
          </cell>
          <cell r="B5617" t="str">
            <v>XZ-ZQ2256</v>
          </cell>
        </row>
        <row r="5618">
          <cell r="A5618" t="str">
            <v>XZ-ZQ2256-K0-21</v>
          </cell>
          <cell r="B5618" t="str">
            <v>XZ-ZQ2256</v>
          </cell>
        </row>
        <row r="5619">
          <cell r="A5619" t="str">
            <v>XZ-ZQ2256-K0-22</v>
          </cell>
          <cell r="B5619" t="str">
            <v>XZ-ZQ2256</v>
          </cell>
        </row>
        <row r="5620">
          <cell r="A5620" t="str">
            <v>XZ-ZQ2256-K0-24</v>
          </cell>
          <cell r="B5620" t="str">
            <v>XZ-ZQ2256</v>
          </cell>
        </row>
        <row r="5621">
          <cell r="A5621" t="str">
            <v>XZ-ZQ2256-K0-24-GM</v>
          </cell>
          <cell r="B5621" t="str">
            <v>XZ-ZQ2256</v>
          </cell>
        </row>
        <row r="5622">
          <cell r="A5622" t="str">
            <v>XZ-ZQ2256-K0-25</v>
          </cell>
          <cell r="B5622" t="str">
            <v>XZ-ZQ2256</v>
          </cell>
        </row>
        <row r="5623">
          <cell r="A5623" t="str">
            <v>XZ-ZQ2256-K0-26</v>
          </cell>
          <cell r="B5623" t="str">
            <v>XZ-ZQ2256</v>
          </cell>
        </row>
        <row r="5624">
          <cell r="A5624" t="str">
            <v>XZ-ZQ2256-K0-27</v>
          </cell>
          <cell r="B5624" t="str">
            <v>XZ-ZQ2256</v>
          </cell>
        </row>
        <row r="5625">
          <cell r="A5625" t="str">
            <v>XZ-ZQ2256-K0-27-GM</v>
          </cell>
          <cell r="B5625" t="str">
            <v>XZ-ZQ2256</v>
          </cell>
        </row>
        <row r="5626">
          <cell r="A5626" t="str">
            <v>XZ-ZQ2256-K0-28</v>
          </cell>
          <cell r="B5626" t="str">
            <v>XZ-ZQ2256</v>
          </cell>
        </row>
        <row r="5627">
          <cell r="A5627" t="str">
            <v>XZ-ZQ2256-R0-1415</v>
          </cell>
          <cell r="B5627" t="str">
            <v>XZ-ZQ2256</v>
          </cell>
        </row>
        <row r="5628">
          <cell r="A5628" t="str">
            <v>XZ-ZQ2256-R0-1617</v>
          </cell>
          <cell r="B5628" t="str">
            <v>XZ-ZQ2256</v>
          </cell>
        </row>
        <row r="5629">
          <cell r="A5629" t="str">
            <v>XZ-ZQ2256-R0-1617-GM</v>
          </cell>
          <cell r="B5629" t="str">
            <v>XZ-ZQ2256</v>
          </cell>
        </row>
        <row r="5630">
          <cell r="A5630" t="str">
            <v>XZ-ZQ2256-R0-1819</v>
          </cell>
          <cell r="B5630" t="str">
            <v>XZ-ZQ2256</v>
          </cell>
        </row>
        <row r="5631">
          <cell r="A5631" t="str">
            <v>XZ-ZQ2256-R0-20</v>
          </cell>
          <cell r="B5631" t="str">
            <v>XZ-ZQ2256</v>
          </cell>
        </row>
        <row r="5632">
          <cell r="A5632" t="str">
            <v>XZ-ZQ2256-R0-21</v>
          </cell>
          <cell r="B5632" t="str">
            <v>XZ-ZQ2256</v>
          </cell>
        </row>
        <row r="5633">
          <cell r="A5633" t="str">
            <v>XZ-ZQ2256-R0-22</v>
          </cell>
          <cell r="B5633" t="str">
            <v>XZ-ZQ2256</v>
          </cell>
        </row>
        <row r="5634">
          <cell r="A5634" t="str">
            <v>XZ-ZQ2256-R0-22-GM</v>
          </cell>
          <cell r="B5634" t="str">
            <v>XZ-ZQ2256</v>
          </cell>
        </row>
        <row r="5635">
          <cell r="A5635" t="str">
            <v>XZ-ZQ2256-R0-24</v>
          </cell>
          <cell r="B5635" t="str">
            <v>XZ-ZQ2256</v>
          </cell>
        </row>
        <row r="5636">
          <cell r="A5636" t="str">
            <v>XZ-ZQ2256-R0-25</v>
          </cell>
          <cell r="B5636" t="str">
            <v>XZ-ZQ2256</v>
          </cell>
        </row>
        <row r="5637">
          <cell r="A5637" t="str">
            <v>XZ-ZQ2256-R0-26</v>
          </cell>
          <cell r="B5637" t="str">
            <v>XZ-ZQ2256</v>
          </cell>
        </row>
        <row r="5638">
          <cell r="A5638" t="str">
            <v>XZ-ZQ2256-R1-1415</v>
          </cell>
          <cell r="B5638" t="str">
            <v>XZ-ZQ2256</v>
          </cell>
        </row>
        <row r="5639">
          <cell r="A5639" t="str">
            <v>XZ-ZQ2256-R1-1617</v>
          </cell>
          <cell r="B5639" t="str">
            <v>XZ-ZQ2256</v>
          </cell>
        </row>
        <row r="5640">
          <cell r="A5640" t="str">
            <v>XZ-ZQ2256-R1-1819</v>
          </cell>
          <cell r="B5640" t="str">
            <v>XZ-ZQ2256</v>
          </cell>
        </row>
        <row r="5641">
          <cell r="A5641" t="str">
            <v>XZ-ZQ2256-R1-20</v>
          </cell>
          <cell r="B5641" t="str">
            <v>XZ-ZQ2256</v>
          </cell>
        </row>
        <row r="5642">
          <cell r="A5642" t="str">
            <v>XZ-ZQ2256-R1-21</v>
          </cell>
          <cell r="B5642" t="str">
            <v>XZ-ZQ2256</v>
          </cell>
        </row>
        <row r="5643">
          <cell r="A5643" t="str">
            <v>XZ-ZQ2256-R1-22</v>
          </cell>
          <cell r="B5643" t="str">
            <v>XZ-ZQ2256</v>
          </cell>
        </row>
        <row r="5644">
          <cell r="A5644" t="str">
            <v>XZ-ZQ2256-R1-24</v>
          </cell>
          <cell r="B5644" t="str">
            <v>XZ-ZQ2256</v>
          </cell>
        </row>
        <row r="5645">
          <cell r="A5645" t="str">
            <v>XZ-ZQ2256-R1-25</v>
          </cell>
          <cell r="B5645" t="str">
            <v>XZ-ZQ2256</v>
          </cell>
        </row>
        <row r="5646">
          <cell r="A5646" t="str">
            <v>XZ-ZQ2256-R1-26</v>
          </cell>
          <cell r="B5646" t="str">
            <v>XZ-ZQ2256</v>
          </cell>
        </row>
        <row r="5647">
          <cell r="A5647" t="str">
            <v>XZ-ZQ3115-B0-3738</v>
          </cell>
          <cell r="B5647" t="str">
            <v>XZ-ZQ3115</v>
          </cell>
        </row>
        <row r="5648">
          <cell r="A5648" t="str">
            <v>XZ-ZQ3115-B0-3940</v>
          </cell>
          <cell r="B5648" t="str">
            <v>XZ-ZQ3115</v>
          </cell>
        </row>
        <row r="5649">
          <cell r="A5649" t="str">
            <v>XZ-ZQ3115-B0-4142</v>
          </cell>
          <cell r="B5649" t="str">
            <v>XZ-ZQ3115</v>
          </cell>
        </row>
        <row r="5650">
          <cell r="A5650" t="str">
            <v>XZ-ZQ3115-B0-4344</v>
          </cell>
          <cell r="B5650" t="str">
            <v>XZ-ZQ3115</v>
          </cell>
        </row>
        <row r="5651">
          <cell r="A5651" t="str">
            <v>XZ-ZQ3115-C0-3738</v>
          </cell>
          <cell r="B5651" t="str">
            <v>XZ-ZQ3115</v>
          </cell>
        </row>
        <row r="5652">
          <cell r="A5652" t="str">
            <v>XZ-ZQ3115-C0-3940</v>
          </cell>
          <cell r="B5652" t="str">
            <v>XZ-ZQ3115</v>
          </cell>
        </row>
        <row r="5653">
          <cell r="A5653" t="str">
            <v>XZ-ZQ3115-C0-4142</v>
          </cell>
          <cell r="B5653" t="str">
            <v>XZ-ZQ3115</v>
          </cell>
        </row>
        <row r="5654">
          <cell r="A5654" t="str">
            <v>XZ-ZQ3115-C0-4344</v>
          </cell>
          <cell r="B5654" t="str">
            <v>XZ-ZQ3115</v>
          </cell>
        </row>
        <row r="5655">
          <cell r="A5655" t="str">
            <v>XZ-ZQ3115-R0-3738</v>
          </cell>
          <cell r="B5655" t="str">
            <v>XZ-ZQ3115</v>
          </cell>
        </row>
        <row r="5656">
          <cell r="A5656" t="str">
            <v>XZ-ZQ3115-R0-3940</v>
          </cell>
          <cell r="B5656" t="str">
            <v>XZ-ZQ3115</v>
          </cell>
        </row>
        <row r="5657">
          <cell r="A5657" t="str">
            <v>XZ-ZQ3115-R0-4142</v>
          </cell>
          <cell r="B5657" t="str">
            <v>XZ-ZQ3115</v>
          </cell>
        </row>
        <row r="5658">
          <cell r="A5658" t="str">
            <v>XZ-ZQ3115-R0-4344</v>
          </cell>
          <cell r="B5658" t="str">
            <v>XZ-ZQ3115</v>
          </cell>
        </row>
        <row r="5659">
          <cell r="A5659" t="str">
            <v>XZ-ZQ3115-R1-3738</v>
          </cell>
          <cell r="B5659" t="str">
            <v>XZ-ZQ3115</v>
          </cell>
        </row>
        <row r="5660">
          <cell r="A5660" t="str">
            <v>XZ-ZQ3115-R1-3940</v>
          </cell>
          <cell r="B5660" t="str">
            <v>XZ-ZQ3115</v>
          </cell>
        </row>
        <row r="5661">
          <cell r="A5661" t="str">
            <v>XZ-ZQ3115-R1-4142</v>
          </cell>
          <cell r="B5661" t="str">
            <v>XZ-ZQ3115</v>
          </cell>
        </row>
        <row r="5662">
          <cell r="A5662" t="str">
            <v>XZ-ZQ3115-R1-4344</v>
          </cell>
          <cell r="B5662" t="str">
            <v>XZ-ZQ3115</v>
          </cell>
        </row>
        <row r="5663">
          <cell r="A5663" t="str">
            <v>XZ-ZQ4176-GE-250</v>
          </cell>
          <cell r="B5663" t="str">
            <v>XZ-ZQ4176</v>
          </cell>
        </row>
        <row r="5664">
          <cell r="A5664" t="str">
            <v>XZ-ZQ4176-R2-240</v>
          </cell>
          <cell r="B5664" t="str">
            <v>XZ-ZQ4176</v>
          </cell>
        </row>
        <row r="5665">
          <cell r="A5665" t="str">
            <v>XZ-ZQ6001-B0-1415</v>
          </cell>
          <cell r="B5665" t="str">
            <v>XZ-ZQ6001</v>
          </cell>
        </row>
        <row r="5666">
          <cell r="A5666" t="str">
            <v>XZ-ZQ6001-B0-1617</v>
          </cell>
          <cell r="B5666" t="str">
            <v>XZ-ZQ6001</v>
          </cell>
        </row>
        <row r="5667">
          <cell r="A5667" t="str">
            <v>XZ-ZQ6001-B0-20</v>
          </cell>
          <cell r="B5667" t="str">
            <v>XZ-ZQ6001</v>
          </cell>
        </row>
        <row r="5668">
          <cell r="A5668" t="str">
            <v>XZ-ZQ6001-B0-21</v>
          </cell>
          <cell r="B5668" t="str">
            <v>XZ-ZQ6001</v>
          </cell>
        </row>
        <row r="5669">
          <cell r="A5669" t="str">
            <v>XZ-ZQ6001-B0-23</v>
          </cell>
          <cell r="B5669" t="str">
            <v>XZ-ZQ6001</v>
          </cell>
        </row>
        <row r="5670">
          <cell r="A5670" t="str">
            <v>XZ-ZQ6001-KQ-1415</v>
          </cell>
          <cell r="B5670" t="str">
            <v>XZ-ZQ6001</v>
          </cell>
        </row>
        <row r="5671">
          <cell r="A5671" t="str">
            <v>XZ-ZQ6001-KQ-20</v>
          </cell>
          <cell r="B5671" t="str">
            <v>XZ-ZQ6001</v>
          </cell>
        </row>
        <row r="5672">
          <cell r="A5672" t="str">
            <v>XZ-ZQ6001-KQ-21</v>
          </cell>
          <cell r="B5672" t="str">
            <v>XZ-ZQ6001</v>
          </cell>
        </row>
        <row r="5673">
          <cell r="A5673" t="str">
            <v>XZ-ZQ6001-KQ-22</v>
          </cell>
          <cell r="B5673" t="str">
            <v>XZ-ZQ6001</v>
          </cell>
        </row>
        <row r="5674">
          <cell r="A5674" t="str">
            <v>XZ-ZQ6001-R0-20</v>
          </cell>
          <cell r="B5674" t="str">
            <v>XZ-ZQ6001</v>
          </cell>
        </row>
        <row r="5675">
          <cell r="A5675" t="str">
            <v>XZ-ZQ6001-R0-21</v>
          </cell>
          <cell r="B5675" t="str">
            <v>XZ-ZQ6001</v>
          </cell>
        </row>
        <row r="5676">
          <cell r="A5676" t="str">
            <v>XZ-ZQ6001-R0-22</v>
          </cell>
          <cell r="B5676" t="str">
            <v>XZ-ZQ6001</v>
          </cell>
        </row>
        <row r="5677">
          <cell r="A5677" t="str">
            <v>XZ-ZQ6001-R1-1415</v>
          </cell>
          <cell r="B5677" t="str">
            <v>XZ-ZQ6001</v>
          </cell>
        </row>
        <row r="5678">
          <cell r="A5678" t="str">
            <v>XZ-ZQ6001-R1-1617</v>
          </cell>
          <cell r="B5678" t="str">
            <v>XZ-ZQ6001</v>
          </cell>
        </row>
        <row r="5679">
          <cell r="A5679" t="str">
            <v>XZ-ZQ6001-R1-1819</v>
          </cell>
          <cell r="B5679" t="str">
            <v>XZ-ZQ6001</v>
          </cell>
        </row>
        <row r="5680">
          <cell r="A5680" t="str">
            <v>XZ-ZQ6001-R1-20</v>
          </cell>
          <cell r="B5680" t="str">
            <v>XZ-ZQ6001</v>
          </cell>
        </row>
        <row r="5681">
          <cell r="A5681" t="str">
            <v>XZ-ZQ6001-R1-21</v>
          </cell>
          <cell r="B5681" t="str">
            <v>XZ-ZQ6001</v>
          </cell>
        </row>
        <row r="5682">
          <cell r="A5682" t="str">
            <v>XZ-ZQ6001-R1-22</v>
          </cell>
          <cell r="B5682" t="str">
            <v>XZ-ZQ6001</v>
          </cell>
        </row>
        <row r="5683">
          <cell r="A5683" t="str">
            <v>XZ-ZQ6102-K0-3637</v>
          </cell>
          <cell r="B5683" t="str">
            <v>XZ-ZQ6102</v>
          </cell>
        </row>
        <row r="5684">
          <cell r="A5684" t="str">
            <v>XZ-ZQ6102-K0-3839</v>
          </cell>
          <cell r="B5684" t="str">
            <v>XZ-ZQ6102</v>
          </cell>
        </row>
        <row r="5685">
          <cell r="A5685" t="str">
            <v>XZ-ZQ6102-K0-4041</v>
          </cell>
          <cell r="B5685" t="str">
            <v>XZ-ZQ6102</v>
          </cell>
        </row>
        <row r="5686">
          <cell r="A5686" t="str">
            <v>XZ-ZQ6102-K0-4243</v>
          </cell>
          <cell r="B5686" t="str">
            <v>XZ-ZQ6102</v>
          </cell>
        </row>
        <row r="5687">
          <cell r="A5687" t="str">
            <v>XZ-ZQ6102-K0-4445</v>
          </cell>
          <cell r="B5687" t="str">
            <v>XZ-ZQ6102</v>
          </cell>
        </row>
        <row r="5688">
          <cell r="A5688" t="str">
            <v>XZ-ZQ6102-KW-3637</v>
          </cell>
          <cell r="B5688" t="str">
            <v>XZ-ZQ6102</v>
          </cell>
        </row>
        <row r="5689">
          <cell r="A5689" t="str">
            <v>XZ-ZQ6102-KW-3839</v>
          </cell>
          <cell r="B5689" t="str">
            <v>XZ-ZQ6102</v>
          </cell>
        </row>
        <row r="5690">
          <cell r="A5690" t="str">
            <v>XZ-ZQ6102-KW-4041</v>
          </cell>
          <cell r="B5690" t="str">
            <v>XZ-ZQ6102</v>
          </cell>
        </row>
        <row r="5691">
          <cell r="A5691" t="str">
            <v>XZ-ZQ6102-KW-4243</v>
          </cell>
          <cell r="B5691" t="str">
            <v>XZ-ZQ6102</v>
          </cell>
        </row>
        <row r="5692">
          <cell r="A5692" t="str">
            <v>XZ-ZQ6102-KW-4445</v>
          </cell>
          <cell r="B5692" t="str">
            <v>XZ-ZQ6102</v>
          </cell>
        </row>
        <row r="5693">
          <cell r="A5693" t="str">
            <v>XZ-ZQ6102-N0-4041</v>
          </cell>
          <cell r="B5693" t="str">
            <v>XZ-ZQ6102</v>
          </cell>
        </row>
        <row r="5694">
          <cell r="A5694" t="str">
            <v>XZ-ZQ6102-N0-4243</v>
          </cell>
          <cell r="B5694" t="str">
            <v>XZ-ZQ6102</v>
          </cell>
        </row>
        <row r="5695">
          <cell r="A5695" t="str">
            <v>XZ-ZQ6102-N0-4445</v>
          </cell>
          <cell r="B5695" t="str">
            <v>XZ-ZQ6102</v>
          </cell>
        </row>
        <row r="5696">
          <cell r="A5696" t="str">
            <v>XZ-ZQ6102-R0-3637</v>
          </cell>
          <cell r="B5696" t="str">
            <v>XZ-ZQ6102</v>
          </cell>
        </row>
        <row r="5697">
          <cell r="A5697" t="str">
            <v>XZ-ZQ6102-R0-3839</v>
          </cell>
          <cell r="B5697" t="str">
            <v>XZ-ZQ6102</v>
          </cell>
        </row>
        <row r="5698">
          <cell r="A5698" t="str">
            <v>XZ-ZQ6102-R0-4041</v>
          </cell>
          <cell r="B5698" t="str">
            <v>XZ-ZQ6102</v>
          </cell>
        </row>
        <row r="5699">
          <cell r="A5699" t="str">
            <v>XZ-ZQ6102-R1-3637</v>
          </cell>
          <cell r="B5699" t="str">
            <v>XZ-ZQ6102</v>
          </cell>
        </row>
        <row r="5700">
          <cell r="A5700" t="str">
            <v>XZ-ZQ6102-R1-3839</v>
          </cell>
          <cell r="B5700" t="str">
            <v>XZ-ZQ6102</v>
          </cell>
        </row>
        <row r="5701">
          <cell r="A5701" t="str">
            <v>XZ-ZQ6102-R1-4041</v>
          </cell>
          <cell r="B5701" t="str">
            <v>XZ-ZQ6102</v>
          </cell>
        </row>
        <row r="5702">
          <cell r="A5702" t="str">
            <v>XZ-ZQ6102-W0-3637</v>
          </cell>
          <cell r="B5702" t="str">
            <v>XZ-ZQ6102</v>
          </cell>
        </row>
        <row r="5703">
          <cell r="A5703" t="str">
            <v>XZ-ZQ6102-W0-3839</v>
          </cell>
          <cell r="B5703" t="str">
            <v>XZ-ZQ6102</v>
          </cell>
        </row>
        <row r="5704">
          <cell r="A5704" t="str">
            <v>XZ-ZQ6102-W0-4041</v>
          </cell>
          <cell r="B5704" t="str">
            <v>XZ-ZQ6102</v>
          </cell>
        </row>
        <row r="5705">
          <cell r="A5705" t="str">
            <v>XZ-ZQ6102-W0-4243</v>
          </cell>
          <cell r="B5705" t="str">
            <v>XZ-ZQ6102</v>
          </cell>
        </row>
        <row r="5706">
          <cell r="A5706" t="str">
            <v>XZ-ZQ6102-W0-4445</v>
          </cell>
          <cell r="B5706" t="str">
            <v>XZ-ZQ6102</v>
          </cell>
        </row>
        <row r="5707">
          <cell r="A5707" t="str">
            <v>XZ-ZQ6102-W0-4445-New</v>
          </cell>
          <cell r="B5707" t="str">
            <v>XZ-ZQ6102</v>
          </cell>
        </row>
        <row r="5708">
          <cell r="A5708" t="str">
            <v>XZ-ZQ6603-B0-3637</v>
          </cell>
          <cell r="B5708" t="str">
            <v>XZ-ZQ6603</v>
          </cell>
        </row>
        <row r="5709">
          <cell r="A5709" t="str">
            <v>XZ-ZQ6603-E0-4243</v>
          </cell>
          <cell r="B5709" t="str">
            <v>XZ-ZQ6603</v>
          </cell>
        </row>
        <row r="5710">
          <cell r="A5710" t="str">
            <v>XZ-ZQ6606-C0-4041</v>
          </cell>
          <cell r="B5710" t="str">
            <v>XZ-ZQ6606</v>
          </cell>
        </row>
        <row r="5711">
          <cell r="A5711" t="str">
            <v>XZ-ZQ6606-C0-4243</v>
          </cell>
          <cell r="B5711" t="str">
            <v>XZ-ZQ6606</v>
          </cell>
        </row>
        <row r="5712">
          <cell r="A5712" t="str">
            <v>XZ-ZQ6606-C0-4445</v>
          </cell>
          <cell r="B5712" t="str">
            <v>XZ-ZQ6606</v>
          </cell>
        </row>
        <row r="5713">
          <cell r="A5713" t="str">
            <v>XZ-ZQ6606-E0-4041</v>
          </cell>
          <cell r="B5713" t="str">
            <v>XZ-ZQ6606</v>
          </cell>
        </row>
        <row r="5714">
          <cell r="A5714" t="str">
            <v>XZ-ZQ6606-E0-4243</v>
          </cell>
          <cell r="B5714" t="str">
            <v>XZ-ZQ6606</v>
          </cell>
        </row>
        <row r="5715">
          <cell r="A5715" t="str">
            <v>XZ-ZQ6606-E0-4445</v>
          </cell>
          <cell r="B5715" t="str">
            <v>XZ-ZQ6606</v>
          </cell>
        </row>
        <row r="5716">
          <cell r="A5716" t="str">
            <v>XZ-ZQ6606-E0-4445-GM</v>
          </cell>
          <cell r="B5716" t="str">
            <v>XZ-ZQ6606</v>
          </cell>
        </row>
        <row r="5717">
          <cell r="A5717" t="str">
            <v>XZ-ZQ6606-P0-3637</v>
          </cell>
          <cell r="B5717" t="str">
            <v>XZ-ZQ6606</v>
          </cell>
        </row>
        <row r="5718">
          <cell r="A5718" t="str">
            <v>XZ-ZQ6606-P0-3839</v>
          </cell>
          <cell r="B5718" t="str">
            <v>XZ-ZQ6606</v>
          </cell>
        </row>
        <row r="5719">
          <cell r="A5719" t="str">
            <v>XZ-ZQ6606-P0-4041</v>
          </cell>
          <cell r="B5719" t="str">
            <v>XZ-ZQ6606</v>
          </cell>
        </row>
        <row r="5720">
          <cell r="A5720" t="str">
            <v>XZ-ZQ6606-P2-3637</v>
          </cell>
          <cell r="B5720" t="str">
            <v>XZ-ZQ6606</v>
          </cell>
        </row>
        <row r="5721">
          <cell r="A5721" t="str">
            <v>XZ-ZQ6606-P2-3839</v>
          </cell>
          <cell r="B5721" t="str">
            <v>XZ-ZQ6606</v>
          </cell>
        </row>
        <row r="5722">
          <cell r="A5722" t="str">
            <v>XZ-ZQ6606-P2-4041</v>
          </cell>
          <cell r="B5722" t="str">
            <v>XZ-ZQ6606</v>
          </cell>
        </row>
        <row r="5723">
          <cell r="A5723" t="str">
            <v>XZ-ZQ6606-PI-3637</v>
          </cell>
          <cell r="B5723" t="str">
            <v>XZ-ZQ6606</v>
          </cell>
        </row>
        <row r="5724">
          <cell r="A5724" t="str">
            <v>XZ-ZQ6606-PI-3839</v>
          </cell>
          <cell r="B5724" t="str">
            <v>XZ-ZQ6606</v>
          </cell>
        </row>
        <row r="5725">
          <cell r="A5725" t="str">
            <v>XZ-ZQ6606-PI-4041</v>
          </cell>
          <cell r="B5725" t="str">
            <v>XZ-ZQ6606</v>
          </cell>
        </row>
        <row r="5726">
          <cell r="A5726" t="str">
            <v>XZ-ZQ6625-C0-4243</v>
          </cell>
          <cell r="B5726" t="str">
            <v>XZ-ZQ6625</v>
          </cell>
        </row>
        <row r="5727">
          <cell r="A5727" t="str">
            <v>XZ-ZQ6625-E0-4243</v>
          </cell>
          <cell r="B5727" t="str">
            <v>XZ-ZQ6625</v>
          </cell>
        </row>
        <row r="5728">
          <cell r="A5728" t="str">
            <v>XZ-ZQ6625-R2-3637</v>
          </cell>
          <cell r="B5728" t="str">
            <v>XZ-ZQ6625</v>
          </cell>
        </row>
        <row r="5729">
          <cell r="A5729" t="str">
            <v>XZ-ZQ6834-E0-14-15</v>
          </cell>
          <cell r="B5729" t="str">
            <v>XZ-ZQ6834</v>
          </cell>
        </row>
        <row r="5730">
          <cell r="A5730" t="str">
            <v>XZ-ZQ6834-E0-16-17</v>
          </cell>
          <cell r="B5730" t="str">
            <v>XZ-ZQ6834</v>
          </cell>
        </row>
        <row r="5731">
          <cell r="A5731" t="str">
            <v>XZ-ZQ6834-E0-18-19</v>
          </cell>
          <cell r="B5731" t="str">
            <v>XZ-ZQ6834</v>
          </cell>
        </row>
        <row r="5732">
          <cell r="A5732" t="str">
            <v>XZ-ZQ6834-E0-20</v>
          </cell>
          <cell r="B5732" t="str">
            <v>XZ-ZQ6834</v>
          </cell>
        </row>
        <row r="5733">
          <cell r="A5733" t="str">
            <v>XZ-ZQ6834-E0-21</v>
          </cell>
          <cell r="B5733" t="str">
            <v>XZ-ZQ6834</v>
          </cell>
        </row>
        <row r="5734">
          <cell r="A5734" t="str">
            <v>XZ-ZQ6834-E0-22</v>
          </cell>
          <cell r="B5734" t="str">
            <v>XZ-ZQ6834</v>
          </cell>
        </row>
        <row r="5735">
          <cell r="A5735" t="str">
            <v>XZ-ZQ6834-E0-22-GM</v>
          </cell>
          <cell r="B5735" t="str">
            <v>XZ-ZQ6834</v>
          </cell>
        </row>
        <row r="5736">
          <cell r="A5736" t="str">
            <v>XZ-ZQ6834-E0-270</v>
          </cell>
          <cell r="B5736" t="str">
            <v>XZ-ZQ6834</v>
          </cell>
        </row>
        <row r="5737">
          <cell r="A5737" t="str">
            <v>XZ-ZQ6834-E0-280</v>
          </cell>
          <cell r="B5737" t="str">
            <v>XZ-ZQ6834</v>
          </cell>
        </row>
        <row r="5738">
          <cell r="A5738" t="str">
            <v>XZ-ZQ6834-E0-290</v>
          </cell>
          <cell r="B5738" t="str">
            <v>XZ-ZQ6834</v>
          </cell>
        </row>
        <row r="5739">
          <cell r="A5739" t="str">
            <v>XZ-ZQ6834-GE-14-15</v>
          </cell>
          <cell r="B5739" t="str">
            <v>XZ-ZQ6834</v>
          </cell>
        </row>
        <row r="5740">
          <cell r="A5740" t="str">
            <v>XZ-ZQ6834-GE-16-17</v>
          </cell>
          <cell r="B5740" t="str">
            <v>XZ-ZQ6834</v>
          </cell>
        </row>
        <row r="5741">
          <cell r="A5741" t="str">
            <v>XZ-ZQ6834-GE-18-19</v>
          </cell>
          <cell r="B5741" t="str">
            <v>XZ-ZQ6834</v>
          </cell>
        </row>
        <row r="5742">
          <cell r="A5742" t="str">
            <v>XZ-ZQ6834-GE-20</v>
          </cell>
          <cell r="B5742" t="str">
            <v>XZ-ZQ6834</v>
          </cell>
        </row>
        <row r="5743">
          <cell r="A5743" t="str">
            <v>XZ-ZQ6834-GE-21</v>
          </cell>
          <cell r="B5743" t="str">
            <v>XZ-ZQ6834</v>
          </cell>
        </row>
        <row r="5744">
          <cell r="A5744" t="str">
            <v>XZ-ZQ6834-GE-22</v>
          </cell>
          <cell r="B5744" t="str">
            <v>XZ-ZQ6834</v>
          </cell>
        </row>
        <row r="5745">
          <cell r="A5745" t="str">
            <v>XZ-ZQ6834-GE-240</v>
          </cell>
          <cell r="B5745" t="str">
            <v>XZ-ZQ6834</v>
          </cell>
        </row>
        <row r="5746">
          <cell r="A5746" t="str">
            <v>XZ-ZQ6834-GE-250</v>
          </cell>
          <cell r="B5746" t="str">
            <v>XZ-ZQ6834</v>
          </cell>
        </row>
        <row r="5747">
          <cell r="A5747" t="str">
            <v>XZ-ZQ6834-GE-260</v>
          </cell>
          <cell r="B5747" t="str">
            <v>XZ-ZQ6834</v>
          </cell>
        </row>
        <row r="5748">
          <cell r="A5748" t="str">
            <v>XZ-ZQ6834-KQ-14-15</v>
          </cell>
          <cell r="B5748" t="str">
            <v>XZ-ZQ6834</v>
          </cell>
        </row>
        <row r="5749">
          <cell r="A5749" t="str">
            <v>XZ-ZQ6834-KQ-16-17</v>
          </cell>
          <cell r="B5749" t="str">
            <v>XZ-ZQ6834</v>
          </cell>
        </row>
        <row r="5750">
          <cell r="A5750" t="str">
            <v>XZ-ZQ6834-KQ-18-19</v>
          </cell>
          <cell r="B5750" t="str">
            <v>XZ-ZQ6834</v>
          </cell>
        </row>
        <row r="5751">
          <cell r="A5751" t="str">
            <v>XZ-ZQ6834-KQ-20</v>
          </cell>
          <cell r="B5751" t="str">
            <v>XZ-ZQ6834</v>
          </cell>
        </row>
        <row r="5752">
          <cell r="A5752" t="str">
            <v>XZ-ZQ6834-KQ-21</v>
          </cell>
          <cell r="B5752" t="str">
            <v>XZ-ZQ6834</v>
          </cell>
        </row>
        <row r="5753">
          <cell r="A5753" t="str">
            <v>XZ-ZQ6834-KQ-22</v>
          </cell>
          <cell r="B5753" t="str">
            <v>XZ-ZQ6834</v>
          </cell>
        </row>
        <row r="5754">
          <cell r="A5754" t="str">
            <v>XZ-ZQ6834-KQ-270</v>
          </cell>
          <cell r="B5754" t="str">
            <v>XZ-ZQ6834</v>
          </cell>
        </row>
        <row r="5755">
          <cell r="A5755" t="str">
            <v>XZ-ZQ6834-KQ-280</v>
          </cell>
          <cell r="B5755" t="str">
            <v>XZ-ZQ6834</v>
          </cell>
        </row>
        <row r="5756">
          <cell r="A5756" t="str">
            <v>XZ-ZQ6834-KQ-290</v>
          </cell>
          <cell r="B5756" t="str">
            <v>XZ-ZQ6834</v>
          </cell>
        </row>
        <row r="5757">
          <cell r="A5757" t="str">
            <v>XZ-ZQ6834-R1-14-15</v>
          </cell>
          <cell r="B5757" t="str">
            <v>XZ-ZQ6834</v>
          </cell>
        </row>
        <row r="5758">
          <cell r="A5758" t="str">
            <v>XZ-ZQ6834-R1-16-17</v>
          </cell>
          <cell r="B5758" t="str">
            <v>XZ-ZQ6834</v>
          </cell>
        </row>
        <row r="5759">
          <cell r="A5759" t="str">
            <v>XZ-ZQ6834-R1-18-19</v>
          </cell>
          <cell r="B5759" t="str">
            <v>XZ-ZQ6834</v>
          </cell>
        </row>
        <row r="5760">
          <cell r="A5760" t="str">
            <v>XZ-ZQ6834-R1-20</v>
          </cell>
          <cell r="B5760" t="str">
            <v>XZ-ZQ6834</v>
          </cell>
        </row>
        <row r="5761">
          <cell r="A5761" t="str">
            <v>XZ-ZQ6834-R1-21</v>
          </cell>
          <cell r="B5761" t="str">
            <v>XZ-ZQ6834</v>
          </cell>
        </row>
        <row r="5762">
          <cell r="A5762" t="str">
            <v>XZ-ZQ6834-R1-21-GM</v>
          </cell>
          <cell r="B5762" t="str">
            <v>XZ-ZQ6834</v>
          </cell>
        </row>
        <row r="5763">
          <cell r="A5763" t="str">
            <v>XZ-ZQ6834-R1-22</v>
          </cell>
          <cell r="B5763" t="str">
            <v>XZ-ZQ6834</v>
          </cell>
        </row>
        <row r="5764">
          <cell r="A5764" t="str">
            <v>XZ-ZQ6834-R1-240</v>
          </cell>
          <cell r="B5764" t="str">
            <v>XZ-ZQ6834</v>
          </cell>
        </row>
        <row r="5765">
          <cell r="A5765" t="str">
            <v>XZ-ZQ6834-R1-250</v>
          </cell>
          <cell r="B5765" t="str">
            <v>XZ-ZQ6834</v>
          </cell>
        </row>
        <row r="5766">
          <cell r="A5766" t="str">
            <v>XZ-ZQ6834-R1-260</v>
          </cell>
          <cell r="B5766" t="str">
            <v>XZ-ZQ6834</v>
          </cell>
        </row>
        <row r="5767">
          <cell r="A5767" t="str">
            <v>XZ-ZQ6834-R2-14-15</v>
          </cell>
          <cell r="B5767" t="str">
            <v>XZ-ZQ6834</v>
          </cell>
        </row>
        <row r="5768">
          <cell r="A5768" t="str">
            <v>XZ-ZQ6834-R2-16-17</v>
          </cell>
          <cell r="B5768" t="str">
            <v>XZ-ZQ6834</v>
          </cell>
        </row>
        <row r="5769">
          <cell r="A5769" t="str">
            <v>XZ-ZQ6834-R2-18-19</v>
          </cell>
          <cell r="B5769" t="str">
            <v>XZ-ZQ6834</v>
          </cell>
        </row>
        <row r="5770">
          <cell r="A5770" t="str">
            <v>XZ-ZQ6834-R2-20</v>
          </cell>
          <cell r="B5770" t="str">
            <v>XZ-ZQ6834</v>
          </cell>
        </row>
        <row r="5771">
          <cell r="A5771" t="str">
            <v>XZ-ZQ6834-R2-20-GM</v>
          </cell>
          <cell r="B5771" t="str">
            <v>XZ-ZQ6834</v>
          </cell>
        </row>
        <row r="5772">
          <cell r="A5772" t="str">
            <v>XZ-ZQ6834-R2-21</v>
          </cell>
          <cell r="B5772" t="str">
            <v>XZ-ZQ6834</v>
          </cell>
        </row>
        <row r="5773">
          <cell r="A5773" t="str">
            <v>XZ-ZQ6834-R2-22</v>
          </cell>
          <cell r="B5773" t="str">
            <v>XZ-ZQ6834</v>
          </cell>
        </row>
        <row r="5774">
          <cell r="A5774" t="str">
            <v>XZ-ZQ6834-R2-22-GM</v>
          </cell>
          <cell r="B5774" t="str">
            <v>XZ-ZQ6834</v>
          </cell>
        </row>
        <row r="5775">
          <cell r="A5775" t="str">
            <v>XZ-ZQ6834-R2-240</v>
          </cell>
          <cell r="B5775" t="str">
            <v>XZ-ZQ6834</v>
          </cell>
        </row>
        <row r="5776">
          <cell r="A5776" t="str">
            <v>XZ-ZQ6834-R2-240-GM</v>
          </cell>
          <cell r="B5776" t="str">
            <v>XZ-ZQ6834</v>
          </cell>
        </row>
        <row r="5777">
          <cell r="A5777" t="str">
            <v>XZ-ZQ6834-R2-250</v>
          </cell>
          <cell r="B5777" t="str">
            <v>XZ-ZQ6834</v>
          </cell>
        </row>
        <row r="5778">
          <cell r="A5778" t="str">
            <v>XZ-ZQ6834-R2-260</v>
          </cell>
          <cell r="B5778" t="str">
            <v>XZ-ZQ6834</v>
          </cell>
        </row>
        <row r="5779">
          <cell r="A5779" t="str">
            <v>XZ-ZQ6834-R3-14-15</v>
          </cell>
          <cell r="B5779" t="str">
            <v>XZ-ZQ6834</v>
          </cell>
        </row>
        <row r="5780">
          <cell r="A5780" t="str">
            <v>XZ-ZQ6834-R3-16-17</v>
          </cell>
          <cell r="B5780" t="str">
            <v>XZ-ZQ6834</v>
          </cell>
        </row>
        <row r="5781">
          <cell r="A5781" t="str">
            <v>XZ-ZQ6834-R3-18-19</v>
          </cell>
          <cell r="B5781" t="str">
            <v>XZ-ZQ6834</v>
          </cell>
        </row>
        <row r="5782">
          <cell r="A5782" t="str">
            <v>XZ-ZQ6834-R3-20</v>
          </cell>
          <cell r="B5782" t="str">
            <v>XZ-ZQ6834</v>
          </cell>
        </row>
        <row r="5783">
          <cell r="A5783" t="str">
            <v>XZ-ZQ6834-R3-21</v>
          </cell>
          <cell r="B5783" t="str">
            <v>XZ-ZQ6834</v>
          </cell>
        </row>
        <row r="5784">
          <cell r="A5784" t="str">
            <v>XZ-ZQ6834-R3-22</v>
          </cell>
          <cell r="B5784" t="str">
            <v>XZ-ZQ6834</v>
          </cell>
        </row>
        <row r="5785">
          <cell r="A5785" t="str">
            <v>XZ-ZQ6834-R3-240</v>
          </cell>
          <cell r="B5785" t="str">
            <v>XZ-ZQ6834</v>
          </cell>
        </row>
        <row r="5786">
          <cell r="A5786" t="str">
            <v>XZ-ZQ6834-R3-250</v>
          </cell>
          <cell r="B5786" t="str">
            <v>XZ-ZQ6834</v>
          </cell>
        </row>
        <row r="5787">
          <cell r="A5787" t="str">
            <v>XZ-ZQ6834-R3-260</v>
          </cell>
          <cell r="B5787" t="str">
            <v>XZ-ZQ6834</v>
          </cell>
        </row>
        <row r="5788">
          <cell r="A5788" t="str">
            <v>XZ-ZQ7032-B0-24</v>
          </cell>
          <cell r="B5788" t="str">
            <v>XZ-ZQ7032</v>
          </cell>
        </row>
        <row r="5789">
          <cell r="A5789" t="str">
            <v>XZ-ZQ7032-B0-26</v>
          </cell>
          <cell r="B5789" t="str">
            <v>XZ-ZQ7032</v>
          </cell>
        </row>
        <row r="5790">
          <cell r="A5790" t="str">
            <v>XZ-ZQ7032-K0-24</v>
          </cell>
          <cell r="B5790" t="str">
            <v>XZ-ZQ7032</v>
          </cell>
        </row>
        <row r="5791">
          <cell r="A5791" t="str">
            <v>XZ-ZQ7032-K0-25</v>
          </cell>
          <cell r="B5791" t="str">
            <v>XZ-ZQ7032</v>
          </cell>
        </row>
        <row r="5792">
          <cell r="A5792" t="str">
            <v>XZ-ZQ7032-K0-26</v>
          </cell>
          <cell r="B5792" t="str">
            <v>XZ-ZQ7032</v>
          </cell>
        </row>
        <row r="5793">
          <cell r="A5793" t="str">
            <v>XZ-ZQ7032-K0-27</v>
          </cell>
          <cell r="B5793" t="str">
            <v>XZ-ZQ7032</v>
          </cell>
        </row>
        <row r="5794">
          <cell r="A5794" t="str">
            <v>XZ-ZQ7032-K0-28</v>
          </cell>
          <cell r="B5794" t="str">
            <v>XZ-ZQ7032</v>
          </cell>
        </row>
        <row r="5795">
          <cell r="A5795" t="str">
            <v>XZ-ZQ8032-B0-1415</v>
          </cell>
          <cell r="B5795" t="str">
            <v>XZ-ZQ8032</v>
          </cell>
        </row>
        <row r="5796">
          <cell r="A5796" t="str">
            <v>XZ-ZQ8032-B0-1617</v>
          </cell>
          <cell r="B5796" t="str">
            <v>XZ-ZQ8032</v>
          </cell>
        </row>
        <row r="5797">
          <cell r="A5797" t="str">
            <v>XZ-ZQ8032-B0-1819</v>
          </cell>
          <cell r="B5797" t="str">
            <v>XZ-ZQ8032</v>
          </cell>
        </row>
        <row r="5798">
          <cell r="A5798" t="str">
            <v>XZ-ZQ8032-B0-20</v>
          </cell>
          <cell r="B5798" t="str">
            <v>XZ-ZQ8032</v>
          </cell>
        </row>
        <row r="5799">
          <cell r="A5799" t="str">
            <v>XZ-ZQ8032-B0-21</v>
          </cell>
          <cell r="B5799" t="str">
            <v>XZ-ZQ8032</v>
          </cell>
        </row>
        <row r="5800">
          <cell r="A5800" t="str">
            <v>XZ-ZQ8032-B0-22</v>
          </cell>
          <cell r="B5800" t="str">
            <v>XZ-ZQ8032</v>
          </cell>
        </row>
        <row r="5801">
          <cell r="A5801" t="str">
            <v>XZ-ZQ8032-B0-23</v>
          </cell>
          <cell r="B5801" t="str">
            <v>XZ-ZQ8032</v>
          </cell>
        </row>
        <row r="5802">
          <cell r="A5802" t="str">
            <v>XZ-ZQ8032-K0-1415</v>
          </cell>
          <cell r="B5802" t="str">
            <v>XZ-ZQ8032</v>
          </cell>
        </row>
        <row r="5803">
          <cell r="A5803" t="str">
            <v>XZ-ZQ8032-K0-1617</v>
          </cell>
          <cell r="B5803" t="str">
            <v>XZ-ZQ8032</v>
          </cell>
        </row>
        <row r="5804">
          <cell r="A5804" t="str">
            <v>XZ-ZQ8032-K0-1617-GM</v>
          </cell>
          <cell r="B5804" t="str">
            <v>XZ-ZQ8032</v>
          </cell>
        </row>
        <row r="5805">
          <cell r="A5805" t="str">
            <v>XZ-ZQ8032-K0-1819</v>
          </cell>
          <cell r="B5805" t="str">
            <v>XZ-ZQ8032</v>
          </cell>
        </row>
        <row r="5806">
          <cell r="A5806" t="str">
            <v>XZ-ZQ8032-K0-1819-GM</v>
          </cell>
          <cell r="B5806" t="str">
            <v>XZ-ZQ8032</v>
          </cell>
        </row>
        <row r="5807">
          <cell r="A5807" t="str">
            <v>XZ-ZQ8032-K0-20</v>
          </cell>
          <cell r="B5807" t="str">
            <v>XZ-ZQ8032</v>
          </cell>
        </row>
        <row r="5808">
          <cell r="A5808" t="str">
            <v>XZ-ZQ8032-K0-21</v>
          </cell>
          <cell r="B5808" t="str">
            <v>XZ-ZQ8032</v>
          </cell>
        </row>
        <row r="5809">
          <cell r="A5809" t="str">
            <v>XZ-ZQ8032-K0-22</v>
          </cell>
          <cell r="B5809" t="str">
            <v>XZ-ZQ8032</v>
          </cell>
        </row>
        <row r="5810">
          <cell r="A5810" t="str">
            <v>XZ-ZQ8032-K0-23</v>
          </cell>
          <cell r="B5810" t="str">
            <v>XZ-ZQ8032</v>
          </cell>
        </row>
        <row r="5811">
          <cell r="A5811" t="str">
            <v>XZ-ZQ8032-KQ-1415</v>
          </cell>
          <cell r="B5811" t="str">
            <v>XZ-ZQ8032</v>
          </cell>
        </row>
        <row r="5812">
          <cell r="A5812" t="str">
            <v>XZ-ZQ8032-KQ-1617</v>
          </cell>
          <cell r="B5812" t="str">
            <v>XZ-ZQ8032</v>
          </cell>
        </row>
        <row r="5813">
          <cell r="A5813" t="str">
            <v>XZ-ZQ8032-KQ-1819</v>
          </cell>
          <cell r="B5813" t="str">
            <v>XZ-ZQ8032</v>
          </cell>
        </row>
        <row r="5814">
          <cell r="A5814" t="str">
            <v>XZ-ZQ8032-KQ-20</v>
          </cell>
          <cell r="B5814" t="str">
            <v>XZ-ZQ8032</v>
          </cell>
        </row>
        <row r="5815">
          <cell r="A5815" t="str">
            <v>XZ-ZQ8032-KQ-21</v>
          </cell>
          <cell r="B5815" t="str">
            <v>XZ-ZQ8032</v>
          </cell>
        </row>
        <row r="5816">
          <cell r="A5816" t="str">
            <v>XZ-ZQ8032-KQ-22</v>
          </cell>
          <cell r="B5816" t="str">
            <v>XZ-ZQ8032</v>
          </cell>
        </row>
        <row r="5817">
          <cell r="A5817" t="str">
            <v>XZ-ZQ8032-KQ-23</v>
          </cell>
          <cell r="B5817" t="str">
            <v>XZ-ZQ8032</v>
          </cell>
        </row>
        <row r="5818">
          <cell r="A5818" t="str">
            <v>XZ-ZQ8032-R1-1415</v>
          </cell>
          <cell r="B5818" t="str">
            <v>XZ-ZQ8032</v>
          </cell>
        </row>
        <row r="5819">
          <cell r="A5819" t="str">
            <v>XZ-ZQ8032-R1-1617</v>
          </cell>
          <cell r="B5819" t="str">
            <v>XZ-ZQ8032</v>
          </cell>
        </row>
        <row r="5820">
          <cell r="A5820" t="str">
            <v>XZ-ZQ8032-R1-1819</v>
          </cell>
          <cell r="B5820" t="str">
            <v>XZ-ZQ8032</v>
          </cell>
        </row>
        <row r="5821">
          <cell r="A5821" t="str">
            <v>XZ-ZQ8032-R1-20</v>
          </cell>
          <cell r="B5821" t="str">
            <v>XZ-ZQ8032</v>
          </cell>
        </row>
        <row r="5822">
          <cell r="A5822" t="str">
            <v>XZ-ZQ8032-R1-21</v>
          </cell>
          <cell r="B5822" t="str">
            <v>XZ-ZQ8032</v>
          </cell>
        </row>
        <row r="5823">
          <cell r="A5823" t="str">
            <v>XZ-ZQ8032-R1-22</v>
          </cell>
          <cell r="B5823" t="str">
            <v>XZ-ZQ8032</v>
          </cell>
        </row>
        <row r="5824">
          <cell r="A5824" t="str">
            <v>XZ-ZQ8032-R1-23</v>
          </cell>
          <cell r="B5824" t="str">
            <v>XZ-ZQ8032</v>
          </cell>
        </row>
        <row r="5825">
          <cell r="A5825" t="str">
            <v>XZ-ZQ8812-K0-1415</v>
          </cell>
          <cell r="B5825" t="str">
            <v>XZ-ZQ8812</v>
          </cell>
        </row>
        <row r="5826">
          <cell r="A5826" t="str">
            <v>XZ-ZQ8812-K0-1617</v>
          </cell>
          <cell r="B5826" t="str">
            <v>XZ-ZQ8812</v>
          </cell>
        </row>
        <row r="5827">
          <cell r="A5827" t="str">
            <v>XZ-ZQ8812-K0-1819</v>
          </cell>
          <cell r="B5827" t="str">
            <v>XZ-ZQ8812</v>
          </cell>
        </row>
        <row r="5828">
          <cell r="A5828" t="str">
            <v>XZ-ZQ8812-K0-20</v>
          </cell>
          <cell r="B5828" t="str">
            <v>XZ-ZQ8812</v>
          </cell>
        </row>
        <row r="5829">
          <cell r="A5829" t="str">
            <v>XZ-ZQ8812-K0-21</v>
          </cell>
          <cell r="B5829" t="str">
            <v>XZ-ZQ8812</v>
          </cell>
        </row>
        <row r="5830">
          <cell r="A5830" t="str">
            <v>XZ-ZQ8812-K0-22</v>
          </cell>
          <cell r="B5830" t="str">
            <v>XZ-ZQ8812</v>
          </cell>
        </row>
        <row r="5831">
          <cell r="A5831" t="str">
            <v>XZ-ZQ8812-K0-240</v>
          </cell>
          <cell r="B5831" t="str">
            <v>XZ-ZQ8812</v>
          </cell>
        </row>
        <row r="5832">
          <cell r="A5832" t="str">
            <v>XZ-ZQ8812-K0-250</v>
          </cell>
          <cell r="B5832" t="str">
            <v>XZ-ZQ8812</v>
          </cell>
        </row>
        <row r="5833">
          <cell r="A5833" t="str">
            <v>XZ-ZQ8812-K0-260</v>
          </cell>
          <cell r="B5833" t="str">
            <v>XZ-ZQ8812</v>
          </cell>
        </row>
        <row r="5834">
          <cell r="A5834" t="str">
            <v>XZ-ZQ8812N-K0-260</v>
          </cell>
          <cell r="B5834" t="str">
            <v>XZ-ZQ8812</v>
          </cell>
        </row>
        <row r="5835">
          <cell r="A5835" t="str">
            <v>XZ-ZQ8812N-K0-270</v>
          </cell>
          <cell r="B5835" t="str">
            <v>XZ-ZQ8812</v>
          </cell>
        </row>
        <row r="5836">
          <cell r="A5836" t="str">
            <v>XZ-ZQ8812N-K0-280</v>
          </cell>
          <cell r="B5836" t="str">
            <v>XZ-ZQ8812</v>
          </cell>
        </row>
        <row r="5837">
          <cell r="A5837" t="str">
            <v>XZ-ZQ8812-R0-240</v>
          </cell>
          <cell r="B5837" t="str">
            <v>XZ-ZQ8812</v>
          </cell>
        </row>
        <row r="5838">
          <cell r="A5838" t="str">
            <v>XZ-ZQ8812-R0-250</v>
          </cell>
          <cell r="B5838" t="str">
            <v>XZ-ZQ8812</v>
          </cell>
        </row>
        <row r="5839">
          <cell r="A5839" t="str">
            <v>XZ-ZQ8812-R0-260</v>
          </cell>
          <cell r="B5839" t="str">
            <v>XZ-ZQ8812</v>
          </cell>
        </row>
        <row r="5840">
          <cell r="A5840" t="str">
            <v>XZ-ZQ8812-R1-1415</v>
          </cell>
          <cell r="B5840" t="str">
            <v>XZ-ZQ8812</v>
          </cell>
        </row>
        <row r="5841">
          <cell r="A5841" t="str">
            <v>XZ-ZQ8812-R1-1617</v>
          </cell>
          <cell r="B5841" t="str">
            <v>XZ-ZQ8812</v>
          </cell>
        </row>
        <row r="5842">
          <cell r="A5842" t="str">
            <v>XZ-ZQ8812-R1-1819</v>
          </cell>
          <cell r="B5842" t="str">
            <v>XZ-ZQ8812</v>
          </cell>
        </row>
        <row r="5843">
          <cell r="A5843" t="str">
            <v>XZ-ZQ8812-R1-20</v>
          </cell>
          <cell r="B5843" t="str">
            <v>XZ-ZQ8812</v>
          </cell>
        </row>
        <row r="5844">
          <cell r="A5844" t="str">
            <v>XZ-ZQ8812-R1-21</v>
          </cell>
          <cell r="B5844" t="str">
            <v>XZ-ZQ8812</v>
          </cell>
        </row>
        <row r="5845">
          <cell r="A5845" t="str">
            <v>XZ-ZQ8812-R1-22</v>
          </cell>
          <cell r="B5845" t="str">
            <v>XZ-ZQ8812</v>
          </cell>
        </row>
        <row r="5846">
          <cell r="A5846" t="str">
            <v>XZ-ZQ8812-R2-1415</v>
          </cell>
          <cell r="B5846" t="str">
            <v>XZ-ZQ8812</v>
          </cell>
        </row>
        <row r="5847">
          <cell r="A5847" t="str">
            <v>XZ-ZQ8812-R2-1617</v>
          </cell>
          <cell r="B5847" t="str">
            <v>XZ-ZQ8812</v>
          </cell>
        </row>
        <row r="5848">
          <cell r="A5848" t="str">
            <v>XZ-ZQ8812-R2-1819</v>
          </cell>
          <cell r="B5848" t="str">
            <v>XZ-ZQ8812</v>
          </cell>
        </row>
        <row r="5849">
          <cell r="A5849" t="str">
            <v>XZ-ZQ8812-R2-20</v>
          </cell>
          <cell r="B5849" t="str">
            <v>XZ-ZQ8812</v>
          </cell>
        </row>
        <row r="5850">
          <cell r="A5850" t="str">
            <v>XZ-ZQ8812-R2-21</v>
          </cell>
          <cell r="B5850" t="str">
            <v>XZ-ZQ8812</v>
          </cell>
        </row>
        <row r="5851">
          <cell r="A5851" t="str">
            <v>XZ-ZQ8812-R2-22</v>
          </cell>
          <cell r="B5851" t="str">
            <v>XZ-ZQ8812</v>
          </cell>
        </row>
        <row r="5852">
          <cell r="A5852" t="str">
            <v>XZ-ZQ9901-K0-240</v>
          </cell>
          <cell r="B5852" t="str">
            <v>XZ-ZQ9901</v>
          </cell>
        </row>
        <row r="5853">
          <cell r="A5853" t="str">
            <v>XZ-ZQ9901-K0-250</v>
          </cell>
          <cell r="B5853" t="str">
            <v>XZ-ZQ9901</v>
          </cell>
        </row>
        <row r="5854">
          <cell r="A5854" t="str">
            <v>XZ-ZQ9901-K0-260</v>
          </cell>
          <cell r="B5854" t="str">
            <v>XZ-ZQ9901</v>
          </cell>
        </row>
        <row r="5855">
          <cell r="A5855" t="str">
            <v>XZ-ZQ9901-K0-270</v>
          </cell>
          <cell r="B5855" t="str">
            <v>XZ-ZQ9901</v>
          </cell>
        </row>
        <row r="5856">
          <cell r="A5856" t="str">
            <v>XZ-ZQ9901-K0-280</v>
          </cell>
          <cell r="B5856" t="str">
            <v>XZ-ZQ9901</v>
          </cell>
        </row>
        <row r="5857">
          <cell r="A5857" t="str">
            <v>XZ-ZQ9901-KW-240</v>
          </cell>
          <cell r="B5857" t="str">
            <v>XZ-ZQ9901</v>
          </cell>
        </row>
        <row r="5858">
          <cell r="A5858" t="str">
            <v>XZ-ZQ9901-KW-250</v>
          </cell>
          <cell r="B5858" t="str">
            <v>XZ-ZQ9901</v>
          </cell>
        </row>
        <row r="5859">
          <cell r="A5859" t="str">
            <v>XZ-ZQ9901-KW-260</v>
          </cell>
          <cell r="B5859" t="str">
            <v>XZ-ZQ9901</v>
          </cell>
        </row>
        <row r="5860">
          <cell r="A5860" t="str">
            <v>XZ-ZQ9901-KW-270</v>
          </cell>
          <cell r="B5860" t="str">
            <v>XZ-ZQ9901</v>
          </cell>
        </row>
        <row r="5861">
          <cell r="A5861" t="str">
            <v>XZ-ZQ9901-KW-280</v>
          </cell>
          <cell r="B5861" t="str">
            <v>XZ-ZQ9901</v>
          </cell>
        </row>
        <row r="5862">
          <cell r="A5862" t="str">
            <v>XZ-ZQ9901-W0-240</v>
          </cell>
          <cell r="B5862" t="str">
            <v>XZ-ZQ9901</v>
          </cell>
        </row>
        <row r="5863">
          <cell r="A5863" t="str">
            <v>XZ-ZQ9901-W0-250</v>
          </cell>
          <cell r="B5863" t="str">
            <v>XZ-ZQ9901</v>
          </cell>
        </row>
        <row r="5864">
          <cell r="A5864" t="str">
            <v>XZ-ZQ9901-W0-260</v>
          </cell>
          <cell r="B5864" t="str">
            <v>XZ-ZQ9901</v>
          </cell>
        </row>
        <row r="5865">
          <cell r="A5865" t="str">
            <v>XZ-ZQ9901-W0-270</v>
          </cell>
          <cell r="B5865" t="str">
            <v>XZ-ZQ9901</v>
          </cell>
        </row>
        <row r="5866">
          <cell r="A5866" t="str">
            <v>XZ-ZQ9901-W0-280</v>
          </cell>
          <cell r="B5866" t="str">
            <v>XZ-ZQ9901</v>
          </cell>
        </row>
        <row r="5867">
          <cell r="A5867" t="str">
            <v>XZ-ZQCB1001-C0-40</v>
          </cell>
          <cell r="B5867" t="str">
            <v>XZ-ZQCB1001</v>
          </cell>
        </row>
        <row r="5868">
          <cell r="A5868" t="str">
            <v>XZ-ZQCB1001-C0-42</v>
          </cell>
          <cell r="B5868" t="str">
            <v>XZ-ZQCB1001</v>
          </cell>
        </row>
        <row r="5869">
          <cell r="A5869" t="str">
            <v>XZ-ZQCB1001-C0-44</v>
          </cell>
          <cell r="B5869" t="str">
            <v>XZ-ZQCB1001</v>
          </cell>
        </row>
        <row r="5870">
          <cell r="A5870" t="str">
            <v>XZ-ZQCB1001-K0-36</v>
          </cell>
          <cell r="B5870" t="str">
            <v>XZ-ZQCB1001</v>
          </cell>
        </row>
        <row r="5871">
          <cell r="A5871" t="str">
            <v>XZ-ZQCB1001-K0-38</v>
          </cell>
          <cell r="B5871" t="str">
            <v>XZ-ZQCB1001</v>
          </cell>
        </row>
        <row r="5872">
          <cell r="A5872" t="str">
            <v>XZ-ZQCB1001-K0-40</v>
          </cell>
          <cell r="B5872" t="str">
            <v>XZ-ZQCB1001</v>
          </cell>
        </row>
        <row r="5873">
          <cell r="A5873" t="str">
            <v>XZ-ZQCB1001-K0-42</v>
          </cell>
          <cell r="B5873" t="str">
            <v>XZ-ZQCB1001</v>
          </cell>
        </row>
        <row r="5874">
          <cell r="A5874" t="str">
            <v>XZ-ZQCB1001-K0-44</v>
          </cell>
          <cell r="B5874" t="str">
            <v>XZ-ZQCB1001</v>
          </cell>
        </row>
        <row r="5875">
          <cell r="A5875" t="str">
            <v>XZ-ZQCB1001-R1-36</v>
          </cell>
          <cell r="B5875" t="str">
            <v>XZ-ZQCB1001</v>
          </cell>
        </row>
        <row r="5876">
          <cell r="A5876" t="str">
            <v>XZ-ZQCB1001-R1-38</v>
          </cell>
          <cell r="B5876" t="str">
            <v>XZ-ZQCB1001</v>
          </cell>
        </row>
        <row r="5877">
          <cell r="A5877" t="str">
            <v>XZ-ZQCB1001-R1-40</v>
          </cell>
          <cell r="B5877" t="str">
            <v>XZ-ZQCB1001</v>
          </cell>
        </row>
        <row r="5878">
          <cell r="A5878" t="str">
            <v>XZ-ZQCB1001-R2-36</v>
          </cell>
          <cell r="B5878" t="str">
            <v>XZ-ZQCB1001</v>
          </cell>
        </row>
        <row r="5879">
          <cell r="A5879" t="str">
            <v>XZ-ZQCB1001-R2-38</v>
          </cell>
          <cell r="B5879" t="str">
            <v>XZ-ZQCB1001</v>
          </cell>
        </row>
        <row r="5880">
          <cell r="A5880" t="str">
            <v>XZ-ZQCB1001-R2-40</v>
          </cell>
          <cell r="B5880" t="str">
            <v>XZ-ZQCB1001</v>
          </cell>
        </row>
        <row r="5881">
          <cell r="A5881" t="str">
            <v>XZ-ZQCB2002-C0-40</v>
          </cell>
          <cell r="B5881" t="str">
            <v>XZ-ZQCB2002</v>
          </cell>
        </row>
        <row r="5882">
          <cell r="A5882" t="str">
            <v>XZ-ZQCB2002-C0-42</v>
          </cell>
          <cell r="B5882" t="str">
            <v>XZ-ZQCB2002</v>
          </cell>
        </row>
        <row r="5883">
          <cell r="A5883" t="str">
            <v>XZ-ZQCB2002-C0-44</v>
          </cell>
          <cell r="B5883" t="str">
            <v>XZ-ZQCB2002</v>
          </cell>
        </row>
        <row r="5884">
          <cell r="A5884" t="str">
            <v>XZ-ZQCB2002-K0-36</v>
          </cell>
          <cell r="B5884" t="str">
            <v>XZ-ZQCB2002</v>
          </cell>
        </row>
        <row r="5885">
          <cell r="A5885" t="str">
            <v>XZ-ZQCB2002-K0-38</v>
          </cell>
          <cell r="B5885" t="str">
            <v>XZ-ZQCB2002</v>
          </cell>
        </row>
        <row r="5886">
          <cell r="A5886" t="str">
            <v>XZ-ZQCB2002-K0-40</v>
          </cell>
          <cell r="B5886" t="str">
            <v>XZ-ZQCB2002</v>
          </cell>
        </row>
        <row r="5887">
          <cell r="A5887" t="str">
            <v>XZ-ZQCB2002-K0-42</v>
          </cell>
          <cell r="B5887" t="str">
            <v>XZ-ZQCB2002</v>
          </cell>
        </row>
        <row r="5888">
          <cell r="A5888" t="str">
            <v>XZ-ZQCB2002-K0-44</v>
          </cell>
          <cell r="B5888" t="str">
            <v>XZ-ZQCB2002</v>
          </cell>
        </row>
        <row r="5889">
          <cell r="A5889" t="str">
            <v>XZ-ZQCB2002-R1-36</v>
          </cell>
          <cell r="B5889" t="str">
            <v>XZ-ZQCB2002</v>
          </cell>
        </row>
        <row r="5890">
          <cell r="A5890" t="str">
            <v>XZ-ZQCB2002-R1-38</v>
          </cell>
          <cell r="B5890" t="str">
            <v>XZ-ZQCB2002</v>
          </cell>
        </row>
        <row r="5891">
          <cell r="A5891" t="str">
            <v>XZ-ZQCB2002-R1-40</v>
          </cell>
          <cell r="B5891" t="str">
            <v>XZ-ZQCB2002</v>
          </cell>
        </row>
        <row r="5892">
          <cell r="A5892" t="str">
            <v>XZ-ZQCB2002-R2-36</v>
          </cell>
          <cell r="B5892" t="str">
            <v>XZ-ZQCB2002</v>
          </cell>
        </row>
        <row r="5893">
          <cell r="A5893" t="str">
            <v>XZ-ZQCB2002-R2-38</v>
          </cell>
          <cell r="B5893" t="str">
            <v>XZ-ZQCB2002</v>
          </cell>
        </row>
        <row r="5894">
          <cell r="A5894" t="str">
            <v>XZ-ZQCB2002-R2-40</v>
          </cell>
          <cell r="B5894" t="str">
            <v>XZ-ZQCB2002</v>
          </cell>
        </row>
        <row r="5895">
          <cell r="A5895" t="str">
            <v>XZ-ZQCB2056-B0-1415</v>
          </cell>
          <cell r="B5895" t="str">
            <v>XZ-ZQCB3056</v>
          </cell>
        </row>
        <row r="5896">
          <cell r="A5896" t="str">
            <v>XZ-ZQCB2056-B0-1617</v>
          </cell>
          <cell r="B5896" t="str">
            <v>XZ-ZQCB3056</v>
          </cell>
        </row>
        <row r="5897">
          <cell r="A5897" t="str">
            <v>XZ-ZQCB2056-B0-1819</v>
          </cell>
          <cell r="B5897" t="str">
            <v>XZ-ZQCB3056</v>
          </cell>
        </row>
        <row r="5898">
          <cell r="A5898" t="str">
            <v>XZ-ZQCB2056-B0-21</v>
          </cell>
          <cell r="B5898" t="str">
            <v>XZ-ZQCB3056</v>
          </cell>
        </row>
        <row r="5899">
          <cell r="A5899" t="str">
            <v>XZ-ZQCB2056-B0-22</v>
          </cell>
          <cell r="B5899" t="str">
            <v>XZ-ZQCB3056</v>
          </cell>
        </row>
        <row r="5900">
          <cell r="A5900" t="str">
            <v>XZ-ZQCB2056-B0-22-CS</v>
          </cell>
          <cell r="B5900" t="str">
            <v>XZ-ZQCB3056</v>
          </cell>
        </row>
        <row r="5901">
          <cell r="A5901" t="str">
            <v>XZ-ZQCB2056-B0-23</v>
          </cell>
          <cell r="B5901" t="str">
            <v>XZ-ZQCB3056</v>
          </cell>
        </row>
        <row r="5902">
          <cell r="A5902" t="str">
            <v>XZ-ZQCB2056-E0-1415-GM</v>
          </cell>
          <cell r="B5902" t="str">
            <v>XZ-ZQCB3056</v>
          </cell>
        </row>
        <row r="5903">
          <cell r="A5903" t="str">
            <v>XZ-ZQCB2056-E0-1617</v>
          </cell>
          <cell r="B5903" t="str">
            <v>XZ-ZQCB3056</v>
          </cell>
        </row>
        <row r="5904">
          <cell r="A5904" t="str">
            <v>XZ-ZQCB2056-E0-1819</v>
          </cell>
          <cell r="B5904" t="str">
            <v>XZ-ZQCB3056</v>
          </cell>
        </row>
        <row r="5905">
          <cell r="A5905" t="str">
            <v>XZ-ZQCB2056-E0-21</v>
          </cell>
          <cell r="B5905" t="str">
            <v>XZ-ZQCB3056</v>
          </cell>
        </row>
        <row r="5906">
          <cell r="A5906" t="str">
            <v>XZ-ZQCB2056-E0-22</v>
          </cell>
          <cell r="B5906" t="str">
            <v>XZ-ZQCB3056</v>
          </cell>
        </row>
        <row r="5907">
          <cell r="A5907" t="str">
            <v>XZ-ZQCB2056-E0-23</v>
          </cell>
          <cell r="B5907" t="str">
            <v>XZ-ZQCB3056</v>
          </cell>
        </row>
        <row r="5908">
          <cell r="A5908" t="str">
            <v>XZ-ZQCB2056-E0-23-GM</v>
          </cell>
          <cell r="B5908" t="str">
            <v>XZ-ZQCB3056</v>
          </cell>
        </row>
        <row r="5909">
          <cell r="A5909" t="str">
            <v>XZ-ZQCB2056-KQ-1415</v>
          </cell>
          <cell r="B5909" t="str">
            <v>XZ-ZQCB3056</v>
          </cell>
        </row>
        <row r="5910">
          <cell r="A5910" t="str">
            <v>XZ-ZQCB2056-KQ-1617</v>
          </cell>
          <cell r="B5910" t="str">
            <v>XZ-ZQCB3056</v>
          </cell>
        </row>
        <row r="5911">
          <cell r="A5911" t="str">
            <v>XZ-ZQCB2056-KQ-1819</v>
          </cell>
          <cell r="B5911" t="str">
            <v>XZ-ZQCB3056</v>
          </cell>
        </row>
        <row r="5912">
          <cell r="A5912" t="str">
            <v>XZ-ZQCB2056-KQ-21</v>
          </cell>
          <cell r="B5912" t="str">
            <v>XZ-ZQCB3056</v>
          </cell>
        </row>
        <row r="5913">
          <cell r="A5913" t="str">
            <v>XZ-ZQCB2056-KQ-21-NEW</v>
          </cell>
          <cell r="B5913" t="str">
            <v>XZ-ZQCB3056</v>
          </cell>
        </row>
        <row r="5914">
          <cell r="A5914" t="str">
            <v>XZ-ZQCB2056-KQ-22</v>
          </cell>
          <cell r="B5914" t="str">
            <v>XZ-ZQCB3056</v>
          </cell>
        </row>
        <row r="5915">
          <cell r="A5915" t="str">
            <v>XZ-ZQCB2056-KQ-23</v>
          </cell>
          <cell r="B5915" t="str">
            <v>XZ-ZQCB3056</v>
          </cell>
        </row>
        <row r="5916">
          <cell r="A5916" t="str">
            <v>XZ-ZQCB2056-R1-1415</v>
          </cell>
          <cell r="B5916" t="str">
            <v>XZ-ZQCB3056</v>
          </cell>
        </row>
        <row r="5917">
          <cell r="A5917" t="str">
            <v>XZ-ZQCB2056-R1-1617</v>
          </cell>
          <cell r="B5917" t="str">
            <v>XZ-ZQCB3056</v>
          </cell>
        </row>
        <row r="5918">
          <cell r="A5918" t="str">
            <v>XZ-ZQCB2056-R1-1819</v>
          </cell>
          <cell r="B5918" t="str">
            <v>XZ-ZQCB3056</v>
          </cell>
        </row>
        <row r="5919">
          <cell r="A5919" t="str">
            <v>XZ-ZQCB2056-R1-21</v>
          </cell>
          <cell r="B5919" t="str">
            <v>XZ-ZQCB3056</v>
          </cell>
        </row>
        <row r="5920">
          <cell r="A5920" t="str">
            <v>XZ-ZQCB2056-R1-22</v>
          </cell>
          <cell r="B5920" t="str">
            <v>XZ-ZQCB3056</v>
          </cell>
        </row>
        <row r="5921">
          <cell r="A5921" t="str">
            <v>XZ-ZQCB2056-R1-22-CS</v>
          </cell>
          <cell r="B5921" t="str">
            <v>XZ-ZQCB3056</v>
          </cell>
        </row>
        <row r="5922">
          <cell r="A5922" t="str">
            <v>XZ-ZQCB2056-R1-23</v>
          </cell>
          <cell r="B5922" t="str">
            <v>XZ-ZQCB3056</v>
          </cell>
        </row>
        <row r="5923">
          <cell r="A5923" t="str">
            <v>XZ-ZQCB2056-R2-1415</v>
          </cell>
          <cell r="B5923" t="str">
            <v>XZ-ZQCB3056</v>
          </cell>
        </row>
        <row r="5924">
          <cell r="A5924" t="str">
            <v>XZ-ZQCB2056-R2-1617</v>
          </cell>
          <cell r="B5924" t="str">
            <v>XZ-ZQCB3056</v>
          </cell>
        </row>
        <row r="5925">
          <cell r="A5925" t="str">
            <v>XZ-ZQCB2056-R2-1617-GM</v>
          </cell>
          <cell r="B5925" t="str">
            <v>XZ-ZQCB3056</v>
          </cell>
        </row>
        <row r="5926">
          <cell r="A5926" t="str">
            <v>XZ-ZQCB2056-R2-1819</v>
          </cell>
          <cell r="B5926" t="str">
            <v>XZ-ZQCB3056</v>
          </cell>
        </row>
        <row r="5927">
          <cell r="A5927" t="str">
            <v>XZ-ZQCB2056-R2-1819-GM</v>
          </cell>
          <cell r="B5927" t="str">
            <v>XZ-ZQCB3056</v>
          </cell>
        </row>
        <row r="5928">
          <cell r="A5928" t="str">
            <v>XZ-ZQCB2056-R2-21</v>
          </cell>
          <cell r="B5928" t="str">
            <v>XZ-ZQCB3056</v>
          </cell>
        </row>
        <row r="5929">
          <cell r="A5929" t="str">
            <v>XZ-ZQCB2056-R2-21-CS</v>
          </cell>
          <cell r="B5929" t="str">
            <v>XZ-ZQCB3056</v>
          </cell>
        </row>
        <row r="5930">
          <cell r="A5930" t="str">
            <v>XZ-ZQCB2056-R2-22</v>
          </cell>
          <cell r="B5930" t="str">
            <v>XZ-ZQCB3056</v>
          </cell>
        </row>
        <row r="5931">
          <cell r="A5931" t="str">
            <v>XZ-ZQCB2056-R2-23</v>
          </cell>
          <cell r="B5931" t="str">
            <v>XZ-ZQCB3056</v>
          </cell>
        </row>
        <row r="5932">
          <cell r="A5932" t="str">
            <v>XZ-ZQCB3056-B0-24</v>
          </cell>
          <cell r="B5932" t="str">
            <v>XZ-ZQCB3056</v>
          </cell>
        </row>
        <row r="5933">
          <cell r="A5933" t="str">
            <v>XZ-ZQCB3056-B0-25</v>
          </cell>
          <cell r="B5933" t="str">
            <v>XZ-ZQCB3056</v>
          </cell>
        </row>
        <row r="5934">
          <cell r="A5934" t="str">
            <v>XZ-ZQCB3056-B0-26</v>
          </cell>
          <cell r="B5934" t="str">
            <v>XZ-ZQCB3056</v>
          </cell>
        </row>
        <row r="5935">
          <cell r="A5935" t="str">
            <v>XZ-ZQCB3056-B0-27</v>
          </cell>
          <cell r="B5935" t="str">
            <v>XZ-ZQCB3056</v>
          </cell>
        </row>
        <row r="5936">
          <cell r="A5936" t="str">
            <v>XZ-ZQCB3056-B0-28</v>
          </cell>
          <cell r="B5936" t="str">
            <v>XZ-ZQCB3056</v>
          </cell>
        </row>
        <row r="5937">
          <cell r="A5937" t="str">
            <v>XZ-ZQCB3056-E0-24</v>
          </cell>
          <cell r="B5937" t="str">
            <v>XZ-ZQCB3056</v>
          </cell>
        </row>
        <row r="5938">
          <cell r="A5938" t="str">
            <v>XZ-ZQCB3056-E0-25</v>
          </cell>
          <cell r="B5938" t="str">
            <v>XZ-ZQCB3056</v>
          </cell>
        </row>
        <row r="5939">
          <cell r="A5939" t="str">
            <v>XZ-ZQCB3056-E0-26</v>
          </cell>
          <cell r="B5939" t="str">
            <v>XZ-ZQCB3056</v>
          </cell>
        </row>
        <row r="5940">
          <cell r="A5940" t="str">
            <v>XZ-ZQCB3056-E0-27</v>
          </cell>
          <cell r="B5940" t="str">
            <v>XZ-ZQCB3056</v>
          </cell>
        </row>
        <row r="5941">
          <cell r="A5941" t="str">
            <v>XZ-ZQCB3056-E0-27-GM</v>
          </cell>
          <cell r="B5941" t="str">
            <v>XZ-ZQCB3056</v>
          </cell>
        </row>
        <row r="5942">
          <cell r="A5942" t="str">
            <v>XZ-ZQCB3056-E0-28</v>
          </cell>
          <cell r="B5942" t="str">
            <v>XZ-ZQCB3056</v>
          </cell>
        </row>
        <row r="5943">
          <cell r="A5943" t="str">
            <v>XZ-ZQCB3056-kQ-24</v>
          </cell>
          <cell r="B5943" t="str">
            <v>XZ-ZQCB3056</v>
          </cell>
        </row>
        <row r="5944">
          <cell r="A5944" t="str">
            <v>XZ-ZQCB3056-kQ-25</v>
          </cell>
          <cell r="B5944" t="str">
            <v>XZ-ZQCB3056</v>
          </cell>
        </row>
        <row r="5945">
          <cell r="A5945" t="str">
            <v>XZ-ZQCB3056-KQ-26</v>
          </cell>
          <cell r="B5945" t="str">
            <v>XZ-ZQCB3056</v>
          </cell>
        </row>
        <row r="5946">
          <cell r="A5946" t="str">
            <v>XZ-ZQCB3056-KQ-26-GM</v>
          </cell>
          <cell r="B5946" t="str">
            <v>XZ-ZQCB3056</v>
          </cell>
        </row>
        <row r="5947">
          <cell r="A5947" t="str">
            <v>XZ-ZQCB3056-kQ-27</v>
          </cell>
          <cell r="B5947" t="str">
            <v>XZ-ZQCB3056</v>
          </cell>
        </row>
        <row r="5948">
          <cell r="A5948" t="str">
            <v>XZ-ZQCB3056-KQ-28</v>
          </cell>
          <cell r="B5948" t="str">
            <v>XZ-ZQCB3056</v>
          </cell>
        </row>
        <row r="5949">
          <cell r="A5949" t="str">
            <v>XZ-ZQCB3056-R1-24</v>
          </cell>
          <cell r="B5949" t="str">
            <v>XZ-ZQCB3056</v>
          </cell>
        </row>
        <row r="5950">
          <cell r="A5950" t="str">
            <v>XZ-ZQCB3056-R1-24-New</v>
          </cell>
          <cell r="B5950" t="str">
            <v>XZ-ZQCB3056</v>
          </cell>
        </row>
        <row r="5951">
          <cell r="A5951" t="str">
            <v>XZ-ZQCB3056-R1-25</v>
          </cell>
          <cell r="B5951" t="str">
            <v>XZ-ZQCB3056</v>
          </cell>
        </row>
        <row r="5952">
          <cell r="A5952" t="str">
            <v>XZ-ZQCB3056-R1-26</v>
          </cell>
          <cell r="B5952" t="str">
            <v>XZ-ZQCB3056</v>
          </cell>
        </row>
        <row r="5953">
          <cell r="A5953" t="str">
            <v>XZ-ZQCB3056-R1-27</v>
          </cell>
          <cell r="B5953" t="str">
            <v>XZ-ZQCB3056</v>
          </cell>
        </row>
        <row r="5954">
          <cell r="A5954" t="str">
            <v>XZ-ZQCB3056-R1-28</v>
          </cell>
          <cell r="B5954" t="str">
            <v>XZ-ZQCB3056</v>
          </cell>
        </row>
        <row r="5955">
          <cell r="A5955" t="str">
            <v>XZ-ZQCB3056-R2-24</v>
          </cell>
          <cell r="B5955" t="str">
            <v>XZ-ZQCB3056</v>
          </cell>
        </row>
        <row r="5956">
          <cell r="A5956" t="str">
            <v>XZ-ZQCB3056-R2-25</v>
          </cell>
          <cell r="B5956" t="str">
            <v>XZ-ZQCB3056</v>
          </cell>
        </row>
        <row r="5957">
          <cell r="A5957" t="str">
            <v>XZ-ZQCB3056-R2-26</v>
          </cell>
          <cell r="B5957" t="str">
            <v>XZ-ZQCB3056</v>
          </cell>
        </row>
        <row r="5958">
          <cell r="A5958" t="str">
            <v>XZ-ZQCB3056-R2-27</v>
          </cell>
          <cell r="B5958" t="str">
            <v>XZ-ZQCB3056</v>
          </cell>
        </row>
        <row r="5959">
          <cell r="A5959" t="str">
            <v>XZ-ZQCB3056-R2-28</v>
          </cell>
          <cell r="B5959" t="str">
            <v>XZ-ZQCB3056</v>
          </cell>
        </row>
        <row r="5960">
          <cell r="A5960" t="str">
            <v>XZ-ZQFT720-C0-4243</v>
          </cell>
          <cell r="B5960" t="str">
            <v>XZ-ZQFT720</v>
          </cell>
        </row>
        <row r="5961">
          <cell r="A5961" t="str">
            <v>XZ-ZQFT720-PI-3839</v>
          </cell>
          <cell r="B5961" t="str">
            <v>XZ-ZQFT720</v>
          </cell>
        </row>
        <row r="5962">
          <cell r="A5962" t="str">
            <v>XZ-ZQFT730-B0-3637</v>
          </cell>
          <cell r="B5962" t="str">
            <v>XZ-ZQFT730</v>
          </cell>
        </row>
        <row r="5963">
          <cell r="A5963" t="str">
            <v>XZ-ZQFT730-B0-3839</v>
          </cell>
          <cell r="B5963" t="str">
            <v>XZ-ZQFT730</v>
          </cell>
        </row>
        <row r="5964">
          <cell r="A5964" t="str">
            <v>XZ-ZQFT730-B0-4041</v>
          </cell>
          <cell r="B5964" t="str">
            <v>XZ-ZQFT730</v>
          </cell>
        </row>
        <row r="5965">
          <cell r="A5965" t="str">
            <v>XZ-ZQFT730-C0-4243</v>
          </cell>
          <cell r="B5965" t="str">
            <v>XZ-ZQFT730</v>
          </cell>
        </row>
        <row r="5966">
          <cell r="A5966" t="str">
            <v>XZ-ZQFT730-C0-4445</v>
          </cell>
          <cell r="B5966" t="str">
            <v>XZ-ZQFT730</v>
          </cell>
        </row>
        <row r="5967">
          <cell r="A5967" t="str">
            <v>XZ-ZQFT730-C0-4647</v>
          </cell>
          <cell r="B5967" t="str">
            <v>XZ-ZQFT730</v>
          </cell>
        </row>
        <row r="5968">
          <cell r="A5968" t="str">
            <v>XZ-ZQFT730-E0-4243</v>
          </cell>
          <cell r="B5968" t="str">
            <v>XZ-ZQFT730</v>
          </cell>
        </row>
        <row r="5969">
          <cell r="A5969" t="str">
            <v>XZ-ZQFT730-E0-4445</v>
          </cell>
          <cell r="B5969" t="str">
            <v>XZ-ZQFT730</v>
          </cell>
        </row>
        <row r="5970">
          <cell r="A5970" t="str">
            <v>XZ-ZQFT730-E0-4647</v>
          </cell>
          <cell r="B5970" t="str">
            <v>XZ-ZQFT730</v>
          </cell>
        </row>
        <row r="5971">
          <cell r="A5971" t="str">
            <v>XZ-ZQFT730-K0-3637</v>
          </cell>
          <cell r="B5971" t="str">
            <v>XZ-ZQFT730</v>
          </cell>
        </row>
        <row r="5972">
          <cell r="A5972" t="str">
            <v>XZ-ZQFT730-K0-3839</v>
          </cell>
          <cell r="B5972" t="str">
            <v>XZ-ZQFT730</v>
          </cell>
        </row>
        <row r="5973">
          <cell r="A5973" t="str">
            <v>XZ-ZQFT730-K0-4041</v>
          </cell>
          <cell r="B5973" t="str">
            <v>XZ-ZQFT730</v>
          </cell>
        </row>
        <row r="5974">
          <cell r="A5974" t="str">
            <v>XZ-ZQFT730-K0-4243</v>
          </cell>
          <cell r="B5974" t="str">
            <v>XZ-ZQFT730</v>
          </cell>
        </row>
        <row r="5975">
          <cell r="A5975" t="str">
            <v>XZ-ZQFT730-K0-4445</v>
          </cell>
          <cell r="B5975" t="str">
            <v>XZ-ZQFT730</v>
          </cell>
        </row>
        <row r="5976">
          <cell r="A5976" t="str">
            <v>XZ-ZQFT730-K0-4647</v>
          </cell>
          <cell r="B5976" t="str">
            <v>XZ-ZQFT730</v>
          </cell>
        </row>
        <row r="5977">
          <cell r="A5977" t="str">
            <v>XZ-ZQFT730-P0-3637</v>
          </cell>
          <cell r="B5977" t="str">
            <v>XZ-ZQFT730</v>
          </cell>
        </row>
        <row r="5978">
          <cell r="A5978" t="str">
            <v>XZ-ZQFT730-P0-3839</v>
          </cell>
          <cell r="B5978" t="str">
            <v>XZ-ZQFT730</v>
          </cell>
        </row>
        <row r="5979">
          <cell r="A5979" t="str">
            <v>XZ-ZQFT730-P0-4041</v>
          </cell>
          <cell r="B5979" t="str">
            <v>XZ-ZQFT730</v>
          </cell>
        </row>
        <row r="5980">
          <cell r="A5980" t="str">
            <v>XZ-ZQFT730-PI-3637</v>
          </cell>
          <cell r="B5980" t="str">
            <v>XZ-ZQFT730</v>
          </cell>
        </row>
        <row r="5981">
          <cell r="A5981" t="str">
            <v>XZ-ZQFT730-PI-3839</v>
          </cell>
          <cell r="B5981" t="str">
            <v>XZ-ZQFT730</v>
          </cell>
        </row>
        <row r="5982">
          <cell r="A5982" t="str">
            <v>XZ-ZQFT730-PI-4041</v>
          </cell>
          <cell r="B5982" t="str">
            <v>XZ-ZQFT730</v>
          </cell>
        </row>
        <row r="5983">
          <cell r="A5983" t="str">
            <v>XZ-ZQFT730-R1-3637</v>
          </cell>
          <cell r="B5983" t="str">
            <v>XZ-ZQFT730</v>
          </cell>
        </row>
        <row r="5984">
          <cell r="A5984" t="str">
            <v>XZ-ZQFT730-R1-3839</v>
          </cell>
          <cell r="B5984" t="str">
            <v>XZ-ZQFT730</v>
          </cell>
        </row>
        <row r="5985">
          <cell r="A5985" t="str">
            <v>XZ-ZQFT730-R1-4041</v>
          </cell>
          <cell r="B5985" t="str">
            <v>XZ-ZQFT730</v>
          </cell>
        </row>
        <row r="5986">
          <cell r="A5986" t="str">
            <v>XZ-ZQFT730-R2-3637</v>
          </cell>
          <cell r="B5986" t="str">
            <v>XZ-ZQFT730</v>
          </cell>
        </row>
        <row r="5987">
          <cell r="A5987" t="str">
            <v>XZ-ZQFT730-R2-3839</v>
          </cell>
          <cell r="B5987" t="str">
            <v>XZ-ZQFT730</v>
          </cell>
        </row>
        <row r="5988">
          <cell r="A5988" t="str">
            <v>XZ-ZQFT730-R2-4041</v>
          </cell>
          <cell r="B5988" t="str">
            <v>XZ-ZQFT730</v>
          </cell>
        </row>
        <row r="5989">
          <cell r="A5989" t="str">
            <v>XZ-ZQFT730-ZL-4243</v>
          </cell>
          <cell r="B5989" t="str">
            <v>XZ-ZQFT730</v>
          </cell>
        </row>
        <row r="5990">
          <cell r="A5990" t="str">
            <v>XZ-ZQFT730-ZL-4445</v>
          </cell>
          <cell r="B5990" t="str">
            <v>XZ-ZQFT730</v>
          </cell>
        </row>
        <row r="5991">
          <cell r="A5991" t="str">
            <v>XZ-ZQFT730-ZL-4647</v>
          </cell>
          <cell r="B5991" t="str">
            <v>XZ-ZQFT730</v>
          </cell>
        </row>
        <row r="5992">
          <cell r="A5992" t="str">
            <v>XZ-ZQJZ100-C0-270</v>
          </cell>
          <cell r="B5992" t="str">
            <v>XZ-ZQJZ100</v>
          </cell>
        </row>
        <row r="5993">
          <cell r="A5993" t="str">
            <v>XZ-ZQJZ100-C0-280</v>
          </cell>
          <cell r="B5993" t="str">
            <v>XZ-ZQJZ100</v>
          </cell>
        </row>
        <row r="5994">
          <cell r="A5994" t="str">
            <v>XZ-ZQJZ100-C0-290</v>
          </cell>
          <cell r="B5994" t="str">
            <v>XZ-ZQJZ100</v>
          </cell>
        </row>
        <row r="5995">
          <cell r="A5995" t="str">
            <v>XZ-ZQJZ100-G0-250</v>
          </cell>
          <cell r="B5995" t="str">
            <v>XZ-ZQJZ100</v>
          </cell>
        </row>
        <row r="5996">
          <cell r="A5996" t="str">
            <v>XZ-ZQJZ100-G0-260</v>
          </cell>
          <cell r="B5996" t="str">
            <v>XZ-ZQJZ100</v>
          </cell>
        </row>
        <row r="5997">
          <cell r="A5997" t="str">
            <v>XZ-ZQJZ100-G0-270</v>
          </cell>
          <cell r="B5997" t="str">
            <v>XZ-ZQJZ100</v>
          </cell>
        </row>
        <row r="5998">
          <cell r="A5998" t="str">
            <v>XZ-ZQJZ100-P0-270</v>
          </cell>
          <cell r="B5998" t="str">
            <v>XZ-ZQJZ100</v>
          </cell>
        </row>
        <row r="5999">
          <cell r="A5999" t="str">
            <v>XZ-ZQJZ100-P0-280</v>
          </cell>
          <cell r="B5999" t="str">
            <v>XZ-ZQJZ100</v>
          </cell>
        </row>
        <row r="6000">
          <cell r="A6000" t="str">
            <v>XZ-ZQJZ100-P0-290</v>
          </cell>
          <cell r="B6000" t="str">
            <v>XZ-ZQJZ100</v>
          </cell>
        </row>
        <row r="6001">
          <cell r="A6001" t="str">
            <v>XZ-ZQJZ100-PI-250</v>
          </cell>
          <cell r="B6001" t="str">
            <v>XZ-ZQJZ100</v>
          </cell>
        </row>
        <row r="6002">
          <cell r="A6002" t="str">
            <v>XZ-ZQJZ100-PI-260</v>
          </cell>
          <cell r="B6002" t="str">
            <v>XZ-ZQJZ100</v>
          </cell>
        </row>
        <row r="6003">
          <cell r="A6003" t="str">
            <v>XZ-ZQJZ100-PI-270</v>
          </cell>
          <cell r="B6003" t="str">
            <v>XZ-ZQJZ100</v>
          </cell>
        </row>
        <row r="6004">
          <cell r="A6004" t="str">
            <v>XZ-ZQJZ100-R0-250</v>
          </cell>
          <cell r="B6004" t="str">
            <v>XZ-ZQJZ100</v>
          </cell>
        </row>
        <row r="6005">
          <cell r="A6005" t="str">
            <v>XZ-ZQJZ100-R0-260</v>
          </cell>
          <cell r="B6005" t="str">
            <v>XZ-ZQJZ100</v>
          </cell>
        </row>
        <row r="6006">
          <cell r="A6006" t="str">
            <v>XZ-ZQJZ100-R0-270</v>
          </cell>
          <cell r="B6006" t="str">
            <v>XZ-ZQJZ100</v>
          </cell>
        </row>
        <row r="6007">
          <cell r="A6007" t="str">
            <v>XZ-ZQJZ120-K0-250</v>
          </cell>
          <cell r="B6007" t="str">
            <v>XZ-ZQJZ120</v>
          </cell>
        </row>
        <row r="6008">
          <cell r="A6008" t="str">
            <v>XZ-ZQJZ120-K0-260</v>
          </cell>
          <cell r="B6008" t="str">
            <v>XZ-ZQJZ120</v>
          </cell>
        </row>
        <row r="6009">
          <cell r="A6009" t="str">
            <v>XZ-ZQJZ120-K0-270</v>
          </cell>
          <cell r="B6009" t="str">
            <v>XZ-ZQJZ120</v>
          </cell>
        </row>
        <row r="6010">
          <cell r="A6010" t="str">
            <v>XZ-ZQJZ120-KQ-250</v>
          </cell>
          <cell r="B6010" t="str">
            <v>XZ-ZQJZ120</v>
          </cell>
        </row>
        <row r="6011">
          <cell r="A6011" t="str">
            <v>XZ-ZQJZ120-KQ-260</v>
          </cell>
          <cell r="B6011" t="str">
            <v>XZ-ZQJZ120</v>
          </cell>
        </row>
        <row r="6012">
          <cell r="A6012" t="str">
            <v>XZ-ZQJZ120-KQ-270</v>
          </cell>
          <cell r="B6012" t="str">
            <v>XZ-ZQJZ120</v>
          </cell>
        </row>
        <row r="6013">
          <cell r="A6013" t="str">
            <v>XZ-ZQJZ120-PE-250</v>
          </cell>
          <cell r="B6013" t="str">
            <v>XZ-ZQJZ120</v>
          </cell>
        </row>
        <row r="6014">
          <cell r="A6014" t="str">
            <v>XZ-ZQJZ120-PE-260</v>
          </cell>
          <cell r="B6014" t="str">
            <v>XZ-ZQJZ120</v>
          </cell>
        </row>
        <row r="6015">
          <cell r="A6015" t="str">
            <v>XZ-ZQJZ120-PE-270</v>
          </cell>
          <cell r="B6015" t="str">
            <v>XZ-ZQJZ120</v>
          </cell>
        </row>
        <row r="6016">
          <cell r="A6016" t="str">
            <v>XZ-ZQJZ120-PR-250</v>
          </cell>
          <cell r="B6016" t="str">
            <v>XZ-ZQJZ120</v>
          </cell>
        </row>
        <row r="6017">
          <cell r="A6017" t="str">
            <v>XZ-ZQJZ120-PR-260</v>
          </cell>
          <cell r="B6017" t="str">
            <v>XZ-ZQJZ120</v>
          </cell>
        </row>
        <row r="6018">
          <cell r="A6018" t="str">
            <v>XZ-ZQJZ120-PR-270</v>
          </cell>
          <cell r="B6018" t="str">
            <v>XZ-ZQJZ120</v>
          </cell>
        </row>
        <row r="6019">
          <cell r="A6019" t="str">
            <v>XZ-ZQJZ609-BD-250</v>
          </cell>
          <cell r="B6019" t="str">
            <v>XZ-ZQJZ609</v>
          </cell>
        </row>
        <row r="6020">
          <cell r="A6020" t="str">
            <v>XZ-ZQJZ609-BD-260</v>
          </cell>
          <cell r="B6020" t="str">
            <v>XZ-ZQJZ609</v>
          </cell>
        </row>
        <row r="6021">
          <cell r="A6021" t="str">
            <v>XZ-ZQJZ609-BD-270</v>
          </cell>
          <cell r="B6021" t="str">
            <v>XZ-ZQJZ609</v>
          </cell>
        </row>
        <row r="6022">
          <cell r="A6022" t="str">
            <v>XZ-ZQJZ609-C0-270</v>
          </cell>
          <cell r="B6022" t="str">
            <v>XZ-ZQJZ609</v>
          </cell>
        </row>
        <row r="6023">
          <cell r="A6023" t="str">
            <v>XZ-ZQJZ609-C0-280</v>
          </cell>
          <cell r="B6023" t="str">
            <v>XZ-ZQJZ609</v>
          </cell>
        </row>
        <row r="6024">
          <cell r="A6024" t="str">
            <v>XZ-ZQJZ609-C0-290</v>
          </cell>
          <cell r="B6024" t="str">
            <v>XZ-ZQJZ609</v>
          </cell>
        </row>
        <row r="6025">
          <cell r="A6025" t="str">
            <v>XZ-ZQJZ609-E0-270</v>
          </cell>
          <cell r="B6025" t="str">
            <v>XZ-ZQJZ609</v>
          </cell>
        </row>
        <row r="6026">
          <cell r="A6026" t="str">
            <v>XZ-ZQJZ609-E0-280</v>
          </cell>
          <cell r="B6026" t="str">
            <v>XZ-ZQJZ609</v>
          </cell>
        </row>
        <row r="6027">
          <cell r="A6027" t="str">
            <v>XZ-ZQJZ609-E0-290</v>
          </cell>
          <cell r="B6027" t="str">
            <v>XZ-ZQJZ609</v>
          </cell>
        </row>
        <row r="6028">
          <cell r="A6028" t="str">
            <v>XZ-ZQJZ609-P0-250</v>
          </cell>
          <cell r="B6028" t="str">
            <v>XZ-ZQJZ609</v>
          </cell>
        </row>
        <row r="6029">
          <cell r="A6029" t="str">
            <v>XZ-ZQJZ609-P0-260</v>
          </cell>
          <cell r="B6029" t="str">
            <v>XZ-ZQJZ609</v>
          </cell>
        </row>
        <row r="6030">
          <cell r="A6030" t="str">
            <v>XZ-ZQJZ609-P0-270</v>
          </cell>
          <cell r="B6030" t="str">
            <v>XZ-ZQJZ609</v>
          </cell>
        </row>
        <row r="6031">
          <cell r="A6031" t="str">
            <v>XZ-ZQJZ609-PI-250</v>
          </cell>
          <cell r="B6031" t="str">
            <v>XZ-ZQJZ609</v>
          </cell>
        </row>
        <row r="6032">
          <cell r="A6032" t="str">
            <v>XZ-ZQJZ609-PI-260</v>
          </cell>
          <cell r="B6032" t="str">
            <v>XZ-ZQJZ609</v>
          </cell>
        </row>
        <row r="6033">
          <cell r="A6033" t="str">
            <v>XZ-ZQJZ609-PI-270</v>
          </cell>
          <cell r="B6033" t="str">
            <v>XZ-ZQJZ609</v>
          </cell>
        </row>
        <row r="6034">
          <cell r="A6034" t="str">
            <v>YZ1458</v>
          </cell>
          <cell r="B6034" t="str">
            <v>YZ1458</v>
          </cell>
        </row>
        <row r="6035">
          <cell r="A6035" t="str">
            <v>YZ1458FB3XL</v>
          </cell>
          <cell r="B6035" t="str">
            <v>YZ1458</v>
          </cell>
        </row>
        <row r="6036">
          <cell r="A6036" t="str">
            <v>YZ1458FB4XL</v>
          </cell>
          <cell r="B6036" t="str">
            <v>YZ1458</v>
          </cell>
        </row>
        <row r="6037">
          <cell r="A6037" t="str">
            <v>YZ1458FB5XL</v>
          </cell>
          <cell r="B6037" t="str">
            <v>YZ1458</v>
          </cell>
        </row>
        <row r="6038">
          <cell r="A6038" t="str">
            <v>YZ1458K03XL</v>
          </cell>
          <cell r="B6038" t="str">
            <v>YZ1458</v>
          </cell>
        </row>
        <row r="6039">
          <cell r="A6039" t="str">
            <v>YZ1458K04XL</v>
          </cell>
          <cell r="B6039" t="str">
            <v>YZ1458</v>
          </cell>
        </row>
        <row r="6040">
          <cell r="A6040" t="str">
            <v>YZ1458K05XL</v>
          </cell>
          <cell r="B6040" t="str">
            <v>YZ1458</v>
          </cell>
        </row>
        <row r="6041">
          <cell r="A6041" t="str">
            <v>YZ1458R23XL</v>
          </cell>
          <cell r="B6041" t="str">
            <v>YZ1458</v>
          </cell>
        </row>
        <row r="6042">
          <cell r="A6042" t="str">
            <v>YZ1458R24XL</v>
          </cell>
          <cell r="B6042" t="str">
            <v>YZ1458</v>
          </cell>
        </row>
        <row r="6043">
          <cell r="A6043" t="str">
            <v>YZ1458R25XL</v>
          </cell>
          <cell r="B6043" t="str">
            <v>YZ1458</v>
          </cell>
        </row>
        <row r="6044">
          <cell r="A6044" t="str">
            <v>YZ-160301</v>
          </cell>
          <cell r="B6044" t="str">
            <v>YZ-160301</v>
          </cell>
        </row>
        <row r="6045">
          <cell r="A6045" t="str">
            <v>YZ2216</v>
          </cell>
          <cell r="B6045" t="str">
            <v>YZ2216</v>
          </cell>
        </row>
        <row r="6046">
          <cell r="A6046" t="str">
            <v>YZ2216K0</v>
          </cell>
          <cell r="B6046" t="str">
            <v>YZ2216</v>
          </cell>
        </row>
        <row r="6047">
          <cell r="A6047" t="str">
            <v>YZ2216K01L</v>
          </cell>
          <cell r="B6047" t="str">
            <v>YZ2216</v>
          </cell>
        </row>
        <row r="6048">
          <cell r="A6048" t="str">
            <v>YZ2216K0L</v>
          </cell>
          <cell r="B6048" t="str">
            <v>YZ2216</v>
          </cell>
        </row>
        <row r="6049">
          <cell r="A6049" t="str">
            <v>YZ2216K0M</v>
          </cell>
          <cell r="B6049" t="str">
            <v>YZ2216</v>
          </cell>
        </row>
        <row r="6050">
          <cell r="A6050" t="str">
            <v>YZ2216K0S</v>
          </cell>
          <cell r="B6050" t="str">
            <v>YZ2216</v>
          </cell>
        </row>
        <row r="6051">
          <cell r="A6051" t="str">
            <v>YZ2216R6</v>
          </cell>
          <cell r="B6051" t="str">
            <v>YZ2216</v>
          </cell>
        </row>
        <row r="6052">
          <cell r="A6052" t="str">
            <v>YZ5060B2</v>
          </cell>
          <cell r="B6052" t="str">
            <v>YZ5060</v>
          </cell>
        </row>
        <row r="6053">
          <cell r="A6053" t="str">
            <v>YZ5060B21L</v>
          </cell>
          <cell r="B6053" t="str">
            <v>YZ5060</v>
          </cell>
        </row>
        <row r="6054">
          <cell r="A6054" t="str">
            <v>YZ5060B21L-GM</v>
          </cell>
          <cell r="B6054" t="str">
            <v>YZ5060</v>
          </cell>
        </row>
        <row r="6055">
          <cell r="A6055" t="str">
            <v>YZ5060B21L-MX</v>
          </cell>
          <cell r="B6055" t="str">
            <v>YZ5060</v>
          </cell>
        </row>
        <row r="6056">
          <cell r="A6056" t="str">
            <v>YZ5060B2L</v>
          </cell>
          <cell r="B6056" t="str">
            <v>YZ5060</v>
          </cell>
        </row>
        <row r="6057">
          <cell r="A6057" t="str">
            <v>YZ5060B2M</v>
          </cell>
          <cell r="B6057" t="str">
            <v>YZ5060</v>
          </cell>
        </row>
        <row r="6058">
          <cell r="A6058" t="str">
            <v>YZ5060B2-MX</v>
          </cell>
          <cell r="B6058" t="str">
            <v>YZ5060</v>
          </cell>
        </row>
        <row r="6059">
          <cell r="A6059" t="str">
            <v>YZ5060B2S</v>
          </cell>
          <cell r="B6059" t="str">
            <v>YZ5060</v>
          </cell>
        </row>
        <row r="6060">
          <cell r="A6060" t="str">
            <v>YZ5060B2S-MX</v>
          </cell>
          <cell r="B6060" t="str">
            <v>YZ5060</v>
          </cell>
        </row>
        <row r="6061">
          <cell r="A6061" t="str">
            <v>YZ5060B3</v>
          </cell>
          <cell r="B6061" t="str">
            <v>YZ5060</v>
          </cell>
        </row>
        <row r="6062">
          <cell r="A6062" t="str">
            <v>YZ5060R2</v>
          </cell>
          <cell r="B6062" t="str">
            <v>YZ5060</v>
          </cell>
        </row>
        <row r="6063">
          <cell r="A6063" t="str">
            <v>YZ5060R21L</v>
          </cell>
          <cell r="B6063" t="str">
            <v>YZ5060</v>
          </cell>
        </row>
        <row r="6064">
          <cell r="A6064" t="str">
            <v>YZ5060R21L-MX</v>
          </cell>
          <cell r="B6064" t="str">
            <v>YZ5060</v>
          </cell>
        </row>
        <row r="6065">
          <cell r="A6065" t="str">
            <v>YZ5060R2L</v>
          </cell>
          <cell r="B6065" t="str">
            <v>YZ5060</v>
          </cell>
        </row>
        <row r="6066">
          <cell r="A6066" t="str">
            <v>YZ5060R2M</v>
          </cell>
          <cell r="B6066" t="str">
            <v>YZ5060</v>
          </cell>
        </row>
        <row r="6067">
          <cell r="A6067" t="str">
            <v>YZ5060R2M-MX</v>
          </cell>
          <cell r="B6067" t="str">
            <v>YZ5060</v>
          </cell>
        </row>
        <row r="6068">
          <cell r="A6068" t="str">
            <v>YZ5060R2-MX</v>
          </cell>
          <cell r="B6068" t="str">
            <v>YZ5060</v>
          </cell>
        </row>
        <row r="6069">
          <cell r="A6069" t="str">
            <v>YZ5060R2S</v>
          </cell>
          <cell r="B6069" t="str">
            <v>YZ5060</v>
          </cell>
        </row>
        <row r="6070">
          <cell r="A6070" t="str">
            <v>YZ5060R2S-MX</v>
          </cell>
          <cell r="B6070" t="str">
            <v>YZ5060</v>
          </cell>
        </row>
        <row r="6071">
          <cell r="A6071" t="str">
            <v>YZ5060Y0</v>
          </cell>
          <cell r="B6071" t="str">
            <v>YZ5060</v>
          </cell>
        </row>
        <row r="6072">
          <cell r="A6072" t="str">
            <v>YZ5060Y01L</v>
          </cell>
          <cell r="B6072" t="str">
            <v>YZ5060</v>
          </cell>
        </row>
        <row r="6073">
          <cell r="A6073" t="str">
            <v>YZ5060Y01L-GM</v>
          </cell>
          <cell r="B6073" t="str">
            <v>YZ5060</v>
          </cell>
        </row>
        <row r="6074">
          <cell r="A6074" t="str">
            <v>YZ5060Y01L-MX</v>
          </cell>
          <cell r="B6074" t="str">
            <v>YZ5060</v>
          </cell>
        </row>
        <row r="6075">
          <cell r="A6075" t="str">
            <v>YZ5060Y0L</v>
          </cell>
          <cell r="B6075" t="str">
            <v>YZ5060</v>
          </cell>
        </row>
        <row r="6076">
          <cell r="A6076" t="str">
            <v>YZ5060Y0L-MX</v>
          </cell>
          <cell r="B6076" t="str">
            <v>YZ5060</v>
          </cell>
        </row>
        <row r="6077">
          <cell r="A6077" t="str">
            <v>YZ5060Y0M</v>
          </cell>
          <cell r="B6077" t="str">
            <v>YZ5060</v>
          </cell>
        </row>
        <row r="6078">
          <cell r="A6078" t="str">
            <v>YZ5060Y0-MX</v>
          </cell>
          <cell r="B6078" t="str">
            <v>YZ5060</v>
          </cell>
        </row>
        <row r="6079">
          <cell r="A6079" t="str">
            <v>YZ5060Y0S</v>
          </cell>
          <cell r="B6079" t="str">
            <v>YZ5060</v>
          </cell>
        </row>
        <row r="6080">
          <cell r="A6080" t="str">
            <v>YZ5060Y0S-MX</v>
          </cell>
          <cell r="B6080" t="str">
            <v>YZ5060</v>
          </cell>
        </row>
        <row r="6081">
          <cell r="A6081" t="str">
            <v>YZ5110B0</v>
          </cell>
          <cell r="B6081" t="str">
            <v>YZ5060</v>
          </cell>
        </row>
        <row r="6082">
          <cell r="A6082" t="str">
            <v>YZ5110R0</v>
          </cell>
          <cell r="B6082" t="str">
            <v>YZ5060</v>
          </cell>
        </row>
        <row r="6083">
          <cell r="A6083" t="str">
            <v>YZ5110Y0</v>
          </cell>
          <cell r="B6083" t="str">
            <v>YZ5060</v>
          </cell>
        </row>
        <row r="6084">
          <cell r="A6084" t="str">
            <v>YZ5118</v>
          </cell>
          <cell r="B6084" t="str">
            <v>YZ5118</v>
          </cell>
        </row>
        <row r="6085">
          <cell r="A6085" t="str">
            <v>YZ5118Da0L</v>
          </cell>
          <cell r="B6085" t="str">
            <v>YZ5118</v>
          </cell>
        </row>
        <row r="6086">
          <cell r="A6086" t="str">
            <v>YZ5118Da1L</v>
          </cell>
          <cell r="B6086" t="str">
            <v>YZ5118</v>
          </cell>
        </row>
        <row r="6087">
          <cell r="A6087" t="str">
            <v>YZ5118DaM</v>
          </cell>
          <cell r="B6087" t="str">
            <v>YZ5118</v>
          </cell>
        </row>
        <row r="6088">
          <cell r="A6088" t="str">
            <v>YZ5118DaS</v>
          </cell>
          <cell r="B6088" t="str">
            <v>YZ5118</v>
          </cell>
        </row>
        <row r="6089">
          <cell r="A6089" t="str">
            <v>YZ5118DaXS</v>
          </cell>
          <cell r="B6089" t="str">
            <v>YZ5118</v>
          </cell>
        </row>
        <row r="6090">
          <cell r="A6090" t="str">
            <v>YZ5505</v>
          </cell>
          <cell r="B6090" t="str">
            <v>YZ5505</v>
          </cell>
        </row>
        <row r="6091">
          <cell r="A6091" t="str">
            <v>YZ5505Da</v>
          </cell>
          <cell r="B6091" t="str">
            <v>YZ5505</v>
          </cell>
        </row>
        <row r="6092">
          <cell r="A6092" t="str">
            <v>YZ5505Da2L</v>
          </cell>
          <cell r="B6092" t="str">
            <v>YZ5505</v>
          </cell>
        </row>
        <row r="6093">
          <cell r="A6093" t="str">
            <v>YZ5505Da2L-Non Prime</v>
          </cell>
          <cell r="B6093" t="str">
            <v>YZ5505</v>
          </cell>
        </row>
        <row r="6094">
          <cell r="A6094" t="str">
            <v>YZ5505DaL</v>
          </cell>
          <cell r="B6094" t="str">
            <v>YZ5505</v>
          </cell>
        </row>
        <row r="6095">
          <cell r="A6095" t="str">
            <v>YZ5505DaL-GM</v>
          </cell>
          <cell r="B6095" t="str">
            <v>YZ5505</v>
          </cell>
        </row>
        <row r="6096">
          <cell r="A6096" t="str">
            <v>YZ5505DaL-Non Prime</v>
          </cell>
          <cell r="B6096" t="str">
            <v>YZ5505</v>
          </cell>
        </row>
        <row r="6097">
          <cell r="A6097" t="str">
            <v>YZ5505DaM</v>
          </cell>
          <cell r="B6097" t="str">
            <v>YZ5505</v>
          </cell>
        </row>
        <row r="6098">
          <cell r="A6098" t="str">
            <v>YZ5505DaM-Non Prime</v>
          </cell>
          <cell r="B6098" t="str">
            <v>YZ5505</v>
          </cell>
        </row>
        <row r="6099">
          <cell r="A6099" t="str">
            <v>YZ5505Da-Non Prime</v>
          </cell>
          <cell r="B6099" t="str">
            <v>YZ5505</v>
          </cell>
        </row>
        <row r="6100">
          <cell r="A6100" t="str">
            <v>YZ5505DaS</v>
          </cell>
          <cell r="B6100" t="str">
            <v>YZ5505</v>
          </cell>
        </row>
        <row r="6101">
          <cell r="A6101" t="str">
            <v>YZ5505DaS-Non Prime</v>
          </cell>
          <cell r="B6101" t="str">
            <v>YZ5505</v>
          </cell>
        </row>
        <row r="6102">
          <cell r="A6102" t="str">
            <v>YZ5505DaXL</v>
          </cell>
          <cell r="B6102" t="str">
            <v>YZ5505</v>
          </cell>
        </row>
        <row r="6103">
          <cell r="A6103" t="str">
            <v>YZ5505DaXL-Non Prime</v>
          </cell>
          <cell r="B6103" t="str">
            <v>YZ5505</v>
          </cell>
        </row>
        <row r="6104">
          <cell r="A6104" t="str">
            <v>YZ5505DaXS-FBM</v>
          </cell>
          <cell r="B6104" t="str">
            <v>YZ5505</v>
          </cell>
        </row>
        <row r="6105">
          <cell r="A6105" t="str">
            <v>YZ5505JR</v>
          </cell>
          <cell r="B6105" t="str">
            <v>YZ5505</v>
          </cell>
        </row>
        <row r="6106">
          <cell r="A6106" t="str">
            <v>YZ5505JR0L</v>
          </cell>
          <cell r="B6106" t="str">
            <v>YZ5505</v>
          </cell>
        </row>
        <row r="6107">
          <cell r="A6107" t="str">
            <v>YZ5505JR0S</v>
          </cell>
          <cell r="B6107" t="str">
            <v>YZ5505</v>
          </cell>
        </row>
        <row r="6108">
          <cell r="A6108" t="str">
            <v>YZ5505JR2L</v>
          </cell>
          <cell r="B6108" t="str">
            <v>YZ5505</v>
          </cell>
        </row>
        <row r="6109">
          <cell r="A6109" t="str">
            <v>YZ5505JR2L-GM</v>
          </cell>
          <cell r="B6109" t="str">
            <v>YZ5505</v>
          </cell>
        </row>
        <row r="6110">
          <cell r="A6110" t="str">
            <v>YZ5505JR2L-Non Prime</v>
          </cell>
          <cell r="B6110" t="str">
            <v>YZ5505</v>
          </cell>
        </row>
        <row r="6111">
          <cell r="A6111" t="str">
            <v>YZ5505JRL</v>
          </cell>
          <cell r="B6111" t="str">
            <v>YZ5505</v>
          </cell>
        </row>
        <row r="6112">
          <cell r="A6112" t="str">
            <v>YZ5505JRL-GM</v>
          </cell>
          <cell r="B6112" t="str">
            <v>YZ5505</v>
          </cell>
        </row>
        <row r="6113">
          <cell r="A6113" t="str">
            <v>YZ5505JRL-Non Prime</v>
          </cell>
          <cell r="B6113" t="str">
            <v>YZ5505</v>
          </cell>
        </row>
        <row r="6114">
          <cell r="A6114" t="str">
            <v>YZ5505JRM</v>
          </cell>
          <cell r="B6114" t="str">
            <v>YZ5505</v>
          </cell>
        </row>
        <row r="6115">
          <cell r="A6115" t="str">
            <v>YZ5505JRM-Non Prime</v>
          </cell>
          <cell r="B6115" t="str">
            <v>YZ5505</v>
          </cell>
        </row>
        <row r="6116">
          <cell r="A6116" t="str">
            <v>YZ5505JR-Non Prime</v>
          </cell>
          <cell r="B6116" t="str">
            <v>YZ5505</v>
          </cell>
        </row>
        <row r="6117">
          <cell r="A6117" t="str">
            <v>YZ5505JRS</v>
          </cell>
          <cell r="B6117" t="str">
            <v>YZ5505</v>
          </cell>
        </row>
        <row r="6118">
          <cell r="A6118" t="str">
            <v>YZ5505JRS-Non Prime</v>
          </cell>
          <cell r="B6118" t="str">
            <v>YZ5505</v>
          </cell>
        </row>
        <row r="6119">
          <cell r="A6119" t="str">
            <v>YZ5505JRXL</v>
          </cell>
          <cell r="B6119" t="str">
            <v>YZ5505</v>
          </cell>
        </row>
        <row r="6120">
          <cell r="A6120" t="str">
            <v>YZ5505JRXL-Non Prime</v>
          </cell>
          <cell r="B6120" t="str">
            <v>YZ5505</v>
          </cell>
        </row>
        <row r="6121">
          <cell r="A6121" t="str">
            <v>YZ5505JRXS</v>
          </cell>
          <cell r="B6121" t="str">
            <v>YZ5505</v>
          </cell>
        </row>
        <row r="6122">
          <cell r="A6122" t="str">
            <v>YZ5505K0-2XL</v>
          </cell>
          <cell r="B6122" t="str">
            <v>YZ5505</v>
          </cell>
        </row>
        <row r="6123">
          <cell r="A6123" t="str">
            <v>YZ5505K0-2XL-Non Prime</v>
          </cell>
          <cell r="B6123" t="str">
            <v>YZ5505</v>
          </cell>
        </row>
        <row r="6124">
          <cell r="A6124" t="str">
            <v>YZ5505K0-L</v>
          </cell>
          <cell r="B6124" t="str">
            <v>YZ5505</v>
          </cell>
        </row>
        <row r="6125">
          <cell r="A6125" t="str">
            <v>YZ5505K0-L-Non Prime</v>
          </cell>
          <cell r="B6125" t="str">
            <v>YZ5505</v>
          </cell>
        </row>
        <row r="6126">
          <cell r="A6126" t="str">
            <v>YZ5505K0-M</v>
          </cell>
          <cell r="B6126" t="str">
            <v>YZ5505</v>
          </cell>
        </row>
        <row r="6127">
          <cell r="A6127" t="str">
            <v>YZ5505K0-M-Non Prime</v>
          </cell>
          <cell r="B6127" t="str">
            <v>YZ5505</v>
          </cell>
        </row>
        <row r="6128">
          <cell r="A6128" t="str">
            <v>YZ5505K0-S</v>
          </cell>
          <cell r="B6128" t="str">
            <v>YZ5505</v>
          </cell>
        </row>
        <row r="6129">
          <cell r="A6129" t="str">
            <v>YZ5505K0-S-Non Prime</v>
          </cell>
          <cell r="B6129" t="str">
            <v>YZ5505</v>
          </cell>
        </row>
        <row r="6130">
          <cell r="A6130" t="str">
            <v>YZ5505K0-XL</v>
          </cell>
          <cell r="B6130" t="str">
            <v>YZ5505</v>
          </cell>
        </row>
        <row r="6131">
          <cell r="A6131" t="str">
            <v>YZ5505K0-XL-Non Prime</v>
          </cell>
          <cell r="B6131" t="str">
            <v>YZ5505</v>
          </cell>
        </row>
        <row r="6132">
          <cell r="A6132" t="str">
            <v>YZ5505K0-XS</v>
          </cell>
          <cell r="B6132" t="str">
            <v>YZ5505</v>
          </cell>
        </row>
        <row r="6133">
          <cell r="A6133" t="str">
            <v>YZ5505K0-XS-Non Prime</v>
          </cell>
          <cell r="B6133" t="str">
            <v>YZ5505</v>
          </cell>
        </row>
        <row r="6134">
          <cell r="A6134" t="str">
            <v>YZ5505LB</v>
          </cell>
          <cell r="B6134" t="str">
            <v>YZ5505</v>
          </cell>
        </row>
        <row r="6135">
          <cell r="A6135" t="str">
            <v>YZ5505Lb0XS</v>
          </cell>
          <cell r="B6135" t="str">
            <v>YZ5505</v>
          </cell>
        </row>
        <row r="6136">
          <cell r="A6136" t="str">
            <v>YZ5505Lb0XS-MX</v>
          </cell>
          <cell r="B6136" t="str">
            <v>YZ5505</v>
          </cell>
        </row>
        <row r="6137">
          <cell r="A6137" t="str">
            <v>YZ5505Lb0XS-Non Prime</v>
          </cell>
          <cell r="B6137" t="str">
            <v>YZ5505</v>
          </cell>
        </row>
        <row r="6138">
          <cell r="A6138" t="str">
            <v>YZ5505LbL</v>
          </cell>
          <cell r="B6138" t="str">
            <v>YZ5505</v>
          </cell>
        </row>
        <row r="6139">
          <cell r="A6139" t="str">
            <v>YZ5505LbL-MX</v>
          </cell>
          <cell r="B6139" t="str">
            <v>YZ5505</v>
          </cell>
        </row>
        <row r="6140">
          <cell r="A6140" t="str">
            <v>YZ5505LbL-Non Prime</v>
          </cell>
          <cell r="B6140" t="str">
            <v>YZ5505</v>
          </cell>
        </row>
        <row r="6141">
          <cell r="A6141" t="str">
            <v>YZ5505LbM</v>
          </cell>
          <cell r="B6141" t="str">
            <v>YZ5505</v>
          </cell>
        </row>
        <row r="6142">
          <cell r="A6142" t="str">
            <v>YZ5505LbM-MX</v>
          </cell>
          <cell r="B6142" t="str">
            <v>YZ5505</v>
          </cell>
        </row>
        <row r="6143">
          <cell r="A6143" t="str">
            <v>YZ5505LbM-Non Prime</v>
          </cell>
          <cell r="B6143" t="str">
            <v>YZ5505</v>
          </cell>
        </row>
        <row r="6144">
          <cell r="A6144" t="str">
            <v>YZ5505LbS</v>
          </cell>
          <cell r="B6144" t="str">
            <v>YZ5505</v>
          </cell>
        </row>
        <row r="6145">
          <cell r="A6145" t="str">
            <v>YZ5505LbS-MX</v>
          </cell>
          <cell r="B6145" t="str">
            <v>YZ5505</v>
          </cell>
        </row>
        <row r="6146">
          <cell r="A6146" t="str">
            <v>YZ5505LbS-Non Prime</v>
          </cell>
          <cell r="B6146" t="str">
            <v>YZ5505</v>
          </cell>
        </row>
        <row r="6147">
          <cell r="A6147" t="str">
            <v>YZ5505LbXL</v>
          </cell>
          <cell r="B6147" t="str">
            <v>YZ5505</v>
          </cell>
        </row>
        <row r="6148">
          <cell r="A6148" t="str">
            <v>YZ5505LbXL-MX</v>
          </cell>
          <cell r="B6148" t="str">
            <v>YZ5505</v>
          </cell>
        </row>
        <row r="6149">
          <cell r="A6149" t="str">
            <v>YZ5505LbXL-Non Prime</v>
          </cell>
          <cell r="B6149" t="str">
            <v>YZ5505</v>
          </cell>
        </row>
        <row r="6150">
          <cell r="A6150" t="str">
            <v>YZ5505LbXXL</v>
          </cell>
          <cell r="B6150" t="str">
            <v>YZ5505</v>
          </cell>
        </row>
        <row r="6151">
          <cell r="A6151" t="str">
            <v>YZ5505LbXXL-MX</v>
          </cell>
          <cell r="B6151" t="str">
            <v>YZ5505</v>
          </cell>
        </row>
        <row r="6152">
          <cell r="A6152" t="str">
            <v>YZ5505LbXXL-Non Prime</v>
          </cell>
          <cell r="B6152" t="str">
            <v>YZ5505</v>
          </cell>
        </row>
        <row r="6153">
          <cell r="A6153" t="str">
            <v>YZ5505R0-2X</v>
          </cell>
          <cell r="B6153" t="str">
            <v>YZ5505</v>
          </cell>
        </row>
        <row r="6154">
          <cell r="A6154" t="str">
            <v>YZ5505R0-2X-MX</v>
          </cell>
          <cell r="B6154" t="str">
            <v>YZ5505</v>
          </cell>
        </row>
        <row r="6155">
          <cell r="A6155" t="str">
            <v>YZ5505R0-2X-Non Prime</v>
          </cell>
          <cell r="B6155" t="str">
            <v>YZ5505</v>
          </cell>
        </row>
        <row r="6156">
          <cell r="A6156" t="str">
            <v>YZ5505R0-L</v>
          </cell>
          <cell r="B6156" t="str">
            <v>YZ5505</v>
          </cell>
        </row>
        <row r="6157">
          <cell r="A6157" t="str">
            <v>YZ5505R0-L-GM</v>
          </cell>
          <cell r="B6157" t="str">
            <v>YZ5505</v>
          </cell>
        </row>
        <row r="6158">
          <cell r="A6158" t="str">
            <v>YZ5505R0-L-MX</v>
          </cell>
          <cell r="B6158" t="str">
            <v>YZ5505</v>
          </cell>
        </row>
        <row r="6159">
          <cell r="A6159" t="str">
            <v>YZ5505R0-L-Non Prime</v>
          </cell>
          <cell r="B6159" t="str">
            <v>YZ5505</v>
          </cell>
        </row>
        <row r="6160">
          <cell r="A6160" t="str">
            <v>YZ5505R0-M</v>
          </cell>
          <cell r="B6160" t="str">
            <v>YZ5505</v>
          </cell>
        </row>
        <row r="6161">
          <cell r="A6161" t="str">
            <v>YZ5505R0-M-GM</v>
          </cell>
          <cell r="B6161" t="str">
            <v>YZ5505</v>
          </cell>
        </row>
        <row r="6162">
          <cell r="A6162" t="str">
            <v>YZ5505R0-M-MX</v>
          </cell>
          <cell r="B6162" t="str">
            <v>YZ5505</v>
          </cell>
        </row>
        <row r="6163">
          <cell r="A6163" t="str">
            <v>YZ5505R0-M-Non Prime</v>
          </cell>
          <cell r="B6163" t="str">
            <v>YZ5505</v>
          </cell>
        </row>
        <row r="6164">
          <cell r="A6164" t="str">
            <v>YZ5505R0-S</v>
          </cell>
          <cell r="B6164" t="str">
            <v>YZ5505</v>
          </cell>
        </row>
        <row r="6165">
          <cell r="A6165" t="str">
            <v>YZ5505R0-S-Non Prime</v>
          </cell>
          <cell r="B6165" t="str">
            <v>YZ5505</v>
          </cell>
        </row>
        <row r="6166">
          <cell r="A6166" t="str">
            <v>YZ5505R0-XL</v>
          </cell>
          <cell r="B6166" t="str">
            <v>YZ5505</v>
          </cell>
        </row>
        <row r="6167">
          <cell r="A6167" t="str">
            <v>YZ5505R0-XL-MX</v>
          </cell>
          <cell r="B6167" t="str">
            <v>YZ5505</v>
          </cell>
        </row>
        <row r="6168">
          <cell r="A6168" t="str">
            <v>YZ5505R0-XL-Non Prime</v>
          </cell>
          <cell r="B6168" t="str">
            <v>YZ5505</v>
          </cell>
        </row>
        <row r="6169">
          <cell r="A6169" t="str">
            <v>YZ5505R0-XS</v>
          </cell>
          <cell r="B6169" t="str">
            <v>YZ5505</v>
          </cell>
        </row>
        <row r="6170">
          <cell r="A6170" t="str">
            <v>YZ5505R0-XS-GM</v>
          </cell>
          <cell r="B6170" t="str">
            <v>YZ5505</v>
          </cell>
        </row>
        <row r="6171">
          <cell r="A6171" t="str">
            <v>YZ5505R0-XS-Non Prime</v>
          </cell>
          <cell r="B6171" t="str">
            <v>YZ5505</v>
          </cell>
        </row>
        <row r="6172">
          <cell r="A6172" t="str">
            <v>YZ-6010B0-L</v>
          </cell>
          <cell r="B6172" t="str">
            <v>YZ-6010</v>
          </cell>
        </row>
        <row r="6173">
          <cell r="A6173" t="str">
            <v>YZ-6010B0-XL</v>
          </cell>
          <cell r="B6173" t="str">
            <v>YZ-6010</v>
          </cell>
        </row>
        <row r="6174">
          <cell r="A6174" t="str">
            <v>YZ-6010R6-2XL</v>
          </cell>
          <cell r="B6174" t="str">
            <v>YZ-6010</v>
          </cell>
        </row>
        <row r="6175">
          <cell r="A6175" t="str">
            <v>YZ-6010R6-L</v>
          </cell>
          <cell r="B6175" t="str">
            <v>YZ-6010</v>
          </cell>
        </row>
        <row r="6176">
          <cell r="A6176" t="str">
            <v>YZ7438B04XL</v>
          </cell>
          <cell r="B6176" t="str">
            <v>YZ7438</v>
          </cell>
        </row>
        <row r="6177">
          <cell r="A6177" t="str">
            <v>YZ7438B0L</v>
          </cell>
          <cell r="B6177" t="str">
            <v>YZ7438</v>
          </cell>
        </row>
        <row r="6178">
          <cell r="A6178" t="str">
            <v>YZ7438B0M</v>
          </cell>
          <cell r="B6178" t="str">
            <v>YZ7438</v>
          </cell>
        </row>
        <row r="6179">
          <cell r="A6179" t="str">
            <v>YZ7438B0XL</v>
          </cell>
          <cell r="B6179" t="str">
            <v>YZ7438</v>
          </cell>
        </row>
        <row r="6180">
          <cell r="A6180" t="str">
            <v>YZ7438B0XXL</v>
          </cell>
          <cell r="B6180" t="str">
            <v>YZ7438</v>
          </cell>
        </row>
        <row r="6181">
          <cell r="A6181" t="str">
            <v>YZ7438B0XXXL</v>
          </cell>
          <cell r="B6181" t="str">
            <v>YZ7438</v>
          </cell>
        </row>
        <row r="6182">
          <cell r="A6182" t="str">
            <v>YZ7438K04xL</v>
          </cell>
          <cell r="B6182" t="str">
            <v>YZ7438</v>
          </cell>
        </row>
        <row r="6183">
          <cell r="A6183" t="str">
            <v>YZ7438K0-L</v>
          </cell>
          <cell r="B6183" t="str">
            <v>YZ7438</v>
          </cell>
        </row>
        <row r="6184">
          <cell r="A6184" t="str">
            <v>YZ7438K0M</v>
          </cell>
          <cell r="B6184" t="str">
            <v>YZ7438</v>
          </cell>
        </row>
        <row r="6185">
          <cell r="A6185" t="str">
            <v>YZ7438K0XL</v>
          </cell>
          <cell r="B6185" t="str">
            <v>YZ7438</v>
          </cell>
        </row>
        <row r="6186">
          <cell r="A6186" t="str">
            <v>YZ7438K0XXL</v>
          </cell>
          <cell r="B6186" t="str">
            <v>YZ7438</v>
          </cell>
        </row>
        <row r="6187">
          <cell r="A6187" t="str">
            <v>YZ7438K0XXXL</v>
          </cell>
          <cell r="B6187" t="str">
            <v>YZ7438</v>
          </cell>
        </row>
        <row r="6188">
          <cell r="A6188" t="str">
            <v>YZ-BD16-3XL</v>
          </cell>
          <cell r="B6188" t="str">
            <v>YZ-BD16</v>
          </cell>
        </row>
        <row r="6189">
          <cell r="A6189" t="str">
            <v>YZ-BD16-4XL</v>
          </cell>
          <cell r="B6189" t="str">
            <v>YZ-BD16</v>
          </cell>
        </row>
        <row r="6190">
          <cell r="A6190" t="str">
            <v>YZ-BD16-S</v>
          </cell>
          <cell r="B6190" t="str">
            <v>YZ-BD16</v>
          </cell>
        </row>
        <row r="6191">
          <cell r="A6191" t="str">
            <v>YZ-BD16-XL</v>
          </cell>
          <cell r="B6191" t="str">
            <v>YZ-BD16</v>
          </cell>
        </row>
        <row r="6192">
          <cell r="A6192" t="str">
            <v>YZ-BD1704-K0-2XL</v>
          </cell>
          <cell r="B6192" t="str">
            <v>YZ-BD1704</v>
          </cell>
        </row>
        <row r="6193">
          <cell r="A6193" t="str">
            <v>YZ-BD1704-K0-L</v>
          </cell>
          <cell r="B6193" t="str">
            <v>YZ-BD1704</v>
          </cell>
        </row>
        <row r="6194">
          <cell r="A6194" t="str">
            <v>YZ-BD1704-K0-M</v>
          </cell>
          <cell r="B6194" t="str">
            <v>YZ-BD1704</v>
          </cell>
        </row>
        <row r="6195">
          <cell r="A6195" t="str">
            <v>YZ-BD1704-K0-S</v>
          </cell>
          <cell r="B6195" t="str">
            <v>YZ-BD1704</v>
          </cell>
        </row>
        <row r="6196">
          <cell r="A6196" t="str">
            <v>YZ-BD1704-K0-XL</v>
          </cell>
          <cell r="B6196" t="str">
            <v>YZ-BD1704</v>
          </cell>
        </row>
        <row r="6197">
          <cell r="A6197" t="str">
            <v>YZ-BD1704-K0-XS</v>
          </cell>
          <cell r="B6197" t="str">
            <v>YZ-BD1704</v>
          </cell>
        </row>
        <row r="6198">
          <cell r="A6198" t="str">
            <v>YZ-BS11112R0XL</v>
          </cell>
          <cell r="B6198" t="str">
            <v>YZ-BS11112</v>
          </cell>
        </row>
        <row r="6199">
          <cell r="A6199" t="str">
            <v>YZ-BS5119ZL2XL</v>
          </cell>
          <cell r="B6199" t="str">
            <v>YZ-BShyl5119</v>
          </cell>
        </row>
        <row r="6200">
          <cell r="A6200" t="str">
            <v>YZ-BS5119ZL2XL-GM</v>
          </cell>
          <cell r="B6200" t="str">
            <v>YZ-BShyl5119</v>
          </cell>
        </row>
        <row r="6201">
          <cell r="A6201" t="str">
            <v>YZ-BS5119ZL3XL</v>
          </cell>
          <cell r="B6201" t="str">
            <v>YZ-BShyl5119</v>
          </cell>
        </row>
        <row r="6202">
          <cell r="A6202" t="str">
            <v>YZ-BS5119ZL4XL</v>
          </cell>
          <cell r="B6202" t="str">
            <v>YZ-BShyl5119</v>
          </cell>
        </row>
        <row r="6203">
          <cell r="A6203" t="str">
            <v>YZ-BS5119ZL5XL</v>
          </cell>
          <cell r="B6203" t="str">
            <v>YZ-BShyl5119</v>
          </cell>
        </row>
        <row r="6204">
          <cell r="A6204" t="str">
            <v>YZ-BS5119ZLXL</v>
          </cell>
          <cell r="B6204" t="str">
            <v>YZ-BShyl5119</v>
          </cell>
        </row>
        <row r="6205">
          <cell r="A6205" t="str">
            <v>YZ-BSA160301B02XL</v>
          </cell>
          <cell r="B6205" t="str">
            <v>YZ-BSA160301</v>
          </cell>
        </row>
        <row r="6206">
          <cell r="A6206" t="str">
            <v>YZ-BSA160301B03XL</v>
          </cell>
          <cell r="B6206" t="str">
            <v>YZ-BSA160301</v>
          </cell>
        </row>
        <row r="6207">
          <cell r="A6207" t="str">
            <v>YZ-BSA160301B0L</v>
          </cell>
          <cell r="B6207" t="str">
            <v>YZ-BSA160301</v>
          </cell>
        </row>
        <row r="6208">
          <cell r="A6208" t="str">
            <v>YZ-BSA160301B0M</v>
          </cell>
          <cell r="B6208" t="str">
            <v>YZ-BSA160301</v>
          </cell>
        </row>
        <row r="6209">
          <cell r="A6209" t="str">
            <v>YZ-BSA160301B0XL</v>
          </cell>
          <cell r="B6209" t="str">
            <v>YZ-BSA160301</v>
          </cell>
        </row>
        <row r="6210">
          <cell r="A6210" t="str">
            <v>YZ-BSA160301K02XL</v>
          </cell>
          <cell r="B6210" t="str">
            <v>YZ-BSA160301</v>
          </cell>
        </row>
        <row r="6211">
          <cell r="A6211" t="str">
            <v>YZ-BSA160301K03XL</v>
          </cell>
          <cell r="B6211" t="str">
            <v>YZ-BSA160301</v>
          </cell>
        </row>
        <row r="6212">
          <cell r="A6212" t="str">
            <v>YZ-BSA160301K0L</v>
          </cell>
          <cell r="B6212" t="str">
            <v>YZ-BSA160301</v>
          </cell>
        </row>
        <row r="6213">
          <cell r="A6213" t="str">
            <v>YZ-BSA160301K0M</v>
          </cell>
          <cell r="B6213" t="str">
            <v>YZ-BSA160301</v>
          </cell>
        </row>
        <row r="6214">
          <cell r="A6214" t="str">
            <v>YZ-BSA160301K0XL</v>
          </cell>
          <cell r="B6214" t="str">
            <v>YZ-BSA160301</v>
          </cell>
        </row>
        <row r="6215">
          <cell r="A6215" t="str">
            <v>YZ-BSA160301R02XL</v>
          </cell>
          <cell r="B6215" t="str">
            <v>YZ-BSA160301</v>
          </cell>
        </row>
        <row r="6216">
          <cell r="A6216" t="str">
            <v>YZ-BSA160301R03XL</v>
          </cell>
          <cell r="B6216" t="str">
            <v>YZ-BSA160301</v>
          </cell>
        </row>
        <row r="6217">
          <cell r="A6217" t="str">
            <v>YZ-BSA160301R0L</v>
          </cell>
          <cell r="B6217" t="str">
            <v>YZ-BSA160301</v>
          </cell>
        </row>
        <row r="6218">
          <cell r="A6218" t="str">
            <v>YZ-BSA160301R0M</v>
          </cell>
          <cell r="B6218" t="str">
            <v>YZ-BSA160301</v>
          </cell>
        </row>
        <row r="6219">
          <cell r="A6219" t="str">
            <v>YZ-BSA160301R0XL</v>
          </cell>
          <cell r="B6219" t="str">
            <v>YZ-BSA160301</v>
          </cell>
        </row>
        <row r="6220">
          <cell r="A6220" t="str">
            <v>YZ-BShyl5119K02XL</v>
          </cell>
          <cell r="B6220" t="str">
            <v>YZ-BShyl5119</v>
          </cell>
        </row>
        <row r="6221">
          <cell r="A6221" t="str">
            <v>YZ-BShyl5119K03XL</v>
          </cell>
          <cell r="B6221" t="str">
            <v>YZ-BShyl5119</v>
          </cell>
        </row>
        <row r="6222">
          <cell r="A6222" t="str">
            <v>YZ-BShyl5119K0L</v>
          </cell>
          <cell r="B6222" t="str">
            <v>YZ-BShyl5119</v>
          </cell>
        </row>
        <row r="6223">
          <cell r="A6223" t="str">
            <v>YZ-BShyl5119K0M</v>
          </cell>
          <cell r="B6223" t="str">
            <v>YZ-BShyl5119</v>
          </cell>
        </row>
        <row r="6224">
          <cell r="A6224" t="str">
            <v>YZ-BShyl5119K0XL</v>
          </cell>
          <cell r="B6224" t="str">
            <v>YZ-BShyl5119</v>
          </cell>
        </row>
        <row r="6225">
          <cell r="A6225" t="str">
            <v>YZ-BShyl5119-YH-2XL</v>
          </cell>
          <cell r="B6225" t="str">
            <v>YZ-BShyl5119</v>
          </cell>
        </row>
        <row r="6226">
          <cell r="A6226" t="str">
            <v>YZ-BShyl5119-YH-3XL</v>
          </cell>
          <cell r="B6226" t="str">
            <v>YZ-BShyl5119</v>
          </cell>
        </row>
        <row r="6227">
          <cell r="A6227" t="str">
            <v>YZ-BShyl5119-YH-4XL</v>
          </cell>
          <cell r="B6227" t="str">
            <v>YZ-BShyl5119</v>
          </cell>
        </row>
        <row r="6228">
          <cell r="A6228" t="str">
            <v>YZ-BShyl5119-YH-5XL</v>
          </cell>
          <cell r="B6228" t="str">
            <v>YZ-BShyl5119</v>
          </cell>
        </row>
        <row r="6229">
          <cell r="A6229" t="str">
            <v>YZ-BShyl5119-YH-XL</v>
          </cell>
          <cell r="B6229" t="str">
            <v>YZ-BShyl5119</v>
          </cell>
        </row>
        <row r="6230">
          <cell r="A6230" t="str">
            <v>YZ-BShyl5119-YT-2XL</v>
          </cell>
          <cell r="B6230" t="str">
            <v>YZ-BShyl5119</v>
          </cell>
        </row>
        <row r="6231">
          <cell r="A6231" t="str">
            <v>YZ-BShyl5119-YT-3XL</v>
          </cell>
          <cell r="B6231" t="str">
            <v>YZ-BShyl5119</v>
          </cell>
        </row>
        <row r="6232">
          <cell r="A6232" t="str">
            <v>YZ-BShyl5119-YT-3XL-GM</v>
          </cell>
          <cell r="B6232" t="str">
            <v>YZ-BShyl5119</v>
          </cell>
        </row>
        <row r="6233">
          <cell r="A6233" t="str">
            <v>YZ-BShyl5119-YT-4XL</v>
          </cell>
          <cell r="B6233" t="str">
            <v>YZ-BShyl5119</v>
          </cell>
        </row>
        <row r="6234">
          <cell r="A6234" t="str">
            <v>YZ-BShyl5119-YT-5XL</v>
          </cell>
          <cell r="B6234" t="str">
            <v>YZ-BShyl5119</v>
          </cell>
        </row>
        <row r="6235">
          <cell r="A6235" t="str">
            <v>YZ-BShyl5119-YT-XL</v>
          </cell>
          <cell r="B6235" t="str">
            <v>YZ-BShyl5119</v>
          </cell>
        </row>
        <row r="6236">
          <cell r="A6236" t="str">
            <v>YZ-BSLLHT2XL</v>
          </cell>
          <cell r="B6236" t="str">
            <v>YZ-BSLL</v>
          </cell>
        </row>
        <row r="6237">
          <cell r="A6237" t="str">
            <v>YZ-BSLLHT3XL</v>
          </cell>
          <cell r="B6237" t="str">
            <v>YZ-BSLL</v>
          </cell>
        </row>
        <row r="6238">
          <cell r="A6238" t="str">
            <v>YZ-BSLLHT4XL</v>
          </cell>
          <cell r="B6238" t="str">
            <v>YZ-BSLL</v>
          </cell>
        </row>
        <row r="6239">
          <cell r="A6239" t="str">
            <v>YZ-BSLLHTL</v>
          </cell>
          <cell r="B6239" t="str">
            <v>YZ-BSLL</v>
          </cell>
        </row>
        <row r="6240">
          <cell r="A6240" t="str">
            <v>YZ-BSLLHTM</v>
          </cell>
          <cell r="B6240" t="str">
            <v>YZ-BSLL</v>
          </cell>
        </row>
        <row r="6241">
          <cell r="A6241" t="str">
            <v>YZ-BSLLHTM-GM</v>
          </cell>
          <cell r="B6241" t="str">
            <v>YZ-BSLL</v>
          </cell>
        </row>
        <row r="6242">
          <cell r="A6242" t="str">
            <v>YZ-BSLLHTS</v>
          </cell>
          <cell r="B6242" t="str">
            <v>YZ-BSLL</v>
          </cell>
        </row>
        <row r="6243">
          <cell r="A6243" t="str">
            <v>YZ-BSLLHTXL</v>
          </cell>
          <cell r="B6243" t="str">
            <v>YZ-BSLL</v>
          </cell>
        </row>
        <row r="6244">
          <cell r="A6244" t="str">
            <v>YZ-BSLLIT2XL</v>
          </cell>
          <cell r="B6244" t="str">
            <v>YZ-BSLL</v>
          </cell>
        </row>
        <row r="6245">
          <cell r="A6245" t="str">
            <v>YZ-BSLLIT3XL</v>
          </cell>
          <cell r="B6245" t="str">
            <v>YZ-BSLL</v>
          </cell>
        </row>
        <row r="6246">
          <cell r="A6246" t="str">
            <v>YZ-BSLLIT4XL</v>
          </cell>
          <cell r="B6246" t="str">
            <v>YZ-BSLL</v>
          </cell>
        </row>
        <row r="6247">
          <cell r="A6247" t="str">
            <v>YZ-BSLLITL</v>
          </cell>
          <cell r="B6247" t="str">
            <v>YZ-BSLL</v>
          </cell>
        </row>
        <row r="6248">
          <cell r="A6248" t="str">
            <v>YZ-BSLLITM</v>
          </cell>
          <cell r="B6248" t="str">
            <v>YZ-BSLL</v>
          </cell>
        </row>
        <row r="6249">
          <cell r="A6249" t="str">
            <v>YZ-BSLLITS</v>
          </cell>
          <cell r="B6249" t="str">
            <v>YZ-BSLL</v>
          </cell>
        </row>
        <row r="6250">
          <cell r="A6250" t="str">
            <v>YZ-BSLLITXL</v>
          </cell>
          <cell r="B6250" t="str">
            <v>YZ-BSLL</v>
          </cell>
        </row>
        <row r="6251">
          <cell r="A6251" t="str">
            <v>YZ-BSLLK02XL</v>
          </cell>
          <cell r="B6251" t="str">
            <v>YZ-BSLL</v>
          </cell>
        </row>
        <row r="6252">
          <cell r="A6252" t="str">
            <v>YZ-BSLLK03XL</v>
          </cell>
          <cell r="B6252" t="str">
            <v>YZ-BSLL</v>
          </cell>
        </row>
        <row r="6253">
          <cell r="A6253" t="str">
            <v>YZ-BSLLK04XL</v>
          </cell>
          <cell r="B6253" t="str">
            <v>YZ-BSLL</v>
          </cell>
        </row>
        <row r="6254">
          <cell r="A6254" t="str">
            <v>YZ-BSLLK0L</v>
          </cell>
          <cell r="B6254" t="str">
            <v>YZ-BSLL</v>
          </cell>
        </row>
        <row r="6255">
          <cell r="A6255" t="str">
            <v>YZ-BSLLK0M</v>
          </cell>
          <cell r="B6255" t="str">
            <v>YZ-BSLL</v>
          </cell>
        </row>
        <row r="6256">
          <cell r="A6256" t="str">
            <v>YZ-BSLLK0XL</v>
          </cell>
          <cell r="B6256" t="str">
            <v>YZ-BSLL</v>
          </cell>
        </row>
        <row r="6257">
          <cell r="A6257" t="str">
            <v>YZ-BSY97Z2L</v>
          </cell>
          <cell r="B6257" t="str">
            <v>YZ-BSY97</v>
          </cell>
        </row>
        <row r="6258">
          <cell r="A6258" t="str">
            <v>YZ-BSY97Z2M</v>
          </cell>
          <cell r="B6258" t="str">
            <v>YZ-BSY97</v>
          </cell>
        </row>
        <row r="6259">
          <cell r="A6259" t="str">
            <v>YZ-BSY97Z2XL</v>
          </cell>
          <cell r="B6259" t="str">
            <v>YZ-BSY97</v>
          </cell>
        </row>
        <row r="6260">
          <cell r="A6260" t="str">
            <v>YZ-BSY97Z3L</v>
          </cell>
          <cell r="B6260" t="str">
            <v>YZ-BSY97</v>
          </cell>
        </row>
        <row r="6261">
          <cell r="A6261" t="str">
            <v>YZ-BSY97Z3M</v>
          </cell>
          <cell r="B6261" t="str">
            <v>YZ-BSY97</v>
          </cell>
        </row>
        <row r="6262">
          <cell r="A6262" t="str">
            <v>YZ-BSY97Z3XL</v>
          </cell>
          <cell r="B6262" t="str">
            <v>YZ-BSY97</v>
          </cell>
        </row>
        <row r="6263">
          <cell r="A6263" t="str">
            <v>YZ-BX1443Bl0L</v>
          </cell>
          <cell r="B6263" t="str">
            <v>YZ-BX1443</v>
          </cell>
        </row>
        <row r="6264">
          <cell r="A6264" t="str">
            <v>YZ-BX1443Bl2L</v>
          </cell>
          <cell r="B6264" t="str">
            <v>YZ-BX1443</v>
          </cell>
        </row>
        <row r="6265">
          <cell r="A6265" t="str">
            <v>YZ-BX1443Bl3XL</v>
          </cell>
          <cell r="B6265" t="str">
            <v>YZ-BX1443</v>
          </cell>
        </row>
        <row r="6266">
          <cell r="A6266" t="str">
            <v>YZ-BX1443BlM</v>
          </cell>
          <cell r="B6266" t="str">
            <v>YZ-BX1443</v>
          </cell>
        </row>
        <row r="6267">
          <cell r="A6267" t="str">
            <v>YZ-BX1443BlXL</v>
          </cell>
          <cell r="B6267" t="str">
            <v>YZ-BX1443</v>
          </cell>
        </row>
        <row r="6268">
          <cell r="A6268" t="str">
            <v>YZ-BX1443Cl0L</v>
          </cell>
          <cell r="B6268" t="str">
            <v>YZ-BX1443</v>
          </cell>
        </row>
        <row r="6269">
          <cell r="A6269" t="str">
            <v>YZ-BX1443Cl2L</v>
          </cell>
          <cell r="B6269" t="str">
            <v>YZ-BX1443</v>
          </cell>
        </row>
        <row r="6270">
          <cell r="A6270" t="str">
            <v>YZ-BX1443Cl3L</v>
          </cell>
          <cell r="B6270" t="str">
            <v>YZ-BX1443</v>
          </cell>
        </row>
        <row r="6271">
          <cell r="A6271" t="str">
            <v>YZ-BX1443ClM</v>
          </cell>
          <cell r="B6271" t="str">
            <v>YZ-BX1443</v>
          </cell>
        </row>
        <row r="6272">
          <cell r="A6272" t="str">
            <v>YZ-BX1443ClXL</v>
          </cell>
          <cell r="B6272" t="str">
            <v>YZ-BX1443</v>
          </cell>
        </row>
        <row r="6273">
          <cell r="A6273" t="str">
            <v>YZ-BX1443Pi0L</v>
          </cell>
          <cell r="B6273" t="str">
            <v>YZ-BX1443</v>
          </cell>
        </row>
        <row r="6274">
          <cell r="A6274" t="str">
            <v>YZ-BX1443Pi2L</v>
          </cell>
          <cell r="B6274" t="str">
            <v>YZ-BX1443</v>
          </cell>
        </row>
        <row r="6275">
          <cell r="A6275" t="str">
            <v>YZ-BX1443Pi3L</v>
          </cell>
          <cell r="B6275" t="str">
            <v>YZ-BX1443</v>
          </cell>
        </row>
        <row r="6276">
          <cell r="A6276" t="str">
            <v>YZ-BX1443PiM</v>
          </cell>
          <cell r="B6276" t="str">
            <v>YZ-BX1443</v>
          </cell>
        </row>
        <row r="6277">
          <cell r="A6277" t="str">
            <v>YZ-BX1443PiXL</v>
          </cell>
          <cell r="B6277" t="str">
            <v>YZ-BX1443</v>
          </cell>
        </row>
        <row r="6278">
          <cell r="A6278" t="str">
            <v>YZ-BZ1707-B0-2XL</v>
          </cell>
          <cell r="B6278" t="str">
            <v>YZ-BZ1707</v>
          </cell>
        </row>
        <row r="6279">
          <cell r="A6279" t="str">
            <v>YZ-BZ1707-B0-L</v>
          </cell>
          <cell r="B6279" t="str">
            <v>YZ-BZ1707</v>
          </cell>
        </row>
        <row r="6280">
          <cell r="A6280" t="str">
            <v>YZ-BZ1707-B0-M</v>
          </cell>
          <cell r="B6280" t="str">
            <v>YZ-BZ1707</v>
          </cell>
        </row>
        <row r="6281">
          <cell r="A6281" t="str">
            <v>YZ-BZ1707-B0-S</v>
          </cell>
          <cell r="B6281" t="str">
            <v>YZ-BZ1707</v>
          </cell>
        </row>
        <row r="6282">
          <cell r="A6282" t="str">
            <v>YZ-BZ1707-B0-XL</v>
          </cell>
          <cell r="B6282" t="str">
            <v>YZ-BZ1707</v>
          </cell>
        </row>
        <row r="6283">
          <cell r="A6283" t="str">
            <v>YZ-BZ1707-B0-XS</v>
          </cell>
          <cell r="B6283" t="str">
            <v>YZ-BZ1707</v>
          </cell>
        </row>
        <row r="6284">
          <cell r="A6284" t="str">
            <v>YZ-CA1245001L</v>
          </cell>
          <cell r="B6284" t="str">
            <v>YZ-CA1245</v>
          </cell>
        </row>
        <row r="6285">
          <cell r="A6285" t="str">
            <v>YZ-CA1245003L</v>
          </cell>
          <cell r="B6285" t="str">
            <v>YZ-CA1245</v>
          </cell>
        </row>
        <row r="6286">
          <cell r="A6286" t="str">
            <v>YZ-CA124500L</v>
          </cell>
          <cell r="B6286" t="str">
            <v>YZ-CA1245</v>
          </cell>
        </row>
        <row r="6287">
          <cell r="A6287" t="str">
            <v>YZ-CA124500M</v>
          </cell>
          <cell r="B6287" t="str">
            <v>YZ-CA1245</v>
          </cell>
        </row>
        <row r="6288">
          <cell r="A6288" t="str">
            <v>YZ-CA1245G01L</v>
          </cell>
          <cell r="B6288" t="str">
            <v>YZ-CA1245</v>
          </cell>
        </row>
        <row r="6289">
          <cell r="A6289" t="str">
            <v>YZ-CA1245G02L</v>
          </cell>
          <cell r="B6289" t="str">
            <v>YZ-CA1245</v>
          </cell>
        </row>
        <row r="6290">
          <cell r="A6290" t="str">
            <v>YZ-CA1245G03L</v>
          </cell>
          <cell r="B6290" t="str">
            <v>YZ-CA1245</v>
          </cell>
        </row>
        <row r="6291">
          <cell r="A6291" t="str">
            <v>YZ-CA1245G0L</v>
          </cell>
          <cell r="B6291" t="str">
            <v>YZ-CA1245</v>
          </cell>
        </row>
        <row r="6292">
          <cell r="A6292" t="str">
            <v>YZ-CA1245G0M</v>
          </cell>
          <cell r="B6292" t="str">
            <v>YZ-CA1245</v>
          </cell>
        </row>
        <row r="6293">
          <cell r="A6293" t="str">
            <v>YZ-CA1245W01L</v>
          </cell>
          <cell r="B6293" t="str">
            <v>YZ-CA1245</v>
          </cell>
        </row>
        <row r="6294">
          <cell r="A6294" t="str">
            <v>YZ-CA1245W02L</v>
          </cell>
          <cell r="B6294" t="str">
            <v>YZ-CA1245</v>
          </cell>
        </row>
        <row r="6295">
          <cell r="A6295" t="str">
            <v>YZ-CA1245W03L</v>
          </cell>
          <cell r="B6295" t="str">
            <v>YZ-CA1245</v>
          </cell>
        </row>
        <row r="6296">
          <cell r="A6296" t="str">
            <v>YZ-CA1245W0L</v>
          </cell>
          <cell r="B6296" t="str">
            <v>YZ-CA1245</v>
          </cell>
        </row>
        <row r="6297">
          <cell r="A6297" t="str">
            <v>YZ-CA1245W0M</v>
          </cell>
          <cell r="B6297" t="str">
            <v>YZ-CA1245</v>
          </cell>
        </row>
        <row r="6298">
          <cell r="A6298" t="str">
            <v>YZ-CA160301K02XL</v>
          </cell>
          <cell r="B6298" t="str">
            <v>YZ-CA160301</v>
          </cell>
        </row>
        <row r="6299">
          <cell r="A6299" t="str">
            <v>YZ-CA160301K0L</v>
          </cell>
          <cell r="B6299" t="str">
            <v>YZ-CA160301</v>
          </cell>
        </row>
        <row r="6300">
          <cell r="A6300" t="str">
            <v>YZ-CA160301K0M</v>
          </cell>
          <cell r="B6300" t="str">
            <v>YZ-CA160301</v>
          </cell>
        </row>
        <row r="6301">
          <cell r="A6301" t="str">
            <v>YZ-CA160301K0XL</v>
          </cell>
          <cell r="B6301" t="str">
            <v>YZ-CA160301</v>
          </cell>
        </row>
        <row r="6302">
          <cell r="A6302" t="str">
            <v>YZ-CA2000-2XL</v>
          </cell>
          <cell r="B6302" t="str">
            <v>YZ-CA2000</v>
          </cell>
        </row>
        <row r="6303">
          <cell r="A6303" t="str">
            <v>YZ-CA2000-3XL</v>
          </cell>
          <cell r="B6303" t="str">
            <v>YZ-CA2000</v>
          </cell>
        </row>
        <row r="6304">
          <cell r="A6304" t="str">
            <v>YZ-CA2000-M</v>
          </cell>
          <cell r="B6304" t="str">
            <v>YZ-CA2000</v>
          </cell>
        </row>
        <row r="6305">
          <cell r="A6305" t="str">
            <v>YZ-CA2000-XL</v>
          </cell>
          <cell r="B6305" t="str">
            <v>YZ-CA2000</v>
          </cell>
        </row>
        <row r="6306">
          <cell r="A6306" t="str">
            <v>YZ-CA233-K0-XS</v>
          </cell>
          <cell r="B6306" t="str">
            <v>YZ-CA233</v>
          </cell>
        </row>
        <row r="6307">
          <cell r="A6307" t="str">
            <v>YZ-CA30CH-K0-L</v>
          </cell>
          <cell r="B6307" t="str">
            <v>YZ-CA30CH</v>
          </cell>
        </row>
        <row r="6308">
          <cell r="A6308" t="str">
            <v>YZ-CA30CH-K0-M</v>
          </cell>
          <cell r="B6308" t="str">
            <v>YZ-CA30CH</v>
          </cell>
        </row>
        <row r="6309">
          <cell r="A6309" t="str">
            <v>YZ-CA30CH-L</v>
          </cell>
          <cell r="B6309" t="str">
            <v>YZ-CA30CH</v>
          </cell>
        </row>
        <row r="6310">
          <cell r="A6310" t="str">
            <v>YZ-CA30CH-M</v>
          </cell>
          <cell r="B6310" t="str">
            <v>YZ-CA30CH</v>
          </cell>
        </row>
        <row r="6311">
          <cell r="A6311" t="str">
            <v>YZ-CA30CH-S</v>
          </cell>
          <cell r="B6311" t="str">
            <v>YZ-CA30CH</v>
          </cell>
        </row>
        <row r="6312">
          <cell r="A6312" t="str">
            <v>YZ-CA30CH-XL</v>
          </cell>
          <cell r="B6312" t="str">
            <v>YZ-CA30CH</v>
          </cell>
        </row>
        <row r="6313">
          <cell r="A6313" t="str">
            <v>YZ-CAA160301K03XL</v>
          </cell>
          <cell r="B6313" t="str">
            <v>YZ-CAA160301</v>
          </cell>
        </row>
        <row r="6314">
          <cell r="A6314" t="str">
            <v>YZ-CAY97Z2M</v>
          </cell>
          <cell r="B6314" t="str">
            <v>YZ-CAY97</v>
          </cell>
        </row>
        <row r="6315">
          <cell r="A6315" t="str">
            <v>YZ-CAY97Z2XL</v>
          </cell>
          <cell r="B6315" t="str">
            <v>YZ-CAY97</v>
          </cell>
        </row>
        <row r="6316">
          <cell r="A6316" t="str">
            <v>YZ-CF41998-BU-XL</v>
          </cell>
          <cell r="B6316" t="str">
            <v>YZ-CF41998</v>
          </cell>
        </row>
        <row r="6317">
          <cell r="A6317" t="str">
            <v>YZ-CFAM005-ARGR-M</v>
          </cell>
          <cell r="B6317" t="str">
            <v>YZ-CFAM005</v>
          </cell>
        </row>
        <row r="6318">
          <cell r="A6318" t="str">
            <v>YZ-CFAM005-LABUGR-L</v>
          </cell>
          <cell r="B6318" t="str">
            <v>YZ-CFAM005</v>
          </cell>
        </row>
        <row r="6319">
          <cell r="A6319" t="str">
            <v>YZ-CFAM005-LABUGR-M</v>
          </cell>
          <cell r="B6319" t="str">
            <v>YZ-CFAM005</v>
          </cell>
        </row>
        <row r="6320">
          <cell r="A6320" t="str">
            <v>YZ-CFAM005-LABUGR-S</v>
          </cell>
          <cell r="B6320" t="str">
            <v>YZ-CFAM005</v>
          </cell>
        </row>
        <row r="6321">
          <cell r="A6321" t="str">
            <v>YZ-CL0001-R0-XS</v>
          </cell>
          <cell r="B6321" t="str">
            <v>YZ-CL0001</v>
          </cell>
        </row>
        <row r="6322">
          <cell r="A6322" t="str">
            <v>YZ-CL0001-R1-S</v>
          </cell>
          <cell r="B6322" t="str">
            <v>YZ-CL0001</v>
          </cell>
        </row>
        <row r="6323">
          <cell r="A6323" t="str">
            <v>YZ-CL0001-R2-M</v>
          </cell>
          <cell r="B6323" t="str">
            <v>YZ-CL0001</v>
          </cell>
        </row>
        <row r="6324">
          <cell r="A6324" t="str">
            <v>YZ-CL0001-R3-L</v>
          </cell>
          <cell r="B6324" t="str">
            <v>YZ-CL0001</v>
          </cell>
        </row>
        <row r="6325">
          <cell r="A6325" t="str">
            <v>YZ-CL0001-R4-XL</v>
          </cell>
          <cell r="B6325" t="str">
            <v>YZ-CL0001</v>
          </cell>
        </row>
        <row r="6326">
          <cell r="A6326" t="str">
            <v>YZ-CL0393-B0-L</v>
          </cell>
          <cell r="B6326" t="str">
            <v>YZ-CL0393</v>
          </cell>
        </row>
        <row r="6327">
          <cell r="A6327" t="str">
            <v>YZ-CL0393-B0-M</v>
          </cell>
          <cell r="B6327" t="str">
            <v>YZ-CL0393</v>
          </cell>
        </row>
        <row r="6328">
          <cell r="A6328" t="str">
            <v>YZ-CL0393-B0-XL</v>
          </cell>
          <cell r="B6328" t="str">
            <v>YZ-CL0393</v>
          </cell>
        </row>
        <row r="6329">
          <cell r="A6329" t="str">
            <v>YZ-CL060-L</v>
          </cell>
          <cell r="B6329" t="str">
            <v>YZ-CL060</v>
          </cell>
        </row>
        <row r="6330">
          <cell r="A6330" t="str">
            <v>YZ-CL060-XL</v>
          </cell>
          <cell r="B6330" t="str">
            <v>YZ-CL060</v>
          </cell>
        </row>
        <row r="6331">
          <cell r="A6331" t="str">
            <v>YZ-CL1609-MU-L</v>
          </cell>
          <cell r="B6331" t="str">
            <v>YZ-CL1609</v>
          </cell>
        </row>
        <row r="6332">
          <cell r="A6332" t="str">
            <v>YZ-CL1609-MU-M</v>
          </cell>
          <cell r="B6332" t="str">
            <v>YZ-CL1609</v>
          </cell>
        </row>
        <row r="6333">
          <cell r="A6333" t="str">
            <v>YZ-CL1609-MU-S</v>
          </cell>
          <cell r="B6333" t="str">
            <v>YZ-CL1609</v>
          </cell>
        </row>
        <row r="6334">
          <cell r="A6334" t="str">
            <v>YZ-CL1609-MU-XL</v>
          </cell>
          <cell r="B6334" t="str">
            <v>YZ-CL1609</v>
          </cell>
        </row>
        <row r="6335">
          <cell r="A6335" t="str">
            <v>YZ-CL1704-B0-S</v>
          </cell>
          <cell r="B6335" t="str">
            <v>YZ-CL1704</v>
          </cell>
        </row>
        <row r="6336">
          <cell r="A6336" t="str">
            <v>YZ-CL1704-G0-L</v>
          </cell>
          <cell r="B6336" t="str">
            <v>YZ-CL1704</v>
          </cell>
        </row>
        <row r="6337">
          <cell r="A6337" t="str">
            <v>YZ-CL1704-G0-M</v>
          </cell>
          <cell r="B6337" t="str">
            <v>YZ-CL1704</v>
          </cell>
        </row>
        <row r="6338">
          <cell r="A6338" t="str">
            <v>YZ-CL1704-G0-S</v>
          </cell>
          <cell r="B6338" t="str">
            <v>YZ-CL1704</v>
          </cell>
        </row>
        <row r="6339">
          <cell r="A6339" t="str">
            <v>YZ-CL1704-G0-XL</v>
          </cell>
          <cell r="B6339" t="str">
            <v>YZ-CL1704</v>
          </cell>
        </row>
        <row r="6340">
          <cell r="A6340" t="str">
            <v>YZ-CL1704-R0-M</v>
          </cell>
          <cell r="B6340" t="str">
            <v>YZ-CL1704</v>
          </cell>
        </row>
        <row r="6341">
          <cell r="A6341" t="str">
            <v>YZ-CL1704-R0-S</v>
          </cell>
          <cell r="B6341" t="str">
            <v>YZ-CL1704</v>
          </cell>
        </row>
        <row r="6342">
          <cell r="A6342" t="str">
            <v>YZ-CL1717-W0-L</v>
          </cell>
          <cell r="B6342" t="str">
            <v>YZ-CL1717</v>
          </cell>
        </row>
        <row r="6343">
          <cell r="A6343" t="str">
            <v>YZ-CL1717-W0-M</v>
          </cell>
          <cell r="B6343" t="str">
            <v>YZ-CL1717</v>
          </cell>
        </row>
        <row r="6344">
          <cell r="A6344" t="str">
            <v>YZ-CL1717-W0-S</v>
          </cell>
          <cell r="B6344" t="str">
            <v>YZ-CL1717</v>
          </cell>
        </row>
        <row r="6345">
          <cell r="A6345" t="str">
            <v>YZ-CL7042-R0-L</v>
          </cell>
          <cell r="B6345" t="str">
            <v>YZ-CL7042</v>
          </cell>
        </row>
        <row r="6346">
          <cell r="A6346" t="str">
            <v>YZ-CL7042-R0-M</v>
          </cell>
          <cell r="B6346" t="str">
            <v>YZ-CL7042</v>
          </cell>
        </row>
        <row r="6347">
          <cell r="A6347" t="str">
            <v>YZ-CL7042-ZL-M</v>
          </cell>
          <cell r="B6347" t="str">
            <v>YZ-CL7042</v>
          </cell>
        </row>
        <row r="6348">
          <cell r="A6348" t="str">
            <v>YZ-CL912-BD-L</v>
          </cell>
          <cell r="B6348" t="str">
            <v>YZ-CL912</v>
          </cell>
        </row>
        <row r="6349">
          <cell r="A6349" t="str">
            <v>YZ-CL912-BD-M</v>
          </cell>
          <cell r="B6349" t="str">
            <v>YZ-CL912</v>
          </cell>
        </row>
        <row r="6350">
          <cell r="A6350" t="str">
            <v>YZ-CL912-BD-XL</v>
          </cell>
          <cell r="B6350" t="str">
            <v>YZ-CL912</v>
          </cell>
        </row>
        <row r="6351">
          <cell r="A6351" t="str">
            <v>YZ-CL912-BS-L</v>
          </cell>
          <cell r="B6351" t="str">
            <v>YZ-CL912</v>
          </cell>
        </row>
        <row r="6352">
          <cell r="A6352" t="str">
            <v>YZ-CL912-BS-M</v>
          </cell>
          <cell r="B6352" t="str">
            <v>YZ-CL912</v>
          </cell>
        </row>
        <row r="6353">
          <cell r="A6353" t="str">
            <v>YZ-CL912-FB-L</v>
          </cell>
          <cell r="B6353" t="str">
            <v>YZ-CL912</v>
          </cell>
        </row>
        <row r="6354">
          <cell r="A6354" t="str">
            <v>YZ-CL912-FB-M</v>
          </cell>
          <cell r="B6354" t="str">
            <v>YZ-CL912</v>
          </cell>
        </row>
        <row r="6355">
          <cell r="A6355" t="str">
            <v>YZ-CL912-FB-S</v>
          </cell>
          <cell r="B6355" t="str">
            <v>YZ-CL912</v>
          </cell>
        </row>
        <row r="6356">
          <cell r="A6356" t="str">
            <v>YZ-CL912-FB-XL</v>
          </cell>
          <cell r="B6356" t="str">
            <v>YZ-CL912</v>
          </cell>
        </row>
        <row r="6357">
          <cell r="A6357" t="str">
            <v>YZ-CL912-K0-L</v>
          </cell>
          <cell r="B6357" t="str">
            <v>YZ-CL912</v>
          </cell>
        </row>
        <row r="6358">
          <cell r="A6358" t="str">
            <v>YZ-CL912-K0-M</v>
          </cell>
          <cell r="B6358" t="str">
            <v>YZ-CL912</v>
          </cell>
        </row>
        <row r="6359">
          <cell r="A6359" t="str">
            <v>YZ-CL912-K0-S</v>
          </cell>
          <cell r="B6359" t="str">
            <v>YZ-CL912</v>
          </cell>
        </row>
        <row r="6360">
          <cell r="A6360" t="str">
            <v>YZ-CL912-K0-XL</v>
          </cell>
          <cell r="B6360" t="str">
            <v>YZ-CL912</v>
          </cell>
        </row>
        <row r="6361">
          <cell r="A6361" t="str">
            <v>YZ-CL912-R6-M</v>
          </cell>
          <cell r="B6361" t="str">
            <v>YZ-CL912</v>
          </cell>
        </row>
        <row r="6362">
          <cell r="A6362" t="str">
            <v>YZ-CL912-W0-L</v>
          </cell>
          <cell r="B6362" t="str">
            <v>YZ-CL912</v>
          </cell>
        </row>
        <row r="6363">
          <cell r="A6363" t="str">
            <v>YZ-CL912-W0-M</v>
          </cell>
          <cell r="B6363" t="str">
            <v>YZ-CL912</v>
          </cell>
        </row>
        <row r="6364">
          <cell r="A6364" t="str">
            <v>YZ-CLD072-K0-3XL</v>
          </cell>
          <cell r="B6364" t="str">
            <v>YZ-CLD072</v>
          </cell>
        </row>
        <row r="6365">
          <cell r="A6365" t="str">
            <v>YZ-CLD072-K0-L</v>
          </cell>
          <cell r="B6365" t="str">
            <v>YZ-CLD072</v>
          </cell>
        </row>
        <row r="6366">
          <cell r="A6366" t="str">
            <v>YZ-CLD072-K0-M</v>
          </cell>
          <cell r="B6366" t="str">
            <v>YZ-CLD072</v>
          </cell>
        </row>
        <row r="6367">
          <cell r="A6367" t="str">
            <v>YZ-CLD072-K0-S</v>
          </cell>
          <cell r="B6367" t="str">
            <v>YZ-CLD072</v>
          </cell>
        </row>
        <row r="6368">
          <cell r="A6368" t="str">
            <v>YZ-CLD072-K0-XL</v>
          </cell>
          <cell r="B6368" t="str">
            <v>YZ-CLD072</v>
          </cell>
        </row>
        <row r="6369">
          <cell r="A6369" t="str">
            <v>YZ-CLD072-K0-XXL</v>
          </cell>
          <cell r="B6369" t="str">
            <v>YZ-CLD072</v>
          </cell>
        </row>
        <row r="6370">
          <cell r="A6370" t="str">
            <v>YZ-CLD072-MU-M</v>
          </cell>
          <cell r="B6370" t="str">
            <v>YZ-CLD072</v>
          </cell>
        </row>
        <row r="6371">
          <cell r="A6371" t="str">
            <v>YZ-CLD072-MU-S</v>
          </cell>
          <cell r="B6371" t="str">
            <v>YZ-CLD072</v>
          </cell>
        </row>
        <row r="6372">
          <cell r="A6372" t="str">
            <v>YZ-CLD072-W0-L</v>
          </cell>
          <cell r="B6372" t="str">
            <v>YZ-CLD072</v>
          </cell>
        </row>
        <row r="6373">
          <cell r="A6373" t="str">
            <v>YZ-CLD072-W0-M</v>
          </cell>
          <cell r="B6373" t="str">
            <v>YZ-CLD072</v>
          </cell>
        </row>
        <row r="6374">
          <cell r="A6374" t="str">
            <v>YZ-CLFZ1766-R0-L</v>
          </cell>
          <cell r="B6374" t="str">
            <v>YZ-CLFZ1766</v>
          </cell>
        </row>
        <row r="6375">
          <cell r="A6375" t="str">
            <v>YZ-CLFZ1766-R0-M</v>
          </cell>
          <cell r="B6375" t="str">
            <v>YZ-CLFZ1766</v>
          </cell>
        </row>
        <row r="6376">
          <cell r="A6376" t="str">
            <v>YZ-CLFZ1766-R0-S</v>
          </cell>
          <cell r="B6376" t="str">
            <v>YZ-CLFZ1766</v>
          </cell>
        </row>
        <row r="6377">
          <cell r="A6377" t="str">
            <v>YZ-CLFZ1766-R0-XL</v>
          </cell>
          <cell r="B6377" t="str">
            <v>YZ-CLFZ1766</v>
          </cell>
        </row>
        <row r="6378">
          <cell r="A6378" t="str">
            <v>YZ-CLNK78-B6-L</v>
          </cell>
          <cell r="B6378" t="str">
            <v>YZ-CLNK78</v>
          </cell>
        </row>
        <row r="6379">
          <cell r="A6379" t="str">
            <v>YZ-CLNK78-B6-M</v>
          </cell>
          <cell r="B6379" t="str">
            <v>YZ-CLNK78</v>
          </cell>
        </row>
        <row r="6380">
          <cell r="A6380" t="str">
            <v>YZ-CLNK78-BD-M</v>
          </cell>
          <cell r="B6380" t="str">
            <v>YZ-CLNK78</v>
          </cell>
        </row>
        <row r="6381">
          <cell r="A6381" t="str">
            <v>YZ-CLNK78-K0-M</v>
          </cell>
          <cell r="B6381" t="str">
            <v>YZ-CLNK78</v>
          </cell>
        </row>
        <row r="6382">
          <cell r="A6382" t="str">
            <v>YZ-CLNK78-W0-L</v>
          </cell>
          <cell r="B6382" t="str">
            <v>YZ-CLNK78</v>
          </cell>
        </row>
        <row r="6383">
          <cell r="A6383" t="str">
            <v>YZ-CLNK78-W0-M</v>
          </cell>
          <cell r="B6383" t="str">
            <v>YZ-CLNK78</v>
          </cell>
        </row>
        <row r="6384">
          <cell r="A6384" t="str">
            <v>YZ-DB1443Gr2XL</v>
          </cell>
          <cell r="B6384" t="str">
            <v>YZ-BX1443</v>
          </cell>
        </row>
        <row r="6385">
          <cell r="A6385" t="str">
            <v>YZ-DB1443Gr3XL</v>
          </cell>
          <cell r="B6385" t="str">
            <v>YZ-BX1443</v>
          </cell>
        </row>
        <row r="6386">
          <cell r="A6386" t="str">
            <v>YZ-DB1443GrL</v>
          </cell>
          <cell r="B6386" t="str">
            <v>YZ-BX1443</v>
          </cell>
        </row>
        <row r="6387">
          <cell r="A6387" t="str">
            <v>YZ-DB1443GrM</v>
          </cell>
          <cell r="B6387" t="str">
            <v>YZ-BX1443</v>
          </cell>
        </row>
        <row r="6388">
          <cell r="A6388" t="str">
            <v>YZ-DB1443GrXL</v>
          </cell>
          <cell r="B6388" t="str">
            <v>YZ-BX1443</v>
          </cell>
        </row>
        <row r="6389">
          <cell r="A6389" t="str">
            <v>YZ-FQ008G11L</v>
          </cell>
          <cell r="B6389" t="str">
            <v>YZ-FQ008</v>
          </cell>
        </row>
        <row r="6390">
          <cell r="A6390" t="str">
            <v>YZ-FQ008G12L</v>
          </cell>
          <cell r="B6390" t="str">
            <v>YZ-FQ008</v>
          </cell>
        </row>
        <row r="6391">
          <cell r="A6391" t="str">
            <v>YZ-FQ008G13L</v>
          </cell>
          <cell r="B6391" t="str">
            <v>YZ-FQ008</v>
          </cell>
        </row>
        <row r="6392">
          <cell r="A6392" t="str">
            <v>YZ-FQ008G1L</v>
          </cell>
          <cell r="B6392" t="str">
            <v>YZ-FQ008</v>
          </cell>
        </row>
        <row r="6393">
          <cell r="A6393" t="str">
            <v>YZ-FQ008G1M</v>
          </cell>
          <cell r="B6393" t="str">
            <v>YZ-FQ008</v>
          </cell>
        </row>
        <row r="6394">
          <cell r="A6394" t="str">
            <v>YZ-FQ008K01L</v>
          </cell>
          <cell r="B6394" t="str">
            <v>YZ-FQ008</v>
          </cell>
        </row>
        <row r="6395">
          <cell r="A6395" t="str">
            <v>YZ-FQ008K02L</v>
          </cell>
          <cell r="B6395" t="str">
            <v>YZ-FQ008</v>
          </cell>
        </row>
        <row r="6396">
          <cell r="A6396" t="str">
            <v>YZ-FQ008K03L</v>
          </cell>
          <cell r="B6396" t="str">
            <v>YZ-FQ008</v>
          </cell>
        </row>
        <row r="6397">
          <cell r="A6397" t="str">
            <v>YZ-FQ008K0M</v>
          </cell>
          <cell r="B6397" t="str">
            <v>YZ-FQ008</v>
          </cell>
        </row>
        <row r="6398">
          <cell r="A6398" t="str">
            <v>YZ-FQ008R22L</v>
          </cell>
          <cell r="B6398" t="str">
            <v>YZ-FQ008</v>
          </cell>
        </row>
        <row r="6399">
          <cell r="A6399" t="str">
            <v>YZ-FQ008R23L</v>
          </cell>
          <cell r="B6399" t="str">
            <v>YZ-FQ008</v>
          </cell>
        </row>
        <row r="6400">
          <cell r="A6400" t="str">
            <v>YZ-HE13037EZ1L</v>
          </cell>
          <cell r="B6400" t="str">
            <v>YZ-HE13037</v>
          </cell>
        </row>
        <row r="6401">
          <cell r="A6401" t="str">
            <v>YZ-HE13037EZ1L-MX</v>
          </cell>
          <cell r="B6401" t="str">
            <v>YZ-HE13037</v>
          </cell>
        </row>
        <row r="6402">
          <cell r="A6402" t="str">
            <v>YZ-HE13037EZ2L</v>
          </cell>
          <cell r="B6402" t="str">
            <v>YZ-HE13037</v>
          </cell>
        </row>
        <row r="6403">
          <cell r="A6403" t="str">
            <v>YZ-HE13037EZ3L</v>
          </cell>
          <cell r="B6403" t="str">
            <v>YZ-HE13037</v>
          </cell>
        </row>
        <row r="6404">
          <cell r="A6404" t="str">
            <v>YZ-HE13037EZ4L</v>
          </cell>
          <cell r="B6404" t="str">
            <v>YZ-HE13037</v>
          </cell>
        </row>
        <row r="6405">
          <cell r="A6405" t="str">
            <v>YZ-HE13037EZ5L</v>
          </cell>
          <cell r="B6405" t="str">
            <v>YZ-HE13037</v>
          </cell>
        </row>
        <row r="6406">
          <cell r="A6406" t="str">
            <v>YZ-HE13037EZ6L</v>
          </cell>
          <cell r="B6406" t="str">
            <v>YZ-HE13037</v>
          </cell>
        </row>
        <row r="6407">
          <cell r="A6407" t="str">
            <v>YZ-HE13037EZ6L-GM</v>
          </cell>
          <cell r="B6407" t="str">
            <v>YZ-HE13037</v>
          </cell>
        </row>
        <row r="6408">
          <cell r="A6408" t="str">
            <v>YZ-HE13037EZ7L</v>
          </cell>
          <cell r="B6408" t="str">
            <v>YZ-HE13037</v>
          </cell>
        </row>
        <row r="6409">
          <cell r="A6409" t="str">
            <v>YZ-HE13037EZ8L</v>
          </cell>
          <cell r="B6409" t="str">
            <v>YZ-HE13037</v>
          </cell>
        </row>
        <row r="6410">
          <cell r="A6410" t="str">
            <v>YZ-HE13037EZ8L-GM</v>
          </cell>
          <cell r="B6410" t="str">
            <v>YZ-HE13037</v>
          </cell>
        </row>
        <row r="6411">
          <cell r="A6411" t="str">
            <v>YZ-HE13037EZ9L</v>
          </cell>
          <cell r="B6411" t="str">
            <v>YZ-HE13037</v>
          </cell>
        </row>
        <row r="6412">
          <cell r="A6412" t="str">
            <v>YZ-HE13037Or1L</v>
          </cell>
          <cell r="B6412" t="str">
            <v>YZ-HE13037</v>
          </cell>
        </row>
        <row r="6413">
          <cell r="A6413" t="str">
            <v>YZ-HE13037Or1L-MX</v>
          </cell>
          <cell r="B6413" t="str">
            <v>YZ-HE13037</v>
          </cell>
        </row>
        <row r="6414">
          <cell r="A6414" t="str">
            <v>YZ-HE13037Or2L</v>
          </cell>
          <cell r="B6414" t="str">
            <v>YZ-HE13037</v>
          </cell>
        </row>
        <row r="6415">
          <cell r="A6415" t="str">
            <v>YZ-HE13037Or3L</v>
          </cell>
          <cell r="B6415" t="str">
            <v>YZ-HE13037</v>
          </cell>
        </row>
        <row r="6416">
          <cell r="A6416" t="str">
            <v>YZ-HE13037Or4L</v>
          </cell>
          <cell r="B6416" t="str">
            <v>YZ-HE13037</v>
          </cell>
        </row>
        <row r="6417">
          <cell r="A6417" t="str">
            <v>YZ-HE13037Or5L</v>
          </cell>
          <cell r="B6417" t="str">
            <v>YZ-HE13037</v>
          </cell>
        </row>
        <row r="6418">
          <cell r="A6418" t="str">
            <v>YZ-HE13037Or6L</v>
          </cell>
          <cell r="B6418" t="str">
            <v>YZ-HE13037</v>
          </cell>
        </row>
        <row r="6419">
          <cell r="A6419" t="str">
            <v>YZ-HE13037Or7L</v>
          </cell>
          <cell r="B6419" t="str">
            <v>YZ-HE13037</v>
          </cell>
        </row>
        <row r="6420">
          <cell r="A6420" t="str">
            <v>YZ-HE13037Or7L-MX</v>
          </cell>
          <cell r="B6420" t="str">
            <v>YZ-HE13037</v>
          </cell>
        </row>
        <row r="6421">
          <cell r="A6421" t="str">
            <v>YZ-HE13037Or8L</v>
          </cell>
          <cell r="B6421" t="str">
            <v>YZ-HE13037</v>
          </cell>
        </row>
        <row r="6422">
          <cell r="A6422" t="str">
            <v>YZ-HE13037Or8L-MX</v>
          </cell>
          <cell r="B6422" t="str">
            <v>YZ-HE13037</v>
          </cell>
        </row>
        <row r="6423">
          <cell r="A6423" t="str">
            <v>YZ-HE13037Or9L</v>
          </cell>
          <cell r="B6423" t="str">
            <v>YZ-HE13037</v>
          </cell>
        </row>
        <row r="6424">
          <cell r="A6424" t="str">
            <v>YZ-HE13037Pu1L</v>
          </cell>
          <cell r="B6424" t="str">
            <v>YZ-HE13037</v>
          </cell>
        </row>
        <row r="6425">
          <cell r="A6425" t="str">
            <v>YZ-HE13037Pu1L-MX</v>
          </cell>
          <cell r="B6425" t="str">
            <v>YZ-HE13037</v>
          </cell>
        </row>
        <row r="6426">
          <cell r="A6426" t="str">
            <v>YZ-HE13037Pu2L</v>
          </cell>
          <cell r="B6426" t="str">
            <v>YZ-HE13037</v>
          </cell>
        </row>
        <row r="6427">
          <cell r="A6427" t="str">
            <v>YZ-HE13037Pu3L</v>
          </cell>
          <cell r="B6427" t="str">
            <v>YZ-HE13037</v>
          </cell>
        </row>
        <row r="6428">
          <cell r="A6428" t="str">
            <v>YZ-HE13037Pu4L</v>
          </cell>
          <cell r="B6428" t="str">
            <v>YZ-HE13037</v>
          </cell>
        </row>
        <row r="6429">
          <cell r="A6429" t="str">
            <v>YZ-HE13037Pu4L-MX</v>
          </cell>
          <cell r="B6429" t="str">
            <v>YZ-HE13037</v>
          </cell>
        </row>
        <row r="6430">
          <cell r="A6430" t="str">
            <v>YZ-HE13037Pu5L</v>
          </cell>
          <cell r="B6430" t="str">
            <v>YZ-HE13037</v>
          </cell>
        </row>
        <row r="6431">
          <cell r="A6431" t="str">
            <v>YZ-HE13037Pu6L</v>
          </cell>
          <cell r="B6431" t="str">
            <v>YZ-HE13037</v>
          </cell>
        </row>
        <row r="6432">
          <cell r="A6432" t="str">
            <v>YZ-HE13037Pu7L</v>
          </cell>
          <cell r="B6432" t="str">
            <v>YZ-HE13037</v>
          </cell>
        </row>
        <row r="6433">
          <cell r="A6433" t="str">
            <v>YZ-HE13037Pu8L</v>
          </cell>
          <cell r="B6433" t="str">
            <v>YZ-HE13037</v>
          </cell>
        </row>
        <row r="6434">
          <cell r="A6434" t="str">
            <v>YZ-HE13037Pu9L</v>
          </cell>
          <cell r="B6434" t="str">
            <v>YZ-HE13037</v>
          </cell>
        </row>
        <row r="6435">
          <cell r="A6435" t="str">
            <v>YZ-HE13037Wi1L</v>
          </cell>
          <cell r="B6435" t="str">
            <v>YZ-HE13037</v>
          </cell>
        </row>
        <row r="6436">
          <cell r="A6436" t="str">
            <v>YZ-HE13037Wi1L-MX</v>
          </cell>
          <cell r="B6436" t="str">
            <v>YZ-HE13037</v>
          </cell>
        </row>
        <row r="6437">
          <cell r="A6437" t="str">
            <v>YZ-HE13037Wi2L</v>
          </cell>
          <cell r="B6437" t="str">
            <v>YZ-HE13037</v>
          </cell>
        </row>
        <row r="6438">
          <cell r="A6438" t="str">
            <v>YZ-HE13037Wi2L-MX</v>
          </cell>
          <cell r="B6438" t="str">
            <v>YZ-HE13037</v>
          </cell>
        </row>
        <row r="6439">
          <cell r="A6439" t="str">
            <v>YZ-HE13037Wi3L</v>
          </cell>
          <cell r="B6439" t="str">
            <v>YZ-HE13037</v>
          </cell>
        </row>
        <row r="6440">
          <cell r="A6440" t="str">
            <v>YZ-HE13037Wi4L</v>
          </cell>
          <cell r="B6440" t="str">
            <v>YZ-HE13037</v>
          </cell>
        </row>
        <row r="6441">
          <cell r="A6441" t="str">
            <v>YZ-HE13037Wi5L</v>
          </cell>
          <cell r="B6441" t="str">
            <v>YZ-HE13037</v>
          </cell>
        </row>
        <row r="6442">
          <cell r="A6442" t="str">
            <v>YZ-HE13037Wi6L</v>
          </cell>
          <cell r="B6442" t="str">
            <v>YZ-HE13037</v>
          </cell>
        </row>
        <row r="6443">
          <cell r="A6443" t="str">
            <v>YZ-HE13037Wi7L</v>
          </cell>
          <cell r="B6443" t="str">
            <v>YZ-HE13037</v>
          </cell>
        </row>
        <row r="6444">
          <cell r="A6444" t="str">
            <v>YZ-HE13037Wi7L-MX</v>
          </cell>
          <cell r="B6444" t="str">
            <v>YZ-HE13037</v>
          </cell>
        </row>
        <row r="6445">
          <cell r="A6445" t="str">
            <v>YZ-HE13037Wi8L</v>
          </cell>
          <cell r="B6445" t="str">
            <v>YZ-HE13037</v>
          </cell>
        </row>
        <row r="6446">
          <cell r="A6446" t="str">
            <v>YZ-HE13037Wi8L-MX</v>
          </cell>
          <cell r="B6446" t="str">
            <v>YZ-HE13037</v>
          </cell>
        </row>
        <row r="6447">
          <cell r="A6447" t="str">
            <v>YZ-HE13037Wi9L</v>
          </cell>
          <cell r="B6447" t="str">
            <v>YZ-HE13037</v>
          </cell>
        </row>
        <row r="6448">
          <cell r="A6448" t="str">
            <v>YZ-HE9007</v>
          </cell>
          <cell r="B6448" t="str">
            <v>YZ-HE9007</v>
          </cell>
        </row>
        <row r="6449">
          <cell r="A6449" t="str">
            <v>YZ-HE9007Sa1L</v>
          </cell>
          <cell r="B6449" t="str">
            <v>YZ-HE9007</v>
          </cell>
        </row>
        <row r="6450">
          <cell r="A6450" t="str">
            <v>YZ-HE9007Sa2L</v>
          </cell>
          <cell r="B6450" t="str">
            <v>YZ-HE9007</v>
          </cell>
        </row>
        <row r="6451">
          <cell r="A6451" t="str">
            <v>YZ-HE9007Sa3L</v>
          </cell>
          <cell r="B6451" t="str">
            <v>YZ-HE9007</v>
          </cell>
        </row>
        <row r="6452">
          <cell r="A6452" t="str">
            <v>YZ-HE9007Sa4L</v>
          </cell>
          <cell r="B6452" t="str">
            <v>YZ-HE9007</v>
          </cell>
        </row>
        <row r="6453">
          <cell r="A6453" t="str">
            <v>YZ-HE9007Sa5L</v>
          </cell>
          <cell r="B6453" t="str">
            <v>YZ-HE9007</v>
          </cell>
        </row>
        <row r="6454">
          <cell r="A6454" t="str">
            <v>YZ-HE9007Sa6L</v>
          </cell>
          <cell r="B6454" t="str">
            <v>YZ-HE9007</v>
          </cell>
        </row>
        <row r="6455">
          <cell r="A6455" t="str">
            <v>YZ-HE9007Sa7L</v>
          </cell>
          <cell r="B6455" t="str">
            <v>YZ-HE9007</v>
          </cell>
        </row>
        <row r="6456">
          <cell r="A6456" t="str">
            <v>YZ-HE9007Sa8L</v>
          </cell>
          <cell r="B6456" t="str">
            <v>YZ-HE9007</v>
          </cell>
        </row>
        <row r="6457">
          <cell r="A6457" t="str">
            <v>YZ-HE9007Sa9L</v>
          </cell>
          <cell r="B6457" t="str">
            <v>YZ-HE9007</v>
          </cell>
        </row>
        <row r="6458">
          <cell r="A6458" t="str">
            <v>YZ-HE9007Se1L</v>
          </cell>
          <cell r="B6458" t="str">
            <v>YZ-HE9007</v>
          </cell>
        </row>
        <row r="6459">
          <cell r="A6459" t="str">
            <v>YZ-HE9007Se2L</v>
          </cell>
          <cell r="B6459" t="str">
            <v>YZ-HE9007</v>
          </cell>
        </row>
        <row r="6460">
          <cell r="A6460" t="str">
            <v>YZ-HE9007Se3L</v>
          </cell>
          <cell r="B6460" t="str">
            <v>YZ-HE9007</v>
          </cell>
        </row>
        <row r="6461">
          <cell r="A6461" t="str">
            <v>YZ-HE9007Se4L</v>
          </cell>
          <cell r="B6461" t="str">
            <v>YZ-HE9007</v>
          </cell>
        </row>
        <row r="6462">
          <cell r="A6462" t="str">
            <v>YZ-HE9007Se5L</v>
          </cell>
          <cell r="B6462" t="str">
            <v>YZ-HE9007</v>
          </cell>
        </row>
        <row r="6463">
          <cell r="A6463" t="str">
            <v>YZ-HE9007Se6L</v>
          </cell>
          <cell r="B6463" t="str">
            <v>YZ-HE9007</v>
          </cell>
        </row>
        <row r="6464">
          <cell r="A6464" t="str">
            <v>YZ-HE9007Se7L</v>
          </cell>
          <cell r="B6464" t="str">
            <v>YZ-HE9007</v>
          </cell>
        </row>
        <row r="6465">
          <cell r="A6465" t="str">
            <v>YZ-HE9007Se8L</v>
          </cell>
          <cell r="B6465" t="str">
            <v>YZ-HE9007</v>
          </cell>
        </row>
        <row r="6466">
          <cell r="A6466" t="str">
            <v>YZ-HE9007Se9L</v>
          </cell>
          <cell r="B6466" t="str">
            <v>YZ-HE9007</v>
          </cell>
        </row>
        <row r="6467">
          <cell r="A6467" t="str">
            <v>YZ-HE9008Sa1L</v>
          </cell>
          <cell r="B6467" t="str">
            <v>YZ-HE9007</v>
          </cell>
        </row>
        <row r="6468">
          <cell r="A6468" t="str">
            <v>YZ-HE9008Sa2L</v>
          </cell>
          <cell r="B6468" t="str">
            <v>YZ-HE9007</v>
          </cell>
        </row>
        <row r="6469">
          <cell r="A6469" t="str">
            <v>YZ-HE9008Sa3L</v>
          </cell>
          <cell r="B6469" t="str">
            <v>YZ-HE9007</v>
          </cell>
        </row>
        <row r="6470">
          <cell r="A6470" t="str">
            <v>YZ-HE9008Sa4L</v>
          </cell>
          <cell r="B6470" t="str">
            <v>YZ-HE9007</v>
          </cell>
        </row>
        <row r="6471">
          <cell r="A6471" t="str">
            <v>YZ-HE9008Sa4L-GM</v>
          </cell>
          <cell r="B6471" t="str">
            <v>YZ-HE9007</v>
          </cell>
        </row>
        <row r="6472">
          <cell r="A6472" t="str">
            <v>YZ-HE9008Sa5L</v>
          </cell>
          <cell r="B6472" t="str">
            <v>YZ-HE9007</v>
          </cell>
        </row>
        <row r="6473">
          <cell r="A6473" t="str">
            <v>YZ-HE9008Sa6L</v>
          </cell>
          <cell r="B6473" t="str">
            <v>YZ-HE9007</v>
          </cell>
        </row>
        <row r="6474">
          <cell r="A6474" t="str">
            <v>YZ-HE9008Sa7L</v>
          </cell>
          <cell r="B6474" t="str">
            <v>YZ-HE9007</v>
          </cell>
        </row>
        <row r="6475">
          <cell r="A6475" t="str">
            <v>YZ-HE9008Sa8L</v>
          </cell>
          <cell r="B6475" t="str">
            <v>YZ-HE9007</v>
          </cell>
        </row>
        <row r="6476">
          <cell r="A6476" t="str">
            <v>YZ-HE9008Sa9L</v>
          </cell>
          <cell r="B6476" t="str">
            <v>YZ-HE9007</v>
          </cell>
        </row>
        <row r="6477">
          <cell r="A6477" t="str">
            <v>YZ-HE9008Se1L</v>
          </cell>
          <cell r="B6477" t="str">
            <v>YZ-HE9007</v>
          </cell>
        </row>
        <row r="6478">
          <cell r="A6478" t="str">
            <v>YZ-HE9008Se2L</v>
          </cell>
          <cell r="B6478" t="str">
            <v>YZ-HE9007</v>
          </cell>
        </row>
        <row r="6479">
          <cell r="A6479" t="str">
            <v>YZ-HE9008Se3L</v>
          </cell>
          <cell r="B6479" t="str">
            <v>YZ-HE9007</v>
          </cell>
        </row>
        <row r="6480">
          <cell r="A6480" t="str">
            <v>YZ-HE9008Se4L</v>
          </cell>
          <cell r="B6480" t="str">
            <v>YZ-HE9007</v>
          </cell>
        </row>
        <row r="6481">
          <cell r="A6481" t="str">
            <v>YZ-HE9008Se5L</v>
          </cell>
          <cell r="B6481" t="str">
            <v>YZ-HE9007</v>
          </cell>
        </row>
        <row r="6482">
          <cell r="A6482" t="str">
            <v>YZ-HE9008Se6L</v>
          </cell>
          <cell r="B6482" t="str">
            <v>YZ-HE9007</v>
          </cell>
        </row>
        <row r="6483">
          <cell r="A6483" t="str">
            <v>YZ-HE9008Se7L</v>
          </cell>
          <cell r="B6483" t="str">
            <v>YZ-HE9007</v>
          </cell>
        </row>
        <row r="6484">
          <cell r="A6484" t="str">
            <v>YZ-HE9008Se8L</v>
          </cell>
          <cell r="B6484" t="str">
            <v>YZ-HE9007</v>
          </cell>
        </row>
        <row r="6485">
          <cell r="A6485" t="str">
            <v>YZ-HE9008Se9L</v>
          </cell>
          <cell r="B6485" t="str">
            <v>YZ-HE9007</v>
          </cell>
        </row>
        <row r="6486">
          <cell r="A6486" t="str">
            <v>YZ-HM0007</v>
          </cell>
          <cell r="B6486" t="str">
            <v>YZ-HM0007</v>
          </cell>
        </row>
        <row r="6487">
          <cell r="A6487" t="str">
            <v>YZ-HM0007-B0-2XL</v>
          </cell>
          <cell r="B6487" t="str">
            <v>YZ-HM0007</v>
          </cell>
        </row>
        <row r="6488">
          <cell r="A6488" t="str">
            <v>YZ-HM0007-B0-3XL</v>
          </cell>
          <cell r="B6488" t="str">
            <v>YZ-HM0007</v>
          </cell>
        </row>
        <row r="6489">
          <cell r="A6489" t="str">
            <v>YZ-HM0007-B0-L</v>
          </cell>
          <cell r="B6489" t="str">
            <v>YZ-HM0007</v>
          </cell>
        </row>
        <row r="6490">
          <cell r="A6490" t="str">
            <v>YZ-HM0007-B0-XL</v>
          </cell>
          <cell r="B6490" t="str">
            <v>YZ-HM0007</v>
          </cell>
        </row>
        <row r="6491">
          <cell r="A6491" t="str">
            <v>YZ-HM0007-K0-2XL</v>
          </cell>
          <cell r="B6491" t="str">
            <v>YZ-HM0007</v>
          </cell>
        </row>
        <row r="6492">
          <cell r="A6492" t="str">
            <v>YZ-HM0007-K0-3XL</v>
          </cell>
          <cell r="B6492" t="str">
            <v>YZ-HM0007</v>
          </cell>
        </row>
        <row r="6493">
          <cell r="A6493" t="str">
            <v>YZ-HM0007-K0-L</v>
          </cell>
          <cell r="B6493" t="str">
            <v>YZ-HM0007</v>
          </cell>
        </row>
        <row r="6494">
          <cell r="A6494" t="str">
            <v>YZ-HM0007-K0-XL</v>
          </cell>
          <cell r="B6494" t="str">
            <v>YZ-HM0007</v>
          </cell>
        </row>
        <row r="6495">
          <cell r="A6495" t="str">
            <v>YZ-HM0007-R0-2XL</v>
          </cell>
          <cell r="B6495" t="str">
            <v>YZ-HM0007</v>
          </cell>
        </row>
        <row r="6496">
          <cell r="A6496" t="str">
            <v>YZ-HM0007-R0-3XL</v>
          </cell>
          <cell r="B6496" t="str">
            <v>YZ-HM0007</v>
          </cell>
        </row>
        <row r="6497">
          <cell r="A6497" t="str">
            <v>YZ-HM0007-R0-L</v>
          </cell>
          <cell r="B6497" t="str">
            <v>YZ-HM0007</v>
          </cell>
        </row>
        <row r="6498">
          <cell r="A6498" t="str">
            <v>YZ-HM0007-R0-XL</v>
          </cell>
          <cell r="B6498" t="str">
            <v>YZ-HM0007</v>
          </cell>
        </row>
        <row r="6499">
          <cell r="A6499" t="str">
            <v>YZ-HM0034-TW-L</v>
          </cell>
          <cell r="B6499" t="str">
            <v>YZ-HM0034</v>
          </cell>
        </row>
        <row r="6500">
          <cell r="A6500" t="str">
            <v>YZ-HM0034-TW-M</v>
          </cell>
          <cell r="B6500" t="str">
            <v>YZ-HM0034</v>
          </cell>
        </row>
        <row r="6501">
          <cell r="A6501" t="str">
            <v>YZ-HM0034-TW-S</v>
          </cell>
          <cell r="B6501" t="str">
            <v>YZ-HM0034</v>
          </cell>
        </row>
        <row r="6502">
          <cell r="A6502" t="str">
            <v>YZ-HM0034-TW-XL</v>
          </cell>
          <cell r="B6502" t="str">
            <v>YZ-HM0034</v>
          </cell>
        </row>
        <row r="6503">
          <cell r="A6503" t="str">
            <v>YZ-HM0047-P0-S</v>
          </cell>
          <cell r="B6503" t="str">
            <v>YZ-HM0047</v>
          </cell>
        </row>
        <row r="6504">
          <cell r="A6504" t="str">
            <v>YZ-HM0052-B0-L</v>
          </cell>
          <cell r="B6504" t="str">
            <v>YZ-HM0052</v>
          </cell>
        </row>
        <row r="6505">
          <cell r="A6505" t="str">
            <v>YZ-HM0052-B0-M</v>
          </cell>
          <cell r="B6505" t="str">
            <v>YZ-HM0052</v>
          </cell>
        </row>
        <row r="6506">
          <cell r="A6506" t="str">
            <v>YZ-HM0052-B0-S</v>
          </cell>
          <cell r="B6506" t="str">
            <v>YZ-HM0052</v>
          </cell>
        </row>
        <row r="6507">
          <cell r="A6507" t="str">
            <v>YZ-HM0052-B0-XL</v>
          </cell>
          <cell r="B6507" t="str">
            <v>YZ-HM0052</v>
          </cell>
        </row>
        <row r="6508">
          <cell r="A6508" t="str">
            <v>YZ-HM007-B0-2XL</v>
          </cell>
          <cell r="B6508" t="str">
            <v>YZ-HM0007</v>
          </cell>
        </row>
        <row r="6509">
          <cell r="A6509" t="str">
            <v>YZ-HM015-K0-4</v>
          </cell>
          <cell r="B6509" t="str">
            <v>YZ-HM015</v>
          </cell>
        </row>
        <row r="6510">
          <cell r="A6510" t="str">
            <v>YZ-HM0182-W0-L</v>
          </cell>
          <cell r="B6510" t="str">
            <v>YZ-HM0182</v>
          </cell>
        </row>
        <row r="6511">
          <cell r="A6511" t="str">
            <v>YZ-HM0182-W0-M</v>
          </cell>
          <cell r="B6511" t="str">
            <v>YZ-HM0182</v>
          </cell>
        </row>
        <row r="6512">
          <cell r="A6512" t="str">
            <v>YZ-HM0182-W0-S</v>
          </cell>
          <cell r="B6512" t="str">
            <v>YZ-HM0182</v>
          </cell>
        </row>
        <row r="6513">
          <cell r="A6513" t="str">
            <v>YZ-HM0182-W0-XL</v>
          </cell>
          <cell r="B6513" t="str">
            <v>YZ-HM0182</v>
          </cell>
        </row>
        <row r="6514">
          <cell r="A6514" t="str">
            <v>YZ-HM0182-W0-XXL</v>
          </cell>
          <cell r="B6514" t="str">
            <v>YZ-HM0182</v>
          </cell>
        </row>
        <row r="6515">
          <cell r="A6515" t="str">
            <v>YZ-HM0669-W0-L</v>
          </cell>
          <cell r="B6515" t="str">
            <v>YZ-HM0669</v>
          </cell>
        </row>
        <row r="6516">
          <cell r="A6516" t="str">
            <v>YZ-HM0669-W0-M</v>
          </cell>
          <cell r="B6516" t="str">
            <v>YZ-HM0669</v>
          </cell>
        </row>
        <row r="6517">
          <cell r="A6517" t="str">
            <v>YZ-HM0669-W0-S</v>
          </cell>
          <cell r="B6517" t="str">
            <v>YZ-HM0669</v>
          </cell>
        </row>
        <row r="6518">
          <cell r="A6518" t="str">
            <v>YZ-HM0669-W0-XL</v>
          </cell>
          <cell r="B6518" t="str">
            <v>YZ-HM0669</v>
          </cell>
        </row>
        <row r="6519">
          <cell r="A6519" t="str">
            <v>YZ-HM111-B0-L</v>
          </cell>
          <cell r="B6519" t="str">
            <v>YZ-HM111</v>
          </cell>
        </row>
        <row r="6520">
          <cell r="A6520" t="str">
            <v>YZ-HM111-B0-M</v>
          </cell>
          <cell r="B6520" t="str">
            <v>YZ-HM111</v>
          </cell>
        </row>
        <row r="6521">
          <cell r="A6521" t="str">
            <v>YZ-HM111-B0-S</v>
          </cell>
          <cell r="B6521" t="str">
            <v>YZ-HM111</v>
          </cell>
        </row>
        <row r="6522">
          <cell r="A6522" t="str">
            <v>YZ-HM111-B0-XL</v>
          </cell>
          <cell r="B6522" t="str">
            <v>YZ-HM111</v>
          </cell>
        </row>
        <row r="6523">
          <cell r="A6523" t="str">
            <v>YZ-HM111-K0-L</v>
          </cell>
          <cell r="B6523" t="str">
            <v>YZ-HM111</v>
          </cell>
        </row>
        <row r="6524">
          <cell r="A6524" t="str">
            <v>YZ-HM111-K0-M</v>
          </cell>
          <cell r="B6524" t="str">
            <v>YZ-HM111</v>
          </cell>
        </row>
        <row r="6525">
          <cell r="A6525" t="str">
            <v>YZ-HM111-K0-S</v>
          </cell>
          <cell r="B6525" t="str">
            <v>YZ-HM111</v>
          </cell>
        </row>
        <row r="6526">
          <cell r="A6526" t="str">
            <v>YZ-HM111-K0-S-GM</v>
          </cell>
          <cell r="B6526" t="str">
            <v>YZ-HM111</v>
          </cell>
        </row>
        <row r="6527">
          <cell r="A6527" t="str">
            <v>YZ-HM111-K0-XL</v>
          </cell>
          <cell r="B6527" t="str">
            <v>YZ-HM111</v>
          </cell>
        </row>
        <row r="6528">
          <cell r="A6528" t="str">
            <v>YZ-HM111-YH-L</v>
          </cell>
          <cell r="B6528" t="str">
            <v>YZ-HM111</v>
          </cell>
        </row>
        <row r="6529">
          <cell r="A6529" t="str">
            <v>YZ-HM111-YH-M</v>
          </cell>
          <cell r="B6529" t="str">
            <v>YZ-HM111</v>
          </cell>
        </row>
        <row r="6530">
          <cell r="A6530" t="str">
            <v>YZ-HM111-YH-S</v>
          </cell>
          <cell r="B6530" t="str">
            <v>YZ-HM111</v>
          </cell>
        </row>
        <row r="6531">
          <cell r="A6531" t="str">
            <v>YZ-HM111-YH-XL</v>
          </cell>
          <cell r="B6531" t="str">
            <v>YZ-HM111</v>
          </cell>
        </row>
        <row r="6532">
          <cell r="A6532" t="str">
            <v>YZ-HM1288-B0-2XL</v>
          </cell>
          <cell r="B6532" t="str">
            <v>YZ-HM1288</v>
          </cell>
        </row>
        <row r="6533">
          <cell r="A6533" t="str">
            <v>YZ-HM1288-B0-3XL</v>
          </cell>
          <cell r="B6533" t="str">
            <v>YZ-HM1288</v>
          </cell>
        </row>
        <row r="6534">
          <cell r="A6534" t="str">
            <v>YZ-HM1288-B0-4XL</v>
          </cell>
          <cell r="B6534" t="str">
            <v>YZ-HM1288</v>
          </cell>
        </row>
        <row r="6535">
          <cell r="A6535" t="str">
            <v>YZ-HM1288-B0-5XL</v>
          </cell>
          <cell r="B6535" t="str">
            <v>YZ-HM1288</v>
          </cell>
        </row>
        <row r="6536">
          <cell r="A6536" t="str">
            <v>YZ-HM1288-B0-L</v>
          </cell>
          <cell r="B6536" t="str">
            <v>YZ-HM1288</v>
          </cell>
        </row>
        <row r="6537">
          <cell r="A6537" t="str">
            <v>YZ-HM1288-B0-M</v>
          </cell>
          <cell r="B6537" t="str">
            <v>YZ-HM1288</v>
          </cell>
        </row>
        <row r="6538">
          <cell r="A6538" t="str">
            <v>YZ-HM1288-B0-S</v>
          </cell>
          <cell r="B6538" t="str">
            <v>YZ-HM1288</v>
          </cell>
        </row>
        <row r="6539">
          <cell r="A6539" t="str">
            <v>YZ-HM1288-B0-XL</v>
          </cell>
          <cell r="B6539" t="str">
            <v>YZ-HM1288</v>
          </cell>
        </row>
        <row r="6540">
          <cell r="A6540" t="str">
            <v>YZ-HM1423-B0-2XL</v>
          </cell>
          <cell r="B6540" t="str">
            <v>YZ-HM1423</v>
          </cell>
        </row>
        <row r="6541">
          <cell r="A6541" t="str">
            <v>YZ-HM1423-Y0-2XL</v>
          </cell>
          <cell r="B6541" t="str">
            <v>YZ-HM1423</v>
          </cell>
        </row>
        <row r="6542">
          <cell r="A6542" t="str">
            <v>YZ-HM1478-K0-L</v>
          </cell>
          <cell r="B6542" t="str">
            <v>YZ-HM1478</v>
          </cell>
        </row>
        <row r="6543">
          <cell r="A6543" t="str">
            <v>YZ-HM1478-K0-M</v>
          </cell>
          <cell r="B6543" t="str">
            <v>YZ-HM1478</v>
          </cell>
        </row>
        <row r="6544">
          <cell r="A6544" t="str">
            <v>YZ-HM1478-Wi-L</v>
          </cell>
          <cell r="B6544" t="str">
            <v>YZ-HM1478</v>
          </cell>
        </row>
        <row r="6545">
          <cell r="A6545" t="str">
            <v>YZ-HM1478-Wi-M</v>
          </cell>
          <cell r="B6545" t="str">
            <v>YZ-HM1478</v>
          </cell>
        </row>
        <row r="6546">
          <cell r="A6546" t="str">
            <v>YZ-HM1534</v>
          </cell>
          <cell r="B6546" t="str">
            <v>YZ-HM1534</v>
          </cell>
        </row>
        <row r="6547">
          <cell r="A6547" t="str">
            <v>YZ-HM1534-G0-L</v>
          </cell>
          <cell r="B6547" t="str">
            <v>YZ-HM1534</v>
          </cell>
        </row>
        <row r="6548">
          <cell r="A6548" t="str">
            <v>YZ-HM1534-G0-M</v>
          </cell>
          <cell r="B6548" t="str">
            <v>YZ-HM1534</v>
          </cell>
        </row>
        <row r="6549">
          <cell r="A6549" t="str">
            <v>YZ-HM1534-YH-L</v>
          </cell>
          <cell r="B6549" t="str">
            <v>YZ-HM1534</v>
          </cell>
        </row>
        <row r="6550">
          <cell r="A6550" t="str">
            <v>YZ-HM1534-YH-M</v>
          </cell>
          <cell r="B6550" t="str">
            <v>YZ-HM1534</v>
          </cell>
        </row>
        <row r="6551">
          <cell r="A6551" t="str">
            <v>YZ-HM1584</v>
          </cell>
          <cell r="B6551" t="str">
            <v>YZ-HM1584</v>
          </cell>
        </row>
        <row r="6552">
          <cell r="A6552" t="str">
            <v>YZ-HM1584-K0-1XL</v>
          </cell>
          <cell r="B6552" t="str">
            <v>YZ-HM1584</v>
          </cell>
        </row>
        <row r="6553">
          <cell r="A6553" t="str">
            <v>YZ-HM1584-K0-2XL</v>
          </cell>
          <cell r="B6553" t="str">
            <v>YZ-HM1584</v>
          </cell>
        </row>
        <row r="6554">
          <cell r="A6554" t="str">
            <v>YZ-HM1584-K0-3XL</v>
          </cell>
          <cell r="B6554" t="str">
            <v>YZ-HM1584</v>
          </cell>
        </row>
        <row r="6555">
          <cell r="A6555" t="str">
            <v>YZ-HM1584-K0-3XL-GM</v>
          </cell>
          <cell r="B6555" t="str">
            <v>YZ-HM1584</v>
          </cell>
        </row>
        <row r="6556">
          <cell r="A6556" t="str">
            <v>YZ-HM1584-K0-L</v>
          </cell>
          <cell r="B6556" t="str">
            <v>YZ-HM1584</v>
          </cell>
        </row>
        <row r="6557">
          <cell r="A6557" t="str">
            <v>YZ-HM1584-K0-M</v>
          </cell>
          <cell r="B6557" t="str">
            <v>YZ-HM1584</v>
          </cell>
        </row>
        <row r="6558">
          <cell r="A6558" t="str">
            <v>YZ-HM1584-K0-S</v>
          </cell>
          <cell r="B6558" t="str">
            <v>YZ-HM1584</v>
          </cell>
        </row>
        <row r="6559">
          <cell r="A6559" t="str">
            <v>YZ-HM1625-BD-2XL</v>
          </cell>
          <cell r="B6559" t="str">
            <v>YZ-HM1625</v>
          </cell>
        </row>
        <row r="6560">
          <cell r="A6560" t="str">
            <v>YZ-HM1625-BD-3XL</v>
          </cell>
          <cell r="B6560" t="str">
            <v>YZ-HM1625</v>
          </cell>
        </row>
        <row r="6561">
          <cell r="A6561" t="str">
            <v>YZ-HM1625-BD-L</v>
          </cell>
          <cell r="B6561" t="str">
            <v>YZ-HM1625</v>
          </cell>
        </row>
        <row r="6562">
          <cell r="A6562" t="str">
            <v>YZ-HM1625-BD-M</v>
          </cell>
          <cell r="B6562" t="str">
            <v>YZ-HM1625</v>
          </cell>
        </row>
        <row r="6563">
          <cell r="A6563" t="str">
            <v>YZ-HM1625-BD-S</v>
          </cell>
          <cell r="B6563" t="str">
            <v>YZ-HM1625</v>
          </cell>
        </row>
        <row r="6564">
          <cell r="A6564" t="str">
            <v>YZ-HM1625-BD-XL</v>
          </cell>
          <cell r="B6564" t="str">
            <v>YZ-HM1625</v>
          </cell>
        </row>
        <row r="6565">
          <cell r="A6565" t="str">
            <v>YZ-HM1625-G0-2XL</v>
          </cell>
          <cell r="B6565" t="str">
            <v>YZ-HM1625</v>
          </cell>
        </row>
        <row r="6566">
          <cell r="A6566" t="str">
            <v>YZ-HM1625-G0-3XL</v>
          </cell>
          <cell r="B6566" t="str">
            <v>YZ-HM1625</v>
          </cell>
        </row>
        <row r="6567">
          <cell r="A6567" t="str">
            <v>YZ-HM1625-G0-L</v>
          </cell>
          <cell r="B6567" t="str">
            <v>YZ-HM1625</v>
          </cell>
        </row>
        <row r="6568">
          <cell r="A6568" t="str">
            <v>YZ-HM1625-G0-M</v>
          </cell>
          <cell r="B6568" t="str">
            <v>YZ-HM1625</v>
          </cell>
        </row>
        <row r="6569">
          <cell r="A6569" t="str">
            <v>YZ-HM1625-G0-S</v>
          </cell>
          <cell r="B6569" t="str">
            <v>YZ-HM1625</v>
          </cell>
        </row>
        <row r="6570">
          <cell r="A6570" t="str">
            <v>YZ-HM1625-G0-XL</v>
          </cell>
          <cell r="B6570" t="str">
            <v>YZ-HM1625</v>
          </cell>
        </row>
        <row r="6571">
          <cell r="A6571" t="str">
            <v>YZ-HM1625-GR-2XL</v>
          </cell>
          <cell r="B6571" t="str">
            <v>YZ-HM1625</v>
          </cell>
        </row>
        <row r="6572">
          <cell r="A6572" t="str">
            <v>YZ-HM1625-GR-3XL</v>
          </cell>
          <cell r="B6572" t="str">
            <v>YZ-HM1625</v>
          </cell>
        </row>
        <row r="6573">
          <cell r="A6573" t="str">
            <v>YZ-HM1625-GR-L</v>
          </cell>
          <cell r="B6573" t="str">
            <v>YZ-HM1625</v>
          </cell>
        </row>
        <row r="6574">
          <cell r="A6574" t="str">
            <v>YZ-HM1625-GR-S</v>
          </cell>
          <cell r="B6574" t="str">
            <v>YZ-HM1625</v>
          </cell>
        </row>
        <row r="6575">
          <cell r="A6575" t="str">
            <v>YZ-HM1625-GR-XL</v>
          </cell>
          <cell r="B6575" t="str">
            <v>YZ-HM1625</v>
          </cell>
        </row>
        <row r="6576">
          <cell r="A6576" t="str">
            <v>YZ-HM1625-R0-2XL</v>
          </cell>
          <cell r="B6576" t="str">
            <v>YZ-HM1625</v>
          </cell>
        </row>
        <row r="6577">
          <cell r="A6577" t="str">
            <v>YZ-HM1625-R0-3XL</v>
          </cell>
          <cell r="B6577" t="str">
            <v>YZ-HM1625</v>
          </cell>
        </row>
        <row r="6578">
          <cell r="A6578" t="str">
            <v>YZ-HM1625-R0-L</v>
          </cell>
          <cell r="B6578" t="str">
            <v>YZ-HM1625</v>
          </cell>
        </row>
        <row r="6579">
          <cell r="A6579" t="str">
            <v>YZ-HM1625-R0-S</v>
          </cell>
          <cell r="B6579" t="str">
            <v>YZ-HM1625</v>
          </cell>
        </row>
        <row r="6580">
          <cell r="A6580" t="str">
            <v>YZ-HM1625-R0-XL</v>
          </cell>
          <cell r="B6580" t="str">
            <v>YZ-HM1625</v>
          </cell>
        </row>
        <row r="6581">
          <cell r="A6581" t="str">
            <v>YZ-HM1625-YT-2XL</v>
          </cell>
          <cell r="B6581" t="str">
            <v>YZ-HM1625</v>
          </cell>
        </row>
        <row r="6582">
          <cell r="A6582" t="str">
            <v>YZ-HM1625-YT-3XL</v>
          </cell>
          <cell r="B6582" t="str">
            <v>YZ-HM1625</v>
          </cell>
        </row>
        <row r="6583">
          <cell r="A6583" t="str">
            <v>YZ-HM1625-YT-M</v>
          </cell>
          <cell r="B6583" t="str">
            <v>YZ-HM1625</v>
          </cell>
        </row>
        <row r="6584">
          <cell r="A6584" t="str">
            <v>YZ-HM1625-YT-S</v>
          </cell>
          <cell r="B6584" t="str">
            <v>YZ-HM1625</v>
          </cell>
        </row>
        <row r="6585">
          <cell r="A6585" t="str">
            <v>YZ-HM1625-YT-XL</v>
          </cell>
          <cell r="B6585" t="str">
            <v>YZ-HM1625</v>
          </cell>
        </row>
        <row r="6586">
          <cell r="A6586" t="str">
            <v>YZ-HM1625-ZL-2XL</v>
          </cell>
          <cell r="B6586" t="str">
            <v>YZ-HM1625</v>
          </cell>
        </row>
        <row r="6587">
          <cell r="A6587" t="str">
            <v>YZ-HM1625-ZL-3XL</v>
          </cell>
          <cell r="B6587" t="str">
            <v>YZ-HM1625</v>
          </cell>
        </row>
        <row r="6588">
          <cell r="A6588" t="str">
            <v>YZ-HM1625-ZL-M</v>
          </cell>
          <cell r="B6588" t="str">
            <v>YZ-HM1625</v>
          </cell>
        </row>
        <row r="6589">
          <cell r="A6589" t="str">
            <v>YZ-HM1625-ZL-S</v>
          </cell>
          <cell r="B6589" t="str">
            <v>YZ-HM1625</v>
          </cell>
        </row>
        <row r="6590">
          <cell r="A6590" t="str">
            <v>YZ-HM1625-ZL-XL</v>
          </cell>
          <cell r="B6590" t="str">
            <v>YZ-HM1625</v>
          </cell>
        </row>
        <row r="6591">
          <cell r="A6591" t="str">
            <v>YZ-HM1683-B0-48</v>
          </cell>
          <cell r="B6591" t="str">
            <v>YZ-HM1683</v>
          </cell>
        </row>
        <row r="6592">
          <cell r="A6592" t="str">
            <v>YZ-HM1683-B0-50</v>
          </cell>
          <cell r="B6592" t="str">
            <v>YZ-HM1683</v>
          </cell>
        </row>
        <row r="6593">
          <cell r="A6593" t="str">
            <v>YZ-HM1683-B0-52</v>
          </cell>
          <cell r="B6593" t="str">
            <v>YZ-HM1683</v>
          </cell>
        </row>
        <row r="6594">
          <cell r="A6594" t="str">
            <v>YZ-HM1683-BDB0-50</v>
          </cell>
          <cell r="B6594" t="str">
            <v>YZ-HM1683</v>
          </cell>
        </row>
        <row r="6595">
          <cell r="A6595" t="str">
            <v>YZ-HM1683-BDB0-52</v>
          </cell>
          <cell r="B6595" t="str">
            <v>YZ-HM1683</v>
          </cell>
        </row>
        <row r="6596">
          <cell r="A6596" t="str">
            <v>YZ-HM1683-BDG0-54</v>
          </cell>
          <cell r="B6596" t="str">
            <v>YZ-HM1683</v>
          </cell>
        </row>
        <row r="6597">
          <cell r="A6597" t="str">
            <v>YZ-HM1683-BDG0-56</v>
          </cell>
          <cell r="B6597" t="str">
            <v>YZ-HM1683</v>
          </cell>
        </row>
        <row r="6598">
          <cell r="A6598" t="str">
            <v>YZ-HM1683-BDZL-48</v>
          </cell>
          <cell r="B6598" t="str">
            <v>YZ-HM1683</v>
          </cell>
        </row>
        <row r="6599">
          <cell r="A6599" t="str">
            <v>YZ-HM1683-BDZL-50</v>
          </cell>
          <cell r="B6599" t="str">
            <v>YZ-HM1683</v>
          </cell>
        </row>
        <row r="6600">
          <cell r="A6600" t="str">
            <v>YZ-HM1683-BDZL-56</v>
          </cell>
          <cell r="B6600" t="str">
            <v>YZ-HM1683</v>
          </cell>
        </row>
        <row r="6601">
          <cell r="A6601" t="str">
            <v>YZ-HM1683-G0-48</v>
          </cell>
          <cell r="B6601" t="str">
            <v>YZ-HM1683</v>
          </cell>
        </row>
        <row r="6602">
          <cell r="A6602" t="str">
            <v>YZ-HM1683-G0-54</v>
          </cell>
          <cell r="B6602" t="str">
            <v>YZ-HM1683</v>
          </cell>
        </row>
        <row r="6603">
          <cell r="A6603" t="str">
            <v>YZ-HM1683-G0-56</v>
          </cell>
          <cell r="B6603" t="str">
            <v>YZ-HM1683</v>
          </cell>
        </row>
        <row r="6604">
          <cell r="A6604" t="str">
            <v>YZ-HM1683-R0-52</v>
          </cell>
          <cell r="B6604" t="str">
            <v>YZ-HM1683</v>
          </cell>
        </row>
        <row r="6605">
          <cell r="A6605" t="str">
            <v>YZ-HM1683-ZL-48</v>
          </cell>
          <cell r="B6605" t="str">
            <v>YZ-HM1683</v>
          </cell>
        </row>
        <row r="6606">
          <cell r="A6606" t="str">
            <v>YZ-HM1683-ZL-52</v>
          </cell>
          <cell r="B6606" t="str">
            <v>YZ-HM1683</v>
          </cell>
        </row>
        <row r="6607">
          <cell r="A6607" t="str">
            <v>YZ-HM1683-ZL-54</v>
          </cell>
          <cell r="B6607" t="str">
            <v>YZ-HM1683</v>
          </cell>
        </row>
        <row r="6608">
          <cell r="A6608" t="str">
            <v>YZ-HM1689-R0-50</v>
          </cell>
          <cell r="B6608" t="str">
            <v>YZ-HM1689</v>
          </cell>
        </row>
        <row r="6609">
          <cell r="A6609" t="str">
            <v>YZ-HM1689-R0-52</v>
          </cell>
          <cell r="B6609" t="str">
            <v>YZ-HM1689</v>
          </cell>
        </row>
        <row r="6610">
          <cell r="A6610" t="str">
            <v>YZ-HM1689-R0-54</v>
          </cell>
          <cell r="B6610" t="str">
            <v>YZ-HM1689</v>
          </cell>
        </row>
        <row r="6611">
          <cell r="A6611" t="str">
            <v>YZ-HM1689-R0-56</v>
          </cell>
          <cell r="B6611" t="str">
            <v>YZ-HM1689</v>
          </cell>
        </row>
        <row r="6612">
          <cell r="A6612" t="str">
            <v>YZ-HM17015</v>
          </cell>
          <cell r="B6612" t="str">
            <v>YZ-HM17015</v>
          </cell>
        </row>
        <row r="6613">
          <cell r="A6613" t="str">
            <v>YZ-HM17015-B0-L</v>
          </cell>
          <cell r="B6613" t="str">
            <v>YZ-HM17015</v>
          </cell>
        </row>
        <row r="6614">
          <cell r="A6614" t="str">
            <v>YZ-HM17015-B0-M</v>
          </cell>
          <cell r="B6614" t="str">
            <v>YZ-HM17015</v>
          </cell>
        </row>
        <row r="6615">
          <cell r="A6615" t="str">
            <v>YZ-HM17015-B0-S</v>
          </cell>
          <cell r="B6615" t="str">
            <v>YZ-HM17015</v>
          </cell>
        </row>
        <row r="6616">
          <cell r="A6616" t="str">
            <v>YZ-HM17015-B0-XL</v>
          </cell>
          <cell r="B6616" t="str">
            <v>YZ-HM17015</v>
          </cell>
        </row>
        <row r="6617">
          <cell r="A6617" t="str">
            <v>YZ-HM17015-K0-L</v>
          </cell>
          <cell r="B6617" t="str">
            <v>YZ-HM17015</v>
          </cell>
        </row>
        <row r="6618">
          <cell r="A6618" t="str">
            <v>YZ-HM17015-K0-M</v>
          </cell>
          <cell r="B6618" t="str">
            <v>YZ-HM17015</v>
          </cell>
        </row>
        <row r="6619">
          <cell r="A6619" t="str">
            <v>YZ-HM17015-K0-S</v>
          </cell>
          <cell r="B6619" t="str">
            <v>YZ-HM17015</v>
          </cell>
        </row>
        <row r="6620">
          <cell r="A6620" t="str">
            <v>YZ-HM17015-K0-XL</v>
          </cell>
          <cell r="B6620" t="str">
            <v>YZ-HM17015</v>
          </cell>
        </row>
        <row r="6621">
          <cell r="A6621" t="str">
            <v>YZ-HM17015-OR-L</v>
          </cell>
          <cell r="B6621" t="str">
            <v>YZ-HM17015</v>
          </cell>
        </row>
        <row r="6622">
          <cell r="A6622" t="str">
            <v>YZ-HM17015-OR-M</v>
          </cell>
          <cell r="B6622" t="str">
            <v>YZ-HM17015</v>
          </cell>
        </row>
        <row r="6623">
          <cell r="A6623" t="str">
            <v>YZ-HM17015-OR-S</v>
          </cell>
          <cell r="B6623" t="str">
            <v>YZ-HM17015</v>
          </cell>
        </row>
        <row r="6624">
          <cell r="A6624" t="str">
            <v>YZ-HM17015-OR-XL</v>
          </cell>
          <cell r="B6624" t="str">
            <v>YZ-HM17015</v>
          </cell>
        </row>
        <row r="6625">
          <cell r="A6625" t="str">
            <v>YZ-HM17015-WI-L</v>
          </cell>
          <cell r="B6625" t="str">
            <v>YZ-HM17015</v>
          </cell>
        </row>
        <row r="6626">
          <cell r="A6626" t="str">
            <v>YZ-HM17015-WI-M</v>
          </cell>
          <cell r="B6626" t="str">
            <v>YZ-HM17015</v>
          </cell>
        </row>
        <row r="6627">
          <cell r="A6627" t="str">
            <v>YZ-HM17015-WI-S</v>
          </cell>
          <cell r="B6627" t="str">
            <v>YZ-HM17015</v>
          </cell>
        </row>
        <row r="6628">
          <cell r="A6628" t="str">
            <v>YZ-HM17015-WI-XL</v>
          </cell>
          <cell r="B6628" t="str">
            <v>YZ-HM17015</v>
          </cell>
        </row>
        <row r="6629">
          <cell r="A6629" t="str">
            <v>YZ-HM17077-B0-L</v>
          </cell>
          <cell r="B6629" t="str">
            <v>YZ-HM17077</v>
          </cell>
        </row>
        <row r="6630">
          <cell r="A6630" t="str">
            <v>YZ-HM17077-B0-M</v>
          </cell>
          <cell r="B6630" t="str">
            <v>YZ-HM17077</v>
          </cell>
        </row>
        <row r="6631">
          <cell r="A6631" t="str">
            <v>YZ-HM17077-B0-XL</v>
          </cell>
          <cell r="B6631" t="str">
            <v>YZ-HM17077</v>
          </cell>
        </row>
        <row r="6632">
          <cell r="A6632" t="str">
            <v>YZ-HM17077-CO-L</v>
          </cell>
          <cell r="B6632" t="str">
            <v>YZ-HM17077</v>
          </cell>
        </row>
        <row r="6633">
          <cell r="A6633" t="str">
            <v>YZ-HM17077-CO-M</v>
          </cell>
          <cell r="B6633" t="str">
            <v>YZ-HM17077</v>
          </cell>
        </row>
        <row r="6634">
          <cell r="A6634" t="str">
            <v>YZ-HM17077-K0-L</v>
          </cell>
          <cell r="B6634" t="str">
            <v>YZ-HM17077</v>
          </cell>
        </row>
        <row r="6635">
          <cell r="A6635" t="str">
            <v>YZ-HM17077-K0-M</v>
          </cell>
          <cell r="B6635" t="str">
            <v>YZ-HM17077</v>
          </cell>
        </row>
        <row r="6636">
          <cell r="A6636" t="str">
            <v>YZ-HM17077-K0-XL</v>
          </cell>
          <cell r="B6636" t="str">
            <v>YZ-HM17077</v>
          </cell>
        </row>
        <row r="6637">
          <cell r="A6637" t="str">
            <v>YZ-HM17077-PI-L</v>
          </cell>
          <cell r="B6637" t="str">
            <v>YZ-HM17077</v>
          </cell>
        </row>
        <row r="6638">
          <cell r="A6638" t="str">
            <v>YZ-HM17077-PI-S</v>
          </cell>
          <cell r="B6638" t="str">
            <v>YZ-HM17077</v>
          </cell>
        </row>
        <row r="6639">
          <cell r="A6639" t="str">
            <v>YZ-HM17077-W0-L</v>
          </cell>
          <cell r="B6639" t="str">
            <v>YZ-HM17077</v>
          </cell>
        </row>
        <row r="6640">
          <cell r="A6640" t="str">
            <v>YZ-HM17077-W0-M</v>
          </cell>
          <cell r="B6640" t="str">
            <v>YZ-HM17077</v>
          </cell>
        </row>
        <row r="6641">
          <cell r="A6641" t="str">
            <v>YZ-HM17077-W0-XL</v>
          </cell>
          <cell r="B6641" t="str">
            <v>YZ-HM17077</v>
          </cell>
        </row>
        <row r="6642">
          <cell r="A6642" t="str">
            <v>YZ-HM1711-B0-L</v>
          </cell>
          <cell r="B6642" t="str">
            <v>YZ-HM1711</v>
          </cell>
        </row>
        <row r="6643">
          <cell r="A6643" t="str">
            <v>YZ-HM1711-B0-M</v>
          </cell>
          <cell r="B6643" t="str">
            <v>YZ-HM1711</v>
          </cell>
        </row>
        <row r="6644">
          <cell r="A6644" t="str">
            <v>YZ-HM1711-B0-S</v>
          </cell>
          <cell r="B6644" t="str">
            <v>YZ-HM1711</v>
          </cell>
        </row>
        <row r="6645">
          <cell r="A6645" t="str">
            <v>YZ-HM1711-B0-XL</v>
          </cell>
          <cell r="B6645" t="str">
            <v>YZ-HM1711</v>
          </cell>
        </row>
        <row r="6646">
          <cell r="A6646" t="str">
            <v>YZ-HM1711-K0-XL</v>
          </cell>
          <cell r="B6646" t="str">
            <v>YZ-HM1711</v>
          </cell>
        </row>
        <row r="6647">
          <cell r="A6647" t="str">
            <v>YZ-HM17125-K0-2XL</v>
          </cell>
          <cell r="B6647" t="str">
            <v>YZ-HM1727</v>
          </cell>
        </row>
        <row r="6648">
          <cell r="A6648" t="str">
            <v>YZ-HM17125-K0-3XL</v>
          </cell>
          <cell r="B6648" t="str">
            <v>YZ-HM1727</v>
          </cell>
        </row>
        <row r="6649">
          <cell r="A6649" t="str">
            <v>YZ-HM17125-K0-4XL</v>
          </cell>
          <cell r="B6649" t="str">
            <v>YZ-HM1727</v>
          </cell>
        </row>
        <row r="6650">
          <cell r="A6650" t="str">
            <v>YZ-HM1718-K0-2XL</v>
          </cell>
          <cell r="B6650" t="str">
            <v>YZ-HM1718</v>
          </cell>
        </row>
        <row r="6651">
          <cell r="A6651" t="str">
            <v>YZ-HM1718-K0-3XL</v>
          </cell>
          <cell r="B6651" t="str">
            <v>YZ-HM1718</v>
          </cell>
        </row>
        <row r="6652">
          <cell r="A6652" t="str">
            <v>YZ-HM1718-K0-4XL</v>
          </cell>
          <cell r="B6652" t="str">
            <v>YZ-HM1718</v>
          </cell>
        </row>
        <row r="6653">
          <cell r="A6653" t="str">
            <v>YZ-HM1718-K0-L</v>
          </cell>
          <cell r="B6653" t="str">
            <v>YZ-HM1718</v>
          </cell>
        </row>
        <row r="6654">
          <cell r="A6654" t="str">
            <v>YZ-HM1718-K0-M</v>
          </cell>
          <cell r="B6654" t="str">
            <v>YZ-HM1718</v>
          </cell>
        </row>
        <row r="6655">
          <cell r="A6655" t="str">
            <v>YZ-HM1718-K0-S</v>
          </cell>
          <cell r="B6655" t="str">
            <v>YZ-HM1718</v>
          </cell>
        </row>
        <row r="6656">
          <cell r="A6656" t="str">
            <v>YZ-HM1718-K0-XL</v>
          </cell>
          <cell r="B6656" t="str">
            <v>YZ-HM1718</v>
          </cell>
        </row>
        <row r="6657">
          <cell r="A6657" t="str">
            <v>YZ-HM1718-R0-2XL</v>
          </cell>
          <cell r="B6657" t="str">
            <v>YZ-HM1718</v>
          </cell>
        </row>
        <row r="6658">
          <cell r="A6658" t="str">
            <v>YZ-HM1718-R0-3XL</v>
          </cell>
          <cell r="B6658" t="str">
            <v>YZ-HM1718</v>
          </cell>
        </row>
        <row r="6659">
          <cell r="A6659" t="str">
            <v>YZ-HM1718-R0-4XL</v>
          </cell>
          <cell r="B6659" t="str">
            <v>YZ-HM1718</v>
          </cell>
        </row>
        <row r="6660">
          <cell r="A6660" t="str">
            <v>YZ-HM1718-R0-L</v>
          </cell>
          <cell r="B6660" t="str">
            <v>YZ-HM1718</v>
          </cell>
        </row>
        <row r="6661">
          <cell r="A6661" t="str">
            <v>YZ-HM1718-R0-M</v>
          </cell>
          <cell r="B6661" t="str">
            <v>YZ-HM1718</v>
          </cell>
        </row>
        <row r="6662">
          <cell r="A6662" t="str">
            <v>YZ-HM1718-R0-S</v>
          </cell>
          <cell r="B6662" t="str">
            <v>YZ-HM1718</v>
          </cell>
        </row>
        <row r="6663">
          <cell r="A6663" t="str">
            <v>YZ-HM1718-R0-XL</v>
          </cell>
          <cell r="B6663" t="str">
            <v>YZ-HM1718</v>
          </cell>
        </row>
        <row r="6664">
          <cell r="A6664" t="str">
            <v>YZ-HM1727-Pi-2XL</v>
          </cell>
          <cell r="B6664" t="str">
            <v>YZ-HM1727</v>
          </cell>
        </row>
        <row r="6665">
          <cell r="A6665" t="str">
            <v>YZ-HM1727-Pi-3XL</v>
          </cell>
          <cell r="B6665" t="str">
            <v>YZ-HM1727</v>
          </cell>
        </row>
        <row r="6666">
          <cell r="A6666" t="str">
            <v>YZ-HM1727-Pi-4XL</v>
          </cell>
          <cell r="B6666" t="str">
            <v>YZ-HM1727</v>
          </cell>
        </row>
        <row r="6667">
          <cell r="A6667" t="str">
            <v>YZ-HM1727-Pi-5XL</v>
          </cell>
          <cell r="B6667" t="str">
            <v>YZ-HM1727</v>
          </cell>
        </row>
        <row r="6668">
          <cell r="A6668" t="str">
            <v>YZ-HM1727-Pi-L</v>
          </cell>
          <cell r="B6668" t="str">
            <v>YZ-HM1727</v>
          </cell>
        </row>
        <row r="6669">
          <cell r="A6669" t="str">
            <v>YZ-HM1727-Pi-L-GM</v>
          </cell>
          <cell r="B6669" t="str">
            <v>YZ-HM1727</v>
          </cell>
        </row>
        <row r="6670">
          <cell r="A6670" t="str">
            <v>YZ-HM1727-Pi-M</v>
          </cell>
          <cell r="B6670" t="str">
            <v>YZ-HM1727</v>
          </cell>
        </row>
        <row r="6671">
          <cell r="A6671" t="str">
            <v>YZ-HM1727-Pi-S</v>
          </cell>
          <cell r="B6671" t="str">
            <v>YZ-HM1727</v>
          </cell>
        </row>
        <row r="6672">
          <cell r="A6672" t="str">
            <v>YZ-HM1727-Pi-XL</v>
          </cell>
          <cell r="B6672" t="str">
            <v>YZ-HM1727</v>
          </cell>
        </row>
        <row r="6673">
          <cell r="A6673" t="str">
            <v>YZ-HM1727-Pi-XL-GM</v>
          </cell>
          <cell r="B6673" t="str">
            <v>YZ-HM1727</v>
          </cell>
        </row>
        <row r="6674">
          <cell r="A6674" t="str">
            <v>YZ-HM1728-ZL-L</v>
          </cell>
          <cell r="B6674" t="str">
            <v>YZ-HM1728</v>
          </cell>
        </row>
        <row r="6675">
          <cell r="A6675" t="str">
            <v>YZ-HM1728-ZL-M</v>
          </cell>
          <cell r="B6675" t="str">
            <v>YZ-HM1728</v>
          </cell>
        </row>
        <row r="6676">
          <cell r="A6676" t="str">
            <v>YZ-HM1728-ZL-S</v>
          </cell>
          <cell r="B6676" t="str">
            <v>YZ-HM1728</v>
          </cell>
        </row>
        <row r="6677">
          <cell r="A6677" t="str">
            <v>YZ-HM1728-ZL-XL</v>
          </cell>
          <cell r="B6677" t="str">
            <v>YZ-HM1728</v>
          </cell>
        </row>
        <row r="6678">
          <cell r="A6678" t="str">
            <v>YZ-HM174164-SY-2XL</v>
          </cell>
          <cell r="B6678" t="str">
            <v>YZ-HM174164</v>
          </cell>
        </row>
        <row r="6679">
          <cell r="A6679" t="str">
            <v>YZ-HM174164-SY-3XL</v>
          </cell>
          <cell r="B6679" t="str">
            <v>YZ-HM174164</v>
          </cell>
        </row>
        <row r="6680">
          <cell r="A6680" t="str">
            <v>YZ-HM174164-SY-4XL</v>
          </cell>
          <cell r="B6680" t="str">
            <v>YZ-HM174164</v>
          </cell>
        </row>
        <row r="6681">
          <cell r="A6681" t="str">
            <v>YZ-HM174164-SY-5XL</v>
          </cell>
          <cell r="B6681" t="str">
            <v>YZ-HM174164</v>
          </cell>
        </row>
        <row r="6682">
          <cell r="A6682" t="str">
            <v>YZ-HM174164-SY-L</v>
          </cell>
          <cell r="B6682" t="str">
            <v>YZ-HM174164</v>
          </cell>
        </row>
        <row r="6683">
          <cell r="A6683" t="str">
            <v>YZ-HM174164-SY-M</v>
          </cell>
          <cell r="B6683" t="str">
            <v>YZ-HM174164</v>
          </cell>
        </row>
        <row r="6684">
          <cell r="A6684" t="str">
            <v>YZ-HM174164-SY-S</v>
          </cell>
          <cell r="B6684" t="str">
            <v>YZ-HM174164</v>
          </cell>
        </row>
        <row r="6685">
          <cell r="A6685" t="str">
            <v>YZ-HM174164-SY-XL</v>
          </cell>
          <cell r="B6685" t="str">
            <v>YZ-HM174164</v>
          </cell>
        </row>
        <row r="6686">
          <cell r="A6686" t="str">
            <v>YZ-HM1757-K0-L</v>
          </cell>
          <cell r="B6686" t="str">
            <v>YZ-HM1757</v>
          </cell>
        </row>
        <row r="6687">
          <cell r="A6687" t="str">
            <v>YZ-HM1757-K0-M</v>
          </cell>
          <cell r="B6687" t="str">
            <v>YZ-HM1757</v>
          </cell>
        </row>
        <row r="6688">
          <cell r="A6688" t="str">
            <v>YZ-HM1757-K0-S</v>
          </cell>
          <cell r="B6688" t="str">
            <v>YZ-HM1757</v>
          </cell>
        </row>
        <row r="6689">
          <cell r="A6689" t="str">
            <v>YZ-HM1757-K0-XL</v>
          </cell>
          <cell r="B6689" t="str">
            <v>YZ-HM1757</v>
          </cell>
        </row>
        <row r="6690">
          <cell r="A6690" t="str">
            <v>YZ-HM1757-Pi-L</v>
          </cell>
          <cell r="B6690" t="str">
            <v>YZ-HM1757</v>
          </cell>
        </row>
        <row r="6691">
          <cell r="A6691" t="str">
            <v>YZ-HM1757-Pi-L-GM</v>
          </cell>
          <cell r="B6691" t="str">
            <v>YZ-HM1757</v>
          </cell>
        </row>
        <row r="6692">
          <cell r="A6692" t="str">
            <v>YZ-HM1757-Pi-M</v>
          </cell>
          <cell r="B6692" t="str">
            <v>YZ-HM1757</v>
          </cell>
        </row>
        <row r="6693">
          <cell r="A6693" t="str">
            <v>YZ-HM1757-Pi-S</v>
          </cell>
          <cell r="B6693" t="str">
            <v>YZ-HM1757</v>
          </cell>
        </row>
        <row r="6694">
          <cell r="A6694" t="str">
            <v>YZ-HM1757-Pi-XL</v>
          </cell>
          <cell r="B6694" t="str">
            <v>YZ-HM1757</v>
          </cell>
        </row>
        <row r="6695">
          <cell r="A6695" t="str">
            <v>YZ-HM17845-YH-L</v>
          </cell>
          <cell r="B6695" t="str">
            <v>YZ-HM17845</v>
          </cell>
        </row>
        <row r="6696">
          <cell r="A6696" t="str">
            <v>YZ-HM17845-YH-M</v>
          </cell>
          <cell r="B6696" t="str">
            <v>YZ-HM17845</v>
          </cell>
        </row>
        <row r="6697">
          <cell r="A6697" t="str">
            <v>YZ-HM17845-YH-S</v>
          </cell>
          <cell r="B6697" t="str">
            <v>YZ-HM17845</v>
          </cell>
        </row>
        <row r="6698">
          <cell r="A6698" t="str">
            <v>YZ-HM17845-YH-S-GM</v>
          </cell>
          <cell r="B6698" t="str">
            <v>YZ-HM17845</v>
          </cell>
        </row>
        <row r="6699">
          <cell r="A6699" t="str">
            <v>YZ-HM17845-YH-XL</v>
          </cell>
          <cell r="B6699" t="str">
            <v>YZ-HM17845</v>
          </cell>
        </row>
        <row r="6700">
          <cell r="A6700" t="str">
            <v>YZ-HM17-G0-2XL</v>
          </cell>
          <cell r="B6700" t="str">
            <v>YZ-HM17</v>
          </cell>
        </row>
        <row r="6701">
          <cell r="A6701" t="str">
            <v>YZ-HM17-G0-L</v>
          </cell>
          <cell r="B6701" t="str">
            <v>YZ-HM17</v>
          </cell>
        </row>
        <row r="6702">
          <cell r="A6702" t="str">
            <v>YZ-HM17-G0-XL</v>
          </cell>
          <cell r="B6702" t="str">
            <v>YZ-HM17</v>
          </cell>
        </row>
        <row r="6703">
          <cell r="A6703" t="str">
            <v>YZ-HM241-DS-2XL</v>
          </cell>
          <cell r="B6703" t="str">
            <v>YZ-HM241</v>
          </cell>
        </row>
        <row r="6704">
          <cell r="A6704" t="str">
            <v>YZ-HM241-DS-L</v>
          </cell>
          <cell r="B6704" t="str">
            <v>YZ-HM241</v>
          </cell>
        </row>
        <row r="6705">
          <cell r="A6705" t="str">
            <v>YZ-HM241-DS-M</v>
          </cell>
          <cell r="B6705" t="str">
            <v>YZ-HM241</v>
          </cell>
        </row>
        <row r="6706">
          <cell r="A6706" t="str">
            <v>YZ-HM241-DS-XL</v>
          </cell>
          <cell r="B6706" t="str">
            <v>YZ-HM241</v>
          </cell>
        </row>
        <row r="6707">
          <cell r="A6707" t="str">
            <v>YZ-HM241-G0-2XL</v>
          </cell>
          <cell r="B6707" t="str">
            <v>YZ-HM241</v>
          </cell>
        </row>
        <row r="6708">
          <cell r="A6708" t="str">
            <v>YZ-HM241-G0-3XL</v>
          </cell>
          <cell r="B6708" t="str">
            <v>YZ-HM241</v>
          </cell>
        </row>
        <row r="6709">
          <cell r="A6709" t="str">
            <v>YZ-HM241-G0-L</v>
          </cell>
          <cell r="B6709" t="str">
            <v>YZ-HM241</v>
          </cell>
        </row>
        <row r="6710">
          <cell r="A6710" t="str">
            <v>YZ-HM241-G0-M</v>
          </cell>
          <cell r="B6710" t="str">
            <v>YZ-HM241</v>
          </cell>
        </row>
        <row r="6711">
          <cell r="A6711" t="str">
            <v>YZ-HM241-G0-S</v>
          </cell>
          <cell r="B6711" t="str">
            <v>YZ-HM241</v>
          </cell>
        </row>
        <row r="6712">
          <cell r="A6712" t="str">
            <v>YZ-HM241-G0-XL</v>
          </cell>
          <cell r="B6712" t="str">
            <v>YZ-HM241</v>
          </cell>
        </row>
        <row r="6713">
          <cell r="A6713" t="str">
            <v>YZ-HM241-K0-2XL</v>
          </cell>
          <cell r="B6713" t="str">
            <v>YZ-HM241</v>
          </cell>
        </row>
        <row r="6714">
          <cell r="A6714" t="str">
            <v>YZ-HM241-K0-3XL</v>
          </cell>
          <cell r="B6714" t="str">
            <v>YZ-HM241</v>
          </cell>
        </row>
        <row r="6715">
          <cell r="A6715" t="str">
            <v>YZ-HM241-K0-4XL</v>
          </cell>
          <cell r="B6715" t="str">
            <v>YZ-HM241</v>
          </cell>
        </row>
        <row r="6716">
          <cell r="A6716" t="str">
            <v>YZ-HM241-K0-5XL</v>
          </cell>
          <cell r="B6716" t="str">
            <v>YZ-HM241</v>
          </cell>
        </row>
        <row r="6717">
          <cell r="A6717" t="str">
            <v>YZ-HM241-K0-L</v>
          </cell>
          <cell r="B6717" t="str">
            <v>YZ-HM241</v>
          </cell>
        </row>
        <row r="6718">
          <cell r="A6718" t="str">
            <v>YZ-HM241-K0-M</v>
          </cell>
          <cell r="B6718" t="str">
            <v>YZ-HM241</v>
          </cell>
        </row>
        <row r="6719">
          <cell r="A6719" t="str">
            <v>YZ-HM241-K0-S</v>
          </cell>
          <cell r="B6719" t="str">
            <v>YZ-HM241</v>
          </cell>
        </row>
        <row r="6720">
          <cell r="A6720" t="str">
            <v>YZ-HM241-K0-XL</v>
          </cell>
          <cell r="B6720" t="str">
            <v>YZ-HM241</v>
          </cell>
        </row>
        <row r="6721">
          <cell r="A6721" t="str">
            <v>YZ-HM241-R0-2XL</v>
          </cell>
          <cell r="B6721" t="str">
            <v>YZ-HM241</v>
          </cell>
        </row>
        <row r="6722">
          <cell r="A6722" t="str">
            <v>YZ-HM241-R0-3XL</v>
          </cell>
          <cell r="B6722" t="str">
            <v>YZ-HM241</v>
          </cell>
        </row>
        <row r="6723">
          <cell r="A6723" t="str">
            <v>YZ-HM241-R0-L</v>
          </cell>
          <cell r="B6723" t="str">
            <v>YZ-HM241</v>
          </cell>
        </row>
        <row r="6724">
          <cell r="A6724" t="str">
            <v>YZ-HM241-R0-M</v>
          </cell>
          <cell r="B6724" t="str">
            <v>YZ-HM241</v>
          </cell>
        </row>
        <row r="6725">
          <cell r="A6725" t="str">
            <v>YZ-HM241-R0-S</v>
          </cell>
          <cell r="B6725" t="str">
            <v>YZ-HM241</v>
          </cell>
        </row>
        <row r="6726">
          <cell r="A6726" t="str">
            <v>YZ-HM241-R0-XL</v>
          </cell>
          <cell r="B6726" t="str">
            <v>YZ-HM241</v>
          </cell>
        </row>
        <row r="6727">
          <cell r="A6727" t="str">
            <v>YZ-HM241-SH-2XL</v>
          </cell>
          <cell r="B6727" t="str">
            <v>YZ-HM241</v>
          </cell>
        </row>
        <row r="6728">
          <cell r="A6728" t="str">
            <v>YZ-HM241-SH-3XL</v>
          </cell>
          <cell r="B6728" t="str">
            <v>YZ-HM241</v>
          </cell>
        </row>
        <row r="6729">
          <cell r="A6729" t="str">
            <v>YZ-HM241-SH-4XL</v>
          </cell>
          <cell r="B6729" t="str">
            <v>YZ-HM241</v>
          </cell>
        </row>
        <row r="6730">
          <cell r="A6730" t="str">
            <v>YZ-HM241-SH-5XL</v>
          </cell>
          <cell r="B6730" t="str">
            <v>YZ-HM241</v>
          </cell>
        </row>
        <row r="6731">
          <cell r="A6731" t="str">
            <v>YZ-HM241-SH-L</v>
          </cell>
          <cell r="B6731" t="str">
            <v>YZ-HM241</v>
          </cell>
        </row>
        <row r="6732">
          <cell r="A6732" t="str">
            <v>YZ-HM241-SH-M</v>
          </cell>
          <cell r="B6732" t="str">
            <v>YZ-HM241</v>
          </cell>
        </row>
        <row r="6733">
          <cell r="A6733" t="str">
            <v>YZ-HM241-SH-S</v>
          </cell>
          <cell r="B6733" t="str">
            <v>YZ-HM241</v>
          </cell>
        </row>
        <row r="6734">
          <cell r="A6734" t="str">
            <v>YZ-HM241-SH-XL</v>
          </cell>
          <cell r="B6734" t="str">
            <v>YZ-HM241</v>
          </cell>
        </row>
        <row r="6735">
          <cell r="A6735" t="str">
            <v>YZ-HM241-ZL-2XL</v>
          </cell>
          <cell r="B6735" t="str">
            <v>YZ-HM241</v>
          </cell>
        </row>
        <row r="6736">
          <cell r="A6736" t="str">
            <v>YZ-HM241-ZL-3XL</v>
          </cell>
          <cell r="B6736" t="str">
            <v>YZ-HM241</v>
          </cell>
        </row>
        <row r="6737">
          <cell r="A6737" t="str">
            <v>YZ-HM241-ZL-L</v>
          </cell>
          <cell r="B6737" t="str">
            <v>YZ-HM241</v>
          </cell>
        </row>
        <row r="6738">
          <cell r="A6738" t="str">
            <v>YZ-HM241-ZL-M</v>
          </cell>
          <cell r="B6738" t="str">
            <v>YZ-HM241</v>
          </cell>
        </row>
        <row r="6739">
          <cell r="A6739" t="str">
            <v>YZ-HM241-ZL-S</v>
          </cell>
          <cell r="B6739" t="str">
            <v>YZ-HM241</v>
          </cell>
        </row>
        <row r="6740">
          <cell r="A6740" t="str">
            <v>YZ-HM241-ZL-XL</v>
          </cell>
          <cell r="B6740" t="str">
            <v>YZ-HM241</v>
          </cell>
        </row>
        <row r="6741">
          <cell r="A6741" t="str">
            <v>YZ-HM2508-G0-L</v>
          </cell>
          <cell r="B6741" t="str">
            <v>YZ-HM2508</v>
          </cell>
        </row>
        <row r="6742">
          <cell r="A6742" t="str">
            <v>YZ-HM2508-G0-M</v>
          </cell>
          <cell r="B6742" t="str">
            <v>YZ-HM2508</v>
          </cell>
        </row>
        <row r="6743">
          <cell r="A6743" t="str">
            <v>YZ-HM2508-K0-L</v>
          </cell>
          <cell r="B6743" t="str">
            <v>YZ-HM2508</v>
          </cell>
        </row>
        <row r="6744">
          <cell r="A6744" t="str">
            <v>YZ-HM2508-K0-M</v>
          </cell>
          <cell r="B6744" t="str">
            <v>YZ-HM2508</v>
          </cell>
        </row>
        <row r="6745">
          <cell r="A6745" t="str">
            <v>YZ-HM2508-R0-L</v>
          </cell>
          <cell r="B6745" t="str">
            <v>YZ-HM2508</v>
          </cell>
        </row>
        <row r="6746">
          <cell r="A6746" t="str">
            <v>YZ-HM2508-R0-M</v>
          </cell>
          <cell r="B6746" t="str">
            <v>YZ-HM2508</v>
          </cell>
        </row>
        <row r="6747">
          <cell r="A6747" t="str">
            <v>YZ-HM30CH</v>
          </cell>
          <cell r="B6747" t="str">
            <v>YZ-HM30CH</v>
          </cell>
        </row>
        <row r="6748">
          <cell r="A6748" t="str">
            <v>YZ-HM30CH-K0-L</v>
          </cell>
          <cell r="B6748" t="str">
            <v>YZ-HM30CH</v>
          </cell>
        </row>
        <row r="6749">
          <cell r="A6749" t="str">
            <v>YZ-HM30CH-K0-M</v>
          </cell>
          <cell r="B6749" t="str">
            <v>YZ-HM30CH</v>
          </cell>
        </row>
        <row r="6750">
          <cell r="A6750" t="str">
            <v>YZ-HM30CH-K0-S</v>
          </cell>
          <cell r="B6750" t="str">
            <v>YZ-HM30CH</v>
          </cell>
        </row>
        <row r="6751">
          <cell r="A6751" t="str">
            <v>YZ-HM30CH-K0-S-GM</v>
          </cell>
          <cell r="B6751" t="str">
            <v>YZ-HM30CH</v>
          </cell>
        </row>
        <row r="6752">
          <cell r="A6752" t="str">
            <v>YZ-HM30CH-K0-XL</v>
          </cell>
          <cell r="B6752" t="str">
            <v>YZ-HM30CH</v>
          </cell>
        </row>
        <row r="6753">
          <cell r="A6753" t="str">
            <v>YZ-HM30CH-K0-XS</v>
          </cell>
          <cell r="B6753" t="str">
            <v>YZ-HM30CH</v>
          </cell>
        </row>
        <row r="6754">
          <cell r="A6754" t="str">
            <v>YZ-HM30CH-L</v>
          </cell>
          <cell r="B6754" t="str">
            <v>YZ-HM30CH</v>
          </cell>
        </row>
        <row r="6755">
          <cell r="A6755" t="str">
            <v>YZ-HM30CH-L-GM</v>
          </cell>
          <cell r="B6755" t="str">
            <v>YZ-HM30CH</v>
          </cell>
        </row>
        <row r="6756">
          <cell r="A6756" t="str">
            <v>YZ-HM30CH-M</v>
          </cell>
          <cell r="B6756" t="str">
            <v>YZ-HM30CH</v>
          </cell>
        </row>
        <row r="6757">
          <cell r="A6757" t="str">
            <v>YZ-HM30CH-M-GM</v>
          </cell>
          <cell r="B6757" t="str">
            <v>YZ-HM30CH</v>
          </cell>
        </row>
        <row r="6758">
          <cell r="A6758" t="str">
            <v>YZ-HM30CH-Pi-L</v>
          </cell>
          <cell r="B6758" t="str">
            <v>YZ-HM30CH</v>
          </cell>
        </row>
        <row r="6759">
          <cell r="A6759" t="str">
            <v>YZ-HM30CH-Pi-M</v>
          </cell>
          <cell r="B6759" t="str">
            <v>YZ-HM30CH</v>
          </cell>
        </row>
        <row r="6760">
          <cell r="A6760" t="str">
            <v>YZ-HM30CH-Pi-S</v>
          </cell>
          <cell r="B6760" t="str">
            <v>YZ-HM30CH</v>
          </cell>
        </row>
        <row r="6761">
          <cell r="A6761" t="str">
            <v>YZ-HM30CH-Pi-XL</v>
          </cell>
          <cell r="B6761" t="str">
            <v>YZ-HM30CH</v>
          </cell>
        </row>
        <row r="6762">
          <cell r="A6762" t="str">
            <v>YZ-HM30CH-Pi-XS</v>
          </cell>
          <cell r="B6762" t="str">
            <v>YZ-HM30CH</v>
          </cell>
        </row>
        <row r="6763">
          <cell r="A6763" t="str">
            <v>YZ-HM30CH-S</v>
          </cell>
          <cell r="B6763" t="str">
            <v>YZ-HM30CH</v>
          </cell>
        </row>
        <row r="6764">
          <cell r="A6764" t="str">
            <v>YZ-HM30CH-S-GM</v>
          </cell>
          <cell r="B6764" t="str">
            <v>YZ-HM30CH</v>
          </cell>
        </row>
        <row r="6765">
          <cell r="A6765" t="str">
            <v>YZ-HM30CH-XL</v>
          </cell>
          <cell r="B6765" t="str">
            <v>YZ-HM30CH</v>
          </cell>
        </row>
        <row r="6766">
          <cell r="A6766" t="str">
            <v>YZ-HM30CH-XL-GM</v>
          </cell>
          <cell r="B6766" t="str">
            <v>YZ-HM30CH</v>
          </cell>
        </row>
        <row r="6767">
          <cell r="A6767" t="str">
            <v>YZ-HM30CH-XL-GMM</v>
          </cell>
          <cell r="B6767" t="str">
            <v>YZ-HM30CH</v>
          </cell>
        </row>
        <row r="6768">
          <cell r="A6768" t="str">
            <v>YZ-HM30CH-XS</v>
          </cell>
          <cell r="B6768" t="str">
            <v>YZ-HM30CH</v>
          </cell>
        </row>
        <row r="6769">
          <cell r="A6769" t="str">
            <v>YZ-HM30CH-XS-GM</v>
          </cell>
          <cell r="B6769" t="str">
            <v>YZ-HM30CH</v>
          </cell>
        </row>
        <row r="6770">
          <cell r="A6770" t="str">
            <v>YZ-HM33-B0-L</v>
          </cell>
          <cell r="B6770" t="str">
            <v>YZ-HM33</v>
          </cell>
        </row>
        <row r="6771">
          <cell r="A6771" t="str">
            <v>YZ-HM33-B0-M</v>
          </cell>
          <cell r="B6771" t="str">
            <v>YZ-HM33</v>
          </cell>
        </row>
        <row r="6772">
          <cell r="A6772" t="str">
            <v>YZ-HM33-K0-L</v>
          </cell>
          <cell r="B6772" t="str">
            <v>YZ-HM33</v>
          </cell>
        </row>
        <row r="6773">
          <cell r="A6773" t="str">
            <v>YZ-HM33-K0-M</v>
          </cell>
          <cell r="B6773" t="str">
            <v>YZ-HM33</v>
          </cell>
        </row>
        <row r="6774">
          <cell r="A6774" t="str">
            <v>YZ-HM33-K0-S</v>
          </cell>
          <cell r="B6774" t="str">
            <v>YZ-HM33</v>
          </cell>
        </row>
        <row r="6775">
          <cell r="A6775" t="str">
            <v>YZ-HM33-K0-XL</v>
          </cell>
          <cell r="B6775" t="str">
            <v>YZ-HM33</v>
          </cell>
        </row>
        <row r="6776">
          <cell r="A6776" t="str">
            <v>YZ-HM33-R0-L</v>
          </cell>
          <cell r="B6776" t="str">
            <v>YZ-HM33</v>
          </cell>
        </row>
        <row r="6777">
          <cell r="A6777" t="str">
            <v>YZ-HM33-R0-M</v>
          </cell>
          <cell r="B6777" t="str">
            <v>YZ-HM33</v>
          </cell>
        </row>
        <row r="6778">
          <cell r="A6778" t="str">
            <v>YZ-HM33-R0-XL</v>
          </cell>
          <cell r="B6778" t="str">
            <v>YZ-HM33</v>
          </cell>
        </row>
        <row r="6779">
          <cell r="A6779" t="str">
            <v>YZ-HM41843-AS-2XL</v>
          </cell>
          <cell r="B6779" t="str">
            <v>YZ-HM41843</v>
          </cell>
        </row>
        <row r="6780">
          <cell r="A6780" t="str">
            <v>YZ-HM462-WR-4XL</v>
          </cell>
          <cell r="B6780" t="str">
            <v>YZ-HM462</v>
          </cell>
        </row>
        <row r="6781">
          <cell r="A6781" t="str">
            <v>YZ-HM5036-B0-2XL</v>
          </cell>
          <cell r="B6781" t="str">
            <v>YZ-HM5036</v>
          </cell>
        </row>
        <row r="6782">
          <cell r="A6782" t="str">
            <v>YZ-HM5036-W0-2XL</v>
          </cell>
          <cell r="B6782" t="str">
            <v>YZ-HM5036</v>
          </cell>
        </row>
        <row r="6783">
          <cell r="A6783" t="str">
            <v>YZ-HM5036-W0-3XL</v>
          </cell>
          <cell r="B6783" t="str">
            <v>YZ-HM5036</v>
          </cell>
        </row>
        <row r="6784">
          <cell r="A6784" t="str">
            <v>YZ-HM5036-W0-L</v>
          </cell>
          <cell r="B6784" t="str">
            <v>YZ-HM5036</v>
          </cell>
        </row>
        <row r="6785">
          <cell r="A6785" t="str">
            <v>YZ-HM5036-W0-XL</v>
          </cell>
          <cell r="B6785" t="str">
            <v>YZ-HM5036</v>
          </cell>
        </row>
        <row r="6786">
          <cell r="A6786" t="str">
            <v>YZ-HM5048-K0-L</v>
          </cell>
          <cell r="B6786" t="str">
            <v>YZ-HM5048</v>
          </cell>
        </row>
        <row r="6787">
          <cell r="A6787" t="str">
            <v>YZ-HM5048-K0-XL</v>
          </cell>
          <cell r="B6787" t="str">
            <v>YZ-HM5048</v>
          </cell>
        </row>
        <row r="6788">
          <cell r="A6788" t="str">
            <v>YZ-HM5263-K0-L</v>
          </cell>
          <cell r="B6788" t="str">
            <v>YZ-HM5263</v>
          </cell>
        </row>
        <row r="6789">
          <cell r="A6789" t="str">
            <v>YZ-HM5263-R0-L</v>
          </cell>
          <cell r="B6789" t="str">
            <v>YZ-HM5263</v>
          </cell>
        </row>
        <row r="6790">
          <cell r="A6790" t="str">
            <v>YZ-HM5263-R0-M</v>
          </cell>
          <cell r="B6790" t="str">
            <v>YZ-HM5263</v>
          </cell>
        </row>
        <row r="6791">
          <cell r="A6791" t="str">
            <v>YZ-HM5263-R0-S</v>
          </cell>
          <cell r="B6791" t="str">
            <v>YZ-HM5263</v>
          </cell>
        </row>
        <row r="6792">
          <cell r="A6792" t="str">
            <v>YZ-HM5263-W0-L</v>
          </cell>
          <cell r="B6792" t="str">
            <v>YZ-HM5263</v>
          </cell>
        </row>
        <row r="6793">
          <cell r="A6793" t="str">
            <v>YZ-HM6175-B0-L</v>
          </cell>
          <cell r="B6793" t="str">
            <v>YZ-HM6175</v>
          </cell>
        </row>
        <row r="6794">
          <cell r="A6794" t="str">
            <v>YZ-HM6175-B0-M</v>
          </cell>
          <cell r="B6794" t="str">
            <v>YZ-HM6175</v>
          </cell>
        </row>
        <row r="6795">
          <cell r="A6795" t="str">
            <v>YZ-HM6175-G0-M</v>
          </cell>
          <cell r="B6795" t="str">
            <v>YZ-HM6175</v>
          </cell>
        </row>
        <row r="6796">
          <cell r="A6796" t="str">
            <v>YZ-HM6175-K0-M</v>
          </cell>
          <cell r="B6796" t="str">
            <v>YZ-HM6175</v>
          </cell>
        </row>
        <row r="6797">
          <cell r="A6797" t="str">
            <v>YZ-HM6175-R0-M</v>
          </cell>
          <cell r="B6797" t="str">
            <v>YZ-HM6175</v>
          </cell>
        </row>
        <row r="6798">
          <cell r="A6798" t="str">
            <v>YZ-HM635-FB-4XL</v>
          </cell>
          <cell r="B6798" t="str">
            <v>YZ-HM635</v>
          </cell>
        </row>
        <row r="6799">
          <cell r="A6799" t="str">
            <v>YZ-HM635-LB-L</v>
          </cell>
          <cell r="B6799" t="str">
            <v>YZ-HM635</v>
          </cell>
        </row>
        <row r="6800">
          <cell r="A6800" t="str">
            <v>YZ-HM635-R0-2XL</v>
          </cell>
          <cell r="B6800" t="str">
            <v>YZ-HM635</v>
          </cell>
        </row>
        <row r="6801">
          <cell r="A6801" t="str">
            <v>YZ-HM635-R0-L</v>
          </cell>
          <cell r="B6801" t="str">
            <v>YZ-HM635</v>
          </cell>
        </row>
        <row r="6802">
          <cell r="A6802" t="str">
            <v>YZ-HM635-R2-XL</v>
          </cell>
          <cell r="B6802" t="str">
            <v>YZ-HM635</v>
          </cell>
        </row>
        <row r="6803">
          <cell r="A6803" t="str">
            <v>YZ-HM635-Y0-L</v>
          </cell>
          <cell r="B6803" t="str">
            <v>YZ-HM635</v>
          </cell>
        </row>
        <row r="6804">
          <cell r="A6804" t="str">
            <v>YZ-HM688-K0-L</v>
          </cell>
          <cell r="B6804" t="str">
            <v>YZ-HM688</v>
          </cell>
        </row>
        <row r="6805">
          <cell r="A6805" t="str">
            <v>YZ-HM688-K0-XL</v>
          </cell>
          <cell r="B6805" t="str">
            <v>YZ-HM688</v>
          </cell>
        </row>
        <row r="6806">
          <cell r="A6806" t="str">
            <v>YZ-HM7035-DJG0-L</v>
          </cell>
          <cell r="B6806" t="str">
            <v>YZ-HM7035</v>
          </cell>
        </row>
        <row r="6807">
          <cell r="A6807" t="str">
            <v>YZ-HM7035-DJG0-M</v>
          </cell>
          <cell r="B6807" t="str">
            <v>YZ-HM7035</v>
          </cell>
        </row>
        <row r="6808">
          <cell r="A6808" t="str">
            <v>YZ-HM7035-DJG0-S</v>
          </cell>
          <cell r="B6808" t="str">
            <v>YZ-HM7035</v>
          </cell>
        </row>
        <row r="6809">
          <cell r="A6809" t="str">
            <v>YZ-HM7035-DJG0-XL</v>
          </cell>
          <cell r="B6809" t="str">
            <v>YZ-HM7035</v>
          </cell>
        </row>
        <row r="6810">
          <cell r="A6810" t="str">
            <v>YZ-HM7035-G0-L</v>
          </cell>
          <cell r="B6810" t="str">
            <v>YZ-HM7035</v>
          </cell>
        </row>
        <row r="6811">
          <cell r="A6811" t="str">
            <v>YZ-HM7035-G0-M</v>
          </cell>
          <cell r="B6811" t="str">
            <v>YZ-HM7035</v>
          </cell>
        </row>
        <row r="6812">
          <cell r="A6812" t="str">
            <v>YZ-HM7035-G0-S</v>
          </cell>
          <cell r="B6812" t="str">
            <v>YZ-HM7035</v>
          </cell>
        </row>
        <row r="6813">
          <cell r="A6813" t="str">
            <v>YZ-HM7035-G0-XL</v>
          </cell>
          <cell r="B6813" t="str">
            <v>YZ-HM7035</v>
          </cell>
        </row>
        <row r="6814">
          <cell r="A6814" t="str">
            <v>YZ-HM7040-ZL-L</v>
          </cell>
          <cell r="B6814" t="str">
            <v>YZ-HM7040</v>
          </cell>
        </row>
        <row r="6815">
          <cell r="A6815" t="str">
            <v>YZ-HM7040-ZL-M</v>
          </cell>
          <cell r="B6815" t="str">
            <v>YZ-HM7040</v>
          </cell>
        </row>
        <row r="6816">
          <cell r="A6816" t="str">
            <v>YZ-HM7040-ZL-S</v>
          </cell>
          <cell r="B6816" t="str">
            <v>YZ-HM7040</v>
          </cell>
        </row>
        <row r="6817">
          <cell r="A6817" t="str">
            <v>YZ-HM7040-ZL-XL</v>
          </cell>
          <cell r="B6817" t="str">
            <v>YZ-HM7040</v>
          </cell>
        </row>
        <row r="6818">
          <cell r="A6818" t="str">
            <v>YZ-HM7889-B0-1X</v>
          </cell>
          <cell r="B6818" t="str">
            <v>YZ-HM7889</v>
          </cell>
        </row>
        <row r="6819">
          <cell r="A6819" t="str">
            <v>YZ-HM7889-B0-2X</v>
          </cell>
          <cell r="B6819" t="str">
            <v>YZ-HM7889</v>
          </cell>
        </row>
        <row r="6820">
          <cell r="A6820" t="str">
            <v>YZ-HM7889-B0-4X</v>
          </cell>
          <cell r="B6820" t="str">
            <v>YZ-HM7889</v>
          </cell>
        </row>
        <row r="6821">
          <cell r="A6821" t="str">
            <v>YZ-HM7889-B0-5X</v>
          </cell>
          <cell r="B6821" t="str">
            <v>YZ-HM7889</v>
          </cell>
        </row>
        <row r="6822">
          <cell r="A6822" t="str">
            <v>YZ-HM7889-R0-1X</v>
          </cell>
          <cell r="B6822" t="str">
            <v>YZ-HM7889</v>
          </cell>
        </row>
        <row r="6823">
          <cell r="A6823" t="str">
            <v>YZ-HM7889-R0-3X</v>
          </cell>
          <cell r="B6823" t="str">
            <v>YZ-HM7889</v>
          </cell>
        </row>
        <row r="6824">
          <cell r="A6824" t="str">
            <v>YZ-HM7889-R0-4X</v>
          </cell>
          <cell r="B6824" t="str">
            <v>YZ-HM7889</v>
          </cell>
        </row>
        <row r="6825">
          <cell r="A6825" t="str">
            <v>YZ-HM7889-R0-5X</v>
          </cell>
          <cell r="B6825" t="str">
            <v>YZ-HM7889</v>
          </cell>
        </row>
        <row r="6826">
          <cell r="A6826" t="str">
            <v>YZ-HMBKN0193-W0-XL</v>
          </cell>
          <cell r="B6826" t="str">
            <v>YZ-HMBKN0193</v>
          </cell>
        </row>
        <row r="6827">
          <cell r="A6827" t="str">
            <v>YZ-HMBKN0193-W0-XXL</v>
          </cell>
          <cell r="B6827" t="str">
            <v>YZ-HMBKN0193</v>
          </cell>
        </row>
        <row r="6828">
          <cell r="A6828" t="str">
            <v>YZ-HMBKN1209</v>
          </cell>
          <cell r="B6828" t="str">
            <v>YZ-HMBKN1209</v>
          </cell>
        </row>
        <row r="6829">
          <cell r="A6829" t="str">
            <v>YZ-HMBKN1209-L</v>
          </cell>
          <cell r="B6829" t="str">
            <v>YZ-HMBKN1209</v>
          </cell>
        </row>
        <row r="6830">
          <cell r="A6830" t="str">
            <v>YZ-HMBKN1209-M</v>
          </cell>
          <cell r="B6830" t="str">
            <v>YZ-HMBKN1209</v>
          </cell>
        </row>
        <row r="6831">
          <cell r="A6831" t="str">
            <v>YZ-HMBKN1209-S</v>
          </cell>
          <cell r="B6831" t="str">
            <v>YZ-HMBKN1209</v>
          </cell>
        </row>
        <row r="6832">
          <cell r="A6832" t="str">
            <v>YZ-HMBKN1209-XL</v>
          </cell>
          <cell r="B6832" t="str">
            <v>YZ-HMBKN1209</v>
          </cell>
        </row>
        <row r="6833">
          <cell r="A6833" t="str">
            <v>YZ-HMBKN1209-XXL</v>
          </cell>
          <cell r="B6833" t="str">
            <v>YZ-HMBKN1209</v>
          </cell>
        </row>
        <row r="6834">
          <cell r="A6834" t="str">
            <v>YZ-HMBKN16024-G0-L</v>
          </cell>
          <cell r="B6834" t="str">
            <v>YZ-HMBKN16024</v>
          </cell>
        </row>
        <row r="6835">
          <cell r="A6835" t="str">
            <v>YZ-HMBKN16024-G0-M</v>
          </cell>
          <cell r="B6835" t="str">
            <v>YZ-HMBKN16024</v>
          </cell>
        </row>
        <row r="6836">
          <cell r="A6836" t="str">
            <v>YZ-HMBKN16024-G0-S</v>
          </cell>
          <cell r="B6836" t="str">
            <v>YZ-HMBKN16024</v>
          </cell>
        </row>
        <row r="6837">
          <cell r="A6837" t="str">
            <v>YZ-HMBKN16024-Y0-L</v>
          </cell>
          <cell r="B6837" t="str">
            <v>YZ-HMBKN16024</v>
          </cell>
        </row>
        <row r="6838">
          <cell r="A6838" t="str">
            <v>YZ-HMBKN16024-Y0-M</v>
          </cell>
          <cell r="B6838" t="str">
            <v>YZ-HMBKN16024</v>
          </cell>
        </row>
        <row r="6839">
          <cell r="A6839" t="str">
            <v>YZ-HMBKN16024-Y0-S</v>
          </cell>
          <cell r="B6839" t="str">
            <v>YZ-HMBKN16024</v>
          </cell>
        </row>
        <row r="6840">
          <cell r="A6840" t="str">
            <v>YZ-HMBKN1645-R0-S</v>
          </cell>
          <cell r="B6840" t="str">
            <v>YZ-HMBKN1645</v>
          </cell>
        </row>
        <row r="6841">
          <cell r="A6841" t="str">
            <v>YZ-HMBKN17015-K0-L</v>
          </cell>
          <cell r="B6841" t="str">
            <v>YZ-HMBKN17015</v>
          </cell>
        </row>
        <row r="6842">
          <cell r="A6842" t="str">
            <v>YZ-HMBKN17015-K0-M</v>
          </cell>
          <cell r="B6842" t="str">
            <v>YZ-HMBKN17015</v>
          </cell>
        </row>
        <row r="6843">
          <cell r="A6843" t="str">
            <v>YZ-HMBKN17015-K0-S</v>
          </cell>
          <cell r="B6843" t="str">
            <v>YZ-HMBKN17015</v>
          </cell>
        </row>
        <row r="6844">
          <cell r="A6844" t="str">
            <v>YZ-HMBKN17015-K0-XL</v>
          </cell>
          <cell r="B6844" t="str">
            <v>YZ-HMBKN17015</v>
          </cell>
        </row>
        <row r="6845">
          <cell r="A6845" t="str">
            <v>YZ-HMBKN17015-OR-L</v>
          </cell>
          <cell r="B6845" t="str">
            <v>YZ-HMBKN17015</v>
          </cell>
        </row>
        <row r="6846">
          <cell r="A6846" t="str">
            <v>YZ-HMBKN17015-OR-M</v>
          </cell>
          <cell r="B6846" t="str">
            <v>YZ-HMBKN17015</v>
          </cell>
        </row>
        <row r="6847">
          <cell r="A6847" t="str">
            <v>YZ-HMBKN17015-OR-S</v>
          </cell>
          <cell r="B6847" t="str">
            <v>YZ-HMBKN17015</v>
          </cell>
        </row>
        <row r="6848">
          <cell r="A6848" t="str">
            <v>YZ-HMBKN17015-OR-XL</v>
          </cell>
          <cell r="B6848" t="str">
            <v>YZ-HMBKN17015</v>
          </cell>
        </row>
        <row r="6849">
          <cell r="A6849" t="str">
            <v>YZ-HMBKN1715-B0-L</v>
          </cell>
          <cell r="B6849" t="str">
            <v>YZ-HMBKN1715</v>
          </cell>
        </row>
        <row r="6850">
          <cell r="A6850" t="str">
            <v>YZ-HMBKN1715-R0-L</v>
          </cell>
          <cell r="B6850" t="str">
            <v>YZ-HMBKN1715</v>
          </cell>
        </row>
        <row r="6851">
          <cell r="A6851" t="str">
            <v>YZ-HMBKN1715-R0-M</v>
          </cell>
          <cell r="B6851" t="str">
            <v>YZ-HMBKN1715</v>
          </cell>
        </row>
        <row r="6852">
          <cell r="A6852" t="str">
            <v>YZ-HMBKN1715-R0-S</v>
          </cell>
          <cell r="B6852" t="str">
            <v>YZ-HMBKN1715</v>
          </cell>
        </row>
        <row r="6853">
          <cell r="A6853" t="str">
            <v>YZ-HMBKN2600-K0-M</v>
          </cell>
          <cell r="B6853" t="str">
            <v>YZ-HMBKN2600</v>
          </cell>
        </row>
        <row r="6854">
          <cell r="A6854" t="str">
            <v>YZ-HMBKN30-B0YH-L</v>
          </cell>
          <cell r="B6854" t="str">
            <v>YZ-HMBKN30</v>
          </cell>
        </row>
        <row r="6855">
          <cell r="A6855" t="str">
            <v>YZ-HMBKN30-B0YH-M</v>
          </cell>
          <cell r="B6855" t="str">
            <v>YZ-HMBKN30</v>
          </cell>
        </row>
        <row r="6856">
          <cell r="A6856" t="str">
            <v>YZ-HMBKN30-B0YH-S</v>
          </cell>
          <cell r="B6856" t="str">
            <v>YZ-HMBKN30</v>
          </cell>
        </row>
        <row r="6857">
          <cell r="A6857" t="str">
            <v>YZ-HMBKN30-B0YH-XL</v>
          </cell>
          <cell r="B6857" t="str">
            <v>YZ-HMBKN30</v>
          </cell>
        </row>
        <row r="6858">
          <cell r="A6858" t="str">
            <v>YZ-HMBKN30-K0-L</v>
          </cell>
          <cell r="B6858" t="str">
            <v>YZ-HMBKN30</v>
          </cell>
        </row>
        <row r="6859">
          <cell r="A6859" t="str">
            <v>YZ-HMBKN30-K0-M</v>
          </cell>
          <cell r="B6859" t="str">
            <v>YZ-HMBKN30</v>
          </cell>
        </row>
        <row r="6860">
          <cell r="A6860" t="str">
            <v>YZ-HMBKN30-K0-S</v>
          </cell>
          <cell r="B6860" t="str">
            <v>YZ-HMBKN30</v>
          </cell>
        </row>
        <row r="6861">
          <cell r="A6861" t="str">
            <v>YZ-HMBKN30-K0YH-L</v>
          </cell>
          <cell r="B6861" t="str">
            <v>YZ-HMBKN30</v>
          </cell>
        </row>
        <row r="6862">
          <cell r="A6862" t="str">
            <v>YZ-HMBKN30-K0YH-M</v>
          </cell>
          <cell r="B6862" t="str">
            <v>YZ-HMBKN30</v>
          </cell>
        </row>
        <row r="6863">
          <cell r="A6863" t="str">
            <v>YZ-HMBKN30-K0YH-S</v>
          </cell>
          <cell r="B6863" t="str">
            <v>YZ-HMBKN30</v>
          </cell>
        </row>
        <row r="6864">
          <cell r="A6864" t="str">
            <v>YZ-HMBKN30-K0YH-XL</v>
          </cell>
          <cell r="B6864" t="str">
            <v>YZ-HMBKN30</v>
          </cell>
        </row>
        <row r="6865">
          <cell r="A6865" t="str">
            <v>YZ-HMBKN30-PI-L</v>
          </cell>
          <cell r="B6865" t="str">
            <v>YZ-HMBKN30</v>
          </cell>
        </row>
        <row r="6866">
          <cell r="A6866" t="str">
            <v>YZ-HMBKN30-PI-M</v>
          </cell>
          <cell r="B6866" t="str">
            <v>YZ-HMBKN30</v>
          </cell>
        </row>
        <row r="6867">
          <cell r="A6867" t="str">
            <v>YZ-HMBKN30-PI-S</v>
          </cell>
          <cell r="B6867" t="str">
            <v>YZ-HMBKN30</v>
          </cell>
        </row>
        <row r="6868">
          <cell r="A6868" t="str">
            <v>YZ-HMBKN30-PI-XL</v>
          </cell>
          <cell r="B6868" t="str">
            <v>YZ-HMBKN30</v>
          </cell>
        </row>
        <row r="6869">
          <cell r="A6869" t="str">
            <v>YZ-HMBKN30-WR-L</v>
          </cell>
          <cell r="B6869" t="str">
            <v>YZ-HMBKN30</v>
          </cell>
        </row>
        <row r="6870">
          <cell r="A6870" t="str">
            <v>YZ-HMBKN30-WR-XL</v>
          </cell>
          <cell r="B6870" t="str">
            <v>YZ-HMBKN30</v>
          </cell>
        </row>
        <row r="6871">
          <cell r="A6871" t="str">
            <v>YZ-HMBKN30-ZL-L</v>
          </cell>
          <cell r="B6871" t="str">
            <v>YZ-HMBKN30</v>
          </cell>
        </row>
        <row r="6872">
          <cell r="A6872" t="str">
            <v>YZ-HMBKN30-ZL-M</v>
          </cell>
          <cell r="B6872" t="str">
            <v>YZ-HMBKN30</v>
          </cell>
        </row>
        <row r="6873">
          <cell r="A6873" t="str">
            <v>YZ-HMBKN30-ZL-S</v>
          </cell>
          <cell r="B6873" t="str">
            <v>YZ-HMBKN30</v>
          </cell>
        </row>
        <row r="6874">
          <cell r="A6874" t="str">
            <v>YZ-HMBKN30-ZL-XL</v>
          </cell>
          <cell r="B6874" t="str">
            <v>YZ-HMBKN30</v>
          </cell>
        </row>
        <row r="6875">
          <cell r="A6875" t="str">
            <v>YZ-HMBKN3308-K0-2XL</v>
          </cell>
          <cell r="B6875" t="str">
            <v>YZ-HMBKN3308</v>
          </cell>
        </row>
        <row r="6876">
          <cell r="A6876" t="str">
            <v>YZ-HMBKN3308-K0-3XL</v>
          </cell>
          <cell r="B6876" t="str">
            <v>YZ-HMBKN3308</v>
          </cell>
        </row>
        <row r="6877">
          <cell r="A6877" t="str">
            <v>YZ-HMBKN3308-K0-4XL</v>
          </cell>
          <cell r="B6877" t="str">
            <v>YZ-HMBKN3308</v>
          </cell>
        </row>
        <row r="6878">
          <cell r="A6878" t="str">
            <v>YZ-HMBKN3308-K0-6XL</v>
          </cell>
          <cell r="B6878" t="str">
            <v>YZ-HMBKN3308</v>
          </cell>
        </row>
        <row r="6879">
          <cell r="A6879" t="str">
            <v>YZ-HMBKN3308-K0-7XL</v>
          </cell>
          <cell r="B6879" t="str">
            <v>YZ-HMBKN3308</v>
          </cell>
        </row>
        <row r="6880">
          <cell r="A6880" t="str">
            <v>YZ-HMBKN3308-K0-L</v>
          </cell>
          <cell r="B6880" t="str">
            <v>YZ-HMBKN3308</v>
          </cell>
        </row>
        <row r="6881">
          <cell r="A6881" t="str">
            <v>YZ-HMBKN3308-K0-XL</v>
          </cell>
          <cell r="B6881" t="str">
            <v>YZ-HMBKN3308</v>
          </cell>
        </row>
        <row r="6882">
          <cell r="A6882" t="str">
            <v>YZ-HMBKN7017-Pi-L</v>
          </cell>
          <cell r="B6882" t="str">
            <v>YZ-HMBKN7017</v>
          </cell>
        </row>
        <row r="6883">
          <cell r="A6883" t="str">
            <v>YZ-HMBKN7017-Pi-M</v>
          </cell>
          <cell r="B6883" t="str">
            <v>YZ-HMBKN7017</v>
          </cell>
        </row>
        <row r="6884">
          <cell r="A6884" t="str">
            <v>YZ-HMBKN967-B0-L</v>
          </cell>
          <cell r="B6884" t="str">
            <v>YZ-HMBKN967</v>
          </cell>
        </row>
        <row r="6885">
          <cell r="A6885" t="str">
            <v>YZ-HMBKN967-B0-M</v>
          </cell>
          <cell r="B6885" t="str">
            <v>YZ-HMBKN967</v>
          </cell>
        </row>
        <row r="6886">
          <cell r="A6886" t="str">
            <v>YZ-HMBKN967-B0-S</v>
          </cell>
          <cell r="B6886" t="str">
            <v>YZ-HMBKN967</v>
          </cell>
        </row>
        <row r="6887">
          <cell r="A6887" t="str">
            <v>YZ-HMBKN967-K0-L</v>
          </cell>
          <cell r="B6887" t="str">
            <v>YZ-HMBKN967</v>
          </cell>
        </row>
        <row r="6888">
          <cell r="A6888" t="str">
            <v>YZ-HMBKN967-K0-M</v>
          </cell>
          <cell r="B6888" t="str">
            <v>YZ-HMBKN967</v>
          </cell>
        </row>
        <row r="6889">
          <cell r="A6889" t="str">
            <v>YZ-HMBKN967-K0-S</v>
          </cell>
          <cell r="B6889" t="str">
            <v>YZ-HMBKN967</v>
          </cell>
        </row>
        <row r="6890">
          <cell r="A6890" t="str">
            <v>YZ-HMBKN967-R0-L</v>
          </cell>
          <cell r="B6890" t="str">
            <v>YZ-HMBKN967</v>
          </cell>
        </row>
        <row r="6891">
          <cell r="A6891" t="str">
            <v>YZ-HMBKN967-R0-M</v>
          </cell>
          <cell r="B6891" t="str">
            <v>YZ-HMBKN967</v>
          </cell>
        </row>
        <row r="6892">
          <cell r="A6892" t="str">
            <v>YZ-HMBKN967-R0-S</v>
          </cell>
          <cell r="B6892" t="str">
            <v>YZ-HMBKN967</v>
          </cell>
        </row>
        <row r="6893">
          <cell r="A6893" t="str">
            <v>YZ-HMCX218-R0-L</v>
          </cell>
          <cell r="B6893" t="str">
            <v>YZ-HMCX218</v>
          </cell>
        </row>
        <row r="6894">
          <cell r="A6894" t="str">
            <v>YZ-HMCX218-R0-M</v>
          </cell>
          <cell r="B6894" t="str">
            <v>YZ-HMCX218</v>
          </cell>
        </row>
        <row r="6895">
          <cell r="A6895" t="str">
            <v>YZ-HMCX218-R0-S</v>
          </cell>
          <cell r="B6895" t="str">
            <v>YZ-HMCX218</v>
          </cell>
        </row>
        <row r="6896">
          <cell r="A6896" t="str">
            <v>YZ-HMCX218-R0-XL</v>
          </cell>
          <cell r="B6896" t="str">
            <v>YZ-HMCX218</v>
          </cell>
        </row>
        <row r="6897">
          <cell r="A6897" t="str">
            <v>YZ-HMJ005-B0-2XL</v>
          </cell>
          <cell r="B6897" t="str">
            <v>YZ-HMJ005</v>
          </cell>
        </row>
        <row r="6898">
          <cell r="A6898" t="str">
            <v>YZ-HMJ005-B0-L</v>
          </cell>
          <cell r="B6898" t="str">
            <v>YZ-HMJ005</v>
          </cell>
        </row>
        <row r="6899">
          <cell r="A6899" t="str">
            <v>YZ-HMJ005-B0-M</v>
          </cell>
          <cell r="B6899" t="str">
            <v>YZ-HMJ005</v>
          </cell>
        </row>
        <row r="6900">
          <cell r="A6900" t="str">
            <v>YZ-HMJ005-B0-S</v>
          </cell>
          <cell r="B6900" t="str">
            <v>YZ-HMJ005</v>
          </cell>
        </row>
        <row r="6901">
          <cell r="A6901" t="str">
            <v>YZ-HMJ005-B0-XL</v>
          </cell>
          <cell r="B6901" t="str">
            <v>YZ-HMJ005</v>
          </cell>
        </row>
        <row r="6902">
          <cell r="A6902" t="str">
            <v>YZ-HMJ005-K0-2XL</v>
          </cell>
          <cell r="B6902" t="str">
            <v>YZ-HMJ005</v>
          </cell>
        </row>
        <row r="6903">
          <cell r="A6903" t="str">
            <v>YZ-HMJ005-K0-L</v>
          </cell>
          <cell r="B6903" t="str">
            <v>YZ-HMJ005</v>
          </cell>
        </row>
        <row r="6904">
          <cell r="A6904" t="str">
            <v>YZ-HMJ005-K0-M</v>
          </cell>
          <cell r="B6904" t="str">
            <v>YZ-HMJ005</v>
          </cell>
        </row>
        <row r="6905">
          <cell r="A6905" t="str">
            <v>YZ-HMJ005-K0-S</v>
          </cell>
          <cell r="B6905" t="str">
            <v>YZ-HMJ005</v>
          </cell>
        </row>
        <row r="6906">
          <cell r="A6906" t="str">
            <v>YZ-HMJ005-K0-XL</v>
          </cell>
          <cell r="B6906" t="str">
            <v>YZ-HMJ005</v>
          </cell>
        </row>
        <row r="6907">
          <cell r="A6907" t="str">
            <v>YZ-HMSG001-G0-L</v>
          </cell>
          <cell r="B6907" t="str">
            <v>YZ-HMSG001</v>
          </cell>
        </row>
        <row r="6908">
          <cell r="A6908" t="str">
            <v>YZ-HMSG001-G0-M</v>
          </cell>
          <cell r="B6908" t="str">
            <v>YZ-HMSG001</v>
          </cell>
        </row>
        <row r="6909">
          <cell r="A6909" t="str">
            <v>YZ-HMTW001</v>
          </cell>
          <cell r="B6909" t="str">
            <v>YZ-HMTW001</v>
          </cell>
        </row>
        <row r="6910">
          <cell r="A6910" t="str">
            <v>YZ-HMTW001-K0-L</v>
          </cell>
          <cell r="B6910" t="str">
            <v>YZ-HMTW001</v>
          </cell>
        </row>
        <row r="6911">
          <cell r="A6911" t="str">
            <v>YZ-HMTW001-K0-M</v>
          </cell>
          <cell r="B6911" t="str">
            <v>YZ-HMTW001</v>
          </cell>
        </row>
        <row r="6912">
          <cell r="A6912" t="str">
            <v>YZ-HMTW001-K0-S</v>
          </cell>
          <cell r="B6912" t="str">
            <v>YZ-HMTW001</v>
          </cell>
        </row>
        <row r="6913">
          <cell r="A6913" t="str">
            <v>YZ-HMTW001-K0-XL</v>
          </cell>
          <cell r="B6913" t="str">
            <v>YZ-HMTW001</v>
          </cell>
        </row>
        <row r="6914">
          <cell r="A6914" t="str">
            <v>YZ-HMTW001-K0-XS</v>
          </cell>
          <cell r="B6914" t="str">
            <v>YZ-HMTW001</v>
          </cell>
        </row>
        <row r="6915">
          <cell r="A6915" t="str">
            <v>YZ-HMVS-W0-S</v>
          </cell>
          <cell r="B6915" t="str">
            <v>YZ-HMVS</v>
          </cell>
        </row>
        <row r="6916">
          <cell r="A6916" t="str">
            <v>YZ-HN6902BD1L</v>
          </cell>
          <cell r="B6916" t="str">
            <v>YZ-HN6902</v>
          </cell>
        </row>
        <row r="6917">
          <cell r="A6917" t="str">
            <v>YZ-HN6902BD2L</v>
          </cell>
          <cell r="B6917" t="str">
            <v>YZ-HN6902</v>
          </cell>
        </row>
        <row r="6918">
          <cell r="A6918" t="str">
            <v>YZ-HN6902BDL</v>
          </cell>
          <cell r="B6918" t="str">
            <v>YZ-HN6902</v>
          </cell>
        </row>
        <row r="6919">
          <cell r="A6919" t="str">
            <v>YZ-HN6902BDM</v>
          </cell>
          <cell r="B6919" t="str">
            <v>YZ-HN6902</v>
          </cell>
        </row>
        <row r="6920">
          <cell r="A6920" t="str">
            <v>YZ-HN6902FB1L</v>
          </cell>
          <cell r="B6920" t="str">
            <v>YZ-HN6902</v>
          </cell>
        </row>
        <row r="6921">
          <cell r="A6921" t="str">
            <v>YZ-HN6902FB2L</v>
          </cell>
          <cell r="B6921" t="str">
            <v>YZ-HN6902</v>
          </cell>
        </row>
        <row r="6922">
          <cell r="A6922" t="str">
            <v>YZ-HN6902FBL</v>
          </cell>
          <cell r="B6922" t="str">
            <v>YZ-HN6902</v>
          </cell>
        </row>
        <row r="6923">
          <cell r="A6923" t="str">
            <v>YZ-HN6902FBM</v>
          </cell>
          <cell r="B6923" t="str">
            <v>YZ-HN6902</v>
          </cell>
        </row>
        <row r="6924">
          <cell r="A6924" t="str">
            <v>YZ-HN6902G01L</v>
          </cell>
          <cell r="B6924" t="str">
            <v>YZ-HN6902</v>
          </cell>
        </row>
        <row r="6925">
          <cell r="A6925" t="str">
            <v>YZ-HN6902G02L</v>
          </cell>
          <cell r="B6925" t="str">
            <v>YZ-HN6902</v>
          </cell>
        </row>
        <row r="6926">
          <cell r="A6926" t="str">
            <v>YZ-HN6902G0L</v>
          </cell>
          <cell r="B6926" t="str">
            <v>YZ-HN6902</v>
          </cell>
        </row>
        <row r="6927">
          <cell r="A6927" t="str">
            <v>YZ-HN6902G0M</v>
          </cell>
          <cell r="B6927" t="str">
            <v>YZ-HN6902</v>
          </cell>
        </row>
        <row r="6928">
          <cell r="A6928" t="str">
            <v>YZ-HN6902K01L</v>
          </cell>
          <cell r="B6928" t="str">
            <v>YZ-HN6902</v>
          </cell>
        </row>
        <row r="6929">
          <cell r="A6929" t="str">
            <v>YZ-HN6902K02L</v>
          </cell>
          <cell r="B6929" t="str">
            <v>YZ-HN6902</v>
          </cell>
        </row>
        <row r="6930">
          <cell r="A6930" t="str">
            <v>YZ-HN6902K0L</v>
          </cell>
          <cell r="B6930" t="str">
            <v>YZ-HN6902</v>
          </cell>
        </row>
        <row r="6931">
          <cell r="A6931" t="str">
            <v>YZ-HN6902K0M</v>
          </cell>
          <cell r="B6931" t="str">
            <v>YZ-HN6902</v>
          </cell>
        </row>
        <row r="6932">
          <cell r="A6932" t="str">
            <v>YZ-HT1304G01L</v>
          </cell>
          <cell r="B6932" t="str">
            <v>YZ-HE13037</v>
          </cell>
        </row>
        <row r="6933">
          <cell r="A6933" t="str">
            <v>YZ-HT1304G02L</v>
          </cell>
          <cell r="B6933" t="str">
            <v>YZ-HE13037</v>
          </cell>
        </row>
        <row r="6934">
          <cell r="A6934" t="str">
            <v>YZ-HT1304G03L</v>
          </cell>
          <cell r="B6934" t="str">
            <v>YZ-HE13037</v>
          </cell>
        </row>
        <row r="6935">
          <cell r="A6935" t="str">
            <v>YZ-HT1304G04L</v>
          </cell>
          <cell r="B6935" t="str">
            <v>YZ-HE13037</v>
          </cell>
        </row>
        <row r="6936">
          <cell r="A6936" t="str">
            <v>YZ-HT1304G05L</v>
          </cell>
          <cell r="B6936" t="str">
            <v>YZ-HE13037</v>
          </cell>
        </row>
        <row r="6937">
          <cell r="A6937" t="str">
            <v>YZ-HT1304Y01L</v>
          </cell>
          <cell r="B6937" t="str">
            <v>YZ-HE13037</v>
          </cell>
        </row>
        <row r="6938">
          <cell r="A6938" t="str">
            <v>YZ-HT1304Y02L</v>
          </cell>
          <cell r="B6938" t="str">
            <v>YZ-HE13037</v>
          </cell>
        </row>
        <row r="6939">
          <cell r="A6939" t="str">
            <v>YZ-HT1304Y03L</v>
          </cell>
          <cell r="B6939" t="str">
            <v>YZ-HE13037</v>
          </cell>
        </row>
        <row r="6940">
          <cell r="A6940" t="str">
            <v>YZ-HT1304Y04L</v>
          </cell>
          <cell r="B6940" t="str">
            <v>YZ-HE13037</v>
          </cell>
        </row>
        <row r="6941">
          <cell r="A6941" t="str">
            <v>YZ-HT1304Y05L</v>
          </cell>
          <cell r="B6941" t="str">
            <v>YZ-HE13037</v>
          </cell>
        </row>
        <row r="6942">
          <cell r="A6942" t="str">
            <v>YZ-JG2631001L</v>
          </cell>
          <cell r="B6942" t="str">
            <v>YZ-JG2631001</v>
          </cell>
        </row>
        <row r="6943">
          <cell r="A6943" t="str">
            <v>YZ-JG2631001L-GM</v>
          </cell>
          <cell r="B6943" t="str">
            <v>YZ-JG2631001</v>
          </cell>
        </row>
        <row r="6944">
          <cell r="A6944" t="str">
            <v>YZ-JG2631002L</v>
          </cell>
          <cell r="B6944" t="str">
            <v>YZ-JG2631002</v>
          </cell>
        </row>
        <row r="6945">
          <cell r="A6945" t="str">
            <v>YZ-JG2631002L-GM</v>
          </cell>
          <cell r="B6945" t="str">
            <v>YZ-JG2631002</v>
          </cell>
        </row>
        <row r="6946">
          <cell r="A6946" t="str">
            <v>YZ-JG2631003L</v>
          </cell>
          <cell r="B6946" t="str">
            <v>YZ-JG2631003</v>
          </cell>
        </row>
        <row r="6947">
          <cell r="A6947" t="str">
            <v>YZ-JG263100L</v>
          </cell>
          <cell r="B6947" t="str">
            <v>YZ-JG2631</v>
          </cell>
        </row>
        <row r="6948">
          <cell r="A6948" t="str">
            <v>YZ-JG263100M</v>
          </cell>
          <cell r="B6948" t="str">
            <v>YZ-JG2631</v>
          </cell>
        </row>
        <row r="6949">
          <cell r="A6949" t="str">
            <v>YZ-JG2631HS1L</v>
          </cell>
          <cell r="B6949" t="str">
            <v>YZ-JG2631</v>
          </cell>
        </row>
        <row r="6950">
          <cell r="A6950" t="str">
            <v>YZ-JG2631HSL</v>
          </cell>
          <cell r="B6950" t="str">
            <v>YZ-JG2631</v>
          </cell>
        </row>
        <row r="6951">
          <cell r="A6951" t="str">
            <v>YZ-JG2631HSM</v>
          </cell>
          <cell r="B6951" t="str">
            <v>YZ-JG2631</v>
          </cell>
        </row>
        <row r="6952">
          <cell r="A6952" t="str">
            <v>YZ-JG2631HSM-GM</v>
          </cell>
          <cell r="B6952" t="str">
            <v>YZ-JG2631</v>
          </cell>
        </row>
        <row r="6953">
          <cell r="A6953" t="str">
            <v>YZ-JG2631HSS</v>
          </cell>
          <cell r="B6953" t="str">
            <v>YZ-JG2631</v>
          </cell>
        </row>
        <row r="6954">
          <cell r="A6954" t="str">
            <v>YZ-JG2631HSXS</v>
          </cell>
          <cell r="B6954" t="str">
            <v>YZ-JG2631</v>
          </cell>
        </row>
        <row r="6955">
          <cell r="A6955" t="str">
            <v>YZ-JG2631K01L</v>
          </cell>
          <cell r="B6955" t="str">
            <v>YZ-JG2631</v>
          </cell>
        </row>
        <row r="6956">
          <cell r="A6956" t="str">
            <v>YZ-JG2631K02L</v>
          </cell>
          <cell r="B6956" t="str">
            <v>YZ-JG2631</v>
          </cell>
        </row>
        <row r="6957">
          <cell r="A6957" t="str">
            <v>YZ-JG2631K02L-GM</v>
          </cell>
          <cell r="B6957" t="str">
            <v>YZ-JG2631</v>
          </cell>
        </row>
        <row r="6958">
          <cell r="A6958" t="str">
            <v>YZ-JG2631K03L</v>
          </cell>
          <cell r="B6958" t="str">
            <v>YZ-JG2631</v>
          </cell>
        </row>
        <row r="6959">
          <cell r="A6959" t="str">
            <v>YZ-JG2631K0L</v>
          </cell>
          <cell r="B6959" t="str">
            <v>YZ-JG2631</v>
          </cell>
        </row>
        <row r="6960">
          <cell r="A6960" t="str">
            <v>YZ-JG2631K0M</v>
          </cell>
          <cell r="B6960" t="str">
            <v>YZ-JG2631</v>
          </cell>
        </row>
        <row r="6961">
          <cell r="A6961" t="str">
            <v>YZ-JG2631R01L</v>
          </cell>
          <cell r="B6961" t="str">
            <v>YZ-JG2631</v>
          </cell>
        </row>
        <row r="6962">
          <cell r="A6962" t="str">
            <v>YZ-JG2631R0L</v>
          </cell>
          <cell r="B6962" t="str">
            <v>YZ-JG2631</v>
          </cell>
        </row>
        <row r="6963">
          <cell r="A6963" t="str">
            <v>YZ-JG2631R0M</v>
          </cell>
          <cell r="B6963" t="str">
            <v>YZ-JG2631</v>
          </cell>
        </row>
        <row r="6964">
          <cell r="A6964" t="str">
            <v>YZ-JG2631R0S</v>
          </cell>
          <cell r="B6964" t="str">
            <v>YZ-JG2631</v>
          </cell>
        </row>
        <row r="6965">
          <cell r="A6965" t="str">
            <v>YZ-JG2631R0XS</v>
          </cell>
          <cell r="B6965" t="str">
            <v>YZ-JG2631</v>
          </cell>
        </row>
        <row r="6966">
          <cell r="A6966" t="str">
            <v>YZ-JG2631ZL1L</v>
          </cell>
          <cell r="B6966" t="str">
            <v>YZ-JG2631</v>
          </cell>
        </row>
        <row r="6967">
          <cell r="A6967" t="str">
            <v>YZ-JG2631ZL2L</v>
          </cell>
          <cell r="B6967" t="str">
            <v>YZ-JG2631</v>
          </cell>
        </row>
        <row r="6968">
          <cell r="A6968" t="str">
            <v>YZ-JG2631ZL3L</v>
          </cell>
          <cell r="B6968" t="str">
            <v>YZ-JG2631</v>
          </cell>
        </row>
        <row r="6969">
          <cell r="A6969" t="str">
            <v>YZ-JG2631ZLL</v>
          </cell>
          <cell r="B6969" t="str">
            <v>YZ-JG2631</v>
          </cell>
        </row>
        <row r="6970">
          <cell r="A6970" t="str">
            <v>YZ-JG2631ZLM</v>
          </cell>
          <cell r="B6970" t="str">
            <v>YZ-JG2631</v>
          </cell>
        </row>
        <row r="6971">
          <cell r="A6971" t="str">
            <v>YZ-JY1008-K0-M</v>
          </cell>
          <cell r="B6971" t="str">
            <v>YZ-JY1008</v>
          </cell>
        </row>
        <row r="6972">
          <cell r="A6972" t="str">
            <v>YZ-JY1151-K0-2XL</v>
          </cell>
          <cell r="B6972" t="str">
            <v>YZ-JY1151</v>
          </cell>
        </row>
        <row r="6973">
          <cell r="A6973" t="str">
            <v>YZ-JY1151-K0-L</v>
          </cell>
          <cell r="B6973" t="str">
            <v>YZ-JY1151</v>
          </cell>
        </row>
        <row r="6974">
          <cell r="A6974" t="str">
            <v>YZ-JY1151-K0-M</v>
          </cell>
          <cell r="B6974" t="str">
            <v>YZ-JY1151</v>
          </cell>
        </row>
        <row r="6975">
          <cell r="A6975" t="str">
            <v>YZ-JY1151-K0-XL</v>
          </cell>
          <cell r="B6975" t="str">
            <v>YZ-JY1151</v>
          </cell>
        </row>
        <row r="6976">
          <cell r="A6976" t="str">
            <v>YZ-JY1151-R0-2XL</v>
          </cell>
          <cell r="B6976" t="str">
            <v>YZ-JY1151</v>
          </cell>
        </row>
        <row r="6977">
          <cell r="A6977" t="str">
            <v>YZ-JY1151-R0-L</v>
          </cell>
          <cell r="B6977" t="str">
            <v>YZ-JY1151</v>
          </cell>
        </row>
        <row r="6978">
          <cell r="A6978" t="str">
            <v>YZ-JY1151-R0-M</v>
          </cell>
          <cell r="B6978" t="str">
            <v>YZ-JY1151</v>
          </cell>
        </row>
        <row r="6979">
          <cell r="A6979" t="str">
            <v>YZ-JY1151-R0-XL</v>
          </cell>
          <cell r="B6979" t="str">
            <v>YZ-JY1151</v>
          </cell>
        </row>
        <row r="6980">
          <cell r="A6980" t="str">
            <v>YZ-JY1151-ZL-2XL</v>
          </cell>
          <cell r="B6980" t="str">
            <v>YZ-JY1151</v>
          </cell>
        </row>
        <row r="6981">
          <cell r="A6981" t="str">
            <v>YZ-JY1151-ZL-L</v>
          </cell>
          <cell r="B6981" t="str">
            <v>YZ-JY1151</v>
          </cell>
        </row>
        <row r="6982">
          <cell r="A6982" t="str">
            <v>YZ-JY1151-ZL-M</v>
          </cell>
          <cell r="B6982" t="str">
            <v>YZ-JY1151</v>
          </cell>
        </row>
        <row r="6983">
          <cell r="A6983" t="str">
            <v>YZ-JY1151-ZL-XL</v>
          </cell>
          <cell r="B6983" t="str">
            <v>YZ-JY1151</v>
          </cell>
        </row>
        <row r="6984">
          <cell r="A6984" t="str">
            <v>YZ-JY15963-B0-2XL</v>
          </cell>
          <cell r="B6984" t="str">
            <v>YZ-JY15963</v>
          </cell>
        </row>
        <row r="6985">
          <cell r="A6985" t="str">
            <v>YZ-JY15963-B0-3XL</v>
          </cell>
          <cell r="B6985" t="str">
            <v>YZ-JY15963</v>
          </cell>
        </row>
        <row r="6986">
          <cell r="A6986" t="str">
            <v>YZ-JY15963-B0-L</v>
          </cell>
          <cell r="B6986" t="str">
            <v>YZ-JY15963</v>
          </cell>
        </row>
        <row r="6987">
          <cell r="A6987" t="str">
            <v>YZ-JY15963-B0-S</v>
          </cell>
          <cell r="B6987" t="str">
            <v>YZ-JY15963</v>
          </cell>
        </row>
        <row r="6988">
          <cell r="A6988" t="str">
            <v>YZ-JY2526-R0-2XL</v>
          </cell>
          <cell r="B6988" t="str">
            <v>YZ-JY2526</v>
          </cell>
        </row>
        <row r="6989">
          <cell r="A6989" t="str">
            <v>YZ-JY2526-R0-3XL</v>
          </cell>
          <cell r="B6989" t="str">
            <v>YZ-JY2526</v>
          </cell>
        </row>
        <row r="6990">
          <cell r="A6990" t="str">
            <v>YZ-JY2526-R0-4XL</v>
          </cell>
          <cell r="B6990" t="str">
            <v>YZ-JY2526</v>
          </cell>
        </row>
        <row r="6991">
          <cell r="A6991" t="str">
            <v>YZ-JY2526-R0-XL</v>
          </cell>
          <cell r="B6991" t="str">
            <v>YZ-JY2526</v>
          </cell>
        </row>
        <row r="6992">
          <cell r="A6992" t="str">
            <v>YZ-JY3233-K0-L</v>
          </cell>
          <cell r="B6992" t="str">
            <v>YZ-JY3233</v>
          </cell>
        </row>
        <row r="6993">
          <cell r="A6993" t="str">
            <v>YZ-JY3233-K0-M</v>
          </cell>
          <cell r="B6993" t="str">
            <v>YZ-JY3233</v>
          </cell>
        </row>
        <row r="6994">
          <cell r="A6994" t="str">
            <v>YZ-JY3233-K0-S</v>
          </cell>
          <cell r="B6994" t="str">
            <v>YZ-JY3233</v>
          </cell>
        </row>
        <row r="6995">
          <cell r="A6995" t="str">
            <v>YZ-JY3233-K0-XL</v>
          </cell>
          <cell r="B6995" t="str">
            <v>YZ-JY3233</v>
          </cell>
        </row>
        <row r="6996">
          <cell r="A6996" t="str">
            <v>YZ-JY3233-K0-XS</v>
          </cell>
          <cell r="B6996" t="str">
            <v>YZ-JY3233</v>
          </cell>
        </row>
        <row r="6997">
          <cell r="A6997" t="str">
            <v>YZ-JY3288-B0-1L</v>
          </cell>
          <cell r="B6997" t="str">
            <v>YZ-JY3288</v>
          </cell>
        </row>
        <row r="6998">
          <cell r="A6998" t="str">
            <v>YZ-JY5694-K0-2XL</v>
          </cell>
          <cell r="B6998" t="str">
            <v>YZ-JY5694</v>
          </cell>
        </row>
        <row r="6999">
          <cell r="A6999" t="str">
            <v>YZ-JY5694-K0-3XL</v>
          </cell>
          <cell r="B6999" t="str">
            <v>YZ-JY5694</v>
          </cell>
        </row>
        <row r="7000">
          <cell r="A7000" t="str">
            <v>YZ-JY5694-K0-4XL</v>
          </cell>
          <cell r="B7000" t="str">
            <v>YZ-JY5694</v>
          </cell>
        </row>
        <row r="7001">
          <cell r="A7001" t="str">
            <v>YZ-JY5694-K0-L</v>
          </cell>
          <cell r="B7001" t="str">
            <v>YZ-JY5694</v>
          </cell>
        </row>
        <row r="7002">
          <cell r="A7002" t="str">
            <v>YZ-JY5694-K0-M</v>
          </cell>
          <cell r="B7002" t="str">
            <v>YZ-JY5694</v>
          </cell>
        </row>
        <row r="7003">
          <cell r="A7003" t="str">
            <v>YZ-JY5694-K0-S</v>
          </cell>
          <cell r="B7003" t="str">
            <v>YZ-JY5694</v>
          </cell>
        </row>
        <row r="7004">
          <cell r="A7004" t="str">
            <v>YZ-JY5694-K0-XL</v>
          </cell>
          <cell r="B7004" t="str">
            <v>YZ-JY5694</v>
          </cell>
        </row>
        <row r="7005">
          <cell r="A7005" t="str">
            <v>YZ-JY7015-K0-L</v>
          </cell>
          <cell r="B7005" t="str">
            <v>YZ-JY7105</v>
          </cell>
        </row>
        <row r="7006">
          <cell r="A7006" t="str">
            <v>YZ-JY7015-K0-M</v>
          </cell>
          <cell r="B7006" t="str">
            <v>YZ-JY7105</v>
          </cell>
        </row>
        <row r="7007">
          <cell r="A7007" t="str">
            <v>YZ-JY7015-R0-L</v>
          </cell>
          <cell r="B7007" t="str">
            <v>YZ-JY7105</v>
          </cell>
        </row>
        <row r="7008">
          <cell r="A7008" t="str">
            <v>YZ-JY7015-R0-XL</v>
          </cell>
          <cell r="B7008" t="str">
            <v>YZ-JY7105</v>
          </cell>
        </row>
        <row r="7009">
          <cell r="A7009" t="str">
            <v>YZ-JY7105-K0-XL</v>
          </cell>
          <cell r="B7009" t="str">
            <v>YZ-JY7105</v>
          </cell>
        </row>
        <row r="7010">
          <cell r="A7010" t="str">
            <v>YZ-JY7755-HL-1L</v>
          </cell>
          <cell r="B7010" t="str">
            <v>YZ-HM30CH</v>
          </cell>
        </row>
        <row r="7011">
          <cell r="A7011" t="str">
            <v>YZ-JY7755-HL-2L</v>
          </cell>
          <cell r="B7011" t="str">
            <v>YZ-HM30CH</v>
          </cell>
        </row>
        <row r="7012">
          <cell r="A7012" t="str">
            <v>YZ-JY7755-HL-L</v>
          </cell>
          <cell r="B7012" t="str">
            <v>YZ-HM30CH</v>
          </cell>
        </row>
        <row r="7013">
          <cell r="A7013" t="str">
            <v>YZ-JY7755-HL-M</v>
          </cell>
          <cell r="B7013" t="str">
            <v>YZ-HM30CH</v>
          </cell>
        </row>
        <row r="7014">
          <cell r="A7014" t="str">
            <v>YZ-JY7755-HL-S</v>
          </cell>
          <cell r="B7014" t="str">
            <v>YZ-HM30CH</v>
          </cell>
        </row>
        <row r="7015">
          <cell r="A7015" t="str">
            <v>YZ-JY888-K0-2XL</v>
          </cell>
          <cell r="B7015" t="str">
            <v>YZ-JY888</v>
          </cell>
        </row>
        <row r="7016">
          <cell r="A7016" t="str">
            <v>YZ-JY888-K0-3XL</v>
          </cell>
          <cell r="B7016" t="str">
            <v>YZ-JY888</v>
          </cell>
        </row>
        <row r="7017">
          <cell r="A7017" t="str">
            <v>YZ-JY888-K0-M</v>
          </cell>
          <cell r="B7017" t="str">
            <v>YZ-JY888</v>
          </cell>
        </row>
        <row r="7018">
          <cell r="A7018" t="str">
            <v>YZ-KL5020FL1L</v>
          </cell>
          <cell r="B7018" t="str">
            <v>YZ-KL5020</v>
          </cell>
        </row>
        <row r="7019">
          <cell r="A7019" t="str">
            <v>YZ-KL5020FL2L</v>
          </cell>
          <cell r="B7019" t="str">
            <v>YZ-KL5020</v>
          </cell>
        </row>
        <row r="7020">
          <cell r="A7020" t="str">
            <v>YZ-KL5020FL3L</v>
          </cell>
          <cell r="B7020" t="str">
            <v>YZ-KL5020</v>
          </cell>
        </row>
        <row r="7021">
          <cell r="A7021" t="str">
            <v>YZ-KL5020FL4L</v>
          </cell>
          <cell r="B7021" t="str">
            <v>YZ-KL5020</v>
          </cell>
        </row>
        <row r="7022">
          <cell r="A7022" t="str">
            <v>YZ-KL5020FL5L</v>
          </cell>
          <cell r="B7022" t="str">
            <v>YZ-KL5020</v>
          </cell>
        </row>
        <row r="7023">
          <cell r="A7023" t="str">
            <v>YZ-KL5020ST1L</v>
          </cell>
          <cell r="B7023" t="str">
            <v>YZ-KL5020</v>
          </cell>
        </row>
        <row r="7024">
          <cell r="A7024" t="str">
            <v>YZ-KL5020ST2L</v>
          </cell>
          <cell r="B7024" t="str">
            <v>YZ-KL5020</v>
          </cell>
        </row>
        <row r="7025">
          <cell r="A7025" t="str">
            <v>YZ-KL5020ST3L</v>
          </cell>
          <cell r="B7025" t="str">
            <v>YZ-KL5020</v>
          </cell>
        </row>
        <row r="7026">
          <cell r="A7026" t="str">
            <v>YZ-KL5020ST4L</v>
          </cell>
          <cell r="B7026" t="str">
            <v>YZ-KL5020</v>
          </cell>
        </row>
        <row r="7027">
          <cell r="A7027" t="str">
            <v>YZ-KL5020ST5L</v>
          </cell>
          <cell r="B7027" t="str">
            <v>YZ-KL5020</v>
          </cell>
        </row>
        <row r="7028">
          <cell r="A7028" t="str">
            <v>YZ-KL5020TW1L</v>
          </cell>
          <cell r="B7028" t="str">
            <v>YZ-KL5020</v>
          </cell>
        </row>
        <row r="7029">
          <cell r="A7029" t="str">
            <v>YZ-KL5020TW2L</v>
          </cell>
          <cell r="B7029" t="str">
            <v>YZ-KL5020</v>
          </cell>
        </row>
        <row r="7030">
          <cell r="A7030" t="str">
            <v>YZ-KL5020TW3L</v>
          </cell>
          <cell r="B7030" t="str">
            <v>YZ-KL5020</v>
          </cell>
        </row>
        <row r="7031">
          <cell r="A7031" t="str">
            <v>YZ-KL5020TW4L</v>
          </cell>
          <cell r="B7031" t="str">
            <v>YZ-KL5020</v>
          </cell>
        </row>
        <row r="7032">
          <cell r="A7032" t="str">
            <v>YZ-KL5020TW5L</v>
          </cell>
          <cell r="B7032" t="str">
            <v>YZ-KL5020</v>
          </cell>
        </row>
        <row r="7033">
          <cell r="A7033" t="str">
            <v>YZ-KL5020YH1L</v>
          </cell>
          <cell r="B7033" t="str">
            <v>YZ-KL5020</v>
          </cell>
        </row>
        <row r="7034">
          <cell r="A7034" t="str">
            <v>YZ-KL5020YH2L</v>
          </cell>
          <cell r="B7034" t="str">
            <v>YZ-KL5020</v>
          </cell>
        </row>
        <row r="7035">
          <cell r="A7035" t="str">
            <v>YZ-KL5020YH3L</v>
          </cell>
          <cell r="B7035" t="str">
            <v>YZ-KL5020</v>
          </cell>
        </row>
        <row r="7036">
          <cell r="A7036" t="str">
            <v>YZ-KL5020YH4L</v>
          </cell>
          <cell r="B7036" t="str">
            <v>YZ-KL5020</v>
          </cell>
        </row>
        <row r="7037">
          <cell r="A7037" t="str">
            <v>YZ-KL5020YH5L</v>
          </cell>
          <cell r="B7037" t="str">
            <v>YZ-KL5020</v>
          </cell>
        </row>
        <row r="7038">
          <cell r="A7038" t="str">
            <v>YZ-LS1068B01L</v>
          </cell>
          <cell r="B7038" t="str">
            <v>YZ-LS1068</v>
          </cell>
        </row>
        <row r="7039">
          <cell r="A7039" t="str">
            <v>YZ-LS1068B0L</v>
          </cell>
          <cell r="B7039" t="str">
            <v>YZ-LS1068</v>
          </cell>
        </row>
        <row r="7040">
          <cell r="A7040" t="str">
            <v>YZ-LS1068B0M</v>
          </cell>
          <cell r="B7040" t="str">
            <v>YZ-LS1068</v>
          </cell>
        </row>
        <row r="7041">
          <cell r="A7041" t="str">
            <v>YZ-LS1068B0S</v>
          </cell>
          <cell r="B7041" t="str">
            <v>YZ-LS1068</v>
          </cell>
        </row>
        <row r="7042">
          <cell r="A7042" t="str">
            <v>YZ-LS1068K01L</v>
          </cell>
          <cell r="B7042" t="str">
            <v>YZ-LS1068</v>
          </cell>
        </row>
        <row r="7043">
          <cell r="A7043" t="str">
            <v>YZ-LS1068K0L</v>
          </cell>
          <cell r="B7043" t="str">
            <v>YZ-LS1068</v>
          </cell>
        </row>
        <row r="7044">
          <cell r="A7044" t="str">
            <v>YZ-LS1068K0M</v>
          </cell>
          <cell r="B7044" t="str">
            <v>YZ-LS1068</v>
          </cell>
        </row>
        <row r="7045">
          <cell r="A7045" t="str">
            <v>YZ-LS1068K0S</v>
          </cell>
          <cell r="B7045" t="str">
            <v>YZ-LS1068</v>
          </cell>
        </row>
        <row r="7046">
          <cell r="A7046" t="str">
            <v>YZ-LS1068W01L</v>
          </cell>
          <cell r="B7046" t="str">
            <v>YZ-LS1068</v>
          </cell>
        </row>
        <row r="7047">
          <cell r="A7047" t="str">
            <v>YZ-LS1068W0L</v>
          </cell>
          <cell r="B7047" t="str">
            <v>YZ-LS1068</v>
          </cell>
        </row>
        <row r="7048">
          <cell r="A7048" t="str">
            <v>YZ-LS1068W0M</v>
          </cell>
          <cell r="B7048" t="str">
            <v>YZ-LS1068</v>
          </cell>
        </row>
        <row r="7049">
          <cell r="A7049" t="str">
            <v>YZ-LS1068W0S</v>
          </cell>
          <cell r="B7049" t="str">
            <v>YZ-LS1068</v>
          </cell>
        </row>
        <row r="7050">
          <cell r="A7050" t="str">
            <v>YZ-LS1068WOL</v>
          </cell>
          <cell r="B7050" t="str">
            <v>YZ-LS1068</v>
          </cell>
        </row>
        <row r="7051">
          <cell r="A7051" t="str">
            <v>YZ-LS1068WOM</v>
          </cell>
          <cell r="B7051" t="str">
            <v>YZ-LS1068</v>
          </cell>
        </row>
        <row r="7052">
          <cell r="A7052" t="str">
            <v>YZ-MY1701</v>
          </cell>
          <cell r="B7052" t="str">
            <v>YZ-MY1701</v>
          </cell>
        </row>
        <row r="7053">
          <cell r="A7053" t="str">
            <v>YZ-MY1701-KO-L</v>
          </cell>
          <cell r="B7053" t="str">
            <v>YZ-MY1701</v>
          </cell>
        </row>
        <row r="7054">
          <cell r="A7054" t="str">
            <v>YZ-MY1701-KO-M</v>
          </cell>
          <cell r="B7054" t="str">
            <v>YZ-MY1701</v>
          </cell>
        </row>
        <row r="7055">
          <cell r="A7055" t="str">
            <v>YZ-MY1701-KO-S</v>
          </cell>
          <cell r="B7055" t="str">
            <v>YZ-MY1701</v>
          </cell>
        </row>
        <row r="7056">
          <cell r="A7056" t="str">
            <v>YZ-MY1701-KO-XL</v>
          </cell>
          <cell r="B7056" t="str">
            <v>YZ-MY1701</v>
          </cell>
        </row>
        <row r="7057">
          <cell r="A7057" t="str">
            <v>YZ-MY1701-KO-XS</v>
          </cell>
          <cell r="B7057" t="str">
            <v>YZ-MY1701</v>
          </cell>
        </row>
        <row r="7058">
          <cell r="A7058" t="str">
            <v>YZ-MY1702</v>
          </cell>
          <cell r="B7058" t="str">
            <v>YZ-MY1702</v>
          </cell>
        </row>
        <row r="7059">
          <cell r="A7059" t="str">
            <v>YZ-MY1702-GO-L</v>
          </cell>
          <cell r="B7059" t="str">
            <v>YZ-MY1702</v>
          </cell>
        </row>
        <row r="7060">
          <cell r="A7060" t="str">
            <v>YZ-MY1702-GO-M</v>
          </cell>
          <cell r="B7060" t="str">
            <v>YZ-MY1702</v>
          </cell>
        </row>
        <row r="7061">
          <cell r="A7061" t="str">
            <v>YZ-MY1702-GO-S</v>
          </cell>
          <cell r="B7061" t="str">
            <v>YZ-MY1702</v>
          </cell>
        </row>
        <row r="7062">
          <cell r="A7062" t="str">
            <v>YZ-MY1702-GO-XL</v>
          </cell>
          <cell r="B7062" t="str">
            <v>YZ-MY1702</v>
          </cell>
        </row>
        <row r="7063">
          <cell r="A7063" t="str">
            <v>YZ-MY1702-GO-XS</v>
          </cell>
          <cell r="B7063" t="str">
            <v>YZ-MY1702</v>
          </cell>
        </row>
        <row r="7064">
          <cell r="A7064" t="str">
            <v>YZ-MY1727</v>
          </cell>
          <cell r="B7064" t="str">
            <v>YZ-MY1727</v>
          </cell>
        </row>
        <row r="7065">
          <cell r="A7065" t="str">
            <v>YZ-MY1727-2XL</v>
          </cell>
          <cell r="B7065" t="str">
            <v>YZ-MY1727</v>
          </cell>
        </row>
        <row r="7066">
          <cell r="A7066" t="str">
            <v>YZ-MY1727-L</v>
          </cell>
          <cell r="B7066" t="str">
            <v>YZ-MY1727</v>
          </cell>
        </row>
        <row r="7067">
          <cell r="A7067" t="str">
            <v>YZ-MY1727-M</v>
          </cell>
          <cell r="B7067" t="str">
            <v>YZ-MY1727</v>
          </cell>
        </row>
        <row r="7068">
          <cell r="A7068" t="str">
            <v>YZ-MY1727-S</v>
          </cell>
          <cell r="B7068" t="str">
            <v>YZ-MY1727</v>
          </cell>
        </row>
        <row r="7069">
          <cell r="A7069" t="str">
            <v>YZ-MY1727-XL</v>
          </cell>
          <cell r="B7069" t="str">
            <v>YZ-MY1727</v>
          </cell>
        </row>
        <row r="7070">
          <cell r="A7070" t="str">
            <v>YZ-MYBKN1703</v>
          </cell>
          <cell r="B7070" t="str">
            <v>YZ-MYBKN1703</v>
          </cell>
        </row>
        <row r="7071">
          <cell r="A7071" t="str">
            <v>YZ-MYBKN1703-R0-L</v>
          </cell>
          <cell r="B7071" t="str">
            <v>YZ-MYBKN1703</v>
          </cell>
        </row>
        <row r="7072">
          <cell r="A7072" t="str">
            <v>YZ-MYBKN1703-R0-M</v>
          </cell>
          <cell r="B7072" t="str">
            <v>YZ-MYBKN1703</v>
          </cell>
        </row>
        <row r="7073">
          <cell r="A7073" t="str">
            <v>YZ-MYBKN1703-R0-S</v>
          </cell>
          <cell r="B7073" t="str">
            <v>YZ-MYBKN1703</v>
          </cell>
        </row>
        <row r="7074">
          <cell r="A7074" t="str">
            <v>YZ-MYBKN1703-R0-XL</v>
          </cell>
          <cell r="B7074" t="str">
            <v>YZ-MYBKN1703</v>
          </cell>
        </row>
        <row r="7075">
          <cell r="A7075" t="str">
            <v>YZ-MYBKN1703-R0-XS</v>
          </cell>
          <cell r="B7075" t="str">
            <v>YZ-MYBKN1703</v>
          </cell>
        </row>
        <row r="7076">
          <cell r="A7076" t="str">
            <v>YZ-MY-JY3233</v>
          </cell>
          <cell r="B7076" t="str">
            <v>YZ-MY-JY3233</v>
          </cell>
        </row>
        <row r="7077">
          <cell r="A7077" t="str">
            <v>YZ-MY-JY3233-K0-L</v>
          </cell>
          <cell r="B7077" t="str">
            <v>YZ-MY-JY3233</v>
          </cell>
        </row>
        <row r="7078">
          <cell r="A7078" t="str">
            <v>YZ-MY-JY3233-K0-M</v>
          </cell>
          <cell r="B7078" t="str">
            <v>YZ-MY-JY3233</v>
          </cell>
        </row>
        <row r="7079">
          <cell r="A7079" t="str">
            <v>YZ-MY-JY3233-K0-S</v>
          </cell>
          <cell r="B7079" t="str">
            <v>YZ-MY-JY3233</v>
          </cell>
        </row>
        <row r="7080">
          <cell r="A7080" t="str">
            <v>YZ-MY-JY3233-K0-XL</v>
          </cell>
          <cell r="B7080" t="str">
            <v>YZ-MY-JY3233</v>
          </cell>
        </row>
        <row r="7081">
          <cell r="A7081" t="str">
            <v>YZ-MY-JY3233-K0-XS</v>
          </cell>
          <cell r="B7081" t="str">
            <v>YZ-MY-JY3233</v>
          </cell>
        </row>
        <row r="7082">
          <cell r="A7082" t="str">
            <v>YZ-MYQQ1706</v>
          </cell>
          <cell r="B7082" t="str">
            <v>YZ-MYQQ1706</v>
          </cell>
        </row>
        <row r="7083">
          <cell r="A7083" t="str">
            <v>YZ-MYQQ1706-K0-2XL</v>
          </cell>
          <cell r="B7083" t="str">
            <v>YZ-MYQQ1706</v>
          </cell>
        </row>
        <row r="7084">
          <cell r="A7084" t="str">
            <v>YZ-MYQQ1706-K0-L</v>
          </cell>
          <cell r="B7084" t="str">
            <v>YZ-MYQQ1706</v>
          </cell>
        </row>
        <row r="7085">
          <cell r="A7085" t="str">
            <v>YZ-MYQQ1706-K0-M</v>
          </cell>
          <cell r="B7085" t="str">
            <v>YZ-MYQQ1706</v>
          </cell>
        </row>
        <row r="7086">
          <cell r="A7086" t="str">
            <v>YZ-MYQQ1706-K0-S</v>
          </cell>
          <cell r="B7086" t="str">
            <v>YZ-MYQQ1706</v>
          </cell>
        </row>
        <row r="7087">
          <cell r="A7087" t="str">
            <v>YZ-MYQQ1706-K0-XL</v>
          </cell>
          <cell r="B7087" t="str">
            <v>YZ-MYQQ1706</v>
          </cell>
        </row>
        <row r="7088">
          <cell r="A7088" t="str">
            <v>YZ-MYQQ1706-K0-XS</v>
          </cell>
          <cell r="B7088" t="str">
            <v>YZ-MYQQ1706</v>
          </cell>
        </row>
        <row r="7089">
          <cell r="A7089" t="str">
            <v>YZ-MYQZ1709</v>
          </cell>
          <cell r="B7089" t="str">
            <v>YZ-MYQZ1709</v>
          </cell>
        </row>
        <row r="7090">
          <cell r="A7090" t="str">
            <v>YZ-MYQZ1709-K0-2XL</v>
          </cell>
          <cell r="B7090" t="str">
            <v>YZ-MYQZ1709</v>
          </cell>
        </row>
        <row r="7091">
          <cell r="A7091" t="str">
            <v>YZ-MYQZ1709-K0-3XL</v>
          </cell>
          <cell r="B7091" t="str">
            <v>YZ-MYQZ1709</v>
          </cell>
        </row>
        <row r="7092">
          <cell r="A7092" t="str">
            <v>YZ-MYQZ1709-K0-L</v>
          </cell>
          <cell r="B7092" t="str">
            <v>YZ-MYQZ1709</v>
          </cell>
        </row>
        <row r="7093">
          <cell r="A7093" t="str">
            <v>YZ-MYQZ1709-K0-M</v>
          </cell>
          <cell r="B7093" t="str">
            <v>YZ-MYQZ1709</v>
          </cell>
        </row>
        <row r="7094">
          <cell r="A7094" t="str">
            <v>YZ-MYQZ1709-K0-S</v>
          </cell>
          <cell r="B7094" t="str">
            <v>YZ-MYQZ1709</v>
          </cell>
        </row>
        <row r="7095">
          <cell r="A7095" t="str">
            <v>YZ-MYQZ1709-K0-XL</v>
          </cell>
          <cell r="B7095" t="str">
            <v>YZ-MYQZ1709</v>
          </cell>
        </row>
        <row r="7096">
          <cell r="A7096" t="str">
            <v>YZ-MYQZ1709-K0-XS</v>
          </cell>
          <cell r="B7096" t="str">
            <v>YZ-MYQZ1709</v>
          </cell>
        </row>
        <row r="7097">
          <cell r="A7097" t="str">
            <v>YZ-MYQZ1709-R0-2XL</v>
          </cell>
          <cell r="B7097" t="str">
            <v>YZ-MYQZ1709</v>
          </cell>
        </row>
        <row r="7098">
          <cell r="A7098" t="str">
            <v>YZ-MYQZ1709-R0-3XL</v>
          </cell>
          <cell r="B7098" t="str">
            <v>YZ-MYQZ1709</v>
          </cell>
        </row>
        <row r="7099">
          <cell r="A7099" t="str">
            <v>YZ-MYQZ1709-R0-L</v>
          </cell>
          <cell r="B7099" t="str">
            <v>YZ-MYQZ1709</v>
          </cell>
        </row>
        <row r="7100">
          <cell r="A7100" t="str">
            <v>YZ-MYQZ1709-R0-M</v>
          </cell>
          <cell r="B7100" t="str">
            <v>YZ-MYQZ1709</v>
          </cell>
        </row>
        <row r="7101">
          <cell r="A7101" t="str">
            <v>YZ-MYQZ1709-R0-S</v>
          </cell>
          <cell r="B7101" t="str">
            <v>YZ-MYQZ1709</v>
          </cell>
        </row>
        <row r="7102">
          <cell r="A7102" t="str">
            <v>YZ-MYQZ1709-R0-XL</v>
          </cell>
          <cell r="B7102" t="str">
            <v>YZ-MYQZ1709</v>
          </cell>
        </row>
        <row r="7103">
          <cell r="A7103" t="str">
            <v>YZ-MYQZ1709-R0-XS</v>
          </cell>
          <cell r="B7103" t="str">
            <v>YZ-MYQZ1709</v>
          </cell>
        </row>
        <row r="7104">
          <cell r="A7104" t="str">
            <v>YZ-MYSJ1708</v>
          </cell>
          <cell r="B7104" t="str">
            <v>YZ-MYSJ1708</v>
          </cell>
        </row>
        <row r="7105">
          <cell r="A7105" t="str">
            <v>YZ-MYSJ1708-K0-2XL</v>
          </cell>
          <cell r="B7105" t="str">
            <v>YZ-MYSJ1708</v>
          </cell>
        </row>
        <row r="7106">
          <cell r="A7106" t="str">
            <v>YZ-MYSJ1708-K0-L</v>
          </cell>
          <cell r="B7106" t="str">
            <v>YZ-MYSJ1708</v>
          </cell>
        </row>
        <row r="7107">
          <cell r="A7107" t="str">
            <v>YZ-MYSJ1708-K0-M</v>
          </cell>
          <cell r="B7107" t="str">
            <v>YZ-MYSJ1708</v>
          </cell>
        </row>
        <row r="7108">
          <cell r="A7108" t="str">
            <v>YZ-MYSJ1708-K0-S</v>
          </cell>
          <cell r="B7108" t="str">
            <v>YZ-MYSJ1708</v>
          </cell>
        </row>
        <row r="7109">
          <cell r="A7109" t="str">
            <v>YZ-MYSJ1708-K0-XL</v>
          </cell>
          <cell r="B7109" t="str">
            <v>YZ-MYSJ1708</v>
          </cell>
        </row>
        <row r="7110">
          <cell r="A7110" t="str">
            <v>YZ-MYSJ1708-K0-XS</v>
          </cell>
          <cell r="B7110" t="str">
            <v>YZ-MYSJ1708</v>
          </cell>
        </row>
        <row r="7111">
          <cell r="A7111" t="str">
            <v>YZ-MYSJ1708-R0-2XL</v>
          </cell>
          <cell r="B7111" t="str">
            <v>YZ-MYSJ1708</v>
          </cell>
        </row>
        <row r="7112">
          <cell r="A7112" t="str">
            <v>YZ-MYSJ1708-R0-L</v>
          </cell>
          <cell r="B7112" t="str">
            <v>YZ-MYSJ1708</v>
          </cell>
        </row>
        <row r="7113">
          <cell r="A7113" t="str">
            <v>YZ-MYSJ1708-R0-M</v>
          </cell>
          <cell r="B7113" t="str">
            <v>YZ-MYSJ1708</v>
          </cell>
        </row>
        <row r="7114">
          <cell r="A7114" t="str">
            <v>YZ-MYSJ1708-R0-S</v>
          </cell>
          <cell r="B7114" t="str">
            <v>YZ-MYSJ1708</v>
          </cell>
        </row>
        <row r="7115">
          <cell r="A7115" t="str">
            <v>YZ-MYSJ1708-R0-XL</v>
          </cell>
          <cell r="B7115" t="str">
            <v>YZ-MYSJ1708</v>
          </cell>
        </row>
        <row r="7116">
          <cell r="A7116" t="str">
            <v>YZ-MYSJ1708-R0-XS</v>
          </cell>
          <cell r="B7116" t="str">
            <v>YZ-MYSJ1708</v>
          </cell>
        </row>
        <row r="7117">
          <cell r="A7117" t="str">
            <v>YZNA11B04XL</v>
          </cell>
          <cell r="B7117" t="str">
            <v>YZNA11</v>
          </cell>
        </row>
        <row r="7118">
          <cell r="A7118" t="str">
            <v>YZNA11B0L</v>
          </cell>
          <cell r="B7118" t="str">
            <v>YZNA11</v>
          </cell>
        </row>
        <row r="7119">
          <cell r="A7119" t="str">
            <v>YZNA11B0M</v>
          </cell>
          <cell r="B7119" t="str">
            <v>YZNA11</v>
          </cell>
        </row>
        <row r="7120">
          <cell r="A7120" t="str">
            <v>YZNA11B0XL</v>
          </cell>
          <cell r="B7120" t="str">
            <v>YZNA11</v>
          </cell>
        </row>
        <row r="7121">
          <cell r="A7121" t="str">
            <v>YZNA11B0XXXL</v>
          </cell>
          <cell r="B7121" t="str">
            <v>YZNA11</v>
          </cell>
        </row>
        <row r="7122">
          <cell r="A7122" t="str">
            <v>YZNA11K04xL</v>
          </cell>
          <cell r="B7122" t="str">
            <v>YZNA11</v>
          </cell>
        </row>
        <row r="7123">
          <cell r="A7123" t="str">
            <v>YZNA11K0L</v>
          </cell>
          <cell r="B7123" t="str">
            <v>YZNA11</v>
          </cell>
        </row>
        <row r="7124">
          <cell r="A7124" t="str">
            <v>YZNA11K0M</v>
          </cell>
          <cell r="B7124" t="str">
            <v>YZNA11</v>
          </cell>
        </row>
        <row r="7125">
          <cell r="A7125" t="str">
            <v>YZNA11K0XL</v>
          </cell>
          <cell r="B7125" t="str">
            <v>YZNA11</v>
          </cell>
        </row>
        <row r="7126">
          <cell r="A7126" t="str">
            <v>YZNA11K0XXXL</v>
          </cell>
          <cell r="B7126" t="str">
            <v>YZNA11</v>
          </cell>
        </row>
        <row r="7127">
          <cell r="A7127" t="str">
            <v>YZ-NA13037EZ1L</v>
          </cell>
          <cell r="B7127" t="str">
            <v>YZ-NA13037</v>
          </cell>
        </row>
        <row r="7128">
          <cell r="A7128" t="str">
            <v>YZ-NA13037EZ2L</v>
          </cell>
          <cell r="B7128" t="str">
            <v>YZ-NA13037</v>
          </cell>
        </row>
        <row r="7129">
          <cell r="A7129" t="str">
            <v>YZ-NA13037EZ3L</v>
          </cell>
          <cell r="B7129" t="str">
            <v>YZ-NA13037</v>
          </cell>
        </row>
        <row r="7130">
          <cell r="A7130" t="str">
            <v>YZ-NA13037EZ4L</v>
          </cell>
          <cell r="B7130" t="str">
            <v>YZ-NA13037</v>
          </cell>
        </row>
        <row r="7131">
          <cell r="A7131" t="str">
            <v>YZ-NA13037EZ5L</v>
          </cell>
          <cell r="B7131" t="str">
            <v>YZ-NA13037</v>
          </cell>
        </row>
        <row r="7132">
          <cell r="A7132" t="str">
            <v>YZ-NA13037EZ6L</v>
          </cell>
          <cell r="B7132" t="str">
            <v>YZ-NA13037</v>
          </cell>
        </row>
        <row r="7133">
          <cell r="A7133" t="str">
            <v>YZ-NA13037EZ7L</v>
          </cell>
          <cell r="B7133" t="str">
            <v>YZ-NA13037</v>
          </cell>
        </row>
        <row r="7134">
          <cell r="A7134" t="str">
            <v>YZ-NA13037EZ8L</v>
          </cell>
          <cell r="B7134" t="str">
            <v>YZ-NA13037</v>
          </cell>
        </row>
        <row r="7135">
          <cell r="A7135" t="str">
            <v>YZ-NA13037EZ9L</v>
          </cell>
          <cell r="B7135" t="str">
            <v>YZ-NA13037</v>
          </cell>
        </row>
        <row r="7136">
          <cell r="A7136" t="str">
            <v>YZ-NA13037Or1L</v>
          </cell>
          <cell r="B7136" t="str">
            <v>YZ-NA13037</v>
          </cell>
        </row>
        <row r="7137">
          <cell r="A7137" t="str">
            <v>YZ-NA13037Or2L</v>
          </cell>
          <cell r="B7137" t="str">
            <v>YZ-NA13037</v>
          </cell>
        </row>
        <row r="7138">
          <cell r="A7138" t="str">
            <v>YZ-NA13037Or3L</v>
          </cell>
          <cell r="B7138" t="str">
            <v>YZ-NA13037</v>
          </cell>
        </row>
        <row r="7139">
          <cell r="A7139" t="str">
            <v>YZ-NA13037Or4L</v>
          </cell>
          <cell r="B7139" t="str">
            <v>YZ-NA13037</v>
          </cell>
        </row>
        <row r="7140">
          <cell r="A7140" t="str">
            <v>YZ-NA13037Or5L</v>
          </cell>
          <cell r="B7140" t="str">
            <v>YZ-NA13037</v>
          </cell>
        </row>
        <row r="7141">
          <cell r="A7141" t="str">
            <v>YZ-NA13037Or6L</v>
          </cell>
          <cell r="B7141" t="str">
            <v>YZ-NA13037</v>
          </cell>
        </row>
        <row r="7142">
          <cell r="A7142" t="str">
            <v>YZ-NA13037Or7L</v>
          </cell>
          <cell r="B7142" t="str">
            <v>YZ-NA13037</v>
          </cell>
        </row>
        <row r="7143">
          <cell r="A7143" t="str">
            <v>YZ-NA13037Or8L</v>
          </cell>
          <cell r="B7143" t="str">
            <v>YZ-NA13037</v>
          </cell>
        </row>
        <row r="7144">
          <cell r="A7144" t="str">
            <v>YZ-NA13037Or9L</v>
          </cell>
          <cell r="B7144" t="str">
            <v>YZ-NA13037</v>
          </cell>
        </row>
        <row r="7145">
          <cell r="A7145" t="str">
            <v>YZ-NA13037Pu1L</v>
          </cell>
          <cell r="B7145" t="str">
            <v>YZ-NA13037</v>
          </cell>
        </row>
        <row r="7146">
          <cell r="A7146" t="str">
            <v>YZ-NA13037Pu2L</v>
          </cell>
          <cell r="B7146" t="str">
            <v>YZ-NA13037</v>
          </cell>
        </row>
        <row r="7147">
          <cell r="A7147" t="str">
            <v>YZ-NA13037Pu3L</v>
          </cell>
          <cell r="B7147" t="str">
            <v>YZ-NA13037</v>
          </cell>
        </row>
        <row r="7148">
          <cell r="A7148" t="str">
            <v>YZ-NA13037Pu4L</v>
          </cell>
          <cell r="B7148" t="str">
            <v>YZ-NA13037</v>
          </cell>
        </row>
        <row r="7149">
          <cell r="A7149" t="str">
            <v>YZ-NA13037Pu5L</v>
          </cell>
          <cell r="B7149" t="str">
            <v>YZ-NA13037</v>
          </cell>
        </row>
        <row r="7150">
          <cell r="A7150" t="str">
            <v>YZ-NA13037Pu6L</v>
          </cell>
          <cell r="B7150" t="str">
            <v>YZ-NA13037</v>
          </cell>
        </row>
        <row r="7151">
          <cell r="A7151" t="str">
            <v>YZ-NA13037Pu7L</v>
          </cell>
          <cell r="B7151" t="str">
            <v>YZ-NA13037</v>
          </cell>
        </row>
        <row r="7152">
          <cell r="A7152" t="str">
            <v>YZ-NA13037Pu8L</v>
          </cell>
          <cell r="B7152" t="str">
            <v>YZ-NA13037</v>
          </cell>
        </row>
        <row r="7153">
          <cell r="A7153" t="str">
            <v>YZ-NA13037Pu9L</v>
          </cell>
          <cell r="B7153" t="str">
            <v>YZ-NA13037</v>
          </cell>
        </row>
        <row r="7154">
          <cell r="A7154" t="str">
            <v>YZ-NA13037Wi1L</v>
          </cell>
          <cell r="B7154" t="str">
            <v>YZ-NA13037</v>
          </cell>
        </row>
        <row r="7155">
          <cell r="A7155" t="str">
            <v>YZ-NA13037Wi2L</v>
          </cell>
          <cell r="B7155" t="str">
            <v>YZ-NA13037</v>
          </cell>
        </row>
        <row r="7156">
          <cell r="A7156" t="str">
            <v>YZ-NA13037Wi3L</v>
          </cell>
          <cell r="B7156" t="str">
            <v>YZ-NA13037</v>
          </cell>
        </row>
        <row r="7157">
          <cell r="A7157" t="str">
            <v>YZ-NA13037Wi4L</v>
          </cell>
          <cell r="B7157" t="str">
            <v>YZ-NA13037</v>
          </cell>
        </row>
        <row r="7158">
          <cell r="A7158" t="str">
            <v>YZ-NA13037Wi5L</v>
          </cell>
          <cell r="B7158" t="str">
            <v>YZ-NA13037</v>
          </cell>
        </row>
        <row r="7159">
          <cell r="A7159" t="str">
            <v>YZ-NA13037Wi6L</v>
          </cell>
          <cell r="B7159" t="str">
            <v>YZ-NA13037</v>
          </cell>
        </row>
        <row r="7160">
          <cell r="A7160" t="str">
            <v>YZ-NA13037Wi7L</v>
          </cell>
          <cell r="B7160" t="str">
            <v>YZ-NA13037</v>
          </cell>
        </row>
        <row r="7161">
          <cell r="A7161" t="str">
            <v>YZ-NA13037Wi8L</v>
          </cell>
          <cell r="B7161" t="str">
            <v>YZ-NA13037</v>
          </cell>
        </row>
        <row r="7162">
          <cell r="A7162" t="str">
            <v>YZ-NA13037Wi9L</v>
          </cell>
          <cell r="B7162" t="str">
            <v>YZ-NA13037</v>
          </cell>
        </row>
        <row r="7163">
          <cell r="A7163" t="str">
            <v>YZ-NA1304Y05L</v>
          </cell>
          <cell r="B7163" t="str">
            <v>YZ-NA1304</v>
          </cell>
        </row>
        <row r="7164">
          <cell r="A7164" t="str">
            <v>YZ-NA1521-BF-3XL</v>
          </cell>
          <cell r="B7164" t="str">
            <v>YZ-NA1521</v>
          </cell>
        </row>
        <row r="7165">
          <cell r="A7165" t="str">
            <v>YZ-NA1521-BF-5XL</v>
          </cell>
          <cell r="B7165" t="str">
            <v>YZ-NA1521</v>
          </cell>
        </row>
        <row r="7166">
          <cell r="A7166" t="str">
            <v>YZ-NA1521-BL-2XL</v>
          </cell>
          <cell r="B7166" t="str">
            <v>YZ-NA1521</v>
          </cell>
        </row>
        <row r="7167">
          <cell r="A7167" t="str">
            <v>YZ-NA1521-BL-4XL</v>
          </cell>
          <cell r="B7167" t="str">
            <v>YZ-NA1521</v>
          </cell>
        </row>
        <row r="7168">
          <cell r="A7168" t="str">
            <v>YZ-NA1521-BL-5XL</v>
          </cell>
          <cell r="B7168" t="str">
            <v>YZ-NA1521</v>
          </cell>
        </row>
        <row r="7169">
          <cell r="A7169" t="str">
            <v>YZ-NA1521-GF-2XL</v>
          </cell>
          <cell r="B7169" t="str">
            <v>YZ-NA1521</v>
          </cell>
        </row>
        <row r="7170">
          <cell r="A7170" t="str">
            <v>YZ-NA1521-GF-3XL</v>
          </cell>
          <cell r="B7170" t="str">
            <v>YZ-NA1521</v>
          </cell>
        </row>
        <row r="7171">
          <cell r="A7171" t="str">
            <v>YZ-NA1521-GF-4XL</v>
          </cell>
          <cell r="B7171" t="str">
            <v>YZ-NA1521</v>
          </cell>
        </row>
        <row r="7172">
          <cell r="A7172" t="str">
            <v>YZ-NA1521-GF-5XL</v>
          </cell>
          <cell r="B7172" t="str">
            <v>YZ-NA1521</v>
          </cell>
        </row>
        <row r="7173">
          <cell r="A7173" t="str">
            <v>YZ-NA1521-GF-XL</v>
          </cell>
          <cell r="B7173" t="str">
            <v>YZ-NA1521</v>
          </cell>
        </row>
        <row r="7174">
          <cell r="A7174" t="str">
            <v>YZ-NA1521-GW-2XL</v>
          </cell>
          <cell r="B7174" t="str">
            <v>YZ-NA1521</v>
          </cell>
        </row>
        <row r="7175">
          <cell r="A7175" t="str">
            <v>YZ-NA1521-GW-3XL</v>
          </cell>
          <cell r="B7175" t="str">
            <v>YZ-NA1521</v>
          </cell>
        </row>
        <row r="7176">
          <cell r="A7176" t="str">
            <v>YZ-NA1521-GW-4XL</v>
          </cell>
          <cell r="B7176" t="str">
            <v>YZ-NA1521</v>
          </cell>
        </row>
        <row r="7177">
          <cell r="A7177" t="str">
            <v>YZ-NA1521-KF-4XL</v>
          </cell>
          <cell r="B7177" t="str">
            <v>YZ-NA1521</v>
          </cell>
        </row>
        <row r="7178">
          <cell r="A7178" t="str">
            <v>YZ-NA1521-KF-XL</v>
          </cell>
          <cell r="B7178" t="str">
            <v>YZ-NA1521</v>
          </cell>
        </row>
        <row r="7179">
          <cell r="A7179" t="str">
            <v>YZ-NA1521-RF-2XL</v>
          </cell>
          <cell r="B7179" t="str">
            <v>YZ-NA1521</v>
          </cell>
        </row>
        <row r="7180">
          <cell r="A7180" t="str">
            <v>YZ-NA1521-RF-3XL</v>
          </cell>
          <cell r="B7180" t="str">
            <v>YZ-NA1521</v>
          </cell>
        </row>
        <row r="7181">
          <cell r="A7181" t="str">
            <v>YZ-NA1521-RF-4XL</v>
          </cell>
          <cell r="B7181" t="str">
            <v>YZ-NA1521</v>
          </cell>
        </row>
        <row r="7182">
          <cell r="A7182" t="str">
            <v>YZ-NA1521-RF-5XL</v>
          </cell>
          <cell r="B7182" t="str">
            <v>YZ-NA1521</v>
          </cell>
        </row>
        <row r="7183">
          <cell r="A7183" t="str">
            <v>YZ-NA1521-RF-XL</v>
          </cell>
          <cell r="B7183" t="str">
            <v>YZ-NA1521</v>
          </cell>
        </row>
        <row r="7184">
          <cell r="A7184" t="str">
            <v>YZ-NA1521-RL-3XL</v>
          </cell>
          <cell r="B7184" t="str">
            <v>YZ-NA1521</v>
          </cell>
        </row>
        <row r="7185">
          <cell r="A7185" t="str">
            <v>YZ-NA1521-RL-4XL</v>
          </cell>
          <cell r="B7185" t="str">
            <v>YZ-NA1521</v>
          </cell>
        </row>
        <row r="7186">
          <cell r="A7186" t="str">
            <v>YZ-NA1521-RL-5XL</v>
          </cell>
          <cell r="B7186" t="str">
            <v>YZ-NA1521</v>
          </cell>
        </row>
        <row r="7187">
          <cell r="A7187" t="str">
            <v>YZ-NA1521-RM-2XL</v>
          </cell>
          <cell r="B7187" t="str">
            <v>YZ-NA1521</v>
          </cell>
        </row>
        <row r="7188">
          <cell r="A7188" t="str">
            <v>YZ-NA1521-RM-3XL</v>
          </cell>
          <cell r="B7188" t="str">
            <v>YZ-NA1521</v>
          </cell>
        </row>
        <row r="7189">
          <cell r="A7189" t="str">
            <v>YZ-NA1521-RM-4XL</v>
          </cell>
          <cell r="B7189" t="str">
            <v>YZ-NA1521</v>
          </cell>
        </row>
        <row r="7190">
          <cell r="A7190" t="str">
            <v>YZ-NA1521-RM-5XL</v>
          </cell>
          <cell r="B7190" t="str">
            <v>YZ-NA1521</v>
          </cell>
        </row>
        <row r="7191">
          <cell r="A7191" t="str">
            <v>YZ-NA1521-WP-4XL</v>
          </cell>
          <cell r="B7191" t="str">
            <v>YZ-NA1521</v>
          </cell>
        </row>
        <row r="7192">
          <cell r="A7192" t="str">
            <v>YZ-NA1521-WP-XL</v>
          </cell>
          <cell r="B7192" t="str">
            <v>YZ-NA1521</v>
          </cell>
        </row>
        <row r="7193">
          <cell r="A7193" t="str">
            <v>YZ-NA263100-1L</v>
          </cell>
          <cell r="B7193" t="str">
            <v>YZ-NA263100</v>
          </cell>
        </row>
        <row r="7194">
          <cell r="A7194" t="str">
            <v>YZ-NA263100-2L</v>
          </cell>
          <cell r="B7194" t="str">
            <v>YZ-NA263100</v>
          </cell>
        </row>
        <row r="7195">
          <cell r="A7195" t="str">
            <v>YZ-NA263100-3L</v>
          </cell>
          <cell r="B7195" t="str">
            <v>YZ-NA263100</v>
          </cell>
        </row>
        <row r="7196">
          <cell r="A7196" t="str">
            <v>YZ-NA263100L</v>
          </cell>
          <cell r="B7196" t="str">
            <v>YZ-NA263100</v>
          </cell>
        </row>
        <row r="7197">
          <cell r="A7197" t="str">
            <v>YZ-NA263100M</v>
          </cell>
          <cell r="B7197" t="str">
            <v>YZ-NA263100</v>
          </cell>
        </row>
        <row r="7198">
          <cell r="A7198" t="str">
            <v>YZ-NA2631HS1L</v>
          </cell>
          <cell r="B7198" t="str">
            <v>YZ-NA2631</v>
          </cell>
        </row>
        <row r="7199">
          <cell r="A7199" t="str">
            <v>YZ-NA2631HSL</v>
          </cell>
          <cell r="B7199" t="str">
            <v>YZ-NA2631</v>
          </cell>
        </row>
        <row r="7200">
          <cell r="A7200" t="str">
            <v>YZ-NA2631HSM</v>
          </cell>
          <cell r="B7200" t="str">
            <v>YZ-NA2631</v>
          </cell>
        </row>
        <row r="7201">
          <cell r="A7201" t="str">
            <v>YZ-NA2631HSS</v>
          </cell>
          <cell r="B7201" t="str">
            <v>YZ-NA2631</v>
          </cell>
        </row>
        <row r="7202">
          <cell r="A7202" t="str">
            <v>YZ-NA2631HSXS</v>
          </cell>
          <cell r="B7202" t="str">
            <v>YZ-NA2631</v>
          </cell>
        </row>
        <row r="7203">
          <cell r="A7203" t="str">
            <v>YZ-NA2631K01L</v>
          </cell>
          <cell r="B7203" t="str">
            <v>YZ-NA2631</v>
          </cell>
        </row>
        <row r="7204">
          <cell r="A7204" t="str">
            <v>YZ-NA2631K02L</v>
          </cell>
          <cell r="B7204" t="str">
            <v>YZ-NA2631</v>
          </cell>
        </row>
        <row r="7205">
          <cell r="A7205" t="str">
            <v>YZ-NA2631K03L</v>
          </cell>
          <cell r="B7205" t="str">
            <v>YZ-NA2631</v>
          </cell>
        </row>
        <row r="7206">
          <cell r="A7206" t="str">
            <v>YZ-NA2631K0L</v>
          </cell>
          <cell r="B7206" t="str">
            <v>YZ-NA2631</v>
          </cell>
        </row>
        <row r="7207">
          <cell r="A7207" t="str">
            <v>YZ-NA2631K0M</v>
          </cell>
          <cell r="B7207" t="str">
            <v>YZ-NA2631</v>
          </cell>
        </row>
        <row r="7208">
          <cell r="A7208" t="str">
            <v>YZ-NA2631R01L</v>
          </cell>
          <cell r="B7208" t="str">
            <v>YZ-NA2631</v>
          </cell>
        </row>
        <row r="7209">
          <cell r="A7209" t="str">
            <v>YZ-NA2631R0L</v>
          </cell>
          <cell r="B7209" t="str">
            <v>YZ-NA2631</v>
          </cell>
        </row>
        <row r="7210">
          <cell r="A7210" t="str">
            <v>YZ-NA2631R0M</v>
          </cell>
          <cell r="B7210" t="str">
            <v>YZ-NA2631</v>
          </cell>
        </row>
        <row r="7211">
          <cell r="A7211" t="str">
            <v>YZ-NA2631R0S</v>
          </cell>
          <cell r="B7211" t="str">
            <v>YZ-NA2631</v>
          </cell>
        </row>
        <row r="7212">
          <cell r="A7212" t="str">
            <v>YZ-NA2631R0XS</v>
          </cell>
          <cell r="B7212" t="str">
            <v>YZ-NA2631</v>
          </cell>
        </row>
        <row r="7213">
          <cell r="A7213" t="str">
            <v>YZ-NA2631ZL1L</v>
          </cell>
          <cell r="B7213" t="str">
            <v>YZ-NA2631</v>
          </cell>
        </row>
        <row r="7214">
          <cell r="A7214" t="str">
            <v>YZ-NA2631ZL2L</v>
          </cell>
          <cell r="B7214" t="str">
            <v>YZ-NA2631</v>
          </cell>
        </row>
        <row r="7215">
          <cell r="A7215" t="str">
            <v>YZ-NA2631ZL3L</v>
          </cell>
          <cell r="B7215" t="str">
            <v>YZ-NA2631</v>
          </cell>
        </row>
        <row r="7216">
          <cell r="A7216" t="str">
            <v>YZ-NA2631ZLL</v>
          </cell>
          <cell r="B7216" t="str">
            <v>YZ-NA2631</v>
          </cell>
        </row>
        <row r="7217">
          <cell r="A7217" t="str">
            <v>YZ-NA2631ZLM</v>
          </cell>
          <cell r="B7217" t="str">
            <v>YZ-NA2631</v>
          </cell>
        </row>
        <row r="7218">
          <cell r="A7218" t="str">
            <v>YZ-NA5060B2</v>
          </cell>
          <cell r="B7218" t="str">
            <v>YZ-NA5060</v>
          </cell>
        </row>
        <row r="7219">
          <cell r="A7219" t="str">
            <v>YZ-NA5060B21L</v>
          </cell>
          <cell r="B7219" t="str">
            <v>YZ-NA5060</v>
          </cell>
        </row>
        <row r="7220">
          <cell r="A7220" t="str">
            <v>YZ-NA5060B2L</v>
          </cell>
          <cell r="B7220" t="str">
            <v>YZ-NA5060</v>
          </cell>
        </row>
        <row r="7221">
          <cell r="A7221" t="str">
            <v>YZ-NA5060B2M</v>
          </cell>
          <cell r="B7221" t="str">
            <v>YZ-NA5060</v>
          </cell>
        </row>
        <row r="7222">
          <cell r="A7222" t="str">
            <v>YZ-NA5060B2S</v>
          </cell>
          <cell r="B7222" t="str">
            <v>YZ-NA5060</v>
          </cell>
        </row>
        <row r="7223">
          <cell r="A7223" t="str">
            <v>YZ-NA5060R2</v>
          </cell>
          <cell r="B7223" t="str">
            <v>YZ-NA5060</v>
          </cell>
        </row>
        <row r="7224">
          <cell r="A7224" t="str">
            <v>YZ-NA5060R2L</v>
          </cell>
          <cell r="B7224" t="str">
            <v>YZ-NA5060</v>
          </cell>
        </row>
        <row r="7225">
          <cell r="A7225" t="str">
            <v>YZ-NA5060R2S</v>
          </cell>
          <cell r="B7225" t="str">
            <v>YZ-NA5060</v>
          </cell>
        </row>
        <row r="7226">
          <cell r="A7226" t="str">
            <v>YZ-NA5060Y0</v>
          </cell>
          <cell r="B7226" t="str">
            <v>YZ-NA5060</v>
          </cell>
        </row>
        <row r="7227">
          <cell r="A7227" t="str">
            <v>YZ-NA5060Y01L</v>
          </cell>
          <cell r="B7227" t="str">
            <v>YZ-NA5060</v>
          </cell>
        </row>
        <row r="7228">
          <cell r="A7228" t="str">
            <v>YZ-NA5060Y0L</v>
          </cell>
          <cell r="B7228" t="str">
            <v>YZ-NA5060</v>
          </cell>
        </row>
        <row r="7229">
          <cell r="A7229" t="str">
            <v>YZ-NA5060Y0M</v>
          </cell>
          <cell r="B7229" t="str">
            <v>YZ-NA5060</v>
          </cell>
        </row>
        <row r="7230">
          <cell r="A7230" t="str">
            <v>YZ-NA5060Y0S</v>
          </cell>
          <cell r="B7230" t="str">
            <v>YZ-NA5060</v>
          </cell>
        </row>
        <row r="7231">
          <cell r="A7231" t="str">
            <v>YZ-NA5119K0-2XL</v>
          </cell>
          <cell r="B7231" t="str">
            <v>YZ-NA5119</v>
          </cell>
        </row>
        <row r="7232">
          <cell r="A7232" t="str">
            <v>YZ-NA5119K0-3XL</v>
          </cell>
          <cell r="B7232" t="str">
            <v>YZ-NA5119</v>
          </cell>
        </row>
        <row r="7233">
          <cell r="A7233" t="str">
            <v>YZ-NA5119K0-4XL</v>
          </cell>
          <cell r="B7233" t="str">
            <v>YZ-NA5119</v>
          </cell>
        </row>
        <row r="7234">
          <cell r="A7234" t="str">
            <v>YZ-NA5119K0-5XL</v>
          </cell>
          <cell r="B7234" t="str">
            <v>YZ-NA5119</v>
          </cell>
        </row>
        <row r="7235">
          <cell r="A7235" t="str">
            <v>YZ-NA5119K0-XL</v>
          </cell>
          <cell r="B7235" t="str">
            <v>YZ-NA5119</v>
          </cell>
        </row>
        <row r="7236">
          <cell r="A7236" t="str">
            <v>YZ-NA5119-YH-2XL</v>
          </cell>
          <cell r="B7236" t="str">
            <v>YZ-NA5119</v>
          </cell>
        </row>
        <row r="7237">
          <cell r="A7237" t="str">
            <v>YZ-NA5119-YH-3XL</v>
          </cell>
          <cell r="B7237" t="str">
            <v>YZ-NA5119</v>
          </cell>
        </row>
        <row r="7238">
          <cell r="A7238" t="str">
            <v>YZ-NA5119-YH-4XL</v>
          </cell>
          <cell r="B7238" t="str">
            <v>YZ-NA5119</v>
          </cell>
        </row>
        <row r="7239">
          <cell r="A7239" t="str">
            <v>YZ-NA5119-YH-5XL</v>
          </cell>
          <cell r="B7239" t="str">
            <v>YZ-NA5119</v>
          </cell>
        </row>
        <row r="7240">
          <cell r="A7240" t="str">
            <v>YZ-NA5119-YH-XL</v>
          </cell>
          <cell r="B7240" t="str">
            <v>YZ-NA5119</v>
          </cell>
        </row>
        <row r="7241">
          <cell r="A7241" t="str">
            <v>YZ-NA5119-YT-2XL</v>
          </cell>
          <cell r="B7241" t="str">
            <v>YZ-NA5119</v>
          </cell>
        </row>
        <row r="7242">
          <cell r="A7242" t="str">
            <v>YZ-NA5119-YT-3XL</v>
          </cell>
          <cell r="B7242" t="str">
            <v>YZ-NA5119</v>
          </cell>
        </row>
        <row r="7243">
          <cell r="A7243" t="str">
            <v>YZ-NA5119-YT-4XL</v>
          </cell>
          <cell r="B7243" t="str">
            <v>YZ-NA5119</v>
          </cell>
        </row>
        <row r="7244">
          <cell r="A7244" t="str">
            <v>YZ-NA5119-YT-5XL</v>
          </cell>
          <cell r="B7244" t="str">
            <v>YZ-NA5119</v>
          </cell>
        </row>
        <row r="7245">
          <cell r="A7245" t="str">
            <v>YZ-NA5119-YT-XL</v>
          </cell>
          <cell r="B7245" t="str">
            <v>YZ-NA5119</v>
          </cell>
        </row>
        <row r="7246">
          <cell r="A7246" t="str">
            <v>YZ-NA5119ZL2XL</v>
          </cell>
          <cell r="B7246" t="str">
            <v>YZ-NA5119</v>
          </cell>
        </row>
        <row r="7247">
          <cell r="A7247" t="str">
            <v>YZ-NA5119ZL3XL</v>
          </cell>
          <cell r="B7247" t="str">
            <v>YZ-NA5119</v>
          </cell>
        </row>
        <row r="7248">
          <cell r="A7248" t="str">
            <v>YZ-NA5119ZL4XL</v>
          </cell>
          <cell r="B7248" t="str">
            <v>YZ-NA5119</v>
          </cell>
        </row>
        <row r="7249">
          <cell r="A7249" t="str">
            <v>YZ-NA5119ZL5XL</v>
          </cell>
          <cell r="B7249" t="str">
            <v>YZ-NA5119</v>
          </cell>
        </row>
        <row r="7250">
          <cell r="A7250" t="str">
            <v>YZ-NA5119ZLXL</v>
          </cell>
          <cell r="B7250" t="str">
            <v>YZ-NA5119</v>
          </cell>
        </row>
        <row r="7251">
          <cell r="A7251" t="str">
            <v>YZ-NA5505Da</v>
          </cell>
          <cell r="B7251" t="str">
            <v>YZ-NA5505</v>
          </cell>
        </row>
        <row r="7252">
          <cell r="A7252" t="str">
            <v>YZ-NA5505DaL</v>
          </cell>
          <cell r="B7252" t="str">
            <v>YZ-NA5505</v>
          </cell>
        </row>
        <row r="7253">
          <cell r="A7253" t="str">
            <v>YZ-NA5505DaM</v>
          </cell>
          <cell r="B7253" t="str">
            <v>YZ-NA5505</v>
          </cell>
        </row>
        <row r="7254">
          <cell r="A7254" t="str">
            <v>YZ-NA5505DaS</v>
          </cell>
          <cell r="B7254" t="str">
            <v>YZ-NA5505</v>
          </cell>
        </row>
        <row r="7255">
          <cell r="A7255" t="str">
            <v>YZ-NA5505DaXL</v>
          </cell>
          <cell r="B7255" t="str">
            <v>YZ-NA5505</v>
          </cell>
        </row>
        <row r="7256">
          <cell r="A7256" t="str">
            <v>YZ-NA5505JR</v>
          </cell>
          <cell r="B7256" t="str">
            <v>YZ-NA5505</v>
          </cell>
        </row>
        <row r="7257">
          <cell r="A7257" t="str">
            <v>YZ-NA5505JR2L</v>
          </cell>
          <cell r="B7257" t="str">
            <v>YZ-NA5505</v>
          </cell>
        </row>
        <row r="7258">
          <cell r="A7258" t="str">
            <v>YZ-NA5505JRM</v>
          </cell>
          <cell r="B7258" t="str">
            <v>YZ-NA5505</v>
          </cell>
        </row>
        <row r="7259">
          <cell r="A7259" t="str">
            <v>YZ-NA5505JRS</v>
          </cell>
          <cell r="B7259" t="str">
            <v>YZ-NA5505</v>
          </cell>
        </row>
        <row r="7260">
          <cell r="A7260" t="str">
            <v>YZ-NA5505JRXL</v>
          </cell>
          <cell r="B7260" t="str">
            <v>YZ-NA5505</v>
          </cell>
        </row>
        <row r="7261">
          <cell r="A7261" t="str">
            <v>YZ-NA5505Lb0XS</v>
          </cell>
          <cell r="B7261" t="str">
            <v>YZ-NA5505</v>
          </cell>
        </row>
        <row r="7262">
          <cell r="A7262" t="str">
            <v>YZ-NA5505LbL</v>
          </cell>
          <cell r="B7262" t="str">
            <v>YZ-NA5505</v>
          </cell>
        </row>
        <row r="7263">
          <cell r="A7263" t="str">
            <v>YZ-NA5505LbM</v>
          </cell>
          <cell r="B7263" t="str">
            <v>YZ-NA5505</v>
          </cell>
        </row>
        <row r="7264">
          <cell r="A7264" t="str">
            <v>YZ-NA5505LbS</v>
          </cell>
          <cell r="B7264" t="str">
            <v>YZ-NA5505</v>
          </cell>
        </row>
        <row r="7265">
          <cell r="A7265" t="str">
            <v>YZ-NA5505LbXL</v>
          </cell>
          <cell r="B7265" t="str">
            <v>YZ-NA5505</v>
          </cell>
        </row>
        <row r="7266">
          <cell r="A7266" t="str">
            <v>YZ-NA5505LbXXL</v>
          </cell>
          <cell r="B7266" t="str">
            <v>YZ-NA5505</v>
          </cell>
        </row>
        <row r="7267">
          <cell r="A7267" t="str">
            <v>YZ-NA5505R0-2X</v>
          </cell>
          <cell r="B7267" t="str">
            <v>YZ-NA5505</v>
          </cell>
        </row>
        <row r="7268">
          <cell r="A7268" t="str">
            <v>YZ-NA5505R0-L</v>
          </cell>
          <cell r="B7268" t="str">
            <v>YZ-NA5505</v>
          </cell>
        </row>
        <row r="7269">
          <cell r="A7269" t="str">
            <v>YZ-NA5505R0-M</v>
          </cell>
          <cell r="B7269" t="str">
            <v>YZ-NA5505</v>
          </cell>
        </row>
        <row r="7270">
          <cell r="A7270" t="str">
            <v>YZ-NA5505R0-S</v>
          </cell>
          <cell r="B7270" t="str">
            <v>YZ-NA5505</v>
          </cell>
        </row>
        <row r="7271">
          <cell r="A7271" t="str">
            <v>YZ-NA5505R0-XL</v>
          </cell>
          <cell r="B7271" t="str">
            <v>YZ-NA5505</v>
          </cell>
        </row>
        <row r="7272">
          <cell r="A7272" t="str">
            <v>YZ-NA5505R0-XS</v>
          </cell>
          <cell r="B7272" t="str">
            <v>YZ-NA5505</v>
          </cell>
        </row>
        <row r="7273">
          <cell r="A7273" t="str">
            <v>YZ-NA9007Sa1L</v>
          </cell>
          <cell r="B7273" t="str">
            <v>YZ-NA9007</v>
          </cell>
        </row>
        <row r="7274">
          <cell r="A7274" t="str">
            <v>YZ-NA9007Sa2L</v>
          </cell>
          <cell r="B7274" t="str">
            <v>YZ-NA9007</v>
          </cell>
        </row>
        <row r="7275">
          <cell r="A7275" t="str">
            <v>YZ-NA9007Sa3L</v>
          </cell>
          <cell r="B7275" t="str">
            <v>YZ-NA9007</v>
          </cell>
        </row>
        <row r="7276">
          <cell r="A7276" t="str">
            <v>YZ-NA9007Sa4L</v>
          </cell>
          <cell r="B7276" t="str">
            <v>YZ-NA9007</v>
          </cell>
        </row>
        <row r="7277">
          <cell r="A7277" t="str">
            <v>YZ-NA9007Sa5L</v>
          </cell>
          <cell r="B7277" t="str">
            <v>YZ-NA9007</v>
          </cell>
        </row>
        <row r="7278">
          <cell r="A7278" t="str">
            <v>YZ-NA9007Sa6L</v>
          </cell>
          <cell r="B7278" t="str">
            <v>YZ-NA9007</v>
          </cell>
        </row>
        <row r="7279">
          <cell r="A7279" t="str">
            <v>YZ-NA9007Sa7L</v>
          </cell>
          <cell r="B7279" t="str">
            <v>YZ-NA9007</v>
          </cell>
        </row>
        <row r="7280">
          <cell r="A7280" t="str">
            <v>YZ-NA9007Sa8L</v>
          </cell>
          <cell r="B7280" t="str">
            <v>YZ-NA9007</v>
          </cell>
        </row>
        <row r="7281">
          <cell r="A7281" t="str">
            <v>YZ-NA9007Sa9L</v>
          </cell>
          <cell r="B7281" t="str">
            <v>YZ-NA9007</v>
          </cell>
        </row>
        <row r="7282">
          <cell r="A7282" t="str">
            <v>YZ-NA9007Se1L</v>
          </cell>
          <cell r="B7282" t="str">
            <v>YZ-NA9007</v>
          </cell>
        </row>
        <row r="7283">
          <cell r="A7283" t="str">
            <v>YZ-NA9007Se2L</v>
          </cell>
          <cell r="B7283" t="str">
            <v>YZ-NA9007</v>
          </cell>
        </row>
        <row r="7284">
          <cell r="A7284" t="str">
            <v>YZ-NA9007Se3L</v>
          </cell>
          <cell r="B7284" t="str">
            <v>YZ-NA9007</v>
          </cell>
        </row>
        <row r="7285">
          <cell r="A7285" t="str">
            <v>YZ-NA9007Se4L</v>
          </cell>
          <cell r="B7285" t="str">
            <v>YZ-NA9007</v>
          </cell>
        </row>
        <row r="7286">
          <cell r="A7286" t="str">
            <v>YZ-NA9007Se5L</v>
          </cell>
          <cell r="B7286" t="str">
            <v>YZ-NA9007</v>
          </cell>
        </row>
        <row r="7287">
          <cell r="A7287" t="str">
            <v>YZ-NA9007Se6L</v>
          </cell>
          <cell r="B7287" t="str">
            <v>YZ-NA9007</v>
          </cell>
        </row>
        <row r="7288">
          <cell r="A7288" t="str">
            <v>YZ-NA9007Se7L</v>
          </cell>
          <cell r="B7288" t="str">
            <v>YZ-NA9007</v>
          </cell>
        </row>
        <row r="7289">
          <cell r="A7289" t="str">
            <v>YZ-NA9007Se8L</v>
          </cell>
          <cell r="B7289" t="str">
            <v>YZ-NA9007</v>
          </cell>
        </row>
        <row r="7290">
          <cell r="A7290" t="str">
            <v>YZ-NA9007Se9L</v>
          </cell>
          <cell r="B7290" t="str">
            <v>YZ-NA9007</v>
          </cell>
        </row>
        <row r="7291">
          <cell r="A7291" t="str">
            <v>YZ-NA9008Sa1L</v>
          </cell>
          <cell r="B7291" t="str">
            <v>YZ-NA9008</v>
          </cell>
        </row>
        <row r="7292">
          <cell r="A7292" t="str">
            <v>YZ-NA9008Sa2L</v>
          </cell>
          <cell r="B7292" t="str">
            <v>YZ-NA9008</v>
          </cell>
        </row>
        <row r="7293">
          <cell r="A7293" t="str">
            <v>YZ-NA9008Sa3L</v>
          </cell>
          <cell r="B7293" t="str">
            <v>YZ-NA9008</v>
          </cell>
        </row>
        <row r="7294">
          <cell r="A7294" t="str">
            <v>YZ-NA9008Sa4L</v>
          </cell>
          <cell r="B7294" t="str">
            <v>YZ-NA9008</v>
          </cell>
        </row>
        <row r="7295">
          <cell r="A7295" t="str">
            <v>YZ-NA9008Sa5L</v>
          </cell>
          <cell r="B7295" t="str">
            <v>YZ-NA9008</v>
          </cell>
        </row>
        <row r="7296">
          <cell r="A7296" t="str">
            <v>YZ-NA9008Sa6L</v>
          </cell>
          <cell r="B7296" t="str">
            <v>YZ-NA9008</v>
          </cell>
        </row>
        <row r="7297">
          <cell r="A7297" t="str">
            <v>YZ-NA9008Sa7L</v>
          </cell>
          <cell r="B7297" t="str">
            <v>YZ-NA9008</v>
          </cell>
        </row>
        <row r="7298">
          <cell r="A7298" t="str">
            <v>YZ-NA9008Se1L</v>
          </cell>
          <cell r="B7298" t="str">
            <v>YZ-NA9008</v>
          </cell>
        </row>
        <row r="7299">
          <cell r="A7299" t="str">
            <v>YZ-NA9008Se2L</v>
          </cell>
          <cell r="B7299" t="str">
            <v>YZ-NA9008</v>
          </cell>
        </row>
        <row r="7300">
          <cell r="A7300" t="str">
            <v>YZ-NA9008Se4L</v>
          </cell>
          <cell r="B7300" t="str">
            <v>YZ-NA9008</v>
          </cell>
        </row>
        <row r="7301">
          <cell r="A7301" t="str">
            <v>YZ-NA9008Se5L</v>
          </cell>
          <cell r="B7301" t="str">
            <v>YZ-NA9008</v>
          </cell>
        </row>
        <row r="7302">
          <cell r="A7302" t="str">
            <v>YZ-NA9008Se6L</v>
          </cell>
          <cell r="B7302" t="str">
            <v>YZ-NA9008</v>
          </cell>
        </row>
        <row r="7303">
          <cell r="A7303" t="str">
            <v>YZ-NA9008Se8L</v>
          </cell>
          <cell r="B7303" t="str">
            <v>YZ-NA9008</v>
          </cell>
        </row>
        <row r="7304">
          <cell r="A7304" t="str">
            <v>YZ-NA9008Se9L</v>
          </cell>
          <cell r="B7304" t="str">
            <v>YZ-NA9008</v>
          </cell>
        </row>
        <row r="7305">
          <cell r="A7305" t="str">
            <v>YZ-NALLHT2XL</v>
          </cell>
          <cell r="B7305" t="str">
            <v>YZ-NALL</v>
          </cell>
        </row>
        <row r="7306">
          <cell r="A7306" t="str">
            <v>YZ-NALLHT4XL</v>
          </cell>
          <cell r="B7306" t="str">
            <v>YZ-NALL</v>
          </cell>
        </row>
        <row r="7307">
          <cell r="A7307" t="str">
            <v>YZ-NALLHTL</v>
          </cell>
          <cell r="B7307" t="str">
            <v>YZ-NALL</v>
          </cell>
        </row>
        <row r="7308">
          <cell r="A7308" t="str">
            <v>YZ-NALLHTM</v>
          </cell>
          <cell r="B7308" t="str">
            <v>YZ-NALL</v>
          </cell>
        </row>
        <row r="7309">
          <cell r="A7309" t="str">
            <v>YZ-NALLHTXL</v>
          </cell>
          <cell r="B7309" t="str">
            <v>YZ-NALL</v>
          </cell>
        </row>
        <row r="7310">
          <cell r="A7310" t="str">
            <v>YZ-NALLIT4XL</v>
          </cell>
          <cell r="B7310" t="str">
            <v>YZ-NALL</v>
          </cell>
        </row>
        <row r="7311">
          <cell r="A7311" t="str">
            <v>YZ-NALLK03XL</v>
          </cell>
          <cell r="B7311" t="str">
            <v>YZ-NALL</v>
          </cell>
        </row>
        <row r="7312">
          <cell r="A7312" t="str">
            <v>YZ-PP1705-K0-2XL</v>
          </cell>
          <cell r="B7312" t="str">
            <v>YZ-PP1705</v>
          </cell>
        </row>
        <row r="7313">
          <cell r="A7313" t="str">
            <v>YZ-PP1705-K0-L</v>
          </cell>
          <cell r="B7313" t="str">
            <v>YZ-PP1705</v>
          </cell>
        </row>
        <row r="7314">
          <cell r="A7314" t="str">
            <v>YZ-PP1705-K0-M</v>
          </cell>
          <cell r="B7314" t="str">
            <v>YZ-PP1705</v>
          </cell>
        </row>
        <row r="7315">
          <cell r="A7315" t="str">
            <v>YZ-PP1705-K0-S</v>
          </cell>
          <cell r="B7315" t="str">
            <v>YZ-PP1705</v>
          </cell>
        </row>
        <row r="7316">
          <cell r="A7316" t="str">
            <v>YZ-PP1705-K0-XL</v>
          </cell>
          <cell r="B7316" t="str">
            <v>YZ-PP1705</v>
          </cell>
        </row>
        <row r="7317">
          <cell r="A7317" t="str">
            <v>YZ-PP1705-K0-XS</v>
          </cell>
          <cell r="B7317" t="str">
            <v>YZ-PP1705</v>
          </cell>
        </row>
        <row r="7318">
          <cell r="A7318" t="str">
            <v>YZ-RF1123-B0-2X</v>
          </cell>
          <cell r="B7318" t="str">
            <v>YZ-RF1123</v>
          </cell>
        </row>
        <row r="7319">
          <cell r="A7319" t="str">
            <v>YZ-RF1123-B0-3X</v>
          </cell>
          <cell r="B7319" t="str">
            <v>YZ-RF1123</v>
          </cell>
        </row>
        <row r="7320">
          <cell r="A7320" t="str">
            <v>YZ-RF1123-B0-4X</v>
          </cell>
          <cell r="B7320" t="str">
            <v>YZ-RF1123</v>
          </cell>
        </row>
        <row r="7321">
          <cell r="A7321" t="str">
            <v>YZ-RF1123-B0-5X</v>
          </cell>
          <cell r="B7321" t="str">
            <v>YZ-RF1123</v>
          </cell>
        </row>
        <row r="7322">
          <cell r="A7322" t="str">
            <v>YZ-RF1123-B0-L</v>
          </cell>
          <cell r="B7322" t="str">
            <v>YZ-RF1123</v>
          </cell>
        </row>
        <row r="7323">
          <cell r="A7323" t="str">
            <v>YZ-RF1123-B0-M</v>
          </cell>
          <cell r="B7323" t="str">
            <v>YZ-RF1123</v>
          </cell>
        </row>
        <row r="7324">
          <cell r="A7324" t="str">
            <v>YZ-RF1123-B0-S</v>
          </cell>
          <cell r="B7324" t="str">
            <v>YZ-RF1123</v>
          </cell>
        </row>
        <row r="7325">
          <cell r="A7325" t="str">
            <v>YZ-RF1123-B0-XL</v>
          </cell>
          <cell r="B7325" t="str">
            <v>YZ-RF1123</v>
          </cell>
        </row>
        <row r="7326">
          <cell r="A7326" t="str">
            <v>YZ-RF1123-K0-2X</v>
          </cell>
          <cell r="B7326" t="str">
            <v>YZ-RF1123</v>
          </cell>
        </row>
        <row r="7327">
          <cell r="A7327" t="str">
            <v>YZ-RF1123-K0-3X</v>
          </cell>
          <cell r="B7327" t="str">
            <v>YZ-RF1123</v>
          </cell>
        </row>
        <row r="7328">
          <cell r="A7328" t="str">
            <v>YZ-RF1123-K0-3XL</v>
          </cell>
          <cell r="B7328" t="str">
            <v>YZ-RF1123</v>
          </cell>
        </row>
        <row r="7329">
          <cell r="A7329" t="str">
            <v>YZ-RF1123-K0-4X</v>
          </cell>
          <cell r="B7329" t="str">
            <v>YZ-RF1123</v>
          </cell>
        </row>
        <row r="7330">
          <cell r="A7330" t="str">
            <v>YZ-RF1123-K0-5X</v>
          </cell>
          <cell r="B7330" t="str">
            <v>YZ-RF1123</v>
          </cell>
        </row>
        <row r="7331">
          <cell r="A7331" t="str">
            <v>YZ-RF1123-K0-L</v>
          </cell>
          <cell r="B7331" t="str">
            <v>YZ-RF1123</v>
          </cell>
        </row>
        <row r="7332">
          <cell r="A7332" t="str">
            <v>YZ-RF1123-K0-M</v>
          </cell>
          <cell r="B7332" t="str">
            <v>YZ-RF1123</v>
          </cell>
        </row>
        <row r="7333">
          <cell r="A7333" t="str">
            <v>YZ-RF1123-K0-S</v>
          </cell>
          <cell r="B7333" t="str">
            <v>YZ-RF1123</v>
          </cell>
        </row>
        <row r="7334">
          <cell r="A7334" t="str">
            <v>YZ-RF1123-K0-XL</v>
          </cell>
          <cell r="B7334" t="str">
            <v>YZ-RF1123</v>
          </cell>
        </row>
        <row r="7335">
          <cell r="A7335" t="str">
            <v>YZ-RF1123-R0-2X</v>
          </cell>
          <cell r="B7335" t="str">
            <v>YZ-RF1123</v>
          </cell>
        </row>
        <row r="7336">
          <cell r="A7336" t="str">
            <v>YZ-RF1123-R0-3X</v>
          </cell>
          <cell r="B7336" t="str">
            <v>YZ-RF1123</v>
          </cell>
        </row>
        <row r="7337">
          <cell r="A7337" t="str">
            <v>YZ-RF1123-R0-4X</v>
          </cell>
          <cell r="B7337" t="str">
            <v>YZ-RF1123</v>
          </cell>
        </row>
        <row r="7338">
          <cell r="A7338" t="str">
            <v>YZ-RF1123-R0-5X</v>
          </cell>
          <cell r="B7338" t="str">
            <v>YZ-RF1123</v>
          </cell>
        </row>
        <row r="7339">
          <cell r="A7339" t="str">
            <v>YZ-RF1123-R0-L</v>
          </cell>
          <cell r="B7339" t="str">
            <v>YZ-RF1123</v>
          </cell>
        </row>
        <row r="7340">
          <cell r="A7340" t="str">
            <v>YZ-RF1123-R0-M</v>
          </cell>
          <cell r="B7340" t="str">
            <v>YZ-RF1123</v>
          </cell>
        </row>
        <row r="7341">
          <cell r="A7341" t="str">
            <v>YZ-RF1123-R0-S</v>
          </cell>
          <cell r="B7341" t="str">
            <v>YZ-RF1123</v>
          </cell>
        </row>
        <row r="7342">
          <cell r="A7342" t="str">
            <v>YZ-RF1123-R0-XL</v>
          </cell>
          <cell r="B7342" t="str">
            <v>YZ-RF1123</v>
          </cell>
        </row>
        <row r="7343">
          <cell r="A7343" t="str">
            <v>YZ-RF1123-SB-2X</v>
          </cell>
          <cell r="B7343" t="str">
            <v>YZ-RF1123</v>
          </cell>
        </row>
        <row r="7344">
          <cell r="A7344" t="str">
            <v>YZ-RF1123-SB-3X</v>
          </cell>
          <cell r="B7344" t="str">
            <v>YZ-RF1123</v>
          </cell>
        </row>
        <row r="7345">
          <cell r="A7345" t="str">
            <v>YZ-RF1123-SB-4X</v>
          </cell>
          <cell r="B7345" t="str">
            <v>YZ-RF1123</v>
          </cell>
        </row>
        <row r="7346">
          <cell r="A7346" t="str">
            <v>YZ-RF1123-SB-5X</v>
          </cell>
          <cell r="B7346" t="str">
            <v>YZ-RF1123</v>
          </cell>
        </row>
        <row r="7347">
          <cell r="A7347" t="str">
            <v>YZ-RF1123-SB-L</v>
          </cell>
          <cell r="B7347" t="str">
            <v>YZ-RF1123</v>
          </cell>
        </row>
        <row r="7348">
          <cell r="A7348" t="str">
            <v>YZ-RF1123-SB-M</v>
          </cell>
          <cell r="B7348" t="str">
            <v>YZ-RF1123</v>
          </cell>
        </row>
        <row r="7349">
          <cell r="A7349" t="str">
            <v>YZ-RF1123-SB-S</v>
          </cell>
          <cell r="B7349" t="str">
            <v>YZ-RF1123</v>
          </cell>
        </row>
        <row r="7350">
          <cell r="A7350" t="str">
            <v>YZ-RF1123-SB-XL</v>
          </cell>
          <cell r="B7350" t="str">
            <v>YZ-RF1123</v>
          </cell>
        </row>
        <row r="7351">
          <cell r="A7351" t="str">
            <v>YZ-S6006TP4M</v>
          </cell>
          <cell r="B7351" t="str">
            <v>YZ-S6006</v>
          </cell>
        </row>
        <row r="7352">
          <cell r="A7352" t="str">
            <v>YZ-S6006TP4S</v>
          </cell>
          <cell r="B7352" t="str">
            <v>YZ-S6006</v>
          </cell>
        </row>
        <row r="7353">
          <cell r="A7353" t="str">
            <v>YZ-SH15508BB0L</v>
          </cell>
          <cell r="B7353" t="str">
            <v>YZ-SH15508</v>
          </cell>
        </row>
        <row r="7354">
          <cell r="A7354" t="str">
            <v>YZ-SH15508BB1L</v>
          </cell>
          <cell r="B7354" t="str">
            <v>YZ-SH15508</v>
          </cell>
        </row>
        <row r="7355">
          <cell r="A7355" t="str">
            <v>YZ-SH15508BB2L</v>
          </cell>
          <cell r="B7355" t="str">
            <v>YZ-SH15508</v>
          </cell>
        </row>
        <row r="7356">
          <cell r="A7356" t="str">
            <v>YZ-SH15508BBM</v>
          </cell>
          <cell r="B7356" t="str">
            <v>YZ-SH15508</v>
          </cell>
        </row>
        <row r="7357">
          <cell r="A7357" t="str">
            <v>YZ-SH15508BBS</v>
          </cell>
          <cell r="B7357" t="str">
            <v>YZ-SH15508</v>
          </cell>
        </row>
        <row r="7358">
          <cell r="A7358" t="str">
            <v>YZ-SH15508Bl0L</v>
          </cell>
          <cell r="B7358" t="str">
            <v>YZ-SH15508</v>
          </cell>
        </row>
        <row r="7359">
          <cell r="A7359" t="str">
            <v>YZ-SH15508Bl1L</v>
          </cell>
          <cell r="B7359" t="str">
            <v>YZ-SH15508</v>
          </cell>
        </row>
        <row r="7360">
          <cell r="A7360" t="str">
            <v>YZ-SH15508Bl2L</v>
          </cell>
          <cell r="B7360" t="str">
            <v>YZ-SH15508</v>
          </cell>
        </row>
        <row r="7361">
          <cell r="A7361" t="str">
            <v>YZ-SH15508Bl3L</v>
          </cell>
          <cell r="B7361" t="str">
            <v>YZ-SH15508</v>
          </cell>
        </row>
        <row r="7362">
          <cell r="A7362" t="str">
            <v>YZ-SH15508BlM</v>
          </cell>
          <cell r="B7362" t="str">
            <v>YZ-SH15508</v>
          </cell>
        </row>
        <row r="7363">
          <cell r="A7363" t="str">
            <v>YZ-SH15508BlS</v>
          </cell>
          <cell r="B7363" t="str">
            <v>YZ-SH15508</v>
          </cell>
        </row>
        <row r="7364">
          <cell r="A7364" t="str">
            <v>YZ-SH15508BS0L</v>
          </cell>
          <cell r="B7364" t="str">
            <v>YZ-SH15508</v>
          </cell>
        </row>
        <row r="7365">
          <cell r="A7365" t="str">
            <v>YZ-SH15508BS1L</v>
          </cell>
          <cell r="B7365" t="str">
            <v>YZ-SH15508</v>
          </cell>
        </row>
        <row r="7366">
          <cell r="A7366" t="str">
            <v>YZ-SH15508BS2L</v>
          </cell>
          <cell r="B7366" t="str">
            <v>YZ-SH15508</v>
          </cell>
        </row>
        <row r="7367">
          <cell r="A7367" t="str">
            <v>YZ-SH15508BS3L</v>
          </cell>
          <cell r="B7367" t="str">
            <v>YZ-SH15508</v>
          </cell>
        </row>
        <row r="7368">
          <cell r="A7368" t="str">
            <v>YZ-SH15508BSM</v>
          </cell>
          <cell r="B7368" t="str">
            <v>YZ-SH15508</v>
          </cell>
        </row>
        <row r="7369">
          <cell r="A7369" t="str">
            <v>YZ-SH15508BSS</v>
          </cell>
          <cell r="B7369" t="str">
            <v>YZ-SH15508</v>
          </cell>
        </row>
        <row r="7370">
          <cell r="A7370" t="str">
            <v>YZ-SH15508BW0L</v>
          </cell>
          <cell r="B7370" t="str">
            <v>YZ-SH15508</v>
          </cell>
        </row>
        <row r="7371">
          <cell r="A7371" t="str">
            <v>YZ-SH15508BW1L</v>
          </cell>
          <cell r="B7371" t="str">
            <v>YZ-SH15508</v>
          </cell>
        </row>
        <row r="7372">
          <cell r="A7372" t="str">
            <v>YZ-SH15508BW2L</v>
          </cell>
          <cell r="B7372" t="str">
            <v>YZ-SH15508</v>
          </cell>
        </row>
        <row r="7373">
          <cell r="A7373" t="str">
            <v>YZ-SH15508BW3L</v>
          </cell>
          <cell r="B7373" t="str">
            <v>YZ-SH15508</v>
          </cell>
        </row>
        <row r="7374">
          <cell r="A7374" t="str">
            <v>YZ-SH15508BWM</v>
          </cell>
          <cell r="B7374" t="str">
            <v>YZ-SH15508</v>
          </cell>
        </row>
        <row r="7375">
          <cell r="A7375" t="str">
            <v>YZ-SH15508BWS</v>
          </cell>
          <cell r="B7375" t="str">
            <v>YZ-SH15508</v>
          </cell>
        </row>
        <row r="7376">
          <cell r="A7376" t="str">
            <v>YZ-SH15508Re0L</v>
          </cell>
          <cell r="B7376" t="str">
            <v>YZ-SH15508</v>
          </cell>
        </row>
        <row r="7377">
          <cell r="A7377" t="str">
            <v>YZ-SH15508Re1L</v>
          </cell>
          <cell r="B7377" t="str">
            <v>YZ-SH15508</v>
          </cell>
        </row>
        <row r="7378">
          <cell r="A7378" t="str">
            <v>YZ-SH15508Re2L</v>
          </cell>
          <cell r="B7378" t="str">
            <v>YZ-SH15508</v>
          </cell>
        </row>
        <row r="7379">
          <cell r="A7379" t="str">
            <v>YZ-SH15508Re3L</v>
          </cell>
          <cell r="B7379" t="str">
            <v>YZ-SH15508</v>
          </cell>
        </row>
        <row r="7380">
          <cell r="A7380" t="str">
            <v>YZ-SH15508ReM</v>
          </cell>
          <cell r="B7380" t="str">
            <v>YZ-SH15508</v>
          </cell>
        </row>
        <row r="7381">
          <cell r="A7381" t="str">
            <v>YZ-SH15508ReS</v>
          </cell>
          <cell r="B7381" t="str">
            <v>YZ-SH15508</v>
          </cell>
        </row>
        <row r="7382">
          <cell r="A7382" t="str">
            <v>YZ-SH15508WB0L</v>
          </cell>
          <cell r="B7382" t="str">
            <v>YZ-SH15508</v>
          </cell>
        </row>
        <row r="7383">
          <cell r="A7383" t="str">
            <v>YZ-SH15508WB1L</v>
          </cell>
          <cell r="B7383" t="str">
            <v>YZ-SH15508</v>
          </cell>
        </row>
        <row r="7384">
          <cell r="A7384" t="str">
            <v>YZ-SH15508WB2L</v>
          </cell>
          <cell r="B7384" t="str">
            <v>YZ-SH15508</v>
          </cell>
        </row>
        <row r="7385">
          <cell r="A7385" t="str">
            <v>YZ-SH15508WB3L</v>
          </cell>
          <cell r="B7385" t="str">
            <v>YZ-SH15508</v>
          </cell>
        </row>
        <row r="7386">
          <cell r="A7386" t="str">
            <v>YZ-SH15508WBM</v>
          </cell>
          <cell r="B7386" t="str">
            <v>YZ-SH15508</v>
          </cell>
        </row>
        <row r="7387">
          <cell r="A7387" t="str">
            <v>YZ-SH15508WBS</v>
          </cell>
          <cell r="B7387" t="str">
            <v>YZ-SH15508</v>
          </cell>
        </row>
        <row r="7388">
          <cell r="A7388" t="str">
            <v>YZ-SM-HM30CH-L</v>
          </cell>
          <cell r="B7388" t="str">
            <v>YZ-SM-HM30CH</v>
          </cell>
        </row>
        <row r="7389">
          <cell r="A7389" t="str">
            <v>YZ-SM-HM30CH-M</v>
          </cell>
          <cell r="B7389" t="str">
            <v>YZ-SM-HM30CH</v>
          </cell>
        </row>
        <row r="7390">
          <cell r="A7390" t="str">
            <v>YZ-SM-HM30CH-S</v>
          </cell>
          <cell r="B7390" t="str">
            <v>YZ-SM-HM30CH</v>
          </cell>
        </row>
        <row r="7391">
          <cell r="A7391" t="str">
            <v>YZ-SM-HM30CH-XL</v>
          </cell>
          <cell r="B7391" t="str">
            <v>YZ-SM-HM30CH</v>
          </cell>
        </row>
        <row r="7392">
          <cell r="A7392" t="str">
            <v>YZ-SM-HM30CH-XS</v>
          </cell>
          <cell r="B7392" t="str">
            <v>YZ-SM-HM30CH</v>
          </cell>
        </row>
        <row r="7393">
          <cell r="A7393" t="str">
            <v>YZ-SYCA1018YeM</v>
          </cell>
          <cell r="B7393" t="str">
            <v>YZ-SYCA1018</v>
          </cell>
        </row>
        <row r="7394">
          <cell r="A7394" t="str">
            <v>YZ-TJ1245001L</v>
          </cell>
          <cell r="B7394" t="str">
            <v>YZ-TJ1245</v>
          </cell>
        </row>
        <row r="7395">
          <cell r="A7395" t="str">
            <v>YZ-TJ1245002L</v>
          </cell>
          <cell r="B7395" t="str">
            <v>YZ-TJ1245</v>
          </cell>
        </row>
        <row r="7396">
          <cell r="A7396" t="str">
            <v>YZ-TJ1245003L</v>
          </cell>
          <cell r="B7396" t="str">
            <v>YZ-TJ1245</v>
          </cell>
        </row>
        <row r="7397">
          <cell r="A7397" t="str">
            <v>YZ-TJ1245003L-GM</v>
          </cell>
          <cell r="B7397" t="str">
            <v>YZ-TJ1245</v>
          </cell>
        </row>
        <row r="7398">
          <cell r="A7398" t="str">
            <v>YZ-TJ124500L</v>
          </cell>
          <cell r="B7398" t="str">
            <v>YZ-TJ1245</v>
          </cell>
        </row>
        <row r="7399">
          <cell r="A7399" t="str">
            <v>YZ-TJ124500M</v>
          </cell>
          <cell r="B7399" t="str">
            <v>YZ-TJ1245</v>
          </cell>
        </row>
        <row r="7400">
          <cell r="A7400" t="str">
            <v>YZ-TJ1245G01L</v>
          </cell>
          <cell r="B7400" t="str">
            <v>YZ-TJ1245</v>
          </cell>
        </row>
        <row r="7401">
          <cell r="A7401" t="str">
            <v>YZ-TJ1245G02L</v>
          </cell>
          <cell r="B7401" t="str">
            <v>YZ-TJ1245</v>
          </cell>
        </row>
        <row r="7402">
          <cell r="A7402" t="str">
            <v>YZ-TJ1245G03L</v>
          </cell>
          <cell r="B7402" t="str">
            <v>YZ-TJ1245</v>
          </cell>
        </row>
        <row r="7403">
          <cell r="A7403" t="str">
            <v>YZ-TJ1245G03L-GM</v>
          </cell>
          <cell r="B7403" t="str">
            <v>YZ-TJ1245</v>
          </cell>
        </row>
        <row r="7404">
          <cell r="A7404" t="str">
            <v>YZ-TJ1245G0L</v>
          </cell>
          <cell r="B7404" t="str">
            <v>YZ-TJ1245</v>
          </cell>
        </row>
        <row r="7405">
          <cell r="A7405" t="str">
            <v>YZ-TJ1245G0M</v>
          </cell>
          <cell r="B7405" t="str">
            <v>YZ-TJ1245</v>
          </cell>
        </row>
        <row r="7406">
          <cell r="A7406" t="str">
            <v>YZ-TJ1245W01L</v>
          </cell>
          <cell r="B7406" t="str">
            <v>YZ-TJ1245</v>
          </cell>
        </row>
        <row r="7407">
          <cell r="A7407" t="str">
            <v>YZ-TJ1245W02L</v>
          </cell>
          <cell r="B7407" t="str">
            <v>YZ-TJ1245</v>
          </cell>
        </row>
        <row r="7408">
          <cell r="A7408" t="str">
            <v>YZ-TJ1245W03L</v>
          </cell>
          <cell r="B7408" t="str">
            <v>YZ-TJ1245</v>
          </cell>
        </row>
        <row r="7409">
          <cell r="A7409" t="str">
            <v>YZ-TJ1245W0L</v>
          </cell>
          <cell r="B7409" t="str">
            <v>YZ-TJ1245</v>
          </cell>
        </row>
        <row r="7410">
          <cell r="A7410" t="str">
            <v>YZ-TJ1245W0M</v>
          </cell>
          <cell r="B7410" t="str">
            <v>YZ-TJ1245</v>
          </cell>
        </row>
        <row r="7411">
          <cell r="A7411" t="str">
            <v>YZ-WHZ766-R0-L</v>
          </cell>
          <cell r="B7411" t="str">
            <v>YZ-WHZ766</v>
          </cell>
        </row>
        <row r="7412">
          <cell r="A7412" t="str">
            <v>YZ-WHZ766-R0-M</v>
          </cell>
          <cell r="B7412" t="str">
            <v>YZ-WHZ766</v>
          </cell>
        </row>
        <row r="7413">
          <cell r="A7413" t="str">
            <v>YZ-WHZ766-R0-S</v>
          </cell>
          <cell r="B7413" t="str">
            <v>YZ-WHZ766</v>
          </cell>
        </row>
        <row r="7414">
          <cell r="A7414" t="str">
            <v>YZ-WHZ766-R0-XL</v>
          </cell>
          <cell r="B7414" t="str">
            <v>YZ-WHZ766</v>
          </cell>
        </row>
        <row r="7415">
          <cell r="A7415" t="str">
            <v>YZ-XJ001Gr2L</v>
          </cell>
          <cell r="B7415" t="str">
            <v>YZ-XJ001</v>
          </cell>
        </row>
        <row r="7416">
          <cell r="A7416" t="str">
            <v>YZ-XJ001GrXL</v>
          </cell>
          <cell r="B7416" t="str">
            <v>YZ-XJ001</v>
          </cell>
        </row>
        <row r="7417">
          <cell r="A7417" t="str">
            <v>YZ-XQ1443K02XL</v>
          </cell>
          <cell r="B7417" t="str">
            <v>YZ-BX1443</v>
          </cell>
        </row>
        <row r="7418">
          <cell r="A7418" t="str">
            <v>YZ-XQ1443K03XL</v>
          </cell>
          <cell r="B7418" t="str">
            <v>YZ-BX1443</v>
          </cell>
        </row>
        <row r="7419">
          <cell r="A7419" t="str">
            <v>YZ-XQ1443K0L</v>
          </cell>
          <cell r="B7419" t="str">
            <v>YZ-BX1443</v>
          </cell>
        </row>
        <row r="7420">
          <cell r="A7420" t="str">
            <v>YZ-XQ1443K0M</v>
          </cell>
          <cell r="B7420" t="str">
            <v>YZ-BX1443</v>
          </cell>
        </row>
        <row r="7421">
          <cell r="A7421" t="str">
            <v>YZ-XQ1443K0XL</v>
          </cell>
          <cell r="B7421" t="str">
            <v>YZ-BX1443</v>
          </cell>
        </row>
        <row r="7422">
          <cell r="A7422" t="str">
            <v>YZ-XQ1443Re2XL</v>
          </cell>
          <cell r="B7422" t="str">
            <v>YZ-BX1443</v>
          </cell>
        </row>
        <row r="7423">
          <cell r="A7423" t="str">
            <v>YZ-XQ1443Re3XL</v>
          </cell>
          <cell r="B7423" t="str">
            <v>YZ-BX1443</v>
          </cell>
        </row>
        <row r="7424">
          <cell r="A7424" t="str">
            <v>YZ-XQ1443ReL</v>
          </cell>
          <cell r="B7424" t="str">
            <v>YZ-BX1443</v>
          </cell>
        </row>
        <row r="7425">
          <cell r="A7425" t="str">
            <v>YZ-XQ1443ReM</v>
          </cell>
          <cell r="B7425" t="str">
            <v>YZ-BX1443</v>
          </cell>
        </row>
        <row r="7426">
          <cell r="A7426" t="str">
            <v>YZ-XQ1443ReXL</v>
          </cell>
          <cell r="B7426" t="str">
            <v>YZ-BX1443</v>
          </cell>
        </row>
        <row r="7427">
          <cell r="A7427" t="str">
            <v>YZ-XSW3071Feather5L</v>
          </cell>
          <cell r="B7427" t="str">
            <v>YZ-XSW3071</v>
          </cell>
        </row>
        <row r="7428">
          <cell r="A7428" t="str">
            <v>YZ-YGD2000-2XL</v>
          </cell>
          <cell r="B7428" t="str">
            <v>YZ-YGD2000</v>
          </cell>
        </row>
        <row r="7429">
          <cell r="A7429" t="str">
            <v>YZ-YGD2000-3XL</v>
          </cell>
          <cell r="B7429" t="str">
            <v>YZ-YGD2000</v>
          </cell>
        </row>
        <row r="7430">
          <cell r="A7430" t="str">
            <v>YZ-YGD2000-L</v>
          </cell>
          <cell r="B7430" t="str">
            <v>YZ-YGD2000</v>
          </cell>
        </row>
        <row r="7431">
          <cell r="A7431" t="str">
            <v>YZ-YGD2000-M</v>
          </cell>
          <cell r="B7431" t="str">
            <v>YZ-YGD2000</v>
          </cell>
        </row>
        <row r="7432">
          <cell r="A7432" t="str">
            <v>YZ-YGD2000-S</v>
          </cell>
          <cell r="B7432" t="str">
            <v>YZ-YGD2000</v>
          </cell>
        </row>
        <row r="7433">
          <cell r="A7433" t="str">
            <v>YZ-YGD2000-XL</v>
          </cell>
          <cell r="B7433" t="str">
            <v>YZ-YGD2000</v>
          </cell>
        </row>
        <row r="7434">
          <cell r="A7434" t="str">
            <v>YZ-YO1521-BF-2XL</v>
          </cell>
          <cell r="B7434" t="str">
            <v>YZ-YO1521</v>
          </cell>
        </row>
        <row r="7435">
          <cell r="A7435" t="str">
            <v>YZ-YO1521-BF-3XL</v>
          </cell>
          <cell r="B7435" t="str">
            <v>YZ-YO1521</v>
          </cell>
        </row>
        <row r="7436">
          <cell r="A7436" t="str">
            <v>YZ-YO1521-BF-4XL</v>
          </cell>
          <cell r="B7436" t="str">
            <v>YZ-YO1521</v>
          </cell>
        </row>
        <row r="7437">
          <cell r="A7437" t="str">
            <v>YZ-YO1521-BF-5XL</v>
          </cell>
          <cell r="B7437" t="str">
            <v>YZ-YO1521</v>
          </cell>
        </row>
        <row r="7438">
          <cell r="A7438" t="str">
            <v>YZ-YO1521-BF-XL</v>
          </cell>
          <cell r="B7438" t="str">
            <v>YZ-YO1521</v>
          </cell>
        </row>
        <row r="7439">
          <cell r="A7439" t="str">
            <v>YZ-YO1521-BL-2XL</v>
          </cell>
          <cell r="B7439" t="str">
            <v>YZ-YO1521</v>
          </cell>
        </row>
        <row r="7440">
          <cell r="A7440" t="str">
            <v>YZ-YO1521-BL-3XL</v>
          </cell>
          <cell r="B7440" t="str">
            <v>YZ-YO1521</v>
          </cell>
        </row>
        <row r="7441">
          <cell r="A7441" t="str">
            <v>YZ-YO1521-BL-4XL</v>
          </cell>
          <cell r="B7441" t="str">
            <v>YZ-YO1521</v>
          </cell>
        </row>
        <row r="7442">
          <cell r="A7442" t="str">
            <v>YZ-YO1521-BL-5XL</v>
          </cell>
          <cell r="B7442" t="str">
            <v>YZ-YO1521</v>
          </cell>
        </row>
        <row r="7443">
          <cell r="A7443" t="str">
            <v>YZ-YO1521-BL-XL</v>
          </cell>
          <cell r="B7443" t="str">
            <v>YZ-YO1521</v>
          </cell>
        </row>
        <row r="7444">
          <cell r="A7444" t="str">
            <v>YZ-YO1521-GF-2XL</v>
          </cell>
          <cell r="B7444" t="str">
            <v>YZ-YO1521</v>
          </cell>
        </row>
        <row r="7445">
          <cell r="A7445" t="str">
            <v>YZ-YO1521-GF-3XL</v>
          </cell>
          <cell r="B7445" t="str">
            <v>YZ-YO1521</v>
          </cell>
        </row>
        <row r="7446">
          <cell r="A7446" t="str">
            <v>YZ-YO1521-GF-4XL</v>
          </cell>
          <cell r="B7446" t="str">
            <v>YZ-YO1521</v>
          </cell>
        </row>
        <row r="7447">
          <cell r="A7447" t="str">
            <v>YZ-YO1521-GF-5XL</v>
          </cell>
          <cell r="B7447" t="str">
            <v>YZ-YO1521</v>
          </cell>
        </row>
        <row r="7448">
          <cell r="A7448" t="str">
            <v>YZ-YO1521-GF-XL</v>
          </cell>
          <cell r="B7448" t="str">
            <v>YZ-YO1521</v>
          </cell>
        </row>
        <row r="7449">
          <cell r="A7449" t="str">
            <v>YZ-YO1521-GW-2XL</v>
          </cell>
          <cell r="B7449" t="str">
            <v>YZ-YO1521</v>
          </cell>
        </row>
        <row r="7450">
          <cell r="A7450" t="str">
            <v>YZ-YO1521-GW-3XL</v>
          </cell>
          <cell r="B7450" t="str">
            <v>YZ-YO1521</v>
          </cell>
        </row>
        <row r="7451">
          <cell r="A7451" t="str">
            <v>YZ-YO1521-GW-4XL</v>
          </cell>
          <cell r="B7451" t="str">
            <v>YZ-YO1521</v>
          </cell>
        </row>
        <row r="7452">
          <cell r="A7452" t="str">
            <v>YZ-YO1521-GW-5XL</v>
          </cell>
          <cell r="B7452" t="str">
            <v>YZ-YO1521</v>
          </cell>
        </row>
        <row r="7453">
          <cell r="A7453" t="str">
            <v>YZ-YO1521-GW-XL</v>
          </cell>
          <cell r="B7453" t="str">
            <v>YZ-YO1521</v>
          </cell>
        </row>
        <row r="7454">
          <cell r="A7454" t="str">
            <v>YZ-YO1521-KF-2XL</v>
          </cell>
          <cell r="B7454" t="str">
            <v>YZ-YO1521</v>
          </cell>
        </row>
        <row r="7455">
          <cell r="A7455" t="str">
            <v>YZ-YO1521-KF-3XL</v>
          </cell>
          <cell r="B7455" t="str">
            <v>YZ-YO1521</v>
          </cell>
        </row>
        <row r="7456">
          <cell r="A7456" t="str">
            <v>YZ-YO1521-KF-4XL</v>
          </cell>
          <cell r="B7456" t="str">
            <v>YZ-YO1521</v>
          </cell>
        </row>
        <row r="7457">
          <cell r="A7457" t="str">
            <v>YZ-YO1521-KF-5XL</v>
          </cell>
          <cell r="B7457" t="str">
            <v>YZ-YO1521</v>
          </cell>
        </row>
        <row r="7458">
          <cell r="A7458" t="str">
            <v>YZ-YO1521-KF-XL</v>
          </cell>
          <cell r="B7458" t="str">
            <v>YZ-YO1521</v>
          </cell>
        </row>
        <row r="7459">
          <cell r="A7459" t="str">
            <v>YZ-YO1521-RF-2XL</v>
          </cell>
          <cell r="B7459" t="str">
            <v>YZ-YO1521</v>
          </cell>
        </row>
        <row r="7460">
          <cell r="A7460" t="str">
            <v>YZ-YO1521-RF-3XL</v>
          </cell>
          <cell r="B7460" t="str">
            <v>YZ-YO1521</v>
          </cell>
        </row>
        <row r="7461">
          <cell r="A7461" t="str">
            <v>YZ-YO1521-RF-4XL</v>
          </cell>
          <cell r="B7461" t="str">
            <v>YZ-YO1521</v>
          </cell>
        </row>
        <row r="7462">
          <cell r="A7462" t="str">
            <v>YZ-YO1521-RF-5XL</v>
          </cell>
          <cell r="B7462" t="str">
            <v>YZ-YO1521</v>
          </cell>
        </row>
        <row r="7463">
          <cell r="A7463" t="str">
            <v>YZ-YO1521-RF-XL</v>
          </cell>
          <cell r="B7463" t="str">
            <v>YZ-YO1521</v>
          </cell>
        </row>
        <row r="7464">
          <cell r="A7464" t="str">
            <v>YZ-YO1521-RL-2XL</v>
          </cell>
          <cell r="B7464" t="str">
            <v>YZ-YO1521</v>
          </cell>
        </row>
        <row r="7465">
          <cell r="A7465" t="str">
            <v>YZ-YO1521-RL-3XL</v>
          </cell>
          <cell r="B7465" t="str">
            <v>YZ-YO1521</v>
          </cell>
        </row>
        <row r="7466">
          <cell r="A7466" t="str">
            <v>YZ-YO1521-RL-4XL</v>
          </cell>
          <cell r="B7466" t="str">
            <v>YZ-YO1521</v>
          </cell>
        </row>
        <row r="7467">
          <cell r="A7467" t="str">
            <v>YZ-YO1521-RL-5XL</v>
          </cell>
          <cell r="B7467" t="str">
            <v>YZ-YO1521</v>
          </cell>
        </row>
        <row r="7468">
          <cell r="A7468" t="str">
            <v>YZ-YO1521-RL-XL</v>
          </cell>
          <cell r="B7468" t="str">
            <v>YZ-YO1521</v>
          </cell>
        </row>
        <row r="7469">
          <cell r="A7469" t="str">
            <v>YZ-YO1521-RM-2XL</v>
          </cell>
          <cell r="B7469" t="str">
            <v>YZ-YO1521</v>
          </cell>
        </row>
        <row r="7470">
          <cell r="A7470" t="str">
            <v>YZ-YO1521-RM-3XL</v>
          </cell>
          <cell r="B7470" t="str">
            <v>YZ-YO1521</v>
          </cell>
        </row>
        <row r="7471">
          <cell r="A7471" t="str">
            <v>YZ-YO1521-RM-4XL</v>
          </cell>
          <cell r="B7471" t="str">
            <v>YZ-YO1521</v>
          </cell>
        </row>
        <row r="7472">
          <cell r="A7472" t="str">
            <v>YZ-YO1521-RM-5XL</v>
          </cell>
          <cell r="B7472" t="str">
            <v>YZ-YO1521</v>
          </cell>
        </row>
        <row r="7473">
          <cell r="A7473" t="str">
            <v>YZ-YO1521-RM-XL</v>
          </cell>
          <cell r="B7473" t="str">
            <v>YZ-YO1521</v>
          </cell>
        </row>
        <row r="7474">
          <cell r="A7474" t="str">
            <v>YZ-YO1521-WP-2XL</v>
          </cell>
          <cell r="B7474" t="str">
            <v>YZ-YO1521</v>
          </cell>
        </row>
        <row r="7475">
          <cell r="A7475" t="str">
            <v>YZ-YO1521-WP-3XL</v>
          </cell>
          <cell r="B7475" t="str">
            <v>YZ-YO1521</v>
          </cell>
        </row>
        <row r="7476">
          <cell r="A7476" t="str">
            <v>YZ-YO1521-WP-4XL</v>
          </cell>
          <cell r="B7476" t="str">
            <v>YZ-YO1521</v>
          </cell>
        </row>
        <row r="7477">
          <cell r="A7477" t="str">
            <v>YZ-YO1521-WP-5XL</v>
          </cell>
          <cell r="B7477" t="str">
            <v>YZ-YO1521</v>
          </cell>
        </row>
        <row r="7478">
          <cell r="A7478" t="str">
            <v>YZ-YO1521-WP-XL</v>
          </cell>
          <cell r="B7478" t="str">
            <v>YZ-YO1521</v>
          </cell>
        </row>
        <row r="7479">
          <cell r="A7479" t="str">
            <v>YZ-ZQ0707-G0-L</v>
          </cell>
          <cell r="B7479" t="str">
            <v>YZ-ZQ0707</v>
          </cell>
        </row>
        <row r="7480">
          <cell r="A7480" t="str">
            <v>YZ-ZQ0707-G0-M</v>
          </cell>
          <cell r="B7480" t="str">
            <v>YZ-ZQ0707</v>
          </cell>
        </row>
        <row r="7481">
          <cell r="A7481" t="str">
            <v>YZ-ZQ0707-G0-XL</v>
          </cell>
          <cell r="B7481" t="str">
            <v>YZ-ZQ0707</v>
          </cell>
        </row>
        <row r="7482">
          <cell r="A7482" t="str">
            <v>YZ-ZQ0707-ORTW-2XL</v>
          </cell>
          <cell r="B7482" t="str">
            <v>YZ-ZQ0707</v>
          </cell>
        </row>
        <row r="7483">
          <cell r="A7483" t="str">
            <v>YZ-ZQ0707-ORTW-XL</v>
          </cell>
          <cell r="B7483" t="str">
            <v>YZ-ZQ0707</v>
          </cell>
        </row>
        <row r="7484">
          <cell r="A7484" t="str">
            <v>YZ-ZQ0707-PITW-2XL</v>
          </cell>
          <cell r="B7484" t="str">
            <v>YZ-ZQ0707</v>
          </cell>
        </row>
        <row r="7485">
          <cell r="A7485" t="str">
            <v>YZ-ZQ0707-PITW-L</v>
          </cell>
          <cell r="B7485" t="str">
            <v>YZ-ZQ0707</v>
          </cell>
        </row>
        <row r="7486">
          <cell r="A7486" t="str">
            <v>YZ-ZQ0707-PITW-M</v>
          </cell>
          <cell r="B7486" t="str">
            <v>YZ-ZQ0707</v>
          </cell>
        </row>
        <row r="7487">
          <cell r="A7487" t="str">
            <v>YZ-ZQ0707-PITW-S</v>
          </cell>
          <cell r="B7487" t="str">
            <v>YZ-ZQ0707</v>
          </cell>
        </row>
        <row r="7488">
          <cell r="A7488" t="str">
            <v>YZ-ZQ0707-PITW-XL</v>
          </cell>
          <cell r="B7488" t="str">
            <v>YZ-ZQ0707</v>
          </cell>
        </row>
        <row r="7489">
          <cell r="A7489" t="str">
            <v>YZ-ZQ0707-R0-L</v>
          </cell>
          <cell r="B7489" t="str">
            <v>YZ-ZQ0707</v>
          </cell>
        </row>
        <row r="7490">
          <cell r="A7490" t="str">
            <v>YZ-ZQ0707-R0-XL</v>
          </cell>
          <cell r="B7490" t="str">
            <v>YZ-ZQ0707</v>
          </cell>
        </row>
        <row r="7491">
          <cell r="A7491" t="str">
            <v>YZ-ZQ0707-Y0TW-L</v>
          </cell>
          <cell r="B7491" t="str">
            <v>YZ-ZQ0707</v>
          </cell>
        </row>
        <row r="7492">
          <cell r="A7492" t="str">
            <v>YZ-ZQ0707-Y0TW-XL</v>
          </cell>
          <cell r="B7492" t="str">
            <v>YZ-ZQ0707</v>
          </cell>
        </row>
        <row r="7493">
          <cell r="A7493" t="str">
            <v>YZ-ZQ1126-K0-2X</v>
          </cell>
          <cell r="B7493" t="str">
            <v>YZ-ZQ1126</v>
          </cell>
        </row>
        <row r="7494">
          <cell r="A7494" t="str">
            <v>YZ-ZQ1126-K0-3X</v>
          </cell>
          <cell r="B7494" t="str">
            <v>YZ-ZQ1126</v>
          </cell>
        </row>
        <row r="7495">
          <cell r="A7495" t="str">
            <v>YZ-ZQ1126-K0-4X</v>
          </cell>
          <cell r="B7495" t="str">
            <v>YZ-ZQ1126</v>
          </cell>
        </row>
        <row r="7496">
          <cell r="A7496" t="str">
            <v>YZ-ZQ1126-K0-XL</v>
          </cell>
          <cell r="B7496" t="str">
            <v>YZ-ZQ1126</v>
          </cell>
        </row>
        <row r="7497">
          <cell r="A7497" t="str">
            <v>YZ-ZQ112B0L</v>
          </cell>
          <cell r="B7497" t="str">
            <v>YZ-ZQ112</v>
          </cell>
        </row>
        <row r="7498">
          <cell r="A7498" t="str">
            <v>YZ-ZQ112B0M</v>
          </cell>
          <cell r="B7498" t="str">
            <v>YZ-ZQ112</v>
          </cell>
        </row>
        <row r="7499">
          <cell r="A7499" t="str">
            <v>YZ-ZQ112B0S</v>
          </cell>
          <cell r="B7499" t="str">
            <v>YZ-ZQ112</v>
          </cell>
        </row>
        <row r="7500">
          <cell r="A7500" t="str">
            <v>YZ-ZQ112B0XL</v>
          </cell>
          <cell r="B7500" t="str">
            <v>YZ-ZQ112</v>
          </cell>
        </row>
        <row r="7501">
          <cell r="A7501" t="str">
            <v>YZ-ZQ1197-KW-2X</v>
          </cell>
          <cell r="B7501" t="str">
            <v>YZ-ZQ1197</v>
          </cell>
        </row>
        <row r="7502">
          <cell r="A7502" t="str">
            <v>YZ-ZQ1197-KW-L</v>
          </cell>
          <cell r="B7502" t="str">
            <v>YZ-ZQ1197</v>
          </cell>
        </row>
        <row r="7503">
          <cell r="A7503" t="str">
            <v>YZ-ZQ1197-KW-M</v>
          </cell>
          <cell r="B7503" t="str">
            <v>YZ-ZQ1197</v>
          </cell>
        </row>
        <row r="7504">
          <cell r="A7504" t="str">
            <v>YZ-ZQ1197-KW-XL</v>
          </cell>
          <cell r="B7504" t="str">
            <v>YZ-ZQ1197</v>
          </cell>
        </row>
        <row r="7505">
          <cell r="A7505" t="str">
            <v>YZ-ZQ1197-W0-L</v>
          </cell>
          <cell r="B7505" t="str">
            <v>YZ-ZQ1197</v>
          </cell>
        </row>
        <row r="7506">
          <cell r="A7506" t="str">
            <v>YZ-ZQ1197-W0-M</v>
          </cell>
          <cell r="B7506" t="str">
            <v>YZ-ZQ1197</v>
          </cell>
        </row>
        <row r="7507">
          <cell r="A7507" t="str">
            <v>YZ-ZQ1197-W0-XL</v>
          </cell>
          <cell r="B7507" t="str">
            <v>YZ-ZQ1197</v>
          </cell>
        </row>
        <row r="7508">
          <cell r="A7508" t="str">
            <v>YZ-ZQ123B02XL</v>
          </cell>
          <cell r="B7508" t="str">
            <v>YZ-ZQ123</v>
          </cell>
        </row>
        <row r="7509">
          <cell r="A7509" t="str">
            <v>YZ-ZQ123B03XL</v>
          </cell>
          <cell r="B7509" t="str">
            <v>YZ-ZQ123</v>
          </cell>
        </row>
        <row r="7510">
          <cell r="A7510" t="str">
            <v>YZ-ZQ123B04XL</v>
          </cell>
          <cell r="B7510" t="str">
            <v>YZ-ZQ123</v>
          </cell>
        </row>
        <row r="7511">
          <cell r="A7511" t="str">
            <v>YZ-ZQ123B05XL</v>
          </cell>
          <cell r="B7511" t="str">
            <v>YZ-ZQ123</v>
          </cell>
        </row>
        <row r="7512">
          <cell r="A7512" t="str">
            <v>YZ-ZQ123B0L</v>
          </cell>
          <cell r="B7512" t="str">
            <v>YZ-ZQ123</v>
          </cell>
        </row>
        <row r="7513">
          <cell r="A7513" t="str">
            <v>YZ-ZQ123B0XL</v>
          </cell>
          <cell r="B7513" t="str">
            <v>YZ-ZQ123</v>
          </cell>
        </row>
        <row r="7514">
          <cell r="A7514" t="str">
            <v>YZ-ZQ1328-Y0-L</v>
          </cell>
          <cell r="B7514" t="str">
            <v>YZ-ZQ1328</v>
          </cell>
        </row>
        <row r="7515">
          <cell r="A7515" t="str">
            <v>YZ-ZQ1328-Y0-M</v>
          </cell>
          <cell r="B7515" t="str">
            <v>YZ-ZQ1328</v>
          </cell>
        </row>
        <row r="7516">
          <cell r="A7516" t="str">
            <v>YZ-ZQ1328-Y0-XL</v>
          </cell>
          <cell r="B7516" t="str">
            <v>YZ-ZQ1328</v>
          </cell>
        </row>
        <row r="7517">
          <cell r="A7517" t="str">
            <v>YZ-ZQ144K03XL</v>
          </cell>
          <cell r="B7517" t="str">
            <v>YZ-ZQ144</v>
          </cell>
        </row>
        <row r="7518">
          <cell r="A7518" t="str">
            <v>YZ-ZQ144R03XL</v>
          </cell>
          <cell r="B7518" t="str">
            <v>YZ-ZQ144</v>
          </cell>
        </row>
        <row r="7519">
          <cell r="A7519" t="str">
            <v>YZ-ZQ14578-K0-2X</v>
          </cell>
          <cell r="B7519" t="str">
            <v>YZ-ZQ14578</v>
          </cell>
        </row>
        <row r="7520">
          <cell r="A7520" t="str">
            <v>YZ-ZQ14578-K0-3X</v>
          </cell>
          <cell r="B7520" t="str">
            <v>YZ-ZQ14578</v>
          </cell>
        </row>
        <row r="7521">
          <cell r="A7521" t="str">
            <v>YZ-ZQ14578-K0-4X</v>
          </cell>
          <cell r="B7521" t="str">
            <v>YZ-ZQ14578</v>
          </cell>
        </row>
        <row r="7522">
          <cell r="A7522" t="str">
            <v>YZ-ZQ14578-K0-5X</v>
          </cell>
          <cell r="B7522" t="str">
            <v>YZ-ZQ14578</v>
          </cell>
        </row>
        <row r="7523">
          <cell r="A7523" t="str">
            <v>YZ-ZQ14578-K0-L</v>
          </cell>
          <cell r="B7523" t="str">
            <v>YZ-ZQ14578</v>
          </cell>
        </row>
        <row r="7524">
          <cell r="A7524" t="str">
            <v>YZ-ZQ14578-K0-XL</v>
          </cell>
          <cell r="B7524" t="str">
            <v>YZ-ZQ14578</v>
          </cell>
        </row>
        <row r="7525">
          <cell r="A7525" t="str">
            <v>YZ-ZQ14976-R0-2X</v>
          </cell>
          <cell r="B7525" t="str">
            <v>YZ-ZQ14976</v>
          </cell>
        </row>
        <row r="7526">
          <cell r="A7526" t="str">
            <v>YZ-ZQ14976-R0-3X</v>
          </cell>
          <cell r="B7526" t="str">
            <v>YZ-ZQ14976</v>
          </cell>
        </row>
        <row r="7527">
          <cell r="A7527" t="str">
            <v>YZ-ZQ14976-R0-4X</v>
          </cell>
          <cell r="B7527" t="str">
            <v>YZ-ZQ14976</v>
          </cell>
        </row>
        <row r="7528">
          <cell r="A7528" t="str">
            <v>YZ-ZQ14976-R0-5X</v>
          </cell>
          <cell r="B7528" t="str">
            <v>YZ-ZQ14976</v>
          </cell>
        </row>
        <row r="7529">
          <cell r="A7529" t="str">
            <v>YZ-ZQ14976-R0-L</v>
          </cell>
          <cell r="B7529" t="str">
            <v>YZ-ZQ14976</v>
          </cell>
        </row>
        <row r="7530">
          <cell r="A7530" t="str">
            <v>YZ-ZQ14976-R0-M</v>
          </cell>
          <cell r="B7530" t="str">
            <v>YZ-ZQ14976</v>
          </cell>
        </row>
        <row r="7531">
          <cell r="A7531" t="str">
            <v>YZ-ZQ14976-R0-XL</v>
          </cell>
          <cell r="B7531" t="str">
            <v>YZ-ZQ14976</v>
          </cell>
        </row>
        <row r="7532">
          <cell r="A7532" t="str">
            <v>YZ-ZQ14976-Y0-2X</v>
          </cell>
          <cell r="B7532" t="str">
            <v>YZ-ZQ14976</v>
          </cell>
        </row>
        <row r="7533">
          <cell r="A7533" t="str">
            <v>YZ-ZQ14976-Y0-3X</v>
          </cell>
          <cell r="B7533" t="str">
            <v>YZ-ZQ14976</v>
          </cell>
        </row>
        <row r="7534">
          <cell r="A7534" t="str">
            <v>YZ-ZQ14976-Y0-4X</v>
          </cell>
          <cell r="B7534" t="str">
            <v>YZ-ZQ14976</v>
          </cell>
        </row>
        <row r="7535">
          <cell r="A7535" t="str">
            <v>YZ-ZQ14976-Y0-5X</v>
          </cell>
          <cell r="B7535" t="str">
            <v>YZ-ZQ14976</v>
          </cell>
        </row>
        <row r="7536">
          <cell r="A7536" t="str">
            <v>YZ-ZQ14976-Y0-L</v>
          </cell>
          <cell r="B7536" t="str">
            <v>YZ-ZQ14976</v>
          </cell>
        </row>
        <row r="7537">
          <cell r="A7537" t="str">
            <v>YZ-ZQ14976-Y0-M</v>
          </cell>
          <cell r="B7537" t="str">
            <v>YZ-ZQ14976</v>
          </cell>
        </row>
        <row r="7538">
          <cell r="A7538" t="str">
            <v>YZ-ZQ14976-Y0-XL</v>
          </cell>
          <cell r="B7538" t="str">
            <v>YZ-ZQ14976</v>
          </cell>
        </row>
        <row r="7539">
          <cell r="A7539" t="str">
            <v>YZ-ZQ1519-K0-2X</v>
          </cell>
          <cell r="B7539" t="str">
            <v>YZ-ZQ1519</v>
          </cell>
        </row>
        <row r="7540">
          <cell r="A7540" t="str">
            <v>YZ-ZQ1519-K0-3X</v>
          </cell>
          <cell r="B7540" t="str">
            <v>YZ-ZQ1519</v>
          </cell>
        </row>
        <row r="7541">
          <cell r="A7541" t="str">
            <v>YZ-ZQ1519-K0-4X</v>
          </cell>
          <cell r="B7541" t="str">
            <v>YZ-ZQ1519</v>
          </cell>
        </row>
        <row r="7542">
          <cell r="A7542" t="str">
            <v>YZ-ZQ1519-K0-5X</v>
          </cell>
          <cell r="B7542" t="str">
            <v>YZ-ZQ1519</v>
          </cell>
        </row>
        <row r="7543">
          <cell r="A7543" t="str">
            <v>YZ-ZQ1519-K0-L</v>
          </cell>
          <cell r="B7543" t="str">
            <v>YZ-ZQ1519</v>
          </cell>
        </row>
        <row r="7544">
          <cell r="A7544" t="str">
            <v>YZ-ZQ1519-K0-M</v>
          </cell>
          <cell r="B7544" t="str">
            <v>YZ-ZQ1519</v>
          </cell>
        </row>
        <row r="7545">
          <cell r="A7545" t="str">
            <v>YZ-ZQ1519-K0-S</v>
          </cell>
          <cell r="B7545" t="str">
            <v>YZ-ZQ1519</v>
          </cell>
        </row>
        <row r="7546">
          <cell r="A7546" t="str">
            <v>YZ-ZQ1519-K0-XL</v>
          </cell>
          <cell r="B7546" t="str">
            <v>YZ-ZQ1519</v>
          </cell>
        </row>
        <row r="7547">
          <cell r="A7547" t="str">
            <v>YZ-ZQ1521BF2XL</v>
          </cell>
          <cell r="B7547" t="str">
            <v>YZ-ZQ1521</v>
          </cell>
        </row>
        <row r="7548">
          <cell r="A7548" t="str">
            <v>YZ-ZQ1521BF3XL</v>
          </cell>
          <cell r="B7548" t="str">
            <v>YZ-ZQ1521</v>
          </cell>
        </row>
        <row r="7549">
          <cell r="A7549" t="str">
            <v>YZ-ZQ1521BF4XL</v>
          </cell>
          <cell r="B7549" t="str">
            <v>YZ-ZQ1521</v>
          </cell>
        </row>
        <row r="7550">
          <cell r="A7550" t="str">
            <v>YZ-ZQ1521BF5XL</v>
          </cell>
          <cell r="B7550" t="str">
            <v>YZ-ZQ1521</v>
          </cell>
        </row>
        <row r="7551">
          <cell r="A7551" t="str">
            <v>YZ-ZQ1521BFXL</v>
          </cell>
          <cell r="B7551" t="str">
            <v>YZ-ZQ1521</v>
          </cell>
        </row>
        <row r="7552">
          <cell r="A7552" t="str">
            <v>YZ-ZQ1521BL2XL</v>
          </cell>
          <cell r="B7552" t="str">
            <v>YZ-ZQ1521</v>
          </cell>
        </row>
        <row r="7553">
          <cell r="A7553" t="str">
            <v>YZ-ZQ1521BL3XL</v>
          </cell>
          <cell r="B7553" t="str">
            <v>YZ-ZQ1521</v>
          </cell>
        </row>
        <row r="7554">
          <cell r="A7554" t="str">
            <v>YZ-ZQ1521BL4XL</v>
          </cell>
          <cell r="B7554" t="str">
            <v>YZ-ZQ1521</v>
          </cell>
        </row>
        <row r="7555">
          <cell r="A7555" t="str">
            <v>YZ-ZQ1521BL5XL</v>
          </cell>
          <cell r="B7555" t="str">
            <v>YZ-ZQ1521</v>
          </cell>
        </row>
        <row r="7556">
          <cell r="A7556" t="str">
            <v>YZ-ZQ1521BLXL</v>
          </cell>
          <cell r="B7556" t="str">
            <v>YZ-ZQ1521</v>
          </cell>
        </row>
        <row r="7557">
          <cell r="A7557" t="str">
            <v>YZ-ZQ1521GF2XL</v>
          </cell>
          <cell r="B7557" t="str">
            <v>YZ-ZQ1521</v>
          </cell>
        </row>
        <row r="7558">
          <cell r="A7558" t="str">
            <v>YZ-ZQ1521GF3XL</v>
          </cell>
          <cell r="B7558" t="str">
            <v>YZ-ZQ1521</v>
          </cell>
        </row>
        <row r="7559">
          <cell r="A7559" t="str">
            <v>YZ-ZQ1521GF4XL</v>
          </cell>
          <cell r="B7559" t="str">
            <v>YZ-ZQ1521</v>
          </cell>
        </row>
        <row r="7560">
          <cell r="A7560" t="str">
            <v>YZ-ZQ1521GF5XL</v>
          </cell>
          <cell r="B7560" t="str">
            <v>YZ-ZQ1521</v>
          </cell>
        </row>
        <row r="7561">
          <cell r="A7561" t="str">
            <v>YZ-ZQ1521GFXL</v>
          </cell>
          <cell r="B7561" t="str">
            <v>YZ-ZQ1521</v>
          </cell>
        </row>
        <row r="7562">
          <cell r="A7562" t="str">
            <v>YZ-ZQ1521GW2XL</v>
          </cell>
          <cell r="B7562" t="str">
            <v>YZ-ZQ1521</v>
          </cell>
        </row>
        <row r="7563">
          <cell r="A7563" t="str">
            <v>YZ-ZQ1521GW3XL</v>
          </cell>
          <cell r="B7563" t="str">
            <v>YZ-ZQ1521</v>
          </cell>
        </row>
        <row r="7564">
          <cell r="A7564" t="str">
            <v>YZ-ZQ1521GW4XL</v>
          </cell>
          <cell r="B7564" t="str">
            <v>YZ-ZQ1521</v>
          </cell>
        </row>
        <row r="7565">
          <cell r="A7565" t="str">
            <v>YZ-ZQ1521GW5XL</v>
          </cell>
          <cell r="B7565" t="str">
            <v>YZ-ZQ1521</v>
          </cell>
        </row>
        <row r="7566">
          <cell r="A7566" t="str">
            <v>YZ-ZQ1521GWXL</v>
          </cell>
          <cell r="B7566" t="str">
            <v>YZ-ZQ1521</v>
          </cell>
        </row>
        <row r="7567">
          <cell r="A7567" t="str">
            <v>YZ-ZQ1521KF2XL</v>
          </cell>
          <cell r="B7567" t="str">
            <v>YZ-ZQ1521</v>
          </cell>
        </row>
        <row r="7568">
          <cell r="A7568" t="str">
            <v>YZ-ZQ1521KF3XL</v>
          </cell>
          <cell r="B7568" t="str">
            <v>YZ-ZQ1521</v>
          </cell>
        </row>
        <row r="7569">
          <cell r="A7569" t="str">
            <v>YZ-ZQ1521KF4XL</v>
          </cell>
          <cell r="B7569" t="str">
            <v>YZ-ZQ1521</v>
          </cell>
        </row>
        <row r="7570">
          <cell r="A7570" t="str">
            <v>YZ-ZQ1521KF5XL</v>
          </cell>
          <cell r="B7570" t="str">
            <v>YZ-ZQ1521</v>
          </cell>
        </row>
        <row r="7571">
          <cell r="A7571" t="str">
            <v>YZ-ZQ1521KFXL</v>
          </cell>
          <cell r="B7571" t="str">
            <v>YZ-ZQ1521</v>
          </cell>
        </row>
        <row r="7572">
          <cell r="A7572" t="str">
            <v>YZ-ZQ1521RF2XL</v>
          </cell>
          <cell r="B7572" t="str">
            <v>YZ-ZQ1521</v>
          </cell>
        </row>
        <row r="7573">
          <cell r="A7573" t="str">
            <v>YZ-ZQ1521RF3XL</v>
          </cell>
          <cell r="B7573" t="str">
            <v>YZ-ZQ1521</v>
          </cell>
        </row>
        <row r="7574">
          <cell r="A7574" t="str">
            <v>YZ-ZQ1521RF4XL</v>
          </cell>
          <cell r="B7574" t="str">
            <v>YZ-ZQ1521</v>
          </cell>
        </row>
        <row r="7575">
          <cell r="A7575" t="str">
            <v>YZ-ZQ1521RF5XL</v>
          </cell>
          <cell r="B7575" t="str">
            <v>YZ-ZQ1521</v>
          </cell>
        </row>
        <row r="7576">
          <cell r="A7576" t="str">
            <v>YZ-ZQ1521RFXL</v>
          </cell>
          <cell r="B7576" t="str">
            <v>YZ-ZQ1521</v>
          </cell>
        </row>
        <row r="7577">
          <cell r="A7577" t="str">
            <v>YZ-ZQ1521RL2XL</v>
          </cell>
          <cell r="B7577" t="str">
            <v>YZ-ZQ1521</v>
          </cell>
        </row>
        <row r="7578">
          <cell r="A7578" t="str">
            <v>YZ-ZQ1521RL3XL</v>
          </cell>
          <cell r="B7578" t="str">
            <v>YZ-ZQ1521</v>
          </cell>
        </row>
        <row r="7579">
          <cell r="A7579" t="str">
            <v>YZ-ZQ1521RL4XL</v>
          </cell>
          <cell r="B7579" t="str">
            <v>YZ-ZQ1521</v>
          </cell>
        </row>
        <row r="7580">
          <cell r="A7580" t="str">
            <v>YZ-ZQ1521RL5XL</v>
          </cell>
          <cell r="B7580" t="str">
            <v>YZ-ZQ1521</v>
          </cell>
        </row>
        <row r="7581">
          <cell r="A7581" t="str">
            <v>YZ-ZQ1521RLXL</v>
          </cell>
          <cell r="B7581" t="str">
            <v>YZ-ZQ1521</v>
          </cell>
        </row>
        <row r="7582">
          <cell r="A7582" t="str">
            <v>YZ-ZQ1521RM2XL</v>
          </cell>
          <cell r="B7582" t="str">
            <v>YZ-ZQ1521</v>
          </cell>
        </row>
        <row r="7583">
          <cell r="A7583" t="str">
            <v>YZ-ZQ1521RM3XL</v>
          </cell>
          <cell r="B7583" t="str">
            <v>YZ-ZQ1521</v>
          </cell>
        </row>
        <row r="7584">
          <cell r="A7584" t="str">
            <v>YZ-ZQ1521RM4XL</v>
          </cell>
          <cell r="B7584" t="str">
            <v>YZ-ZQ1521</v>
          </cell>
        </row>
        <row r="7585">
          <cell r="A7585" t="str">
            <v>YZ-ZQ1521RM5XL</v>
          </cell>
          <cell r="B7585" t="str">
            <v>YZ-ZQ1521</v>
          </cell>
        </row>
        <row r="7586">
          <cell r="A7586" t="str">
            <v>YZ-ZQ1521RMXL</v>
          </cell>
          <cell r="B7586" t="str">
            <v>YZ-ZQ1521</v>
          </cell>
        </row>
        <row r="7587">
          <cell r="A7587" t="str">
            <v>YZ-ZQ1521WP2XL</v>
          </cell>
          <cell r="B7587" t="str">
            <v>YZ-ZQ1521</v>
          </cell>
        </row>
        <row r="7588">
          <cell r="A7588" t="str">
            <v>YZ-ZQ1521WP3XL</v>
          </cell>
          <cell r="B7588" t="str">
            <v>YZ-ZQ1521</v>
          </cell>
        </row>
        <row r="7589">
          <cell r="A7589" t="str">
            <v>YZ-ZQ1521WP4XL</v>
          </cell>
          <cell r="B7589" t="str">
            <v>YZ-ZQ1521</v>
          </cell>
        </row>
        <row r="7590">
          <cell r="A7590" t="str">
            <v>YZ-ZQ1521WP5XL</v>
          </cell>
          <cell r="B7590" t="str">
            <v>YZ-ZQ1521</v>
          </cell>
        </row>
        <row r="7591">
          <cell r="A7591" t="str">
            <v>YZ-ZQ1521WPXL</v>
          </cell>
          <cell r="B7591" t="str">
            <v>YZ-ZQ1521</v>
          </cell>
        </row>
        <row r="7592">
          <cell r="A7592" t="str">
            <v>YZ-ZQ15827B02XL</v>
          </cell>
          <cell r="B7592" t="str">
            <v>YZ-ZQ15827</v>
          </cell>
        </row>
        <row r="7593">
          <cell r="A7593" t="str">
            <v>YZ-ZQ15827B03XL</v>
          </cell>
          <cell r="B7593" t="str">
            <v>YZ-ZQ15827</v>
          </cell>
        </row>
        <row r="7594">
          <cell r="A7594" t="str">
            <v>YZ-ZQ15827B04XL</v>
          </cell>
          <cell r="B7594" t="str">
            <v>YZ-ZQ15827</v>
          </cell>
        </row>
        <row r="7595">
          <cell r="A7595" t="str">
            <v>YZ-ZQ15827B05XL</v>
          </cell>
          <cell r="B7595" t="str">
            <v>YZ-ZQ15827</v>
          </cell>
        </row>
        <row r="7596">
          <cell r="A7596" t="str">
            <v>YZ-ZQ15827B0L</v>
          </cell>
          <cell r="B7596" t="str">
            <v>YZ-ZQ15827</v>
          </cell>
        </row>
        <row r="7597">
          <cell r="A7597" t="str">
            <v>YZ-ZQ15827B0M</v>
          </cell>
          <cell r="B7597" t="str">
            <v>YZ-ZQ15827</v>
          </cell>
        </row>
        <row r="7598">
          <cell r="A7598" t="str">
            <v>YZ-ZQ15827B0S</v>
          </cell>
          <cell r="B7598" t="str">
            <v>YZ-ZQ15827</v>
          </cell>
        </row>
        <row r="7599">
          <cell r="A7599" t="str">
            <v>YZ-ZQ15827B0XL</v>
          </cell>
          <cell r="B7599" t="str">
            <v>YZ-ZQ15827</v>
          </cell>
        </row>
        <row r="7600">
          <cell r="A7600" t="str">
            <v>YZ-ZQ15827BS2XL</v>
          </cell>
          <cell r="B7600" t="str">
            <v>YZ-ZQ15827</v>
          </cell>
        </row>
        <row r="7601">
          <cell r="A7601" t="str">
            <v>YZ-ZQ15827BS3XL</v>
          </cell>
          <cell r="B7601" t="str">
            <v>YZ-ZQ15827</v>
          </cell>
        </row>
        <row r="7602">
          <cell r="A7602" t="str">
            <v>YZ-ZQ15827BS4XL</v>
          </cell>
          <cell r="B7602" t="str">
            <v>YZ-ZQ15827</v>
          </cell>
        </row>
        <row r="7603">
          <cell r="A7603" t="str">
            <v>YZ-ZQ15827BS5XL</v>
          </cell>
          <cell r="B7603" t="str">
            <v>YZ-ZQ15827</v>
          </cell>
        </row>
        <row r="7604">
          <cell r="A7604" t="str">
            <v>YZ-ZQ15827BSL</v>
          </cell>
          <cell r="B7604" t="str">
            <v>YZ-ZQ15827</v>
          </cell>
        </row>
        <row r="7605">
          <cell r="A7605" t="str">
            <v>YZ-ZQ15827BSM</v>
          </cell>
          <cell r="B7605" t="str">
            <v>YZ-ZQ15827</v>
          </cell>
        </row>
        <row r="7606">
          <cell r="A7606" t="str">
            <v>YZ-ZQ15827BSS</v>
          </cell>
          <cell r="B7606" t="str">
            <v>YZ-ZQ15827</v>
          </cell>
        </row>
        <row r="7607">
          <cell r="A7607" t="str">
            <v>YZ-ZQ15827BSXL</v>
          </cell>
          <cell r="B7607" t="str">
            <v>YZ-ZQ15827</v>
          </cell>
        </row>
        <row r="7608">
          <cell r="A7608" t="str">
            <v>YZ-ZQ15827R22XL</v>
          </cell>
          <cell r="B7608" t="str">
            <v>YZ-ZQ15827</v>
          </cell>
        </row>
        <row r="7609">
          <cell r="A7609" t="str">
            <v>YZ-ZQ15827R23XL</v>
          </cell>
          <cell r="B7609" t="str">
            <v>YZ-ZQ15827</v>
          </cell>
        </row>
        <row r="7610">
          <cell r="A7610" t="str">
            <v>YZ-ZQ15827R24XL</v>
          </cell>
          <cell r="B7610" t="str">
            <v>YZ-ZQ15827</v>
          </cell>
        </row>
        <row r="7611">
          <cell r="A7611" t="str">
            <v>YZ-ZQ15827R25XL</v>
          </cell>
          <cell r="B7611" t="str">
            <v>YZ-ZQ15827</v>
          </cell>
        </row>
        <row r="7612">
          <cell r="A7612" t="str">
            <v>YZ-ZQ15827R2L</v>
          </cell>
          <cell r="B7612" t="str">
            <v>YZ-ZQ15827</v>
          </cell>
        </row>
        <row r="7613">
          <cell r="A7613" t="str">
            <v>YZ-ZQ15827R2M</v>
          </cell>
          <cell r="B7613" t="str">
            <v>YZ-ZQ15827</v>
          </cell>
        </row>
        <row r="7614">
          <cell r="A7614" t="str">
            <v>YZ-ZQ15827R2S</v>
          </cell>
          <cell r="B7614" t="str">
            <v>YZ-ZQ15827</v>
          </cell>
        </row>
        <row r="7615">
          <cell r="A7615" t="str">
            <v>YZ-ZQ15827R2XL</v>
          </cell>
          <cell r="B7615" t="str">
            <v>YZ-ZQ15827</v>
          </cell>
        </row>
        <row r="7616">
          <cell r="A7616" t="str">
            <v>YZ-ZQ15827W02XL</v>
          </cell>
          <cell r="B7616" t="str">
            <v>YZ-ZQ15827</v>
          </cell>
        </row>
        <row r="7617">
          <cell r="A7617" t="str">
            <v>YZ-ZQ15827W03XL</v>
          </cell>
          <cell r="B7617" t="str">
            <v>YZ-ZQ15827</v>
          </cell>
        </row>
        <row r="7618">
          <cell r="A7618" t="str">
            <v>YZ-ZQ15827W04XL</v>
          </cell>
          <cell r="B7618" t="str">
            <v>YZ-ZQ15827</v>
          </cell>
        </row>
        <row r="7619">
          <cell r="A7619" t="str">
            <v>YZ-ZQ15827W05XL</v>
          </cell>
          <cell r="B7619" t="str">
            <v>YZ-ZQ15827</v>
          </cell>
        </row>
        <row r="7620">
          <cell r="A7620" t="str">
            <v>YZ-ZQ15827W0L</v>
          </cell>
          <cell r="B7620" t="str">
            <v>YZ-ZQ15827</v>
          </cell>
        </row>
        <row r="7621">
          <cell r="A7621" t="str">
            <v>YZ-ZQ15827W0M</v>
          </cell>
          <cell r="B7621" t="str">
            <v>YZ-ZQ15827</v>
          </cell>
        </row>
        <row r="7622">
          <cell r="A7622" t="str">
            <v>YZ-ZQ15827W0S</v>
          </cell>
          <cell r="B7622" t="str">
            <v>YZ-ZQ15827</v>
          </cell>
        </row>
        <row r="7623">
          <cell r="A7623" t="str">
            <v>YZ-ZQ15827W0XL</v>
          </cell>
          <cell r="B7623" t="str">
            <v>YZ-ZQ15827</v>
          </cell>
        </row>
        <row r="7624">
          <cell r="A7624" t="str">
            <v>YZ-ZQ15905-K0-2X</v>
          </cell>
          <cell r="B7624" t="str">
            <v>YZ-ZQ15905</v>
          </cell>
        </row>
        <row r="7625">
          <cell r="A7625" t="str">
            <v>YZ-ZQ15905-K0-3X</v>
          </cell>
          <cell r="B7625" t="str">
            <v>YZ-ZQ15905</v>
          </cell>
        </row>
        <row r="7626">
          <cell r="A7626" t="str">
            <v>YZ-ZQ15905-K0-4X</v>
          </cell>
          <cell r="B7626" t="str">
            <v>YZ-ZQ15905</v>
          </cell>
        </row>
        <row r="7627">
          <cell r="A7627" t="str">
            <v>YZ-ZQ15905-K0-5X</v>
          </cell>
          <cell r="B7627" t="str">
            <v>YZ-ZQ15905</v>
          </cell>
        </row>
        <row r="7628">
          <cell r="A7628" t="str">
            <v>YZ-ZQ15905-K0-L</v>
          </cell>
          <cell r="B7628" t="str">
            <v>YZ-ZQ15905</v>
          </cell>
        </row>
        <row r="7629">
          <cell r="A7629" t="str">
            <v>YZ-ZQ15905-K0-M</v>
          </cell>
          <cell r="B7629" t="str">
            <v>YZ-ZQ15905</v>
          </cell>
        </row>
        <row r="7630">
          <cell r="A7630" t="str">
            <v>YZ-ZQ15905-K0-S</v>
          </cell>
          <cell r="B7630" t="str">
            <v>YZ-ZQ15905</v>
          </cell>
        </row>
        <row r="7631">
          <cell r="A7631" t="str">
            <v>YZ-ZQ15905-K0-XL</v>
          </cell>
          <cell r="B7631" t="str">
            <v>YZ-ZQ15905</v>
          </cell>
        </row>
        <row r="7632">
          <cell r="A7632" t="str">
            <v>YZ-ZQ15905-W0-2X</v>
          </cell>
          <cell r="B7632" t="str">
            <v>YZ-ZQ15905</v>
          </cell>
        </row>
        <row r="7633">
          <cell r="A7633" t="str">
            <v>YZ-ZQ15905-W0-3X</v>
          </cell>
          <cell r="B7633" t="str">
            <v>YZ-ZQ15905</v>
          </cell>
        </row>
        <row r="7634">
          <cell r="A7634" t="str">
            <v>YZ-ZQ15905-W0-4X</v>
          </cell>
          <cell r="B7634" t="str">
            <v>YZ-ZQ15905</v>
          </cell>
        </row>
        <row r="7635">
          <cell r="A7635" t="str">
            <v>YZ-ZQ15905-W0-5X</v>
          </cell>
          <cell r="B7635" t="str">
            <v>YZ-ZQ15905</v>
          </cell>
        </row>
        <row r="7636">
          <cell r="A7636" t="str">
            <v>YZ-ZQ15905-W0-L</v>
          </cell>
          <cell r="B7636" t="str">
            <v>YZ-ZQ15905</v>
          </cell>
        </row>
        <row r="7637">
          <cell r="A7637" t="str">
            <v>YZ-ZQ15905-W0-M</v>
          </cell>
          <cell r="B7637" t="str">
            <v>YZ-ZQ15905</v>
          </cell>
        </row>
        <row r="7638">
          <cell r="A7638" t="str">
            <v>YZ-ZQ15905-W0-S</v>
          </cell>
          <cell r="B7638" t="str">
            <v>YZ-ZQ15905</v>
          </cell>
        </row>
        <row r="7639">
          <cell r="A7639" t="str">
            <v>YZ-ZQ15905-W0-XL</v>
          </cell>
          <cell r="B7639" t="str">
            <v>YZ-ZQ15905</v>
          </cell>
        </row>
        <row r="7640">
          <cell r="A7640" t="str">
            <v>YZ-ZQ15919-B0-2X</v>
          </cell>
          <cell r="B7640" t="str">
            <v>YZ-ZQ15919</v>
          </cell>
        </row>
        <row r="7641">
          <cell r="A7641" t="str">
            <v>YZ-ZQ15919-B0-3X</v>
          </cell>
          <cell r="B7641" t="str">
            <v>YZ-ZQ15919</v>
          </cell>
        </row>
        <row r="7642">
          <cell r="A7642" t="str">
            <v>YZ-ZQ15919-B0-4X</v>
          </cell>
          <cell r="B7642" t="str">
            <v>YZ-ZQ15919</v>
          </cell>
        </row>
        <row r="7643">
          <cell r="A7643" t="str">
            <v>YZ-ZQ15919-B0-5X</v>
          </cell>
          <cell r="B7643" t="str">
            <v>YZ-ZQ15919</v>
          </cell>
        </row>
        <row r="7644">
          <cell r="A7644" t="str">
            <v>YZ-ZQ15919-B0-L</v>
          </cell>
          <cell r="B7644" t="str">
            <v>YZ-ZQ15919</v>
          </cell>
        </row>
        <row r="7645">
          <cell r="A7645" t="str">
            <v>YZ-ZQ15919-B0-M</v>
          </cell>
          <cell r="B7645" t="str">
            <v>YZ-ZQ15919</v>
          </cell>
        </row>
        <row r="7646">
          <cell r="A7646" t="str">
            <v>YZ-ZQ15919-B0-S</v>
          </cell>
          <cell r="B7646" t="str">
            <v>YZ-ZQ15919</v>
          </cell>
        </row>
        <row r="7647">
          <cell r="A7647" t="str">
            <v>YZ-ZQ15919-B0-XL</v>
          </cell>
          <cell r="B7647" t="str">
            <v>YZ-ZQ15919</v>
          </cell>
        </row>
        <row r="7648">
          <cell r="A7648" t="str">
            <v>YZ-ZQ15921-B0-2X</v>
          </cell>
          <cell r="B7648" t="str">
            <v>YZ-ZQ15921</v>
          </cell>
        </row>
        <row r="7649">
          <cell r="A7649" t="str">
            <v>YZ-ZQ15921-B0-3X</v>
          </cell>
          <cell r="B7649" t="str">
            <v>YZ-ZQ15921</v>
          </cell>
        </row>
        <row r="7650">
          <cell r="A7650" t="str">
            <v>YZ-ZQ15921-B0-4X</v>
          </cell>
          <cell r="B7650" t="str">
            <v>YZ-ZQ15921</v>
          </cell>
        </row>
        <row r="7651">
          <cell r="A7651" t="str">
            <v>YZ-ZQ15921-B0-5X</v>
          </cell>
          <cell r="B7651" t="str">
            <v>YZ-ZQ15921</v>
          </cell>
        </row>
        <row r="7652">
          <cell r="A7652" t="str">
            <v>YZ-ZQ15921-B0-L</v>
          </cell>
          <cell r="B7652" t="str">
            <v>YZ-ZQ15921</v>
          </cell>
        </row>
        <row r="7653">
          <cell r="A7653" t="str">
            <v>YZ-ZQ15921-B0-M</v>
          </cell>
          <cell r="B7653" t="str">
            <v>YZ-ZQ15921</v>
          </cell>
        </row>
        <row r="7654">
          <cell r="A7654" t="str">
            <v>YZ-ZQ15921-B0-XL</v>
          </cell>
          <cell r="B7654" t="str">
            <v>YZ-ZQ15921</v>
          </cell>
        </row>
        <row r="7655">
          <cell r="A7655" t="str">
            <v>YZ-ZQ15921-P0-2X</v>
          </cell>
          <cell r="B7655" t="str">
            <v>YZ-ZQ15921</v>
          </cell>
        </row>
        <row r="7656">
          <cell r="A7656" t="str">
            <v>YZ-ZQ15921-P0-3X</v>
          </cell>
          <cell r="B7656" t="str">
            <v>YZ-ZQ15921</v>
          </cell>
        </row>
        <row r="7657">
          <cell r="A7657" t="str">
            <v>YZ-ZQ15921-P0-4X</v>
          </cell>
          <cell r="B7657" t="str">
            <v>YZ-ZQ15921</v>
          </cell>
        </row>
        <row r="7658">
          <cell r="A7658" t="str">
            <v>YZ-ZQ15921-P0-5X</v>
          </cell>
          <cell r="B7658" t="str">
            <v>YZ-ZQ15921</v>
          </cell>
        </row>
        <row r="7659">
          <cell r="A7659" t="str">
            <v>YZ-ZQ15921-P0-L</v>
          </cell>
          <cell r="B7659" t="str">
            <v>YZ-ZQ15921</v>
          </cell>
        </row>
        <row r="7660">
          <cell r="A7660" t="str">
            <v>YZ-ZQ15921-P0-M</v>
          </cell>
          <cell r="B7660" t="str">
            <v>YZ-ZQ15921</v>
          </cell>
        </row>
        <row r="7661">
          <cell r="A7661" t="str">
            <v>YZ-ZQ15921-P0-XL</v>
          </cell>
          <cell r="B7661" t="str">
            <v>YZ-ZQ15921</v>
          </cell>
        </row>
        <row r="7662">
          <cell r="A7662" t="str">
            <v>YZ-ZQ15921-R0-2X</v>
          </cell>
          <cell r="B7662" t="str">
            <v>YZ-ZQ15921</v>
          </cell>
        </row>
        <row r="7663">
          <cell r="A7663" t="str">
            <v>YZ-ZQ15921-R0-3X</v>
          </cell>
          <cell r="B7663" t="str">
            <v>YZ-ZQ15921</v>
          </cell>
        </row>
        <row r="7664">
          <cell r="A7664" t="str">
            <v>YZ-ZQ15921-R0-4X</v>
          </cell>
          <cell r="B7664" t="str">
            <v>YZ-ZQ15921</v>
          </cell>
        </row>
        <row r="7665">
          <cell r="A7665" t="str">
            <v>YZ-ZQ15921-R0-5X</v>
          </cell>
          <cell r="B7665" t="str">
            <v>YZ-ZQ15921</v>
          </cell>
        </row>
        <row r="7666">
          <cell r="A7666" t="str">
            <v>YZ-ZQ15921-R0-L</v>
          </cell>
          <cell r="B7666" t="str">
            <v>YZ-ZQ15921</v>
          </cell>
        </row>
        <row r="7667">
          <cell r="A7667" t="str">
            <v>YZ-ZQ15921-R0-M</v>
          </cell>
          <cell r="B7667" t="str">
            <v>YZ-ZQ15921</v>
          </cell>
        </row>
        <row r="7668">
          <cell r="A7668" t="str">
            <v>YZ-ZQ15921-R0-XL</v>
          </cell>
          <cell r="B7668" t="str">
            <v>YZ-ZQ15921</v>
          </cell>
        </row>
        <row r="7669">
          <cell r="A7669" t="str">
            <v>YZ-ZQ15986K02XL</v>
          </cell>
          <cell r="B7669" t="str">
            <v>YZ-ZQ15986</v>
          </cell>
        </row>
        <row r="7670">
          <cell r="A7670" t="str">
            <v>YZ-ZQ15986K03XL</v>
          </cell>
          <cell r="B7670" t="str">
            <v>YZ-ZQ15986</v>
          </cell>
        </row>
        <row r="7671">
          <cell r="A7671" t="str">
            <v>YZ-ZQ15986K04XL</v>
          </cell>
          <cell r="B7671" t="str">
            <v>YZ-ZQ15986</v>
          </cell>
        </row>
        <row r="7672">
          <cell r="A7672" t="str">
            <v>YZ-ZQ15986K0L</v>
          </cell>
          <cell r="B7672" t="str">
            <v>YZ-ZQ15986</v>
          </cell>
        </row>
        <row r="7673">
          <cell r="A7673" t="str">
            <v>YZ-ZQ16103R02XL</v>
          </cell>
          <cell r="B7673" t="str">
            <v>YZ-ZQ16103</v>
          </cell>
        </row>
        <row r="7674">
          <cell r="A7674" t="str">
            <v>YZ-ZQ16103R03XL</v>
          </cell>
          <cell r="B7674" t="str">
            <v>YZ-ZQ16103</v>
          </cell>
        </row>
        <row r="7675">
          <cell r="A7675" t="str">
            <v>YZ-ZQ16103R0L</v>
          </cell>
          <cell r="B7675" t="str">
            <v>YZ-ZQ16103</v>
          </cell>
        </row>
        <row r="7676">
          <cell r="A7676" t="str">
            <v>YZ-ZQ16103R0XL</v>
          </cell>
          <cell r="B7676" t="str">
            <v>YZ-ZQ16103</v>
          </cell>
        </row>
        <row r="7677">
          <cell r="A7677" t="str">
            <v>YZ-ZQ16103ZL2XL</v>
          </cell>
          <cell r="B7677" t="str">
            <v>YZ-ZQ16103</v>
          </cell>
        </row>
        <row r="7678">
          <cell r="A7678" t="str">
            <v>YZ-ZQ16103ZL3XL</v>
          </cell>
          <cell r="B7678" t="str">
            <v>YZ-ZQ16103</v>
          </cell>
        </row>
        <row r="7679">
          <cell r="A7679" t="str">
            <v>YZ-ZQ16103ZLL</v>
          </cell>
          <cell r="B7679" t="str">
            <v>YZ-ZQ16103</v>
          </cell>
        </row>
        <row r="7680">
          <cell r="A7680" t="str">
            <v>YZ-ZQ16103ZLXL</v>
          </cell>
          <cell r="B7680" t="str">
            <v>YZ-ZQ16103</v>
          </cell>
        </row>
        <row r="7681">
          <cell r="A7681" t="str">
            <v>YZ-ZQ1617-BH-2XL</v>
          </cell>
          <cell r="B7681" t="str">
            <v>YZ-ZQ1617</v>
          </cell>
        </row>
        <row r="7682">
          <cell r="A7682" t="str">
            <v>YZ-ZQ1617-BH-3XL</v>
          </cell>
          <cell r="B7682" t="str">
            <v>YZ-ZQ1617</v>
          </cell>
        </row>
        <row r="7683">
          <cell r="A7683" t="str">
            <v>YZ-ZQ1617-BH-4XL</v>
          </cell>
          <cell r="B7683" t="str">
            <v>YZ-ZQ1617</v>
          </cell>
        </row>
        <row r="7684">
          <cell r="A7684" t="str">
            <v>YZ-ZQ1617-BH-M</v>
          </cell>
          <cell r="B7684" t="str">
            <v>YZ-ZQ1617</v>
          </cell>
        </row>
        <row r="7685">
          <cell r="A7685" t="str">
            <v>YZ-ZQ1617-BH-XL</v>
          </cell>
          <cell r="B7685" t="str">
            <v>YZ-ZQ1617</v>
          </cell>
        </row>
        <row r="7686">
          <cell r="A7686" t="str">
            <v>YZ-ZQ1617K02XL</v>
          </cell>
          <cell r="B7686" t="str">
            <v>YZ-ZQ1617</v>
          </cell>
        </row>
        <row r="7687">
          <cell r="A7687" t="str">
            <v>YZ-ZQ1617K03XL</v>
          </cell>
          <cell r="B7687" t="str">
            <v>YZ-ZQ1617</v>
          </cell>
        </row>
        <row r="7688">
          <cell r="A7688" t="str">
            <v>YZ-ZQ1617K0L</v>
          </cell>
          <cell r="B7688" t="str">
            <v>YZ-ZQ1617</v>
          </cell>
        </row>
        <row r="7689">
          <cell r="A7689" t="str">
            <v>YZ-ZQ1617K0M</v>
          </cell>
          <cell r="B7689" t="str">
            <v>YZ-ZQ1617</v>
          </cell>
        </row>
        <row r="7690">
          <cell r="A7690" t="str">
            <v>YZ-ZQ1617K0XL</v>
          </cell>
          <cell r="B7690" t="str">
            <v>YZ-ZQ1617</v>
          </cell>
        </row>
        <row r="7691">
          <cell r="A7691" t="str">
            <v>YZ-ZQ1617-KH-2XL</v>
          </cell>
          <cell r="B7691" t="str">
            <v>YZ-ZQ1617</v>
          </cell>
        </row>
        <row r="7692">
          <cell r="A7692" t="str">
            <v>YZ-ZQ1617-KH-3XL</v>
          </cell>
          <cell r="B7692" t="str">
            <v>YZ-ZQ1617</v>
          </cell>
        </row>
        <row r="7693">
          <cell r="A7693" t="str">
            <v>YZ-ZQ1617-KH-4XL</v>
          </cell>
          <cell r="B7693" t="str">
            <v>YZ-ZQ1617</v>
          </cell>
        </row>
        <row r="7694">
          <cell r="A7694" t="str">
            <v>YZ-ZQ1617-KH-L</v>
          </cell>
          <cell r="B7694" t="str">
            <v>YZ-ZQ1617</v>
          </cell>
        </row>
        <row r="7695">
          <cell r="A7695" t="str">
            <v>YZ-ZQ1617-KH-M</v>
          </cell>
          <cell r="B7695" t="str">
            <v>YZ-ZQ1617</v>
          </cell>
        </row>
        <row r="7696">
          <cell r="A7696" t="str">
            <v>YZ-ZQ1617R03XL</v>
          </cell>
          <cell r="B7696" t="str">
            <v>YZ-ZQ1617</v>
          </cell>
        </row>
        <row r="7697">
          <cell r="A7697" t="str">
            <v>YZ-ZQ1617R0L</v>
          </cell>
          <cell r="B7697" t="str">
            <v>YZ-ZQ1617</v>
          </cell>
        </row>
        <row r="7698">
          <cell r="A7698" t="str">
            <v>YZ-ZQ1617R0XL</v>
          </cell>
          <cell r="B7698" t="str">
            <v>YZ-ZQ1617</v>
          </cell>
        </row>
        <row r="7699">
          <cell r="A7699" t="str">
            <v>YZ-ZQ1617ZL2XL</v>
          </cell>
          <cell r="B7699" t="str">
            <v>YZ-ZQ1617</v>
          </cell>
        </row>
        <row r="7700">
          <cell r="A7700" t="str">
            <v>YZ-ZQ1617ZL3XL</v>
          </cell>
          <cell r="B7700" t="str">
            <v>YZ-ZQ1617</v>
          </cell>
        </row>
        <row r="7701">
          <cell r="A7701" t="str">
            <v>YZ-ZQ1617ZL4XL</v>
          </cell>
          <cell r="B7701" t="str">
            <v>YZ-ZQ1617</v>
          </cell>
        </row>
        <row r="7702">
          <cell r="A7702" t="str">
            <v>YZ-ZQ1617ZLL</v>
          </cell>
          <cell r="B7702" t="str">
            <v>YZ-ZQ1617</v>
          </cell>
        </row>
        <row r="7703">
          <cell r="A7703" t="str">
            <v>YZ-ZQ1617ZLM</v>
          </cell>
          <cell r="B7703" t="str">
            <v>YZ-ZQ1617</v>
          </cell>
        </row>
        <row r="7704">
          <cell r="A7704" t="str">
            <v>YZ-ZQ1617ZLXL</v>
          </cell>
          <cell r="B7704" t="str">
            <v>YZ-ZQ1617</v>
          </cell>
        </row>
        <row r="7705">
          <cell r="A7705" t="str">
            <v>YZ-ZQ16597B02XL</v>
          </cell>
          <cell r="B7705" t="str">
            <v>YZ-ZQ16597</v>
          </cell>
        </row>
        <row r="7706">
          <cell r="A7706" t="str">
            <v>YZ-ZQ16597B03XL</v>
          </cell>
          <cell r="B7706" t="str">
            <v>YZ-ZQ16597</v>
          </cell>
        </row>
        <row r="7707">
          <cell r="A7707" t="str">
            <v>YZ-ZQ16597B04XL</v>
          </cell>
          <cell r="B7707" t="str">
            <v>YZ-ZQ16597</v>
          </cell>
        </row>
        <row r="7708">
          <cell r="A7708" t="str">
            <v>YZ-ZQ16597B05XL</v>
          </cell>
          <cell r="B7708" t="str">
            <v>YZ-ZQ16597</v>
          </cell>
        </row>
        <row r="7709">
          <cell r="A7709" t="str">
            <v>YZ-ZQ16597B0L</v>
          </cell>
          <cell r="B7709" t="str">
            <v>YZ-ZQ16597</v>
          </cell>
        </row>
        <row r="7710">
          <cell r="A7710" t="str">
            <v>YZ-ZQ16597B0M</v>
          </cell>
          <cell r="B7710" t="str">
            <v>YZ-ZQ16597</v>
          </cell>
        </row>
        <row r="7711">
          <cell r="A7711" t="str">
            <v>YZ-ZQ16597B0XL</v>
          </cell>
          <cell r="B7711" t="str">
            <v>YZ-ZQ16597</v>
          </cell>
        </row>
        <row r="7712">
          <cell r="A7712" t="str">
            <v>YZ-ZQ16598R02XL</v>
          </cell>
          <cell r="B7712" t="str">
            <v>YZ-ZQ16598</v>
          </cell>
        </row>
        <row r="7713">
          <cell r="A7713" t="str">
            <v>YZ-ZQ16598R03XL</v>
          </cell>
          <cell r="B7713" t="str">
            <v>YZ-ZQ16598</v>
          </cell>
        </row>
        <row r="7714">
          <cell r="A7714" t="str">
            <v>YZ-ZQ16598R04XL</v>
          </cell>
          <cell r="B7714" t="str">
            <v>YZ-ZQ16598</v>
          </cell>
        </row>
        <row r="7715">
          <cell r="A7715" t="str">
            <v>YZ-ZQ16598R05XL</v>
          </cell>
          <cell r="B7715" t="str">
            <v>YZ-ZQ16598</v>
          </cell>
        </row>
        <row r="7716">
          <cell r="A7716" t="str">
            <v>YZ-ZQ16598R0L</v>
          </cell>
          <cell r="B7716" t="str">
            <v>YZ-ZQ16598</v>
          </cell>
        </row>
        <row r="7717">
          <cell r="A7717" t="str">
            <v>YZ-ZQ16598R0XL</v>
          </cell>
          <cell r="B7717" t="str">
            <v>YZ-ZQ16598</v>
          </cell>
        </row>
        <row r="7718">
          <cell r="A7718" t="str">
            <v>YZ-ZQ17009-G0-L</v>
          </cell>
          <cell r="B7718" t="str">
            <v>YZ-ZQ17009</v>
          </cell>
        </row>
        <row r="7719">
          <cell r="A7719" t="str">
            <v>YZ-ZQ17009-G0-M</v>
          </cell>
          <cell r="B7719" t="str">
            <v>YZ-ZQ17009</v>
          </cell>
        </row>
        <row r="7720">
          <cell r="A7720" t="str">
            <v>YZ-ZQ17009-G0-XL</v>
          </cell>
          <cell r="B7720" t="str">
            <v>YZ-ZQ17009</v>
          </cell>
        </row>
        <row r="7721">
          <cell r="A7721" t="str">
            <v>YZ-ZQ17009-K0-L</v>
          </cell>
          <cell r="B7721" t="str">
            <v>YZ-ZQ17009</v>
          </cell>
        </row>
        <row r="7722">
          <cell r="A7722" t="str">
            <v>YZ-ZQ17009-K0-M</v>
          </cell>
          <cell r="B7722" t="str">
            <v>YZ-ZQ17009</v>
          </cell>
        </row>
        <row r="7723">
          <cell r="A7723" t="str">
            <v>YZ-ZQ17009-K0-XL</v>
          </cell>
          <cell r="B7723" t="str">
            <v>YZ-ZQ17009</v>
          </cell>
        </row>
        <row r="7724">
          <cell r="A7724" t="str">
            <v>YZ-ZQ17009-R0-S</v>
          </cell>
          <cell r="B7724" t="str">
            <v>YZ-ZQ17009</v>
          </cell>
        </row>
        <row r="7725">
          <cell r="A7725" t="str">
            <v>YZ-ZQ1715-W0-L</v>
          </cell>
          <cell r="B7725" t="str">
            <v>YZ-ZQ1715</v>
          </cell>
        </row>
        <row r="7726">
          <cell r="A7726" t="str">
            <v>YZ-ZQ1715-W0-M</v>
          </cell>
          <cell r="B7726" t="str">
            <v>YZ-ZQ1715</v>
          </cell>
        </row>
        <row r="7727">
          <cell r="A7727" t="str">
            <v>YZ-ZQ1715-W0-S</v>
          </cell>
          <cell r="B7727" t="str">
            <v>YZ-ZQ1715</v>
          </cell>
        </row>
        <row r="7728">
          <cell r="A7728" t="str">
            <v>YZ-ZQ1715-W0-XL</v>
          </cell>
          <cell r="B7728" t="str">
            <v>YZ-ZQ1715</v>
          </cell>
        </row>
        <row r="7729">
          <cell r="A7729" t="str">
            <v>YZ-ZQ1732-B0-L</v>
          </cell>
          <cell r="B7729" t="str">
            <v>YZ-ZQ1732</v>
          </cell>
        </row>
        <row r="7730">
          <cell r="A7730" t="str">
            <v>YZ-ZQ1732-B0-M</v>
          </cell>
          <cell r="B7730" t="str">
            <v>YZ-ZQ1732</v>
          </cell>
        </row>
        <row r="7731">
          <cell r="A7731" t="str">
            <v>YZ-ZQ1732-B0-S</v>
          </cell>
          <cell r="B7731" t="str">
            <v>YZ-ZQ1732</v>
          </cell>
        </row>
        <row r="7732">
          <cell r="A7732" t="str">
            <v>YZ-ZQ1732-B0-XL</v>
          </cell>
          <cell r="B7732" t="str">
            <v>YZ-ZQ1732</v>
          </cell>
        </row>
        <row r="7733">
          <cell r="A7733" t="str">
            <v>YZ-ZQ1732-K0-L</v>
          </cell>
          <cell r="B7733" t="str">
            <v>YZ-ZQ1732</v>
          </cell>
        </row>
        <row r="7734">
          <cell r="A7734" t="str">
            <v>YZ-ZQ1732-K0-M</v>
          </cell>
          <cell r="B7734" t="str">
            <v>YZ-ZQ1732</v>
          </cell>
        </row>
        <row r="7735">
          <cell r="A7735" t="str">
            <v>YZ-ZQ1732-K0-S</v>
          </cell>
          <cell r="B7735" t="str">
            <v>YZ-ZQ1732</v>
          </cell>
        </row>
        <row r="7736">
          <cell r="A7736" t="str">
            <v>YZ-ZQ1732-K0-XL</v>
          </cell>
          <cell r="B7736" t="str">
            <v>YZ-ZQ1732</v>
          </cell>
        </row>
        <row r="7737">
          <cell r="A7737" t="str">
            <v>YZ-ZQ1732-R0-L</v>
          </cell>
          <cell r="B7737" t="str">
            <v>YZ-ZQ1732</v>
          </cell>
        </row>
        <row r="7738">
          <cell r="A7738" t="str">
            <v>YZ-ZQ1732-R0-M</v>
          </cell>
          <cell r="B7738" t="str">
            <v>YZ-ZQ1732</v>
          </cell>
        </row>
        <row r="7739">
          <cell r="A7739" t="str">
            <v>YZ-ZQ1732-R0-S</v>
          </cell>
          <cell r="B7739" t="str">
            <v>YZ-ZQ1732</v>
          </cell>
        </row>
        <row r="7740">
          <cell r="A7740" t="str">
            <v>YZ-ZQ1732-R0-XL</v>
          </cell>
          <cell r="B7740" t="str">
            <v>YZ-ZQ1732</v>
          </cell>
        </row>
        <row r="7741">
          <cell r="A7741" t="str">
            <v>YZ-ZQ1733-K0-2XL</v>
          </cell>
          <cell r="B7741" t="str">
            <v>YZ-ZQ1733</v>
          </cell>
        </row>
        <row r="7742">
          <cell r="A7742" t="str">
            <v>YZ-ZQ1733-K0-3XL</v>
          </cell>
          <cell r="B7742" t="str">
            <v>YZ-ZQ1733</v>
          </cell>
        </row>
        <row r="7743">
          <cell r="A7743" t="str">
            <v>YZ-ZQ1733-K0-L</v>
          </cell>
          <cell r="B7743" t="str">
            <v>YZ-ZQ1733</v>
          </cell>
        </row>
        <row r="7744">
          <cell r="A7744" t="str">
            <v>YZ-ZQ1733-K0-M</v>
          </cell>
          <cell r="B7744" t="str">
            <v>YZ-ZQ1733</v>
          </cell>
        </row>
        <row r="7745">
          <cell r="A7745" t="str">
            <v>YZ-ZQ1733-K0-S</v>
          </cell>
          <cell r="B7745" t="str">
            <v>YZ-ZQ1733</v>
          </cell>
        </row>
        <row r="7746">
          <cell r="A7746" t="str">
            <v>YZ-ZQ1733-K0-XL</v>
          </cell>
          <cell r="B7746" t="str">
            <v>YZ-ZQ1733</v>
          </cell>
        </row>
        <row r="7747">
          <cell r="A7747" t="str">
            <v>YZ-ZQ1733-NB-2XL</v>
          </cell>
          <cell r="B7747" t="str">
            <v>YZ-ZQ1733</v>
          </cell>
        </row>
        <row r="7748">
          <cell r="A7748" t="str">
            <v>YZ-ZQ1733-NB-3XL</v>
          </cell>
          <cell r="B7748" t="str">
            <v>YZ-ZQ1733</v>
          </cell>
        </row>
        <row r="7749">
          <cell r="A7749" t="str">
            <v>YZ-ZQ1733-NB-L</v>
          </cell>
          <cell r="B7749" t="str">
            <v>YZ-ZQ1733</v>
          </cell>
        </row>
        <row r="7750">
          <cell r="A7750" t="str">
            <v>YZ-ZQ1733-NB-M</v>
          </cell>
          <cell r="B7750" t="str">
            <v>YZ-ZQ1733</v>
          </cell>
        </row>
        <row r="7751">
          <cell r="A7751" t="str">
            <v>YZ-ZQ1733-NB-S</v>
          </cell>
          <cell r="B7751" t="str">
            <v>YZ-ZQ1733</v>
          </cell>
        </row>
        <row r="7752">
          <cell r="A7752" t="str">
            <v>YZ-ZQ1733-NB-XL</v>
          </cell>
          <cell r="B7752" t="str">
            <v>YZ-ZQ1733</v>
          </cell>
        </row>
        <row r="7753">
          <cell r="A7753" t="str">
            <v>YZ-ZQ1733-R0-2XL</v>
          </cell>
          <cell r="B7753" t="str">
            <v>YZ-ZQ1733</v>
          </cell>
        </row>
        <row r="7754">
          <cell r="A7754" t="str">
            <v>YZ-ZQ1733-R0-3XL</v>
          </cell>
          <cell r="B7754" t="str">
            <v>YZ-ZQ1733</v>
          </cell>
        </row>
        <row r="7755">
          <cell r="A7755" t="str">
            <v>YZ-ZQ1733-R0-L</v>
          </cell>
          <cell r="B7755" t="str">
            <v>YZ-ZQ1733</v>
          </cell>
        </row>
        <row r="7756">
          <cell r="A7756" t="str">
            <v>YZ-ZQ1733-R0-M</v>
          </cell>
          <cell r="B7756" t="str">
            <v>YZ-ZQ1733</v>
          </cell>
        </row>
        <row r="7757">
          <cell r="A7757" t="str">
            <v>YZ-ZQ1733-R0-S</v>
          </cell>
          <cell r="B7757" t="str">
            <v>YZ-ZQ1733</v>
          </cell>
        </row>
        <row r="7758">
          <cell r="A7758" t="str">
            <v>YZ-ZQ1733-R0-XL</v>
          </cell>
          <cell r="B7758" t="str">
            <v>YZ-ZQ1733</v>
          </cell>
        </row>
        <row r="7759">
          <cell r="A7759" t="str">
            <v>YZ-ZQ1733-SB-2XL</v>
          </cell>
          <cell r="B7759" t="str">
            <v>YZ-ZQ1733</v>
          </cell>
        </row>
        <row r="7760">
          <cell r="A7760" t="str">
            <v>YZ-ZQ1733-SB-3XL</v>
          </cell>
          <cell r="B7760" t="str">
            <v>YZ-ZQ1733</v>
          </cell>
        </row>
        <row r="7761">
          <cell r="A7761" t="str">
            <v>YZ-ZQ1733-SB-L</v>
          </cell>
          <cell r="B7761" t="str">
            <v>YZ-ZQ1733</v>
          </cell>
        </row>
        <row r="7762">
          <cell r="A7762" t="str">
            <v>YZ-ZQ1733-SB-M</v>
          </cell>
          <cell r="B7762" t="str">
            <v>YZ-ZQ1733</v>
          </cell>
        </row>
        <row r="7763">
          <cell r="A7763" t="str">
            <v>YZ-ZQ1733-SB-S</v>
          </cell>
          <cell r="B7763" t="str">
            <v>YZ-ZQ1733</v>
          </cell>
        </row>
        <row r="7764">
          <cell r="A7764" t="str">
            <v>YZ-ZQ1733-SB-XL</v>
          </cell>
          <cell r="B7764" t="str">
            <v>YZ-ZQ1733</v>
          </cell>
        </row>
        <row r="7765">
          <cell r="A7765" t="str">
            <v>YZ-ZQ17845-K0-2X</v>
          </cell>
          <cell r="B7765" t="str">
            <v>YZ-ZQ17845</v>
          </cell>
        </row>
        <row r="7766">
          <cell r="A7766" t="str">
            <v>YZ-ZQ17845-K0-3X</v>
          </cell>
          <cell r="B7766" t="str">
            <v>YZ-ZQ17845</v>
          </cell>
        </row>
        <row r="7767">
          <cell r="A7767" t="str">
            <v>YZ-ZQ17845-K0-4X</v>
          </cell>
          <cell r="B7767" t="str">
            <v>YZ-ZQ17845</v>
          </cell>
        </row>
        <row r="7768">
          <cell r="A7768" t="str">
            <v>YZ-ZQ17845-K0-5X</v>
          </cell>
          <cell r="B7768" t="str">
            <v>YZ-ZQ17845</v>
          </cell>
        </row>
        <row r="7769">
          <cell r="A7769" t="str">
            <v>YZ-ZQ17845-K0-L</v>
          </cell>
          <cell r="B7769" t="str">
            <v>YZ-ZQ17845</v>
          </cell>
        </row>
        <row r="7770">
          <cell r="A7770" t="str">
            <v>YZ-ZQ17845-K0-XL</v>
          </cell>
          <cell r="B7770" t="str">
            <v>YZ-ZQ17845</v>
          </cell>
        </row>
        <row r="7771">
          <cell r="A7771" t="str">
            <v>YZ-ZQ17958P0-2XL</v>
          </cell>
          <cell r="B7771" t="str">
            <v>YZ-ZQ17958</v>
          </cell>
        </row>
        <row r="7772">
          <cell r="A7772" t="str">
            <v>YZ-ZQ17958P0-3XL</v>
          </cell>
          <cell r="B7772" t="str">
            <v>YZ-ZQ17958</v>
          </cell>
        </row>
        <row r="7773">
          <cell r="A7773" t="str">
            <v>YZ-ZQ17958P0-4XL</v>
          </cell>
          <cell r="B7773" t="str">
            <v>YZ-ZQ17958</v>
          </cell>
        </row>
        <row r="7774">
          <cell r="A7774" t="str">
            <v>YZ-ZQ17958P0-5XL</v>
          </cell>
          <cell r="B7774" t="str">
            <v>YZ-ZQ17958</v>
          </cell>
        </row>
        <row r="7775">
          <cell r="A7775" t="str">
            <v>YZ-ZQ17958P0-L</v>
          </cell>
          <cell r="B7775" t="str">
            <v>YZ-ZQ17958</v>
          </cell>
        </row>
        <row r="7776">
          <cell r="A7776" t="str">
            <v>YZ-ZQ17958P0-M</v>
          </cell>
          <cell r="B7776" t="str">
            <v>YZ-ZQ17958</v>
          </cell>
        </row>
        <row r="7777">
          <cell r="A7777" t="str">
            <v>YZ-ZQ17958P0-S</v>
          </cell>
          <cell r="B7777" t="str">
            <v>YZ-ZQ17958</v>
          </cell>
        </row>
        <row r="7778">
          <cell r="A7778" t="str">
            <v>YZ-ZQ17958P0-XL</v>
          </cell>
          <cell r="B7778" t="str">
            <v>YZ-ZQ17958</v>
          </cell>
        </row>
        <row r="7779">
          <cell r="A7779" t="str">
            <v>YZ-ZQ17984-R0-2X</v>
          </cell>
          <cell r="B7779" t="str">
            <v>YZ-ZQ17984</v>
          </cell>
        </row>
        <row r="7780">
          <cell r="A7780" t="str">
            <v>YZ-ZQ17984-R0-3X</v>
          </cell>
          <cell r="B7780" t="str">
            <v>YZ-ZQ17984</v>
          </cell>
        </row>
        <row r="7781">
          <cell r="A7781" t="str">
            <v>YZ-ZQ17984-R0-4X</v>
          </cell>
          <cell r="B7781" t="str">
            <v>YZ-ZQ17984</v>
          </cell>
        </row>
        <row r="7782">
          <cell r="A7782" t="str">
            <v>YZ-ZQ17984-R0-5X</v>
          </cell>
          <cell r="B7782" t="str">
            <v>YZ-ZQ17984</v>
          </cell>
        </row>
        <row r="7783">
          <cell r="A7783" t="str">
            <v>YZ-ZQ17984-R0-L</v>
          </cell>
          <cell r="B7783" t="str">
            <v>YZ-ZQ17984</v>
          </cell>
        </row>
        <row r="7784">
          <cell r="A7784" t="str">
            <v>YZ-ZQ17984-R0-XL</v>
          </cell>
          <cell r="B7784" t="str">
            <v>YZ-ZQ17984</v>
          </cell>
        </row>
        <row r="7785">
          <cell r="A7785" t="str">
            <v>YZ-ZQ17985-P0-2X</v>
          </cell>
          <cell r="B7785" t="str">
            <v>YZ-ZQ17985</v>
          </cell>
        </row>
        <row r="7786">
          <cell r="A7786" t="str">
            <v>YZ-ZQ17985-P0-3X</v>
          </cell>
          <cell r="B7786" t="str">
            <v>YZ-ZQ17985</v>
          </cell>
        </row>
        <row r="7787">
          <cell r="A7787" t="str">
            <v>YZ-ZQ17985-P0-4X</v>
          </cell>
          <cell r="B7787" t="str">
            <v>YZ-ZQ17985</v>
          </cell>
        </row>
        <row r="7788">
          <cell r="A7788" t="str">
            <v>YZ-ZQ17985-P0-5X</v>
          </cell>
          <cell r="B7788" t="str">
            <v>YZ-ZQ17985</v>
          </cell>
        </row>
        <row r="7789">
          <cell r="A7789" t="str">
            <v>YZ-ZQ17985-P0-L</v>
          </cell>
          <cell r="B7789" t="str">
            <v>YZ-ZQ17985</v>
          </cell>
        </row>
        <row r="7790">
          <cell r="A7790" t="str">
            <v>YZ-ZQ17985-P0-M</v>
          </cell>
          <cell r="B7790" t="str">
            <v>YZ-ZQ17985</v>
          </cell>
        </row>
        <row r="7791">
          <cell r="A7791" t="str">
            <v>YZ-ZQ17985-P0-S</v>
          </cell>
          <cell r="B7791" t="str">
            <v>YZ-ZQ17985</v>
          </cell>
        </row>
        <row r="7792">
          <cell r="A7792" t="str">
            <v>YZ-ZQ17985-P0-XL</v>
          </cell>
          <cell r="B7792" t="str">
            <v>YZ-ZQ17985</v>
          </cell>
        </row>
        <row r="7793">
          <cell r="A7793" t="str">
            <v>YZ-ZQ17986W0-2XL</v>
          </cell>
          <cell r="B7793" t="str">
            <v>YZ-ZQ17986</v>
          </cell>
        </row>
        <row r="7794">
          <cell r="A7794" t="str">
            <v>YZ-ZQ17986W0-3XL</v>
          </cell>
          <cell r="B7794" t="str">
            <v>YZ-ZQ17986</v>
          </cell>
        </row>
        <row r="7795">
          <cell r="A7795" t="str">
            <v>YZ-ZQ17986W0-4XL</v>
          </cell>
          <cell r="B7795" t="str">
            <v>YZ-ZQ17986</v>
          </cell>
        </row>
        <row r="7796">
          <cell r="A7796" t="str">
            <v>YZ-ZQ17986W0-5XL</v>
          </cell>
          <cell r="B7796" t="str">
            <v>YZ-ZQ17986</v>
          </cell>
        </row>
        <row r="7797">
          <cell r="A7797" t="str">
            <v>YZ-ZQ17986W0-L</v>
          </cell>
          <cell r="B7797" t="str">
            <v>YZ-ZQ17986</v>
          </cell>
        </row>
        <row r="7798">
          <cell r="A7798" t="str">
            <v>YZ-ZQ17986W0-M</v>
          </cell>
          <cell r="B7798" t="str">
            <v>YZ-ZQ17986</v>
          </cell>
        </row>
        <row r="7799">
          <cell r="A7799" t="str">
            <v>YZ-ZQ17986W0-S</v>
          </cell>
          <cell r="B7799" t="str">
            <v>YZ-ZQ17986</v>
          </cell>
        </row>
        <row r="7800">
          <cell r="A7800" t="str">
            <v>YZ-ZQ17986W0-XL</v>
          </cell>
          <cell r="B7800" t="str">
            <v>YZ-ZQ17986</v>
          </cell>
        </row>
        <row r="7801">
          <cell r="A7801" t="str">
            <v>YZ-ZQ1803-K0-L</v>
          </cell>
          <cell r="B7801" t="str">
            <v>YZ-ZQ1803</v>
          </cell>
        </row>
        <row r="7802">
          <cell r="A7802" t="str">
            <v>YZ-ZQ1803-K0-M</v>
          </cell>
          <cell r="B7802" t="str">
            <v>YZ-ZQ1803</v>
          </cell>
        </row>
        <row r="7803">
          <cell r="A7803" t="str">
            <v>YZ-ZQ1803-K0-XL</v>
          </cell>
          <cell r="B7803" t="str">
            <v>YZ-ZQ1803</v>
          </cell>
        </row>
        <row r="7804">
          <cell r="A7804" t="str">
            <v>YZ-ZQ-18745K0-2X</v>
          </cell>
          <cell r="B7804" t="str">
            <v>YZ-ZQ-18745</v>
          </cell>
        </row>
        <row r="7805">
          <cell r="A7805" t="str">
            <v>YZ-ZQ18745-K0-3X</v>
          </cell>
          <cell r="B7805" t="str">
            <v>YZ-ZQ-18745</v>
          </cell>
        </row>
        <row r="7806">
          <cell r="A7806" t="str">
            <v>YZ-ZQ-18745K0-3X</v>
          </cell>
          <cell r="B7806" t="str">
            <v>YZ-ZQ-18745</v>
          </cell>
        </row>
        <row r="7807">
          <cell r="A7807" t="str">
            <v>YZ-ZQ-18745K0-L</v>
          </cell>
          <cell r="B7807" t="str">
            <v>YZ-ZQ-18745</v>
          </cell>
        </row>
        <row r="7808">
          <cell r="A7808" t="str">
            <v>YZ-ZQ18745-K0-M</v>
          </cell>
          <cell r="B7808" t="str">
            <v>YZ-ZQ-18745</v>
          </cell>
        </row>
        <row r="7809">
          <cell r="A7809" t="str">
            <v>YZ-ZQ-18745K0-M</v>
          </cell>
          <cell r="B7809" t="str">
            <v>YZ-ZQ-18745</v>
          </cell>
        </row>
        <row r="7810">
          <cell r="A7810" t="str">
            <v>YZ-ZQ18745-K0-S</v>
          </cell>
          <cell r="B7810" t="str">
            <v>YZ-ZQ-18745</v>
          </cell>
        </row>
        <row r="7811">
          <cell r="A7811" t="str">
            <v>YZ-ZQ-18745K0-S</v>
          </cell>
          <cell r="B7811" t="str">
            <v>YZ-ZQ-18745</v>
          </cell>
        </row>
        <row r="7812">
          <cell r="A7812" t="str">
            <v>YZ-ZQ18745-K0-XL</v>
          </cell>
          <cell r="B7812" t="str">
            <v>YZ-ZQ-18745</v>
          </cell>
        </row>
        <row r="7813">
          <cell r="A7813" t="str">
            <v>YZ-ZQ-18745K0-XL</v>
          </cell>
          <cell r="B7813" t="str">
            <v>YZ-ZQ-18745</v>
          </cell>
        </row>
        <row r="7814">
          <cell r="A7814" t="str">
            <v>YZ-ZQ18758-K0-2X</v>
          </cell>
          <cell r="B7814" t="str">
            <v>YZ-ZQ18758</v>
          </cell>
        </row>
        <row r="7815">
          <cell r="A7815" t="str">
            <v>YZ-ZQ18758-K0-3X</v>
          </cell>
          <cell r="B7815" t="str">
            <v>YZ-ZQ18758</v>
          </cell>
        </row>
        <row r="7816">
          <cell r="A7816" t="str">
            <v>YZ-ZQ18758-K0-4X</v>
          </cell>
          <cell r="B7816" t="str">
            <v>YZ-ZQ18758</v>
          </cell>
        </row>
        <row r="7817">
          <cell r="A7817" t="str">
            <v>YZ-ZQ18758-K0-5X</v>
          </cell>
          <cell r="B7817" t="str">
            <v>YZ-ZQ18758</v>
          </cell>
        </row>
        <row r="7818">
          <cell r="A7818" t="str">
            <v>YZ-ZQ18758-K0-L</v>
          </cell>
          <cell r="B7818" t="str">
            <v>YZ-ZQ18758</v>
          </cell>
        </row>
        <row r="7819">
          <cell r="A7819" t="str">
            <v>YZ-ZQ18758-K0-M</v>
          </cell>
          <cell r="B7819" t="str">
            <v>YZ-ZQ18758</v>
          </cell>
        </row>
        <row r="7820">
          <cell r="A7820" t="str">
            <v>YZ-ZQ18758-K0-S</v>
          </cell>
          <cell r="B7820" t="str">
            <v>YZ-ZQ18758</v>
          </cell>
        </row>
        <row r="7821">
          <cell r="A7821" t="str">
            <v>YZ-ZQ18758-K0-XL</v>
          </cell>
          <cell r="B7821" t="str">
            <v>YZ-ZQ18758</v>
          </cell>
        </row>
        <row r="7822">
          <cell r="A7822" t="str">
            <v>YZ-ZQ19758-K0-2XL</v>
          </cell>
          <cell r="B7822" t="str">
            <v>YZ-ZQ19758</v>
          </cell>
        </row>
        <row r="7823">
          <cell r="A7823" t="str">
            <v>YZ-ZQ19758-K0-3XL</v>
          </cell>
          <cell r="B7823" t="str">
            <v>YZ-ZQ19758</v>
          </cell>
        </row>
        <row r="7824">
          <cell r="A7824" t="str">
            <v>YZ-ZQ19758-K0-4XL</v>
          </cell>
          <cell r="B7824" t="str">
            <v>YZ-ZQ19758</v>
          </cell>
        </row>
        <row r="7825">
          <cell r="A7825" t="str">
            <v>YZ-ZQ19758-K0-5XL</v>
          </cell>
          <cell r="B7825" t="str">
            <v>YZ-ZQ19758</v>
          </cell>
        </row>
        <row r="7826">
          <cell r="A7826" t="str">
            <v>YZ-ZQ19758-K0-L</v>
          </cell>
          <cell r="B7826" t="str">
            <v>YZ-ZQ19758</v>
          </cell>
        </row>
        <row r="7827">
          <cell r="A7827" t="str">
            <v>YZ-ZQ19758-K0-M</v>
          </cell>
          <cell r="B7827" t="str">
            <v>YZ-ZQ19758</v>
          </cell>
        </row>
        <row r="7828">
          <cell r="A7828" t="str">
            <v>YZ-ZQ19758-K0-S</v>
          </cell>
          <cell r="B7828" t="str">
            <v>YZ-ZQ19758</v>
          </cell>
        </row>
        <row r="7829">
          <cell r="A7829" t="str">
            <v>YZ-ZQ19758-K0-XL</v>
          </cell>
          <cell r="B7829" t="str">
            <v>YZ-ZQ19758</v>
          </cell>
        </row>
        <row r="7830">
          <cell r="A7830" t="str">
            <v>YZ-ZQ298N02XL</v>
          </cell>
          <cell r="B7830" t="str">
            <v>YZ-ZQ298</v>
          </cell>
        </row>
        <row r="7831">
          <cell r="A7831" t="str">
            <v>YZ-ZQ298N03XL</v>
          </cell>
          <cell r="B7831" t="str">
            <v>YZ-ZQ298</v>
          </cell>
        </row>
        <row r="7832">
          <cell r="A7832" t="str">
            <v>YZ-ZQ298N04XL</v>
          </cell>
          <cell r="B7832" t="str">
            <v>YZ-ZQ298</v>
          </cell>
        </row>
        <row r="7833">
          <cell r="A7833" t="str">
            <v>YZ-ZQ298N05XL</v>
          </cell>
          <cell r="B7833" t="str">
            <v>YZ-ZQ298</v>
          </cell>
        </row>
        <row r="7834">
          <cell r="A7834" t="str">
            <v>YZ-ZQ298N0XL</v>
          </cell>
          <cell r="B7834" t="str">
            <v>YZ-ZQ298</v>
          </cell>
        </row>
        <row r="7835">
          <cell r="A7835" t="str">
            <v>YZ-ZQ45984K02XL</v>
          </cell>
          <cell r="B7835" t="str">
            <v>YZ-ZQ45984</v>
          </cell>
        </row>
        <row r="7836">
          <cell r="A7836" t="str">
            <v>YZ-ZQ45984K03XL</v>
          </cell>
          <cell r="B7836" t="str">
            <v>YZ-ZQ45984</v>
          </cell>
        </row>
        <row r="7837">
          <cell r="A7837" t="str">
            <v>YZ-ZQ45984K04XL</v>
          </cell>
          <cell r="B7837" t="str">
            <v>YZ-ZQ45984</v>
          </cell>
        </row>
        <row r="7838">
          <cell r="A7838" t="str">
            <v>YZ-ZQ45984K05XL</v>
          </cell>
          <cell r="B7838" t="str">
            <v>YZ-ZQ45984</v>
          </cell>
        </row>
        <row r="7839">
          <cell r="A7839" t="str">
            <v>YZ-ZQ45984K0L</v>
          </cell>
          <cell r="B7839" t="str">
            <v>YZ-ZQ45984</v>
          </cell>
        </row>
        <row r="7840">
          <cell r="A7840" t="str">
            <v>YZ-ZQ45984K0M</v>
          </cell>
          <cell r="B7840" t="str">
            <v>YZ-ZQ45984</v>
          </cell>
        </row>
        <row r="7841">
          <cell r="A7841" t="str">
            <v>YZ-ZQ45984K0XL</v>
          </cell>
          <cell r="B7841" t="str">
            <v>YZ-ZQ45984</v>
          </cell>
        </row>
        <row r="7842">
          <cell r="A7842" t="str">
            <v>YZ-ZQ47121-K0-L</v>
          </cell>
          <cell r="B7842" t="str">
            <v>YZ-ZQ47121</v>
          </cell>
        </row>
        <row r="7843">
          <cell r="A7843" t="str">
            <v>YZ-ZQ47121-K0-M</v>
          </cell>
          <cell r="B7843" t="str">
            <v>YZ-ZQ47121</v>
          </cell>
        </row>
        <row r="7844">
          <cell r="A7844" t="str">
            <v>YZ-ZQ47121-K0-S</v>
          </cell>
          <cell r="B7844" t="str">
            <v>YZ-ZQ47121</v>
          </cell>
        </row>
        <row r="7845">
          <cell r="A7845" t="str">
            <v>YZ-ZQ511K02XL</v>
          </cell>
          <cell r="B7845" t="str">
            <v>YZ-ZQ511</v>
          </cell>
        </row>
        <row r="7846">
          <cell r="A7846" t="str">
            <v>YZ-ZQ511K03XL</v>
          </cell>
          <cell r="B7846" t="str">
            <v>YZ-ZQ511</v>
          </cell>
        </row>
        <row r="7847">
          <cell r="A7847" t="str">
            <v>YZ-ZQ511K04XL</v>
          </cell>
          <cell r="B7847" t="str">
            <v>YZ-ZQ511</v>
          </cell>
        </row>
        <row r="7848">
          <cell r="A7848" t="str">
            <v>YZ-ZQ511K05XL</v>
          </cell>
          <cell r="B7848" t="str">
            <v>YZ-ZQ511</v>
          </cell>
        </row>
        <row r="7849">
          <cell r="A7849" t="str">
            <v>YZ-ZQ511K06XL</v>
          </cell>
          <cell r="B7849" t="str">
            <v>YZ-ZQ511</v>
          </cell>
        </row>
        <row r="7850">
          <cell r="A7850" t="str">
            <v>YZ-ZQ511K0L</v>
          </cell>
          <cell r="B7850" t="str">
            <v>YZ-ZQ511</v>
          </cell>
        </row>
        <row r="7851">
          <cell r="A7851" t="str">
            <v>YZ-ZQ511K0XL</v>
          </cell>
          <cell r="B7851" t="str">
            <v>YZ-ZQ511</v>
          </cell>
        </row>
        <row r="7852">
          <cell r="A7852" t="str">
            <v>YZ-ZQ511R22XL</v>
          </cell>
          <cell r="B7852" t="str">
            <v>YZ-ZQ511</v>
          </cell>
        </row>
        <row r="7853">
          <cell r="A7853" t="str">
            <v>YZ-ZQ511R23XL</v>
          </cell>
          <cell r="B7853" t="str">
            <v>YZ-ZQ511</v>
          </cell>
        </row>
        <row r="7854">
          <cell r="A7854" t="str">
            <v>YZ-ZQ511R24XL</v>
          </cell>
          <cell r="B7854" t="str">
            <v>YZ-ZQ511</v>
          </cell>
        </row>
        <row r="7855">
          <cell r="A7855" t="str">
            <v>YZ-ZQ511R25XL</v>
          </cell>
          <cell r="B7855" t="str">
            <v>YZ-ZQ511</v>
          </cell>
        </row>
        <row r="7856">
          <cell r="A7856" t="str">
            <v>YZ-ZQ511R2L</v>
          </cell>
          <cell r="B7856" t="str">
            <v>YZ-ZQ511</v>
          </cell>
        </row>
        <row r="7857">
          <cell r="A7857" t="str">
            <v>YZ-ZQ511R2XL</v>
          </cell>
          <cell r="B7857" t="str">
            <v>YZ-ZQ511</v>
          </cell>
        </row>
        <row r="7858">
          <cell r="A7858" t="str">
            <v>YZ-ZQ511Z22XL</v>
          </cell>
          <cell r="B7858" t="str">
            <v>YZ-ZQ511</v>
          </cell>
        </row>
        <row r="7859">
          <cell r="A7859" t="str">
            <v>YZ-ZQ511Z23XL</v>
          </cell>
          <cell r="B7859" t="str">
            <v>YZ-ZQ511</v>
          </cell>
        </row>
        <row r="7860">
          <cell r="A7860" t="str">
            <v>YZ-ZQ511Z2L</v>
          </cell>
          <cell r="B7860" t="str">
            <v>YZ-ZQ511</v>
          </cell>
        </row>
        <row r="7861">
          <cell r="A7861" t="str">
            <v>YZ-ZQ511Z2XL</v>
          </cell>
          <cell r="B7861" t="str">
            <v>YZ-ZQ511</v>
          </cell>
        </row>
        <row r="7862">
          <cell r="A7862" t="str">
            <v>YZ-ZQ565-R0-L</v>
          </cell>
          <cell r="B7862" t="str">
            <v>YZ-ZQ565</v>
          </cell>
        </row>
        <row r="7863">
          <cell r="A7863" t="str">
            <v>YZ-ZQ565-R0-M</v>
          </cell>
          <cell r="B7863" t="str">
            <v>YZ-ZQ565</v>
          </cell>
        </row>
        <row r="7864">
          <cell r="A7864" t="str">
            <v>YZ-ZQ565-R0-S</v>
          </cell>
          <cell r="B7864" t="str">
            <v>YZ-ZQ565</v>
          </cell>
        </row>
        <row r="7865">
          <cell r="A7865" t="str">
            <v>YZ-ZQ565-R0-XL</v>
          </cell>
          <cell r="B7865" t="str">
            <v>YZ-ZQ565</v>
          </cell>
        </row>
        <row r="7866">
          <cell r="A7866" t="str">
            <v>YZ-ZQ5839B03XL</v>
          </cell>
          <cell r="B7866" t="str">
            <v>YZ-ZQ5839</v>
          </cell>
        </row>
        <row r="7867">
          <cell r="A7867" t="str">
            <v>YZ-ZQ5839R24XL</v>
          </cell>
          <cell r="B7867" t="str">
            <v>YZ-ZQ5839</v>
          </cell>
        </row>
        <row r="7868">
          <cell r="A7868" t="str">
            <v>YZ-ZQ5999-Y0-2X</v>
          </cell>
          <cell r="B7868" t="str">
            <v>YZ-ZQ5999</v>
          </cell>
        </row>
        <row r="7869">
          <cell r="A7869" t="str">
            <v>YZ-ZQ5999-Y0-L</v>
          </cell>
          <cell r="B7869" t="str">
            <v>YZ-ZQ5999</v>
          </cell>
        </row>
        <row r="7870">
          <cell r="A7870" t="str">
            <v>YZ-ZQ5999-Y0-M</v>
          </cell>
          <cell r="B7870" t="str">
            <v>YZ-ZQ5999</v>
          </cell>
        </row>
        <row r="7871">
          <cell r="A7871" t="str">
            <v>YZ-ZQ5999-Y0-XL</v>
          </cell>
          <cell r="B7871" t="str">
            <v>YZ-ZQ5999</v>
          </cell>
        </row>
        <row r="7872">
          <cell r="A7872" t="str">
            <v>YZ-ZQ6189B046</v>
          </cell>
          <cell r="B7872" t="str">
            <v>YZ-ZQ6189</v>
          </cell>
        </row>
        <row r="7873">
          <cell r="A7873" t="str">
            <v>YZ-ZQ6189B048</v>
          </cell>
          <cell r="B7873" t="str">
            <v>YZ-ZQ6189</v>
          </cell>
        </row>
        <row r="7874">
          <cell r="A7874" t="str">
            <v>YZ-ZQ6189B050</v>
          </cell>
          <cell r="B7874" t="str">
            <v>YZ-ZQ6189</v>
          </cell>
        </row>
        <row r="7875">
          <cell r="A7875" t="str">
            <v>YZ-ZQ6189B052</v>
          </cell>
          <cell r="B7875" t="str">
            <v>YZ-ZQ6189</v>
          </cell>
        </row>
        <row r="7876">
          <cell r="A7876" t="str">
            <v>YZ-ZQ6189B054</v>
          </cell>
          <cell r="B7876" t="str">
            <v>YZ-ZQ6189</v>
          </cell>
        </row>
        <row r="7877">
          <cell r="A7877" t="str">
            <v>YZ-ZQ6189G046</v>
          </cell>
          <cell r="B7877" t="str">
            <v>YZ-ZQ6189</v>
          </cell>
        </row>
        <row r="7878">
          <cell r="A7878" t="str">
            <v>YZ-ZQ6189G048</v>
          </cell>
          <cell r="B7878" t="str">
            <v>YZ-ZQ6189</v>
          </cell>
        </row>
        <row r="7879">
          <cell r="A7879" t="str">
            <v>YZ-ZQ6189G050</v>
          </cell>
          <cell r="B7879" t="str">
            <v>YZ-ZQ6189</v>
          </cell>
        </row>
        <row r="7880">
          <cell r="A7880" t="str">
            <v>YZ-ZQ6189G052</v>
          </cell>
          <cell r="B7880" t="str">
            <v>YZ-ZQ6189</v>
          </cell>
        </row>
        <row r="7881">
          <cell r="A7881" t="str">
            <v>YZ-ZQ6189P048</v>
          </cell>
          <cell r="B7881" t="str">
            <v>YZ-ZQ6189</v>
          </cell>
        </row>
        <row r="7882">
          <cell r="A7882" t="str">
            <v>YZ-ZQ6189P050</v>
          </cell>
          <cell r="B7882" t="str">
            <v>YZ-ZQ6189</v>
          </cell>
        </row>
        <row r="7883">
          <cell r="A7883" t="str">
            <v>YZ-ZQ6189P052</v>
          </cell>
          <cell r="B7883" t="str">
            <v>YZ-ZQ6189</v>
          </cell>
        </row>
        <row r="7884">
          <cell r="A7884" t="str">
            <v>YZ-ZQ6189P054</v>
          </cell>
          <cell r="B7884" t="str">
            <v>YZ-ZQ6189</v>
          </cell>
        </row>
        <row r="7885">
          <cell r="A7885" t="str">
            <v>YZ-ZQ6189Y046</v>
          </cell>
          <cell r="B7885" t="str">
            <v>YZ-ZQ6189</v>
          </cell>
        </row>
        <row r="7886">
          <cell r="A7886" t="str">
            <v>YZ-ZQ6189Y048</v>
          </cell>
          <cell r="B7886" t="str">
            <v>YZ-ZQ6189</v>
          </cell>
        </row>
        <row r="7887">
          <cell r="A7887" t="str">
            <v>YZ-ZQ6189Y050</v>
          </cell>
          <cell r="B7887" t="str">
            <v>YZ-ZQ6189</v>
          </cell>
        </row>
        <row r="7888">
          <cell r="A7888" t="str">
            <v>YZ-ZQ6189Y052</v>
          </cell>
          <cell r="B7888" t="str">
            <v>YZ-ZQ6189</v>
          </cell>
        </row>
        <row r="7889">
          <cell r="A7889" t="str">
            <v>YZ-ZQ6189Y054</v>
          </cell>
          <cell r="B7889" t="str">
            <v>YZ-ZQ6189</v>
          </cell>
        </row>
        <row r="7890">
          <cell r="A7890" t="str">
            <v>YZ-ZQ6258B048</v>
          </cell>
          <cell r="B7890" t="str">
            <v>YZ-ZQ6258</v>
          </cell>
        </row>
        <row r="7891">
          <cell r="A7891" t="str">
            <v>YZ-ZQ6258B050</v>
          </cell>
          <cell r="B7891" t="str">
            <v>YZ-ZQ6258</v>
          </cell>
        </row>
        <row r="7892">
          <cell r="A7892" t="str">
            <v>YZ-ZQ6258B052</v>
          </cell>
          <cell r="B7892" t="str">
            <v>YZ-ZQ6258</v>
          </cell>
        </row>
        <row r="7893">
          <cell r="A7893" t="str">
            <v>YZ-ZQ6258K048</v>
          </cell>
          <cell r="B7893" t="str">
            <v>YZ-ZQ6258</v>
          </cell>
        </row>
        <row r="7894">
          <cell r="A7894" t="str">
            <v>YZ-ZQ6258K050</v>
          </cell>
          <cell r="B7894" t="str">
            <v>YZ-ZQ6258</v>
          </cell>
        </row>
        <row r="7895">
          <cell r="A7895" t="str">
            <v>YZ-ZQ6258K052</v>
          </cell>
          <cell r="B7895" t="str">
            <v>YZ-ZQ6258</v>
          </cell>
        </row>
        <row r="7896">
          <cell r="A7896" t="str">
            <v>YZ-ZQ6258T048</v>
          </cell>
          <cell r="B7896" t="str">
            <v>YZ-ZQ6258</v>
          </cell>
        </row>
        <row r="7897">
          <cell r="A7897" t="str">
            <v>YZ-ZQ6258T050</v>
          </cell>
          <cell r="B7897" t="str">
            <v>YZ-ZQ6258</v>
          </cell>
        </row>
        <row r="7898">
          <cell r="A7898" t="str">
            <v>YZ-ZQ6667G044</v>
          </cell>
          <cell r="B7898" t="str">
            <v>YZ-ZQ6667</v>
          </cell>
        </row>
        <row r="7899">
          <cell r="A7899" t="str">
            <v>YZ-ZQ6667G046</v>
          </cell>
          <cell r="B7899" t="str">
            <v>YZ-ZQ6667</v>
          </cell>
        </row>
        <row r="7900">
          <cell r="A7900" t="str">
            <v>YZ-ZQ6667G048</v>
          </cell>
          <cell r="B7900" t="str">
            <v>YZ-ZQ6667</v>
          </cell>
        </row>
        <row r="7901">
          <cell r="A7901" t="str">
            <v>YZ-ZQ6667G050</v>
          </cell>
          <cell r="B7901" t="str">
            <v>YZ-ZQ6667</v>
          </cell>
        </row>
        <row r="7902">
          <cell r="A7902" t="str">
            <v>YZ-ZQ6667G052</v>
          </cell>
          <cell r="B7902" t="str">
            <v>YZ-ZQ6667</v>
          </cell>
        </row>
        <row r="7903">
          <cell r="A7903" t="str">
            <v>YZ-ZQ6667G054</v>
          </cell>
          <cell r="B7903" t="str">
            <v>YZ-ZQ6667</v>
          </cell>
        </row>
        <row r="7904">
          <cell r="A7904" t="str">
            <v>YZ-ZQ6667R044</v>
          </cell>
          <cell r="B7904" t="str">
            <v>YZ-ZQ6667</v>
          </cell>
        </row>
        <row r="7905">
          <cell r="A7905" t="str">
            <v>YZ-ZQ6667R046</v>
          </cell>
          <cell r="B7905" t="str">
            <v>YZ-ZQ6667</v>
          </cell>
        </row>
        <row r="7906">
          <cell r="A7906" t="str">
            <v>YZ-ZQ6667R048</v>
          </cell>
          <cell r="B7906" t="str">
            <v>YZ-ZQ6667</v>
          </cell>
        </row>
        <row r="7907">
          <cell r="A7907" t="str">
            <v>YZ-ZQ6667R050</v>
          </cell>
          <cell r="B7907" t="str">
            <v>YZ-ZQ6667</v>
          </cell>
        </row>
        <row r="7908">
          <cell r="A7908" t="str">
            <v>YZ-ZQ6667R052</v>
          </cell>
          <cell r="B7908" t="str">
            <v>YZ-ZQ6667</v>
          </cell>
        </row>
        <row r="7909">
          <cell r="A7909" t="str">
            <v>YZ-ZQ6667R054</v>
          </cell>
          <cell r="B7909" t="str">
            <v>YZ-ZQ6667</v>
          </cell>
        </row>
        <row r="7910">
          <cell r="A7910" t="str">
            <v>YZ-ZQ6667ZL44</v>
          </cell>
          <cell r="B7910" t="str">
            <v>YZ-ZQ6667</v>
          </cell>
        </row>
        <row r="7911">
          <cell r="A7911" t="str">
            <v>YZ-ZQ6667ZL46</v>
          </cell>
          <cell r="B7911" t="str">
            <v>YZ-ZQ6667</v>
          </cell>
        </row>
        <row r="7912">
          <cell r="A7912" t="str">
            <v>YZ-ZQ6667ZL48</v>
          </cell>
          <cell r="B7912" t="str">
            <v>YZ-ZQ6667</v>
          </cell>
        </row>
        <row r="7913">
          <cell r="A7913" t="str">
            <v>YZ-ZQ6667ZL50</v>
          </cell>
          <cell r="B7913" t="str">
            <v>YZ-ZQ6667</v>
          </cell>
        </row>
        <row r="7914">
          <cell r="A7914" t="str">
            <v>YZ-ZQ6667ZL52</v>
          </cell>
          <cell r="B7914" t="str">
            <v>YZ-ZQ6667</v>
          </cell>
        </row>
        <row r="7915">
          <cell r="A7915" t="str">
            <v>YZ-ZQ6667ZL54</v>
          </cell>
          <cell r="B7915" t="str">
            <v>YZ-ZQ6667</v>
          </cell>
        </row>
        <row r="7916">
          <cell r="A7916" t="str">
            <v>YZ-ZQ6922-B0-L</v>
          </cell>
          <cell r="B7916" t="str">
            <v>YZ-ZQ6922</v>
          </cell>
        </row>
        <row r="7917">
          <cell r="A7917" t="str">
            <v>YZ-ZQ6922-B0-M</v>
          </cell>
          <cell r="B7917" t="str">
            <v>YZ-ZQ6922</v>
          </cell>
        </row>
        <row r="7918">
          <cell r="A7918" t="str">
            <v>YZ-ZQ6922-B0-S</v>
          </cell>
          <cell r="B7918" t="str">
            <v>YZ-ZQ6922</v>
          </cell>
        </row>
        <row r="7919">
          <cell r="A7919" t="str">
            <v>YZ-ZQ6922-B0-XL</v>
          </cell>
          <cell r="B7919" t="str">
            <v>YZ-ZQ6922</v>
          </cell>
        </row>
        <row r="7920">
          <cell r="A7920" t="str">
            <v>YZ-ZQ7777B014</v>
          </cell>
          <cell r="B7920" t="str">
            <v>YZ-ZQ7777</v>
          </cell>
        </row>
        <row r="7921">
          <cell r="A7921" t="str">
            <v>YZ-ZQ7777B016</v>
          </cell>
          <cell r="B7921" t="str">
            <v>YZ-ZQ7777</v>
          </cell>
        </row>
        <row r="7922">
          <cell r="A7922" t="str">
            <v>YZ-ZQ7777B018</v>
          </cell>
          <cell r="B7922" t="str">
            <v>YZ-ZQ7777</v>
          </cell>
        </row>
        <row r="7923">
          <cell r="A7923" t="str">
            <v>YZ-ZQ7777B020</v>
          </cell>
          <cell r="B7923" t="str">
            <v>YZ-ZQ7777</v>
          </cell>
        </row>
        <row r="7924">
          <cell r="A7924" t="str">
            <v>YZ-ZQ7777R012</v>
          </cell>
          <cell r="B7924" t="str">
            <v>YZ-ZQ7777</v>
          </cell>
        </row>
        <row r="7925">
          <cell r="A7925" t="str">
            <v>YZ-ZQ7777R014</v>
          </cell>
          <cell r="B7925" t="str">
            <v>YZ-ZQ7777</v>
          </cell>
        </row>
        <row r="7926">
          <cell r="A7926" t="str">
            <v>YZ-ZQ7777R016</v>
          </cell>
          <cell r="B7926" t="str">
            <v>YZ-ZQ7777</v>
          </cell>
        </row>
        <row r="7927">
          <cell r="A7927" t="str">
            <v>YZ-ZQ7777R018</v>
          </cell>
          <cell r="B7927" t="str">
            <v>YZ-ZQ7777</v>
          </cell>
        </row>
        <row r="7928">
          <cell r="A7928" t="str">
            <v>YZ-ZQ7777R020</v>
          </cell>
          <cell r="B7928" t="str">
            <v>YZ-ZQ7777</v>
          </cell>
        </row>
        <row r="7929">
          <cell r="A7929" t="str">
            <v>YZ-ZQ789K02XL</v>
          </cell>
          <cell r="B7929" t="str">
            <v>YZ-ZQ789</v>
          </cell>
        </row>
        <row r="7930">
          <cell r="A7930" t="str">
            <v>YZ-ZQ789K03XL</v>
          </cell>
          <cell r="B7930" t="str">
            <v>YZ-ZQ789</v>
          </cell>
        </row>
        <row r="7931">
          <cell r="A7931" t="str">
            <v>YZ-ZQ789K04XL</v>
          </cell>
          <cell r="B7931" t="str">
            <v>YZ-ZQ789</v>
          </cell>
        </row>
        <row r="7932">
          <cell r="A7932" t="str">
            <v>YZ-ZQ789K05XL</v>
          </cell>
          <cell r="B7932" t="str">
            <v>YZ-ZQ789</v>
          </cell>
        </row>
        <row r="7933">
          <cell r="A7933" t="str">
            <v>YZ-ZQ789K0L</v>
          </cell>
          <cell r="B7933" t="str">
            <v>YZ-ZQ789</v>
          </cell>
        </row>
        <row r="7934">
          <cell r="A7934" t="str">
            <v>YZ-ZQ789K0XL</v>
          </cell>
          <cell r="B7934" t="str">
            <v>YZ-ZQ789</v>
          </cell>
        </row>
        <row r="7935">
          <cell r="A7935" t="str">
            <v>YZ-ZQ8639-W0-L</v>
          </cell>
          <cell r="B7935" t="str">
            <v>YZ-ZQ8639</v>
          </cell>
        </row>
        <row r="7936">
          <cell r="A7936" t="str">
            <v>YZ-ZQ8639-W0-M</v>
          </cell>
          <cell r="B7936" t="str">
            <v>YZ-ZQ8639</v>
          </cell>
        </row>
        <row r="7937">
          <cell r="A7937" t="str">
            <v>YZ-ZQ8639-W0-S</v>
          </cell>
          <cell r="B7937" t="str">
            <v>YZ-ZQ8639</v>
          </cell>
        </row>
        <row r="7938">
          <cell r="A7938" t="str">
            <v>YZ-ZQ8699-K0-2X</v>
          </cell>
          <cell r="B7938" t="str">
            <v>YZ-ZQ8699</v>
          </cell>
        </row>
        <row r="7939">
          <cell r="A7939" t="str">
            <v>YZ-ZQ8699-K0-2X-GM</v>
          </cell>
          <cell r="B7939" t="str">
            <v>YZ-ZQ8699</v>
          </cell>
        </row>
        <row r="7940">
          <cell r="A7940" t="str">
            <v>YZ-ZQ8699-K0-3X</v>
          </cell>
          <cell r="B7940" t="str">
            <v>YZ-ZQ8699</v>
          </cell>
        </row>
        <row r="7941">
          <cell r="A7941" t="str">
            <v>YZ-ZQ8699-K0-3X-GM</v>
          </cell>
          <cell r="B7941" t="str">
            <v>YZ-ZQ8699</v>
          </cell>
        </row>
        <row r="7942">
          <cell r="A7942" t="str">
            <v>YZ-ZQ8699-K0-L</v>
          </cell>
          <cell r="B7942" t="str">
            <v>YZ-ZQ8699</v>
          </cell>
        </row>
        <row r="7943">
          <cell r="A7943" t="str">
            <v>YZ-ZQ8699-K0-XL</v>
          </cell>
          <cell r="B7943" t="str">
            <v>YZ-ZQ8699</v>
          </cell>
        </row>
        <row r="7944">
          <cell r="A7944" t="str">
            <v>YZ-ZQ8867-B0-L</v>
          </cell>
          <cell r="B7944" t="str">
            <v>YZ-ZQ8867</v>
          </cell>
        </row>
        <row r="7945">
          <cell r="A7945" t="str">
            <v>YZ-ZQ8867-B0-M</v>
          </cell>
          <cell r="B7945" t="str">
            <v>YZ-ZQ8867</v>
          </cell>
        </row>
        <row r="7946">
          <cell r="A7946" t="str">
            <v>YZ-ZQ8867-B0-S</v>
          </cell>
          <cell r="B7946" t="str">
            <v>YZ-ZQ8867</v>
          </cell>
        </row>
        <row r="7947">
          <cell r="A7947" t="str">
            <v>YZ-ZQ8867-B0-XL</v>
          </cell>
          <cell r="B7947" t="str">
            <v>YZ-ZQ8867</v>
          </cell>
        </row>
        <row r="7948">
          <cell r="A7948" t="str">
            <v>YZ-ZQA100-B0-L</v>
          </cell>
          <cell r="B7948" t="str">
            <v>YZ-ZQA100</v>
          </cell>
        </row>
        <row r="7949">
          <cell r="A7949" t="str">
            <v>YZ-ZQA100-B0-M</v>
          </cell>
          <cell r="B7949" t="str">
            <v>YZ-ZQA100</v>
          </cell>
        </row>
        <row r="7950">
          <cell r="A7950" t="str">
            <v>YZ-ZQA100-B0-S</v>
          </cell>
          <cell r="B7950" t="str">
            <v>YZ-ZQA100</v>
          </cell>
        </row>
        <row r="7951">
          <cell r="A7951" t="str">
            <v>YZ-ZQA100-B0-XL</v>
          </cell>
          <cell r="B7951" t="str">
            <v>YZ-ZQA100</v>
          </cell>
        </row>
        <row r="7952">
          <cell r="A7952" t="str">
            <v>YZ-ZQA100-G0-2XL</v>
          </cell>
          <cell r="B7952" t="str">
            <v>YZ-ZQA100</v>
          </cell>
        </row>
        <row r="7953">
          <cell r="A7953" t="str">
            <v>YZ-ZQA100-G0-L</v>
          </cell>
          <cell r="B7953" t="str">
            <v>YZ-ZQA100</v>
          </cell>
        </row>
        <row r="7954">
          <cell r="A7954" t="str">
            <v>YZ-ZQA100-G0-M</v>
          </cell>
          <cell r="B7954" t="str">
            <v>YZ-ZQA100</v>
          </cell>
        </row>
        <row r="7955">
          <cell r="A7955" t="str">
            <v>YZ-ZQA100-G0-XL</v>
          </cell>
          <cell r="B7955" t="str">
            <v>YZ-ZQA100</v>
          </cell>
        </row>
        <row r="7956">
          <cell r="A7956" t="str">
            <v>YZ-ZQA10-B0-2XL</v>
          </cell>
          <cell r="B7956" t="str">
            <v>YZ-ZQA10</v>
          </cell>
        </row>
        <row r="7957">
          <cell r="A7957" t="str">
            <v>YZ-ZQA10-B0-3XL</v>
          </cell>
          <cell r="B7957" t="str">
            <v>YZ-ZQA10</v>
          </cell>
        </row>
        <row r="7958">
          <cell r="A7958" t="str">
            <v>YZ-ZQA10-B0-L</v>
          </cell>
          <cell r="B7958" t="str">
            <v>YZ-ZQA10</v>
          </cell>
        </row>
        <row r="7959">
          <cell r="A7959" t="str">
            <v>YZ-ZQA10-B0-XL</v>
          </cell>
          <cell r="B7959" t="str">
            <v>YZ-ZQA10</v>
          </cell>
        </row>
        <row r="7960">
          <cell r="A7960" t="str">
            <v>YZ-ZQA31-K0-L</v>
          </cell>
          <cell r="B7960" t="str">
            <v>YZ-ZQA31</v>
          </cell>
        </row>
        <row r="7961">
          <cell r="A7961" t="str">
            <v>YZ-ZQA31-K0-M</v>
          </cell>
          <cell r="B7961" t="str">
            <v>YZ-ZQA31</v>
          </cell>
        </row>
        <row r="7962">
          <cell r="A7962" t="str">
            <v>YZ-ZQA31-K0-XL</v>
          </cell>
          <cell r="B7962" t="str">
            <v>YZ-ZQA31</v>
          </cell>
        </row>
        <row r="7963">
          <cell r="A7963" t="str">
            <v>YZ-ZQA31-ZL-L</v>
          </cell>
          <cell r="B7963" t="str">
            <v>YZ-ZQA31</v>
          </cell>
        </row>
        <row r="7964">
          <cell r="A7964" t="str">
            <v>YZ-ZQA31-ZL-M</v>
          </cell>
          <cell r="B7964" t="str">
            <v>YZ-ZQA31</v>
          </cell>
        </row>
        <row r="7965">
          <cell r="A7965" t="str">
            <v>YZ-ZQA31-ZL-XL</v>
          </cell>
          <cell r="B7965" t="str">
            <v>YZ-ZQA31</v>
          </cell>
        </row>
        <row r="7966">
          <cell r="A7966" t="str">
            <v>YZ-ZQadn1601-B1-L</v>
          </cell>
          <cell r="B7966" t="str">
            <v>YZ-ZQadn1601</v>
          </cell>
        </row>
        <row r="7967">
          <cell r="A7967" t="str">
            <v>YZ-ZQadn1601-B1-M</v>
          </cell>
          <cell r="B7967" t="str">
            <v>YZ-ZQadn1601</v>
          </cell>
        </row>
        <row r="7968">
          <cell r="A7968" t="str">
            <v>YZ-ZQadn1601-B1-S</v>
          </cell>
          <cell r="B7968" t="str">
            <v>YZ-ZQadn1601</v>
          </cell>
        </row>
        <row r="7969">
          <cell r="A7969" t="str">
            <v>YZ-ZQadn1601-B1-XL</v>
          </cell>
          <cell r="B7969" t="str">
            <v>YZ-ZQadn1601</v>
          </cell>
        </row>
        <row r="7970">
          <cell r="A7970" t="str">
            <v>YZ-ZQBL03-K0-2X</v>
          </cell>
          <cell r="B7970" t="str">
            <v>YZ-ZQBL03</v>
          </cell>
        </row>
        <row r="7971">
          <cell r="A7971" t="str">
            <v>YZ-ZQBL03-K0-3X</v>
          </cell>
          <cell r="B7971" t="str">
            <v>YZ-ZQBL03</v>
          </cell>
        </row>
        <row r="7972">
          <cell r="A7972" t="str">
            <v>YZ-ZQBL03-K0-L</v>
          </cell>
          <cell r="B7972" t="str">
            <v>YZ-ZQBL03</v>
          </cell>
        </row>
        <row r="7973">
          <cell r="A7973" t="str">
            <v>YZ-ZQBL03-K0-M</v>
          </cell>
          <cell r="B7973" t="str">
            <v>YZ-ZQBL03</v>
          </cell>
        </row>
        <row r="7974">
          <cell r="A7974" t="str">
            <v>YZ-ZQBL03-K0-S</v>
          </cell>
          <cell r="B7974" t="str">
            <v>YZ-ZQBL03</v>
          </cell>
        </row>
        <row r="7975">
          <cell r="A7975" t="str">
            <v>YZ-ZQBL03-K0-XL</v>
          </cell>
          <cell r="B7975" t="str">
            <v>YZ-ZQBL03</v>
          </cell>
        </row>
        <row r="7976">
          <cell r="A7976" t="str">
            <v>YZ-ZQF5802B04XL</v>
          </cell>
          <cell r="B7976" t="str">
            <v>YZ-ZQF5802</v>
          </cell>
        </row>
        <row r="7977">
          <cell r="A7977" t="str">
            <v>YZ-ZQF5802B05XL</v>
          </cell>
          <cell r="B7977" t="str">
            <v>YZ-ZQF5802</v>
          </cell>
        </row>
        <row r="7978">
          <cell r="A7978" t="str">
            <v>YZ-ZQF5802G04XL</v>
          </cell>
          <cell r="B7978" t="str">
            <v>YZ-ZQF5802</v>
          </cell>
        </row>
        <row r="7979">
          <cell r="A7979" t="str">
            <v>YZ-ZQF5802G05XL</v>
          </cell>
          <cell r="B7979" t="str">
            <v>YZ-ZQF5802</v>
          </cell>
        </row>
        <row r="7980">
          <cell r="A7980" t="str">
            <v>YZ-ZQFT1816-O0-2X</v>
          </cell>
          <cell r="B7980" t="str">
            <v>YZ-ZQFT1816</v>
          </cell>
        </row>
        <row r="7981">
          <cell r="A7981" t="str">
            <v>YZ-ZQFT1816-O0-3X</v>
          </cell>
          <cell r="B7981" t="str">
            <v>YZ-ZQFT1816</v>
          </cell>
        </row>
        <row r="7982">
          <cell r="A7982" t="str">
            <v>YZ-ZQFT1816-O0-4X</v>
          </cell>
          <cell r="B7982" t="str">
            <v>YZ-ZQFT1816</v>
          </cell>
        </row>
        <row r="7983">
          <cell r="A7983" t="str">
            <v>YZ-ZQFT1816-O0-5X</v>
          </cell>
          <cell r="B7983" t="str">
            <v>YZ-ZQFT1816</v>
          </cell>
        </row>
        <row r="7984">
          <cell r="A7984" t="str">
            <v>YZ-ZQFT1816-O0-L</v>
          </cell>
          <cell r="B7984" t="str">
            <v>YZ-ZQFT1816</v>
          </cell>
        </row>
        <row r="7985">
          <cell r="A7985" t="str">
            <v>YZ-ZQFT1816-O0-M</v>
          </cell>
          <cell r="B7985" t="str">
            <v>YZ-ZQFT1816</v>
          </cell>
        </row>
        <row r="7986">
          <cell r="A7986" t="str">
            <v>YZ-ZQFT1816-O0-S</v>
          </cell>
          <cell r="B7986" t="str">
            <v>YZ-ZQFT1816</v>
          </cell>
        </row>
        <row r="7987">
          <cell r="A7987" t="str">
            <v>YZ-ZQFT1816-O0-XL</v>
          </cell>
          <cell r="B7987" t="str">
            <v>YZ-ZQFT1816</v>
          </cell>
        </row>
        <row r="7988">
          <cell r="A7988" t="str">
            <v>YZ-ZQFT1816-Y0-2X</v>
          </cell>
          <cell r="B7988" t="str">
            <v>YZ-ZQFT1816</v>
          </cell>
        </row>
        <row r="7989">
          <cell r="A7989" t="str">
            <v>YZ-ZQFT1816-Y0-3X</v>
          </cell>
          <cell r="B7989" t="str">
            <v>YZ-ZQFT1816</v>
          </cell>
        </row>
        <row r="7990">
          <cell r="A7990" t="str">
            <v>YZ-ZQFT1816-Y0-4X</v>
          </cell>
          <cell r="B7990" t="str">
            <v>YZ-ZQFT1816</v>
          </cell>
        </row>
        <row r="7991">
          <cell r="A7991" t="str">
            <v>YZ-ZQFT1816-Y0-5X</v>
          </cell>
          <cell r="B7991" t="str">
            <v>YZ-ZQFT1816</v>
          </cell>
        </row>
        <row r="7992">
          <cell r="A7992" t="str">
            <v>YZ-ZQFT1816-Y0-L</v>
          </cell>
          <cell r="B7992" t="str">
            <v>YZ-ZQFT1816</v>
          </cell>
        </row>
        <row r="7993">
          <cell r="A7993" t="str">
            <v>YZ-ZQFT1816-Y0-M</v>
          </cell>
          <cell r="B7993" t="str">
            <v>YZ-ZQFT1816</v>
          </cell>
        </row>
        <row r="7994">
          <cell r="A7994" t="str">
            <v>YZ-ZQFT1816-Y0-S</v>
          </cell>
          <cell r="B7994" t="str">
            <v>YZ-ZQFT1816</v>
          </cell>
        </row>
        <row r="7995">
          <cell r="A7995" t="str">
            <v>YZ-ZQFT1816-Y0-XL</v>
          </cell>
          <cell r="B7995" t="str">
            <v>YZ-ZQFT1816</v>
          </cell>
        </row>
        <row r="7996">
          <cell r="A7996" t="str">
            <v>YZ-ZQGB01-B0-2XL</v>
          </cell>
          <cell r="B7996" t="str">
            <v>YZ-ZQGB01</v>
          </cell>
        </row>
        <row r="7997">
          <cell r="A7997" t="str">
            <v>YZ-ZQGB01-B0-L</v>
          </cell>
          <cell r="B7997" t="str">
            <v>YZ-ZQGB01</v>
          </cell>
        </row>
        <row r="7998">
          <cell r="A7998" t="str">
            <v>YZ-ZQGB01-B0-M</v>
          </cell>
          <cell r="B7998" t="str">
            <v>YZ-ZQGB01</v>
          </cell>
        </row>
        <row r="7999">
          <cell r="A7999" t="str">
            <v>YZ-ZQGB01-B0-XL</v>
          </cell>
          <cell r="B7999" t="str">
            <v>YZ-ZQGB01</v>
          </cell>
        </row>
        <row r="8000">
          <cell r="A8000" t="str">
            <v>YZ-ZQGB01-BD-2XL</v>
          </cell>
          <cell r="B8000" t="str">
            <v>YZ-ZQGB01</v>
          </cell>
        </row>
        <row r="8001">
          <cell r="A8001" t="str">
            <v>YZ-ZQGB01-BD-L</v>
          </cell>
          <cell r="B8001" t="str">
            <v>YZ-ZQGB01</v>
          </cell>
        </row>
        <row r="8002">
          <cell r="A8002" t="str">
            <v>YZ-ZQGB01-BD-M</v>
          </cell>
          <cell r="B8002" t="str">
            <v>YZ-ZQGB01</v>
          </cell>
        </row>
        <row r="8003">
          <cell r="A8003" t="str">
            <v>YZ-ZQGB01-BD-XL</v>
          </cell>
          <cell r="B8003" t="str">
            <v>YZ-ZQGB01</v>
          </cell>
        </row>
        <row r="8004">
          <cell r="A8004" t="str">
            <v>YZ-ZQGB01-K0-2XL</v>
          </cell>
          <cell r="B8004" t="str">
            <v>YZ-ZQGB01</v>
          </cell>
        </row>
        <row r="8005">
          <cell r="A8005" t="str">
            <v>YZ-ZQGB01-K0-L</v>
          </cell>
          <cell r="B8005" t="str">
            <v>YZ-ZQGB01</v>
          </cell>
        </row>
        <row r="8006">
          <cell r="A8006" t="str">
            <v>YZ-ZQGB01-K0-M</v>
          </cell>
          <cell r="B8006" t="str">
            <v>YZ-ZQGB01</v>
          </cell>
        </row>
        <row r="8007">
          <cell r="A8007" t="str">
            <v>YZ-ZQGB01-K0-XL</v>
          </cell>
          <cell r="B8007" t="str">
            <v>YZ-ZQGB01</v>
          </cell>
        </row>
        <row r="8008">
          <cell r="A8008" t="str">
            <v>YZ-ZQGB01-W0-2XL</v>
          </cell>
          <cell r="B8008" t="str">
            <v>YZ-ZQGB01</v>
          </cell>
        </row>
        <row r="8009">
          <cell r="A8009" t="str">
            <v>YZ-ZQGB01-W0-L</v>
          </cell>
          <cell r="B8009" t="str">
            <v>YZ-ZQGB01</v>
          </cell>
        </row>
        <row r="8010">
          <cell r="A8010" t="str">
            <v>YZ-ZQGB01-W0-M</v>
          </cell>
          <cell r="B8010" t="str">
            <v>YZ-ZQGB01</v>
          </cell>
        </row>
        <row r="8011">
          <cell r="A8011" t="str">
            <v>YZ-ZQGB01-W0-XL</v>
          </cell>
          <cell r="B8011" t="str">
            <v>YZ-ZQGB01</v>
          </cell>
        </row>
        <row r="8012">
          <cell r="A8012" t="str">
            <v>YZ-ZQGB01-Y0-2XL</v>
          </cell>
          <cell r="B8012" t="str">
            <v>YZ-ZQGB01</v>
          </cell>
        </row>
        <row r="8013">
          <cell r="A8013" t="str">
            <v>YZ-ZQGB01-Y0-M</v>
          </cell>
          <cell r="B8013" t="str">
            <v>YZ-ZQGB01</v>
          </cell>
        </row>
        <row r="8014">
          <cell r="A8014" t="str">
            <v>YZ-ZQGB01-Y0S</v>
          </cell>
          <cell r="B8014" t="str">
            <v>YZ-ZQGB01</v>
          </cell>
        </row>
        <row r="8015">
          <cell r="A8015" t="str">
            <v>YZ-ZQGB01-Y0-S</v>
          </cell>
          <cell r="B8015" t="str">
            <v>YZ-ZQGB01</v>
          </cell>
        </row>
        <row r="8016">
          <cell r="A8016" t="str">
            <v>YZ-ZQGB01-Y0-XL</v>
          </cell>
          <cell r="B8016" t="str">
            <v>YZ-ZQGB01</v>
          </cell>
        </row>
        <row r="8017">
          <cell r="A8017" t="str">
            <v>YZ-ZQGB02-B0-L</v>
          </cell>
          <cell r="B8017" t="str">
            <v>YZ-ZQHL02</v>
          </cell>
        </row>
        <row r="8018">
          <cell r="A8018" t="str">
            <v>YZ-ZQGB02-B0-M</v>
          </cell>
          <cell r="B8018" t="str">
            <v>YZ-ZQHL02</v>
          </cell>
        </row>
        <row r="8019">
          <cell r="A8019" t="str">
            <v>YZ-ZQGB02-B0-S</v>
          </cell>
          <cell r="B8019" t="str">
            <v>YZ-ZQHL02</v>
          </cell>
        </row>
        <row r="8020">
          <cell r="A8020" t="str">
            <v>YZ-ZQGB02-B0-XL</v>
          </cell>
          <cell r="B8020" t="str">
            <v>YZ-ZQHL02</v>
          </cell>
        </row>
        <row r="8021">
          <cell r="A8021" t="str">
            <v>YZ-ZQHL02-G0-L</v>
          </cell>
          <cell r="B8021" t="str">
            <v>YZ-ZQHL02</v>
          </cell>
        </row>
        <row r="8022">
          <cell r="A8022" t="str">
            <v>YZ-ZQHL02-G0-M</v>
          </cell>
          <cell r="B8022" t="str">
            <v>YZ-ZQHL02</v>
          </cell>
        </row>
        <row r="8023">
          <cell r="A8023" t="str">
            <v>YZ-ZQHL02-G0-S</v>
          </cell>
          <cell r="B8023" t="str">
            <v>YZ-ZQHL02</v>
          </cell>
        </row>
        <row r="8024">
          <cell r="A8024" t="str">
            <v>YZ-ZQHL02-G0-XL</v>
          </cell>
          <cell r="B8024" t="str">
            <v>YZ-ZQHL02</v>
          </cell>
        </row>
        <row r="8025">
          <cell r="A8025" t="str">
            <v>YZ-ZQLC18-BS-2X</v>
          </cell>
          <cell r="B8025" t="str">
            <v>YZ-ZQLC18</v>
          </cell>
        </row>
        <row r="8026">
          <cell r="A8026" t="str">
            <v>YZ-ZQLC18-BS-L</v>
          </cell>
          <cell r="B8026" t="str">
            <v>YZ-ZQLC18</v>
          </cell>
        </row>
        <row r="8027">
          <cell r="A8027" t="str">
            <v>YZ-ZQLC18-BS-XL</v>
          </cell>
          <cell r="B8027" t="str">
            <v>YZ-ZQLC18</v>
          </cell>
        </row>
        <row r="8028">
          <cell r="A8028" t="str">
            <v>YZ-ZQLC18-KS-2X</v>
          </cell>
          <cell r="B8028" t="str">
            <v>YZ-ZQLC18</v>
          </cell>
        </row>
        <row r="8029">
          <cell r="A8029" t="str">
            <v>YZ-ZQLC18-KS-XL</v>
          </cell>
          <cell r="B8029" t="str">
            <v>YZ-ZQLC18</v>
          </cell>
        </row>
        <row r="8030">
          <cell r="A8030" t="str">
            <v>YZ-ZQLS062-K0-2XL</v>
          </cell>
          <cell r="B8030" t="str">
            <v>YZ-ZQLS062</v>
          </cell>
        </row>
        <row r="8031">
          <cell r="A8031" t="str">
            <v>YZ-ZQLS062-K0-3XL</v>
          </cell>
          <cell r="B8031" t="str">
            <v>YZ-ZQLS062</v>
          </cell>
        </row>
        <row r="8032">
          <cell r="A8032" t="str">
            <v>YZ-ZQLS062-K0-L</v>
          </cell>
          <cell r="B8032" t="str">
            <v>YZ-ZQLS062</v>
          </cell>
        </row>
        <row r="8033">
          <cell r="A8033" t="str">
            <v>YZ-ZQLS062-K0-M</v>
          </cell>
          <cell r="B8033" t="str">
            <v>YZ-ZQLS062</v>
          </cell>
        </row>
        <row r="8034">
          <cell r="A8034" t="str">
            <v>YZ-ZQLS062-K0-S</v>
          </cell>
          <cell r="B8034" t="str">
            <v>YZ-ZQLS062</v>
          </cell>
        </row>
        <row r="8035">
          <cell r="A8035" t="str">
            <v>YZ-ZQLS062-K0-XL</v>
          </cell>
          <cell r="B8035" t="str">
            <v>YZ-ZQLS062</v>
          </cell>
        </row>
        <row r="8036">
          <cell r="A8036" t="str">
            <v>YZ-ZQLS1353-K0-2X</v>
          </cell>
          <cell r="B8036" t="str">
            <v>YZ-ZQLS1353</v>
          </cell>
        </row>
        <row r="8037">
          <cell r="A8037" t="str">
            <v>YZ-ZQLS1353-K0-3X</v>
          </cell>
          <cell r="B8037" t="str">
            <v>YZ-ZQLS1353</v>
          </cell>
        </row>
        <row r="8038">
          <cell r="A8038" t="str">
            <v>YZ-ZQLS1353-K0-XL</v>
          </cell>
          <cell r="B8038" t="str">
            <v>YZ-ZQLS1353</v>
          </cell>
        </row>
        <row r="8039">
          <cell r="A8039" t="str">
            <v>YZ-ZQMICAIK02XL</v>
          </cell>
          <cell r="B8039" t="str">
            <v>YZ-ZQMICAI</v>
          </cell>
        </row>
        <row r="8040">
          <cell r="A8040" t="str">
            <v>YZ-ZQMICAIK03XL</v>
          </cell>
          <cell r="B8040" t="str">
            <v>YZ-ZQMICAI</v>
          </cell>
        </row>
        <row r="8041">
          <cell r="A8041" t="str">
            <v>YZ-ZQMICAIK04XL</v>
          </cell>
          <cell r="B8041" t="str">
            <v>YZ-ZQMICAI</v>
          </cell>
        </row>
        <row r="8042">
          <cell r="A8042" t="str">
            <v>YZ-ZQMICAIK05XL</v>
          </cell>
          <cell r="B8042" t="str">
            <v>YZ-ZQMICAI</v>
          </cell>
        </row>
        <row r="8043">
          <cell r="A8043" t="str">
            <v>YZ-ZQMICAIK0L</v>
          </cell>
          <cell r="B8043" t="str">
            <v>YZ-ZQMICAI</v>
          </cell>
        </row>
        <row r="8044">
          <cell r="A8044" t="str">
            <v>YZ-ZQMICAIK0M</v>
          </cell>
          <cell r="B8044" t="str">
            <v>YZ-ZQMICAI</v>
          </cell>
        </row>
        <row r="8045">
          <cell r="A8045" t="str">
            <v>YZ-ZQMICAIK0XL</v>
          </cell>
          <cell r="B8045" t="str">
            <v>YZ-ZQMICAI</v>
          </cell>
        </row>
        <row r="8046">
          <cell r="A8046" t="str">
            <v>YZ-ZQMS02-K0-L</v>
          </cell>
          <cell r="B8046" t="str">
            <v>YZ-ZQMS02</v>
          </cell>
        </row>
        <row r="8047">
          <cell r="A8047" t="str">
            <v>YZ-ZQMS02-K0-M</v>
          </cell>
          <cell r="B8047" t="str">
            <v>YZ-ZQMS02</v>
          </cell>
        </row>
        <row r="8048">
          <cell r="A8048" t="str">
            <v>YZ-ZQMS02-K0-S</v>
          </cell>
          <cell r="B8048" t="str">
            <v>YZ-ZQMS02</v>
          </cell>
        </row>
        <row r="8049">
          <cell r="A8049" t="str">
            <v>YZ-ZQN9002-B0-3X</v>
          </cell>
          <cell r="B8049" t="str">
            <v>YZ-ZQN9002</v>
          </cell>
        </row>
        <row r="8050">
          <cell r="A8050" t="str">
            <v>YZ-ZQN9002-G0-2X</v>
          </cell>
          <cell r="B8050" t="str">
            <v>YZ-ZQN9002</v>
          </cell>
        </row>
        <row r="8051">
          <cell r="A8051" t="str">
            <v>YZ-ZQN9002-G0-4X</v>
          </cell>
          <cell r="B8051" t="str">
            <v>YZ-ZQN9002</v>
          </cell>
        </row>
        <row r="8052">
          <cell r="A8052" t="str">
            <v>YZ-ZQN9002-G0-5X</v>
          </cell>
          <cell r="B8052" t="str">
            <v>YZ-ZQN9002</v>
          </cell>
        </row>
        <row r="8053">
          <cell r="A8053" t="str">
            <v>YZ-ZQN9002-G0-L</v>
          </cell>
          <cell r="B8053" t="str">
            <v>YZ-ZQN9002</v>
          </cell>
        </row>
        <row r="8054">
          <cell r="A8054" t="str">
            <v>YZ-ZQN9002-G0-XL</v>
          </cell>
          <cell r="B8054" t="str">
            <v>YZ-ZQN9002</v>
          </cell>
        </row>
        <row r="8055">
          <cell r="A8055" t="str">
            <v>YZ-ZQN9002-ND-3X</v>
          </cell>
          <cell r="B8055" t="str">
            <v>YZ-ZQN9002</v>
          </cell>
        </row>
        <row r="8056">
          <cell r="A8056" t="str">
            <v>YZ-ZQN9002-ND-4X</v>
          </cell>
          <cell r="B8056" t="str">
            <v>YZ-ZQN9002</v>
          </cell>
        </row>
        <row r="8057">
          <cell r="A8057" t="str">
            <v>YZ-ZQN9002-ND-5X</v>
          </cell>
          <cell r="B8057" t="str">
            <v>YZ-ZQN9002</v>
          </cell>
        </row>
        <row r="8058">
          <cell r="A8058" t="str">
            <v>YZ-ZQN9002-TL-L</v>
          </cell>
          <cell r="B8058" t="str">
            <v>YZ-ZQN9002</v>
          </cell>
        </row>
        <row r="8059">
          <cell r="A8059" t="str">
            <v>YZ-ZQN9002-TL-XL</v>
          </cell>
          <cell r="B8059" t="str">
            <v>YZ-ZQN9002</v>
          </cell>
        </row>
        <row r="8060">
          <cell r="A8060" t="str">
            <v>YZ-ZQN9003-B0-2X</v>
          </cell>
          <cell r="B8060" t="str">
            <v>YZ-ZQN9003</v>
          </cell>
        </row>
        <row r="8061">
          <cell r="A8061" t="str">
            <v>YZ-ZQN9003-B0-4X</v>
          </cell>
          <cell r="B8061" t="str">
            <v>YZ-ZQN9003</v>
          </cell>
        </row>
        <row r="8062">
          <cell r="A8062" t="str">
            <v>YZ-ZQN9003-B0-L</v>
          </cell>
          <cell r="B8062" t="str">
            <v>YZ-ZQN9003</v>
          </cell>
        </row>
        <row r="8063">
          <cell r="A8063" t="str">
            <v>YZ-ZQN9003-B0-M</v>
          </cell>
          <cell r="B8063" t="str">
            <v>YZ-ZQN9003</v>
          </cell>
        </row>
        <row r="8064">
          <cell r="A8064" t="str">
            <v>YZ-ZQN9003-K0-4X</v>
          </cell>
          <cell r="B8064" t="str">
            <v>YZ-ZQN9003</v>
          </cell>
        </row>
        <row r="8065">
          <cell r="A8065" t="str">
            <v>YZ-ZQN9003-K0-L</v>
          </cell>
          <cell r="B8065" t="str">
            <v>YZ-ZQN9003</v>
          </cell>
        </row>
        <row r="8066">
          <cell r="A8066" t="str">
            <v>YZ-ZQN9003-ZL-4X</v>
          </cell>
          <cell r="B8066" t="str">
            <v>YZ-ZQN9003</v>
          </cell>
        </row>
        <row r="8067">
          <cell r="A8067" t="str">
            <v>YZ-ZQN9003-ZL-L</v>
          </cell>
          <cell r="B8067" t="str">
            <v>YZ-ZQN9003</v>
          </cell>
        </row>
        <row r="8068">
          <cell r="A8068" t="str">
            <v>YZ-ZQN9076-G3-2X</v>
          </cell>
          <cell r="B8068" t="str">
            <v>YZ-ZQN9076</v>
          </cell>
        </row>
        <row r="8069">
          <cell r="A8069" t="str">
            <v>YZ-ZQN9076-G3-3X</v>
          </cell>
          <cell r="B8069" t="str">
            <v>YZ-ZQN9076</v>
          </cell>
        </row>
        <row r="8070">
          <cell r="A8070" t="str">
            <v>YZ-ZQN9076-H1-3X</v>
          </cell>
          <cell r="B8070" t="str">
            <v>YZ-ZQN9076</v>
          </cell>
        </row>
        <row r="8071">
          <cell r="A8071" t="str">
            <v>YZ-ZQN9200-K0-2X</v>
          </cell>
          <cell r="B8071" t="str">
            <v>YZ-ZQN9200</v>
          </cell>
        </row>
        <row r="8072">
          <cell r="A8072" t="str">
            <v>YZ-ZQN9200-K0-3X</v>
          </cell>
          <cell r="B8072" t="str">
            <v>YZ-ZQN9200</v>
          </cell>
        </row>
        <row r="8073">
          <cell r="A8073" t="str">
            <v>YZ-ZQN9200-K0-4X</v>
          </cell>
          <cell r="B8073" t="str">
            <v>YZ-ZQN9200</v>
          </cell>
        </row>
        <row r="8074">
          <cell r="A8074" t="str">
            <v>YZ-ZQN9200-K0-L</v>
          </cell>
          <cell r="B8074" t="str">
            <v>YZ-ZQN9200</v>
          </cell>
        </row>
        <row r="8075">
          <cell r="A8075" t="str">
            <v>YZ-ZQN9200-K0-M</v>
          </cell>
          <cell r="B8075" t="str">
            <v>YZ-ZQN9200</v>
          </cell>
        </row>
        <row r="8076">
          <cell r="A8076" t="str">
            <v>YZ-ZQN9200-K0-XL</v>
          </cell>
          <cell r="B8076" t="str">
            <v>YZ-ZQN9200</v>
          </cell>
        </row>
        <row r="8077">
          <cell r="A8077" t="str">
            <v>YZ-ZQNA16121E02XL</v>
          </cell>
          <cell r="B8077" t="str">
            <v>YZ-ZQNA16121</v>
          </cell>
        </row>
        <row r="8078">
          <cell r="A8078" t="str">
            <v>YZ-ZQNA16121E03XL</v>
          </cell>
          <cell r="B8078" t="str">
            <v>YZ-ZQNA16121</v>
          </cell>
        </row>
        <row r="8079">
          <cell r="A8079" t="str">
            <v>YZ-ZQNA16121E0L</v>
          </cell>
          <cell r="B8079" t="str">
            <v>YZ-ZQNA16121</v>
          </cell>
        </row>
        <row r="8080">
          <cell r="A8080" t="str">
            <v>YZ-ZQNA16121E0XL</v>
          </cell>
          <cell r="B8080" t="str">
            <v>YZ-ZQNA16121</v>
          </cell>
        </row>
        <row r="8081">
          <cell r="A8081" t="str">
            <v>YZ-ZQNA16121R02XL</v>
          </cell>
          <cell r="B8081" t="str">
            <v>YZ-ZQNA16121</v>
          </cell>
        </row>
        <row r="8082">
          <cell r="A8082" t="str">
            <v>YZ-ZQNA16121R03XL</v>
          </cell>
          <cell r="B8082" t="str">
            <v>YZ-ZQNA16121</v>
          </cell>
        </row>
        <row r="8083">
          <cell r="A8083" t="str">
            <v>YZ-ZQNA16121R0L</v>
          </cell>
          <cell r="B8083" t="str">
            <v>YZ-ZQNA16121</v>
          </cell>
        </row>
        <row r="8084">
          <cell r="A8084" t="str">
            <v>YZ-ZQNA16121R0XL</v>
          </cell>
          <cell r="B8084" t="str">
            <v>YZ-ZQNA16121</v>
          </cell>
        </row>
        <row r="8085">
          <cell r="A8085" t="str">
            <v>YZ-ZQNA161244-Y0-2XL</v>
          </cell>
          <cell r="B8085" t="str">
            <v>YZ-ZQNA161244</v>
          </cell>
        </row>
        <row r="8086">
          <cell r="A8086" t="str">
            <v>YZ-ZQNA161244-Y0-L</v>
          </cell>
          <cell r="B8086" t="str">
            <v>YZ-ZQNA161244</v>
          </cell>
        </row>
        <row r="8087">
          <cell r="A8087" t="str">
            <v>YZ-ZQNA161244-Y0-XL</v>
          </cell>
          <cell r="B8087" t="str">
            <v>YZ-ZQNA161244</v>
          </cell>
        </row>
        <row r="8088">
          <cell r="A8088" t="str">
            <v>YZ-ZQOM388-K0-2XL</v>
          </cell>
          <cell r="B8088" t="str">
            <v>YZ-ZQOM388</v>
          </cell>
        </row>
        <row r="8089">
          <cell r="A8089" t="str">
            <v>YZ-ZQOM388-K0-L</v>
          </cell>
          <cell r="B8089" t="str">
            <v>YZ-ZQOM388</v>
          </cell>
        </row>
        <row r="8090">
          <cell r="A8090" t="str">
            <v>YZ-ZQOM388-K0-M</v>
          </cell>
          <cell r="B8090" t="str">
            <v>YZ-ZQOM388</v>
          </cell>
        </row>
        <row r="8091">
          <cell r="A8091" t="str">
            <v>YZ-ZQOM388-K0-S</v>
          </cell>
          <cell r="B8091" t="str">
            <v>YZ-ZQOM388</v>
          </cell>
        </row>
        <row r="8092">
          <cell r="A8092" t="str">
            <v>YZ-ZQOM388-K0-XL</v>
          </cell>
          <cell r="B8092" t="str">
            <v>YZ-ZQOM388</v>
          </cell>
        </row>
        <row r="8093">
          <cell r="A8093" t="str">
            <v>YZ-ZQOM388-W0-2XL</v>
          </cell>
          <cell r="B8093" t="str">
            <v>YZ-ZQOM388</v>
          </cell>
        </row>
        <row r="8094">
          <cell r="A8094" t="str">
            <v>YZ-ZQOM388-W0-L</v>
          </cell>
          <cell r="B8094" t="str">
            <v>YZ-ZQOM388</v>
          </cell>
        </row>
        <row r="8095">
          <cell r="A8095" t="str">
            <v>YZ-ZQOM388-W0-M</v>
          </cell>
          <cell r="B8095" t="str">
            <v>YZ-ZQOM388</v>
          </cell>
        </row>
        <row r="8096">
          <cell r="A8096" t="str">
            <v>YZ-ZQOM388-W0-S</v>
          </cell>
          <cell r="B8096" t="str">
            <v>YZ-ZQOM388</v>
          </cell>
        </row>
        <row r="8097">
          <cell r="A8097" t="str">
            <v>YZ-ZQOM388-W0-XL</v>
          </cell>
          <cell r="B8097" t="str">
            <v>YZ-ZQOM388</v>
          </cell>
        </row>
        <row r="8098">
          <cell r="A8098" t="str">
            <v>YZ-ZQQ9227-K0-2X</v>
          </cell>
          <cell r="B8098" t="str">
            <v>YZ-ZQQ9227</v>
          </cell>
        </row>
        <row r="8099">
          <cell r="A8099" t="str">
            <v>YZ-ZQQ9227-K0-3X</v>
          </cell>
          <cell r="B8099" t="str">
            <v>YZ-ZQQ9227</v>
          </cell>
        </row>
        <row r="8100">
          <cell r="A8100" t="str">
            <v>YZ-ZQQ9227-K0-4X</v>
          </cell>
          <cell r="B8100" t="str">
            <v>YZ-ZQQ9227</v>
          </cell>
        </row>
        <row r="8101">
          <cell r="A8101" t="str">
            <v>YZ-ZQQ9227-K0-5X</v>
          </cell>
          <cell r="B8101" t="str">
            <v>YZ-ZQQ9227</v>
          </cell>
        </row>
        <row r="8102">
          <cell r="A8102" t="str">
            <v>YZ-ZQQ9227-K0-L</v>
          </cell>
          <cell r="B8102" t="str">
            <v>YZ-ZQQ9227</v>
          </cell>
        </row>
        <row r="8103">
          <cell r="A8103" t="str">
            <v>YZ-ZQQ9227-K0-M</v>
          </cell>
          <cell r="B8103" t="str">
            <v>YZ-ZQQ9227</v>
          </cell>
        </row>
        <row r="8104">
          <cell r="A8104" t="str">
            <v>YZ-ZQQ9227-K0-S</v>
          </cell>
          <cell r="B8104" t="str">
            <v>YZ-ZQQ9227</v>
          </cell>
        </row>
        <row r="8105">
          <cell r="A8105" t="str">
            <v>YZ-ZQQ9227-K0-XL</v>
          </cell>
          <cell r="B8105" t="str">
            <v>YZ-ZQQ9227</v>
          </cell>
        </row>
        <row r="8106">
          <cell r="A8106" t="str">
            <v>YZ-ZQSG16116-K0-2XL</v>
          </cell>
          <cell r="B8106" t="str">
            <v>YZ-ZQSG16116</v>
          </cell>
        </row>
        <row r="8107">
          <cell r="A8107" t="str">
            <v>YZ-ZQSG16116-K0-L</v>
          </cell>
          <cell r="B8107" t="str">
            <v>YZ-ZQSG16116</v>
          </cell>
        </row>
        <row r="8108">
          <cell r="A8108" t="str">
            <v>YZ-ZQSG16116-K0-XL</v>
          </cell>
          <cell r="B8108" t="str">
            <v>YZ-ZQSG16116</v>
          </cell>
        </row>
        <row r="8109">
          <cell r="A8109" t="str">
            <v>YZ-ZQSG16121E02XL</v>
          </cell>
          <cell r="B8109" t="str">
            <v>YZ-ZQSG16121</v>
          </cell>
        </row>
        <row r="8110">
          <cell r="A8110" t="str">
            <v>YZ-ZQSG16121E03XL</v>
          </cell>
          <cell r="B8110" t="str">
            <v>YZ-ZQSG16121</v>
          </cell>
        </row>
        <row r="8111">
          <cell r="A8111" t="str">
            <v>YZ-ZQSG16121E0L</v>
          </cell>
          <cell r="B8111" t="str">
            <v>YZ-ZQSG16121</v>
          </cell>
        </row>
        <row r="8112">
          <cell r="A8112" t="str">
            <v>YZ-ZQSG16121E0XL</v>
          </cell>
          <cell r="B8112" t="str">
            <v>YZ-ZQSG16121</v>
          </cell>
        </row>
        <row r="8113">
          <cell r="A8113" t="str">
            <v>YZ-ZQSG16121R02XL</v>
          </cell>
          <cell r="B8113" t="str">
            <v>YZ-ZQSG16121</v>
          </cell>
        </row>
        <row r="8114">
          <cell r="A8114" t="str">
            <v>YZ-ZQSG16121R03XL</v>
          </cell>
          <cell r="B8114" t="str">
            <v>YZ-ZQSG16121</v>
          </cell>
        </row>
        <row r="8115">
          <cell r="A8115" t="str">
            <v>YZ-ZQSG16121R0L</v>
          </cell>
          <cell r="B8115" t="str">
            <v>YZ-ZQSG16121</v>
          </cell>
        </row>
        <row r="8116">
          <cell r="A8116" t="str">
            <v>YZ-ZQSG16121R0XL</v>
          </cell>
          <cell r="B8116" t="str">
            <v>YZ-ZQSG16121</v>
          </cell>
        </row>
        <row r="8117">
          <cell r="A8117" t="str">
            <v>YZ-ZQSG161244-Y0-2XL</v>
          </cell>
          <cell r="B8117" t="str">
            <v>YZ-ZQSG161244</v>
          </cell>
        </row>
        <row r="8118">
          <cell r="A8118" t="str">
            <v>YZ-ZQSG161244-Y0-3XL</v>
          </cell>
          <cell r="B8118" t="str">
            <v>YZ-ZQSG161244</v>
          </cell>
        </row>
        <row r="8119">
          <cell r="A8119" t="str">
            <v>YZ-ZQSG161244-Y0-L</v>
          </cell>
          <cell r="B8119" t="str">
            <v>YZ-ZQSG161244</v>
          </cell>
        </row>
        <row r="8120">
          <cell r="A8120" t="str">
            <v>YZ-ZQSG161244-Y0-XL</v>
          </cell>
          <cell r="B8120" t="str">
            <v>YZ-ZQSG161244</v>
          </cell>
        </row>
        <row r="8121">
          <cell r="A8121" t="str">
            <v>YZ-ZQSG16124Y02XL</v>
          </cell>
          <cell r="B8121" t="str">
            <v>YZ-ZQSG16124</v>
          </cell>
        </row>
        <row r="8122">
          <cell r="A8122" t="str">
            <v>YZ-ZQSG16124Y03XL</v>
          </cell>
          <cell r="B8122" t="str">
            <v>YZ-ZQSG16124</v>
          </cell>
        </row>
        <row r="8123">
          <cell r="A8123" t="str">
            <v>YZ-ZQSG16124Y0L</v>
          </cell>
          <cell r="B8123" t="str">
            <v>YZ-ZQSG16124</v>
          </cell>
        </row>
        <row r="8124">
          <cell r="A8124" t="str">
            <v>YZ-ZQSG16124Y0XL</v>
          </cell>
          <cell r="B8124" t="str">
            <v>YZ-ZQSG16124</v>
          </cell>
        </row>
        <row r="8125">
          <cell r="A8125" t="str">
            <v>YZ-ZQTWA1-K0-2X</v>
          </cell>
          <cell r="B8125" t="str">
            <v>YZ-ZQTWA1</v>
          </cell>
        </row>
        <row r="8126">
          <cell r="A8126" t="str">
            <v>YZ-ZQTWA1-K0-3X</v>
          </cell>
          <cell r="B8126" t="str">
            <v>YZ-ZQTWA1</v>
          </cell>
        </row>
        <row r="8127">
          <cell r="A8127" t="str">
            <v>YZ-ZQTWA1-K0-4X</v>
          </cell>
          <cell r="B8127" t="str">
            <v>YZ-ZQTWA1</v>
          </cell>
        </row>
        <row r="8128">
          <cell r="A8128" t="str">
            <v>YZ-ZQTWA1-K0-5X</v>
          </cell>
          <cell r="B8128" t="str">
            <v>YZ-ZQTWA1</v>
          </cell>
        </row>
        <row r="8129">
          <cell r="A8129" t="str">
            <v>YZ-ZQTWA1-K0-L</v>
          </cell>
          <cell r="B8129" t="str">
            <v>YZ-ZQTWA1</v>
          </cell>
        </row>
        <row r="8130">
          <cell r="A8130" t="str">
            <v>YZ-ZQTWA1-K0-M</v>
          </cell>
          <cell r="B8130" t="str">
            <v>YZ-ZQTWA1</v>
          </cell>
        </row>
        <row r="8131">
          <cell r="A8131" t="str">
            <v>YZ-ZQTWA1-K0-S</v>
          </cell>
          <cell r="B8131" t="str">
            <v>YZ-ZQTWA1</v>
          </cell>
        </row>
        <row r="8132">
          <cell r="A8132" t="str">
            <v>YZ-ZQTWA1-K0-XL</v>
          </cell>
          <cell r="B8132" t="str">
            <v>YZ-ZQTWA1</v>
          </cell>
        </row>
        <row r="8133">
          <cell r="A8133" t="str">
            <v>YZ-ZQXZ345-G0-L</v>
          </cell>
          <cell r="B8133" t="str">
            <v>YZ-ZQXZ345</v>
          </cell>
        </row>
        <row r="8134">
          <cell r="A8134" t="str">
            <v>YZ-ZQXZ345-G0-M</v>
          </cell>
          <cell r="B8134" t="str">
            <v>YZ-ZQXZ345</v>
          </cell>
        </row>
        <row r="8135">
          <cell r="A8135" t="str">
            <v>YZ-ZQXZ345-G0-S</v>
          </cell>
          <cell r="B8135" t="str">
            <v>YZ-ZQXZ345</v>
          </cell>
        </row>
        <row r="8136">
          <cell r="A8136" t="str">
            <v>YZ-ZQXZ345-G0-XL</v>
          </cell>
          <cell r="B8136" t="str">
            <v>YZ-ZQXZ345</v>
          </cell>
        </row>
        <row r="8137">
          <cell r="A8137" t="str">
            <v>YZ-ZQZY456-R0-L</v>
          </cell>
          <cell r="B8137" t="str">
            <v>YZ-ZQZY456</v>
          </cell>
        </row>
        <row r="8138">
          <cell r="A8138" t="str">
            <v>YZ-ZQZY456-R0-M</v>
          </cell>
          <cell r="B8138" t="str">
            <v>YZ-ZQZY456</v>
          </cell>
        </row>
        <row r="8139">
          <cell r="A8139" t="str">
            <v>YZ-ZQZY456-R0-S</v>
          </cell>
          <cell r="B8139" t="str">
            <v>YZ-ZQZY456</v>
          </cell>
        </row>
        <row r="8140">
          <cell r="A8140" t="str">
            <v>ZS-CF2112-BK-L</v>
          </cell>
          <cell r="B8140" t="str">
            <v>ZS-CF2112</v>
          </cell>
        </row>
        <row r="8141">
          <cell r="A8141" t="str">
            <v>ZS-CF2112-CO-M</v>
          </cell>
          <cell r="B8141" t="str">
            <v>ZS-CF2112</v>
          </cell>
        </row>
        <row r="8142">
          <cell r="A8142" t="str">
            <v>ZS-CF2112-CO-XL</v>
          </cell>
          <cell r="B8142" t="str">
            <v>ZS-CF2112</v>
          </cell>
        </row>
        <row r="8143">
          <cell r="A8143" t="str">
            <v>ZS-CF2112-OR-L</v>
          </cell>
          <cell r="B8143" t="str">
            <v>ZS-CF2112</v>
          </cell>
        </row>
        <row r="8144">
          <cell r="A8144" t="str">
            <v>ZS-JY2300-BL-JM</v>
          </cell>
          <cell r="B8144" t="str">
            <v>ZS-JY2300</v>
          </cell>
        </row>
        <row r="8145">
          <cell r="A8145" t="str">
            <v>ZS-JY2300-ZL-JM</v>
          </cell>
          <cell r="B8145" t="str">
            <v>ZS-JY2300</v>
          </cell>
        </row>
      </sheetData>
      <sheetData sheetId="1"/>
      <sheetData sheetId="2"/>
      <sheetData sheetId="3"/>
      <sheetData sheetId="4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预留库存"/>
      <sheetName val="库龄"/>
      <sheetName val="管理亚马逊库存"/>
      <sheetName val="数据处理"/>
    </sheetNames>
    <sheetDataSet>
      <sheetData sheetId="0"/>
      <sheetData sheetId="1"/>
      <sheetData sheetId="2"/>
      <sheetData sheetId="3">
        <row r="1">
          <cell r="A1" t="str">
            <v>sku</v>
          </cell>
          <cell r="B1" t="str">
            <v>可售库存</v>
          </cell>
          <cell r="C1" t="str">
            <v>不可售库存</v>
          </cell>
          <cell r="D1" t="str">
            <v>已发货未签收库存</v>
          </cell>
          <cell r="E1" t="str">
            <v>已签收未处理库存</v>
          </cell>
          <cell r="F1" t="str">
            <v>待入库库存</v>
          </cell>
          <cell r="G1" t="str">
            <v>reserved_fc-transfers</v>
          </cell>
          <cell r="H1" t="str">
            <v>reserved_fc-processing</v>
          </cell>
          <cell r="I1" t="str">
            <v>reserved_customerorders</v>
          </cell>
          <cell r="J1" t="str">
            <v>inv-age-91-to-180-days</v>
          </cell>
          <cell r="K1" t="str">
            <v>inv-age-181-to-270-days</v>
          </cell>
          <cell r="L1" t="str">
            <v>inv-age-271-to-365-days</v>
          </cell>
          <cell r="M1" t="str">
            <v>inv-age-365-plus-days</v>
          </cell>
        </row>
        <row r="2">
          <cell r="A2" t="str">
            <v>合计</v>
          </cell>
          <cell r="B2">
            <v>2874</v>
          </cell>
          <cell r="C2">
            <v>19</v>
          </cell>
          <cell r="D2">
            <v>1864</v>
          </cell>
          <cell r="E2">
            <v>55</v>
          </cell>
          <cell r="F2">
            <v>1919</v>
          </cell>
          <cell r="G2">
            <v>238</v>
          </cell>
          <cell r="H2">
            <v>46</v>
          </cell>
          <cell r="I2">
            <v>39</v>
          </cell>
          <cell r="J2">
            <v>267</v>
          </cell>
          <cell r="K2">
            <v>196</v>
          </cell>
          <cell r="L2">
            <v>667</v>
          </cell>
          <cell r="M2">
            <v>0</v>
          </cell>
        </row>
        <row r="3">
          <cell r="A3" t="str">
            <v>LYQ-WF7125-KO-M</v>
          </cell>
          <cell r="B3">
            <v>2</v>
          </cell>
          <cell r="C3">
            <v>0</v>
          </cell>
          <cell r="D3">
            <v>0</v>
          </cell>
          <cell r="E3">
            <v>0</v>
          </cell>
          <cell r="F3">
            <v>0</v>
          </cell>
          <cell r="G3">
            <v>1</v>
          </cell>
          <cell r="H3">
            <v>0</v>
          </cell>
          <cell r="I3">
            <v>1</v>
          </cell>
          <cell r="J3">
            <v>0</v>
          </cell>
          <cell r="K3">
            <v>4</v>
          </cell>
          <cell r="L3">
            <v>0</v>
          </cell>
          <cell r="M3">
            <v>0</v>
          </cell>
        </row>
        <row r="4">
          <cell r="A4" t="str">
            <v>MJ-IUYL230-PK-S</v>
          </cell>
          <cell r="B4">
            <v>11</v>
          </cell>
          <cell r="C4">
            <v>0</v>
          </cell>
          <cell r="D4">
            <v>0</v>
          </cell>
          <cell r="E4">
            <v>0</v>
          </cell>
          <cell r="F4">
            <v>0</v>
          </cell>
          <cell r="G4">
            <v>0</v>
          </cell>
          <cell r="H4">
            <v>1</v>
          </cell>
          <cell r="I4">
            <v>0</v>
          </cell>
          <cell r="J4">
            <v>2</v>
          </cell>
          <cell r="K4">
            <v>0</v>
          </cell>
          <cell r="L4">
            <v>0</v>
          </cell>
          <cell r="M4">
            <v>0</v>
          </cell>
        </row>
        <row r="5">
          <cell r="A5" t="str">
            <v>MJ-IUYL230-CF-S</v>
          </cell>
          <cell r="B5">
            <v>11</v>
          </cell>
          <cell r="C5">
            <v>0</v>
          </cell>
          <cell r="D5">
            <v>0</v>
          </cell>
          <cell r="E5">
            <v>0</v>
          </cell>
          <cell r="F5">
            <v>0</v>
          </cell>
          <cell r="G5">
            <v>0</v>
          </cell>
          <cell r="H5">
            <v>1</v>
          </cell>
          <cell r="I5">
            <v>0</v>
          </cell>
          <cell r="J5">
            <v>2</v>
          </cell>
          <cell r="K5">
            <v>0</v>
          </cell>
          <cell r="L5">
            <v>0</v>
          </cell>
          <cell r="M5">
            <v>0</v>
          </cell>
        </row>
        <row r="6">
          <cell r="A6" t="str">
            <v>MJ-IUYL230-BL-S</v>
          </cell>
          <cell r="B6">
            <v>10</v>
          </cell>
          <cell r="C6">
            <v>0</v>
          </cell>
          <cell r="D6">
            <v>0</v>
          </cell>
          <cell r="E6">
            <v>0</v>
          </cell>
          <cell r="F6">
            <v>0</v>
          </cell>
          <cell r="G6">
            <v>1</v>
          </cell>
          <cell r="H6">
            <v>0</v>
          </cell>
          <cell r="I6">
            <v>1</v>
          </cell>
          <cell r="J6">
            <v>2</v>
          </cell>
          <cell r="K6">
            <v>0</v>
          </cell>
          <cell r="L6">
            <v>0</v>
          </cell>
          <cell r="M6">
            <v>0</v>
          </cell>
        </row>
        <row r="7">
          <cell r="A7" t="str">
            <v>SCF-B01-016</v>
          </cell>
          <cell r="B7">
            <v>3</v>
          </cell>
          <cell r="C7">
            <v>0</v>
          </cell>
          <cell r="D7">
            <v>0</v>
          </cell>
          <cell r="E7">
            <v>0</v>
          </cell>
          <cell r="F7">
            <v>0</v>
          </cell>
          <cell r="G7">
            <v>2</v>
          </cell>
          <cell r="H7">
            <v>0</v>
          </cell>
          <cell r="I7">
            <v>0</v>
          </cell>
          <cell r="J7">
            <v>0</v>
          </cell>
          <cell r="K7">
            <v>1</v>
          </cell>
          <cell r="L7">
            <v>4</v>
          </cell>
          <cell r="M7">
            <v>0</v>
          </cell>
        </row>
        <row r="8">
          <cell r="A8" t="str">
            <v>SCF-D01-009</v>
          </cell>
          <cell r="B8">
            <v>3</v>
          </cell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1</v>
          </cell>
          <cell r="H8">
            <v>0</v>
          </cell>
          <cell r="I8">
            <v>0</v>
          </cell>
          <cell r="J8">
            <v>0</v>
          </cell>
          <cell r="K8">
            <v>1</v>
          </cell>
          <cell r="L8">
            <v>2</v>
          </cell>
          <cell r="M8">
            <v>0</v>
          </cell>
        </row>
        <row r="9">
          <cell r="A9" t="str">
            <v>ST006-GN-S</v>
          </cell>
          <cell r="B9">
            <v>6</v>
          </cell>
          <cell r="C9">
            <v>0</v>
          </cell>
          <cell r="D9">
            <v>0</v>
          </cell>
          <cell r="E9">
            <v>0</v>
          </cell>
          <cell r="F9">
            <v>0</v>
          </cell>
          <cell r="G9">
            <v>0</v>
          </cell>
          <cell r="H9">
            <v>1</v>
          </cell>
          <cell r="I9">
            <v>0</v>
          </cell>
          <cell r="J9">
            <v>0</v>
          </cell>
          <cell r="K9">
            <v>1</v>
          </cell>
          <cell r="L9">
            <v>5</v>
          </cell>
          <cell r="M9">
            <v>0</v>
          </cell>
        </row>
        <row r="10">
          <cell r="A10" t="str">
            <v>ST172-WR-S</v>
          </cell>
          <cell r="B10">
            <v>9</v>
          </cell>
          <cell r="C10">
            <v>0</v>
          </cell>
          <cell r="D10">
            <v>0</v>
          </cell>
          <cell r="E10">
            <v>0</v>
          </cell>
          <cell r="F10">
            <v>0</v>
          </cell>
          <cell r="G10">
            <v>0</v>
          </cell>
          <cell r="H10">
            <v>0</v>
          </cell>
          <cell r="I10">
            <v>1</v>
          </cell>
          <cell r="J10">
            <v>0</v>
          </cell>
          <cell r="K10">
            <v>0</v>
          </cell>
          <cell r="L10">
            <v>9</v>
          </cell>
          <cell r="M10">
            <v>0</v>
          </cell>
        </row>
        <row r="11">
          <cell r="A11" t="str">
            <v>ST173-BL-S</v>
          </cell>
          <cell r="B11">
            <v>6</v>
          </cell>
          <cell r="C11">
            <v>0</v>
          </cell>
          <cell r="D11">
            <v>0</v>
          </cell>
          <cell r="E11">
            <v>0</v>
          </cell>
          <cell r="F11">
            <v>0</v>
          </cell>
          <cell r="G11">
            <v>0</v>
          </cell>
          <cell r="H11">
            <v>0</v>
          </cell>
          <cell r="I11">
            <v>1</v>
          </cell>
          <cell r="J11">
            <v>0</v>
          </cell>
          <cell r="K11">
            <v>0</v>
          </cell>
          <cell r="L11">
            <v>7</v>
          </cell>
          <cell r="M11">
            <v>0</v>
          </cell>
        </row>
        <row r="12">
          <cell r="A12" t="str">
            <v>TZ-IUYL240-STAR-L</v>
          </cell>
          <cell r="B12">
            <v>8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1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</row>
        <row r="13">
          <cell r="A13" t="str">
            <v>XQ-IUYL260-PK-S</v>
          </cell>
          <cell r="B13">
            <v>1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0</v>
          </cell>
          <cell r="I13">
            <v>1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</row>
        <row r="14">
          <cell r="A14" t="str">
            <v>TZ-IUYL240LHY-ELPH-S</v>
          </cell>
          <cell r="B14">
            <v>20</v>
          </cell>
          <cell r="C14">
            <v>0</v>
          </cell>
          <cell r="D14">
            <v>228</v>
          </cell>
          <cell r="E14">
            <v>0</v>
          </cell>
          <cell r="F14">
            <v>228</v>
          </cell>
          <cell r="G14">
            <v>41</v>
          </cell>
          <cell r="H14">
            <v>6</v>
          </cell>
          <cell r="I14">
            <v>9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</row>
        <row r="15">
          <cell r="A15" t="str">
            <v>TZ-IUYL240LHY-DOT-S</v>
          </cell>
          <cell r="B15">
            <v>166</v>
          </cell>
          <cell r="C15">
            <v>2</v>
          </cell>
          <cell r="D15">
            <v>5</v>
          </cell>
          <cell r="E15">
            <v>0</v>
          </cell>
          <cell r="F15">
            <v>5</v>
          </cell>
          <cell r="G15">
            <v>1</v>
          </cell>
          <cell r="H15">
            <v>2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</row>
        <row r="16">
          <cell r="A16" t="str">
            <v>TZ-IUYL240LHY-BONE-L</v>
          </cell>
          <cell r="B16">
            <v>10</v>
          </cell>
          <cell r="C16">
            <v>0</v>
          </cell>
          <cell r="D16">
            <v>10</v>
          </cell>
          <cell r="E16">
            <v>2</v>
          </cell>
          <cell r="F16">
            <v>12</v>
          </cell>
          <cell r="G16">
            <v>0</v>
          </cell>
          <cell r="H16">
            <v>1</v>
          </cell>
          <cell r="I16">
            <v>1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</row>
        <row r="17">
          <cell r="A17" t="str">
            <v>TZ-IUYL240-BEAR-S</v>
          </cell>
          <cell r="B17">
            <v>16</v>
          </cell>
          <cell r="C17">
            <v>0</v>
          </cell>
          <cell r="D17">
            <v>30</v>
          </cell>
          <cell r="E17">
            <v>0</v>
          </cell>
          <cell r="F17">
            <v>30</v>
          </cell>
          <cell r="G17">
            <v>40</v>
          </cell>
          <cell r="H17">
            <v>3</v>
          </cell>
          <cell r="I17">
            <v>6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</row>
        <row r="18">
          <cell r="A18" t="str">
            <v>TZ-IUYL240-BEAR-M</v>
          </cell>
          <cell r="B18">
            <v>16</v>
          </cell>
          <cell r="C18">
            <v>1</v>
          </cell>
          <cell r="D18">
            <v>0</v>
          </cell>
          <cell r="E18">
            <v>0</v>
          </cell>
          <cell r="F18">
            <v>0</v>
          </cell>
          <cell r="G18">
            <v>4</v>
          </cell>
          <cell r="H18">
            <v>1</v>
          </cell>
          <cell r="I18">
            <v>3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</row>
        <row r="19">
          <cell r="A19" t="str">
            <v>TZ-IUYL240LHY-DOT-L</v>
          </cell>
          <cell r="B19">
            <v>40</v>
          </cell>
          <cell r="C19">
            <v>0</v>
          </cell>
          <cell r="D19">
            <v>45</v>
          </cell>
          <cell r="E19">
            <v>0</v>
          </cell>
          <cell r="F19">
            <v>45</v>
          </cell>
          <cell r="G19">
            <v>0</v>
          </cell>
          <cell r="H19">
            <v>1</v>
          </cell>
          <cell r="I19">
            <v>1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</row>
        <row r="20">
          <cell r="A20" t="str">
            <v>TZ-IUYL240LHY-PAW-L</v>
          </cell>
          <cell r="B20">
            <v>71</v>
          </cell>
          <cell r="C20">
            <v>0</v>
          </cell>
          <cell r="D20">
            <v>33</v>
          </cell>
          <cell r="E20">
            <v>1</v>
          </cell>
          <cell r="F20">
            <v>34</v>
          </cell>
          <cell r="G20">
            <v>4</v>
          </cell>
          <cell r="H20">
            <v>6</v>
          </cell>
          <cell r="I20">
            <v>1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</row>
        <row r="21">
          <cell r="A21" t="str">
            <v>TZ-IUYL240-RABBIT-S</v>
          </cell>
          <cell r="B21">
            <v>37</v>
          </cell>
          <cell r="C21">
            <v>0</v>
          </cell>
          <cell r="D21">
            <v>50</v>
          </cell>
          <cell r="E21">
            <v>0</v>
          </cell>
          <cell r="F21">
            <v>50</v>
          </cell>
          <cell r="G21">
            <v>29</v>
          </cell>
          <cell r="H21">
            <v>2</v>
          </cell>
          <cell r="I21">
            <v>1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</row>
        <row r="22">
          <cell r="A22" t="str">
            <v>TZ-IUYL240-LOVE-S</v>
          </cell>
          <cell r="B22">
            <v>32</v>
          </cell>
          <cell r="C22">
            <v>1</v>
          </cell>
          <cell r="D22">
            <v>0</v>
          </cell>
          <cell r="E22">
            <v>0</v>
          </cell>
          <cell r="F22">
            <v>0</v>
          </cell>
          <cell r="G22">
            <v>1</v>
          </cell>
          <cell r="H22">
            <v>0</v>
          </cell>
          <cell r="I22">
            <v>1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</row>
        <row r="23">
          <cell r="A23" t="str">
            <v>TZ-IUYL240LHY-ELPH-M</v>
          </cell>
          <cell r="B23">
            <v>97</v>
          </cell>
          <cell r="C23">
            <v>2</v>
          </cell>
          <cell r="D23">
            <v>57</v>
          </cell>
          <cell r="E23">
            <v>2</v>
          </cell>
          <cell r="F23">
            <v>59</v>
          </cell>
          <cell r="G23">
            <v>0</v>
          </cell>
          <cell r="H23">
            <v>3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</row>
        <row r="24">
          <cell r="A24" t="str">
            <v>TZ-IUYL240LHY-PAW-S</v>
          </cell>
          <cell r="B24">
            <v>42</v>
          </cell>
          <cell r="C24">
            <v>1</v>
          </cell>
          <cell r="D24">
            <v>136</v>
          </cell>
          <cell r="E24">
            <v>2</v>
          </cell>
          <cell r="F24">
            <v>138</v>
          </cell>
          <cell r="G24">
            <v>62</v>
          </cell>
          <cell r="H24">
            <v>1</v>
          </cell>
          <cell r="I24">
            <v>6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</row>
        <row r="25">
          <cell r="A25" t="str">
            <v>TZ-IUYL240-DOT2-M</v>
          </cell>
          <cell r="B25">
            <v>17</v>
          </cell>
          <cell r="C25">
            <v>0</v>
          </cell>
          <cell r="D25">
            <v>23</v>
          </cell>
          <cell r="E25">
            <v>0</v>
          </cell>
          <cell r="F25">
            <v>23</v>
          </cell>
          <cell r="G25">
            <v>0</v>
          </cell>
          <cell r="H25">
            <v>3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</row>
        <row r="26">
          <cell r="A26" t="str">
            <v>TZ-IUYL240-LOVE-M</v>
          </cell>
          <cell r="B26">
            <v>31</v>
          </cell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1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</row>
        <row r="27">
          <cell r="A27" t="str">
            <v>TZ-IUYL240LHY-STRAWBERRY-S</v>
          </cell>
          <cell r="B27">
            <v>148</v>
          </cell>
          <cell r="C27">
            <v>0</v>
          </cell>
          <cell r="D27">
            <v>0</v>
          </cell>
          <cell r="E27">
            <v>0</v>
          </cell>
          <cell r="F27">
            <v>0</v>
          </cell>
          <cell r="G27">
            <v>0</v>
          </cell>
          <cell r="H27">
            <v>1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</row>
        <row r="28">
          <cell r="A28" t="str">
            <v>TZ-IUYL240LHY-STAR-M</v>
          </cell>
          <cell r="B28">
            <v>66</v>
          </cell>
          <cell r="C28">
            <v>1</v>
          </cell>
          <cell r="D28">
            <v>0</v>
          </cell>
          <cell r="E28">
            <v>0</v>
          </cell>
          <cell r="F28">
            <v>0</v>
          </cell>
          <cell r="G28">
            <v>1</v>
          </cell>
          <cell r="H28">
            <v>0</v>
          </cell>
          <cell r="I28">
            <v>1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</row>
        <row r="29">
          <cell r="A29" t="str">
            <v>TZ-IUYL240-DOT2-S</v>
          </cell>
          <cell r="B29">
            <v>50</v>
          </cell>
          <cell r="C29">
            <v>0</v>
          </cell>
          <cell r="D29">
            <v>20</v>
          </cell>
          <cell r="E29">
            <v>0</v>
          </cell>
          <cell r="F29">
            <v>20</v>
          </cell>
          <cell r="G29">
            <v>11</v>
          </cell>
          <cell r="H29">
            <v>2</v>
          </cell>
          <cell r="I29">
            <v>1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</row>
        <row r="30">
          <cell r="A30" t="str">
            <v>TZ-IUYL240LHY-PAW-M</v>
          </cell>
          <cell r="B30">
            <v>63</v>
          </cell>
          <cell r="C30">
            <v>1</v>
          </cell>
          <cell r="D30">
            <v>145</v>
          </cell>
          <cell r="E30">
            <v>0</v>
          </cell>
          <cell r="F30">
            <v>145</v>
          </cell>
          <cell r="G30">
            <v>17</v>
          </cell>
          <cell r="H30">
            <v>1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</row>
        <row r="31">
          <cell r="A31" t="str">
            <v>TZ-IUYL240LHY-ELPH-L</v>
          </cell>
          <cell r="B31">
            <v>48</v>
          </cell>
          <cell r="C31">
            <v>0</v>
          </cell>
          <cell r="D31">
            <v>0</v>
          </cell>
          <cell r="E31">
            <v>20</v>
          </cell>
          <cell r="F31">
            <v>20</v>
          </cell>
          <cell r="G31">
            <v>0</v>
          </cell>
          <cell r="H31">
            <v>0</v>
          </cell>
          <cell r="I31">
            <v>1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</row>
        <row r="32">
          <cell r="A32" t="str">
            <v>TZ-IUYL240-DOT2-L</v>
          </cell>
          <cell r="B32">
            <v>5</v>
          </cell>
          <cell r="C32">
            <v>0</v>
          </cell>
          <cell r="D32">
            <v>15</v>
          </cell>
          <cell r="E32">
            <v>0</v>
          </cell>
          <cell r="F32">
            <v>15</v>
          </cell>
          <cell r="G32">
            <v>6</v>
          </cell>
          <cell r="H32">
            <v>1</v>
          </cell>
          <cell r="I32">
            <v>1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</row>
        <row r="33">
          <cell r="A33" t="str">
            <v>TZ-IUYL240LHY-DOT-M</v>
          </cell>
          <cell r="B33">
            <v>71</v>
          </cell>
          <cell r="C33">
            <v>0</v>
          </cell>
          <cell r="D33">
            <v>10</v>
          </cell>
          <cell r="E33">
            <v>0</v>
          </cell>
          <cell r="F33">
            <v>10</v>
          </cell>
          <cell r="G33">
            <v>1</v>
          </cell>
          <cell r="H33">
            <v>2</v>
          </cell>
          <cell r="I33">
            <v>1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</row>
        <row r="34">
          <cell r="A34" t="str">
            <v>TZ-IUYL240LHY-BONE-S</v>
          </cell>
          <cell r="B34">
            <v>19</v>
          </cell>
          <cell r="C34">
            <v>0</v>
          </cell>
          <cell r="D34">
            <v>218</v>
          </cell>
          <cell r="E34">
            <v>0</v>
          </cell>
          <cell r="F34">
            <v>218</v>
          </cell>
          <cell r="G34">
            <v>15</v>
          </cell>
          <cell r="H34">
            <v>4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</row>
        <row r="35">
          <cell r="A35" t="str">
            <v>TZ-IUYL240LHY-BONE-M</v>
          </cell>
          <cell r="B35">
            <v>0</v>
          </cell>
          <cell r="C35">
            <v>1</v>
          </cell>
          <cell r="D35">
            <v>20</v>
          </cell>
          <cell r="E35">
            <v>0</v>
          </cell>
          <cell r="F35">
            <v>20</v>
          </cell>
          <cell r="G35">
            <v>0</v>
          </cell>
          <cell r="H35">
            <v>1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</row>
        <row r="36">
          <cell r="A36" t="str">
            <v>AQD-IUYL330-GR</v>
          </cell>
          <cell r="B36">
            <v>3</v>
          </cell>
          <cell r="C36">
            <v>0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0</v>
          </cell>
          <cell r="I36">
            <v>0</v>
          </cell>
          <cell r="J36">
            <v>3</v>
          </cell>
          <cell r="K36">
            <v>0</v>
          </cell>
          <cell r="L36">
            <v>0</v>
          </cell>
          <cell r="M36">
            <v>0</v>
          </cell>
        </row>
        <row r="37">
          <cell r="A37" t="str">
            <v>SCF-B01-009</v>
          </cell>
          <cell r="B37">
            <v>3</v>
          </cell>
          <cell r="C37">
            <v>0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  <cell r="K37">
            <v>1</v>
          </cell>
          <cell r="L37">
            <v>2</v>
          </cell>
          <cell r="M37">
            <v>0</v>
          </cell>
        </row>
        <row r="38">
          <cell r="A38" t="str">
            <v>XQ-IUYL320-BL-S</v>
          </cell>
          <cell r="B38">
            <v>4</v>
          </cell>
          <cell r="C38">
            <v>0</v>
          </cell>
          <cell r="D38">
            <v>0</v>
          </cell>
          <cell r="E38">
            <v>0</v>
          </cell>
          <cell r="F38">
            <v>0</v>
          </cell>
          <cell r="G38">
            <v>0</v>
          </cell>
          <cell r="H38">
            <v>0</v>
          </cell>
          <cell r="I38">
            <v>0</v>
          </cell>
          <cell r="J38">
            <v>4</v>
          </cell>
          <cell r="K38">
            <v>0</v>
          </cell>
          <cell r="L38">
            <v>0</v>
          </cell>
          <cell r="M38">
            <v>0</v>
          </cell>
        </row>
        <row r="39">
          <cell r="A39" t="str">
            <v>KZ-LY021-NY-38</v>
          </cell>
          <cell r="B39">
            <v>0</v>
          </cell>
          <cell r="C39">
            <v>0</v>
          </cell>
          <cell r="D39">
            <v>0</v>
          </cell>
          <cell r="E39">
            <v>0</v>
          </cell>
          <cell r="F39">
            <v>0</v>
          </cell>
          <cell r="G39">
            <v>0</v>
          </cell>
          <cell r="H39">
            <v>0</v>
          </cell>
          <cell r="I39">
            <v>0</v>
          </cell>
          <cell r="J39">
            <v>0</v>
          </cell>
          <cell r="K39">
            <v>1</v>
          </cell>
          <cell r="L39">
            <v>0</v>
          </cell>
          <cell r="M39">
            <v>0</v>
          </cell>
        </row>
        <row r="40">
          <cell r="A40" t="str">
            <v>ST172-WT2-S</v>
          </cell>
          <cell r="B40">
            <v>7</v>
          </cell>
          <cell r="C40">
            <v>0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H40">
            <v>0</v>
          </cell>
          <cell r="I40">
            <v>0</v>
          </cell>
          <cell r="J40">
            <v>0</v>
          </cell>
          <cell r="K40">
            <v>0</v>
          </cell>
          <cell r="L40">
            <v>7</v>
          </cell>
          <cell r="M40">
            <v>0</v>
          </cell>
        </row>
        <row r="41">
          <cell r="A41" t="str">
            <v>SCF-C01-014</v>
          </cell>
          <cell r="B41">
            <v>3</v>
          </cell>
          <cell r="C41">
            <v>0</v>
          </cell>
          <cell r="D41">
            <v>0</v>
          </cell>
          <cell r="E41">
            <v>0</v>
          </cell>
          <cell r="F41">
            <v>0</v>
          </cell>
          <cell r="G41">
            <v>0</v>
          </cell>
          <cell r="H41">
            <v>0</v>
          </cell>
          <cell r="I41">
            <v>0</v>
          </cell>
          <cell r="J41">
            <v>1</v>
          </cell>
          <cell r="K41">
            <v>1</v>
          </cell>
          <cell r="L41">
            <v>1</v>
          </cell>
          <cell r="M41">
            <v>0</v>
          </cell>
        </row>
        <row r="42">
          <cell r="A42" t="str">
            <v>XQ-IUYL260-PP-S</v>
          </cell>
          <cell r="B42">
            <v>5</v>
          </cell>
          <cell r="C42">
            <v>0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</row>
        <row r="43">
          <cell r="A43" t="str">
            <v>AQD-IUYL330-DB</v>
          </cell>
          <cell r="B43">
            <v>2</v>
          </cell>
          <cell r="C43">
            <v>0</v>
          </cell>
          <cell r="D43">
            <v>0</v>
          </cell>
          <cell r="E43">
            <v>0</v>
          </cell>
          <cell r="F43">
            <v>0</v>
          </cell>
          <cell r="G43">
            <v>0</v>
          </cell>
          <cell r="H43">
            <v>0</v>
          </cell>
          <cell r="I43">
            <v>0</v>
          </cell>
          <cell r="J43">
            <v>2</v>
          </cell>
          <cell r="K43">
            <v>0</v>
          </cell>
          <cell r="L43">
            <v>0</v>
          </cell>
          <cell r="M43">
            <v>0</v>
          </cell>
        </row>
        <row r="44">
          <cell r="A44" t="str">
            <v>ST172-GR-L</v>
          </cell>
          <cell r="B44">
            <v>18</v>
          </cell>
          <cell r="C44">
            <v>0</v>
          </cell>
          <cell r="D44">
            <v>0</v>
          </cell>
          <cell r="E44">
            <v>0</v>
          </cell>
          <cell r="F44">
            <v>0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  <cell r="K44">
            <v>0</v>
          </cell>
          <cell r="L44">
            <v>18</v>
          </cell>
          <cell r="M44">
            <v>0</v>
          </cell>
        </row>
        <row r="45">
          <cell r="A45" t="str">
            <v>ST155-AG-30</v>
          </cell>
          <cell r="B45">
            <v>3</v>
          </cell>
          <cell r="C45">
            <v>0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I45">
            <v>0</v>
          </cell>
          <cell r="J45">
            <v>0</v>
          </cell>
          <cell r="K45">
            <v>0</v>
          </cell>
          <cell r="L45">
            <v>2</v>
          </cell>
          <cell r="M45">
            <v>0</v>
          </cell>
        </row>
        <row r="46">
          <cell r="A46" t="str">
            <v>SCF-B01-013</v>
          </cell>
          <cell r="B46">
            <v>6</v>
          </cell>
          <cell r="C46">
            <v>0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0</v>
          </cell>
          <cell r="I46">
            <v>0</v>
          </cell>
          <cell r="J46">
            <v>0</v>
          </cell>
          <cell r="K46">
            <v>1</v>
          </cell>
          <cell r="L46">
            <v>5</v>
          </cell>
          <cell r="M46">
            <v>0</v>
          </cell>
        </row>
        <row r="47">
          <cell r="A47" t="str">
            <v>SCF-B01-006</v>
          </cell>
          <cell r="B47">
            <v>2</v>
          </cell>
          <cell r="C47">
            <v>0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>
            <v>1</v>
          </cell>
          <cell r="L47">
            <v>0</v>
          </cell>
          <cell r="M47">
            <v>0</v>
          </cell>
        </row>
        <row r="48">
          <cell r="A48" t="str">
            <v>KZ-LY021-BK-32</v>
          </cell>
          <cell r="B48">
            <v>3</v>
          </cell>
          <cell r="C48">
            <v>0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>
            <v>3</v>
          </cell>
          <cell r="L48">
            <v>0</v>
          </cell>
          <cell r="M48">
            <v>0</v>
          </cell>
        </row>
        <row r="49">
          <cell r="A49" t="str">
            <v>MJ-IUYL230-PK-L</v>
          </cell>
          <cell r="B49">
            <v>3</v>
          </cell>
          <cell r="C49">
            <v>0</v>
          </cell>
          <cell r="D49">
            <v>0</v>
          </cell>
          <cell r="E49">
            <v>10</v>
          </cell>
          <cell r="F49">
            <v>10</v>
          </cell>
          <cell r="G49">
            <v>0</v>
          </cell>
          <cell r="H49">
            <v>0</v>
          </cell>
          <cell r="I49">
            <v>0</v>
          </cell>
          <cell r="J49">
            <v>3</v>
          </cell>
          <cell r="K49">
            <v>0</v>
          </cell>
          <cell r="L49">
            <v>0</v>
          </cell>
          <cell r="M49">
            <v>0</v>
          </cell>
        </row>
        <row r="50">
          <cell r="A50" t="str">
            <v>KZ-LY021-WR-36</v>
          </cell>
          <cell r="B50">
            <v>3</v>
          </cell>
          <cell r="C50">
            <v>0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0</v>
          </cell>
          <cell r="I50">
            <v>0</v>
          </cell>
          <cell r="J50">
            <v>0</v>
          </cell>
          <cell r="K50">
            <v>3</v>
          </cell>
          <cell r="L50">
            <v>0</v>
          </cell>
          <cell r="M50">
            <v>0</v>
          </cell>
        </row>
        <row r="51">
          <cell r="A51" t="str">
            <v>XQ-IUYL320-YL-XL</v>
          </cell>
          <cell r="B51">
            <v>3</v>
          </cell>
          <cell r="C51">
            <v>0</v>
          </cell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>
            <v>0</v>
          </cell>
          <cell r="I51">
            <v>0</v>
          </cell>
          <cell r="J51">
            <v>3</v>
          </cell>
          <cell r="K51">
            <v>0</v>
          </cell>
          <cell r="L51">
            <v>0</v>
          </cell>
          <cell r="M51">
            <v>0</v>
          </cell>
        </row>
        <row r="52">
          <cell r="A52" t="str">
            <v>ST172-PK-M</v>
          </cell>
          <cell r="B52">
            <v>18</v>
          </cell>
          <cell r="C52">
            <v>0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>
            <v>0</v>
          </cell>
          <cell r="I52">
            <v>0</v>
          </cell>
          <cell r="J52">
            <v>0</v>
          </cell>
          <cell r="K52">
            <v>0</v>
          </cell>
          <cell r="L52">
            <v>18</v>
          </cell>
          <cell r="M52">
            <v>0</v>
          </cell>
        </row>
        <row r="53">
          <cell r="A53" t="str">
            <v>XQ-IUYL320-YL-M</v>
          </cell>
          <cell r="B53">
            <v>4</v>
          </cell>
          <cell r="C53">
            <v>0</v>
          </cell>
          <cell r="D53">
            <v>0</v>
          </cell>
          <cell r="E53">
            <v>0</v>
          </cell>
          <cell r="F53">
            <v>0</v>
          </cell>
          <cell r="G53">
            <v>0</v>
          </cell>
          <cell r="H53">
            <v>0</v>
          </cell>
          <cell r="I53">
            <v>0</v>
          </cell>
          <cell r="J53">
            <v>4</v>
          </cell>
          <cell r="K53">
            <v>0</v>
          </cell>
          <cell r="L53">
            <v>0</v>
          </cell>
          <cell r="M53">
            <v>0</v>
          </cell>
        </row>
        <row r="54">
          <cell r="A54" t="str">
            <v>scarf-0001-Peony</v>
          </cell>
          <cell r="B54">
            <v>10</v>
          </cell>
          <cell r="C54">
            <v>0</v>
          </cell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>
            <v>0</v>
          </cell>
          <cell r="I54">
            <v>0</v>
          </cell>
          <cell r="J54">
            <v>0</v>
          </cell>
          <cell r="K54">
            <v>10</v>
          </cell>
          <cell r="L54">
            <v>0</v>
          </cell>
          <cell r="M54">
            <v>0</v>
          </cell>
        </row>
        <row r="55">
          <cell r="A55" t="str">
            <v>TZ-IUYL240-BEAR-L</v>
          </cell>
          <cell r="B55">
            <v>16</v>
          </cell>
          <cell r="C55">
            <v>0</v>
          </cell>
          <cell r="D55">
            <v>3</v>
          </cell>
          <cell r="E55">
            <v>0</v>
          </cell>
          <cell r="F55">
            <v>3</v>
          </cell>
          <cell r="G55">
            <v>0</v>
          </cell>
          <cell r="H55">
            <v>0</v>
          </cell>
          <cell r="I55">
            <v>0</v>
          </cell>
          <cell r="J55">
            <v>0</v>
          </cell>
          <cell r="K55">
            <v>0</v>
          </cell>
          <cell r="L55">
            <v>0</v>
          </cell>
          <cell r="M55">
            <v>0</v>
          </cell>
        </row>
        <row r="56">
          <cell r="A56" t="str">
            <v>XQ-IUYL320-CF-M</v>
          </cell>
          <cell r="B56">
            <v>4</v>
          </cell>
          <cell r="C56">
            <v>0</v>
          </cell>
          <cell r="D56">
            <v>0</v>
          </cell>
          <cell r="E56">
            <v>0</v>
          </cell>
          <cell r="F56">
            <v>0</v>
          </cell>
          <cell r="G56">
            <v>0</v>
          </cell>
          <cell r="H56">
            <v>0</v>
          </cell>
          <cell r="I56">
            <v>0</v>
          </cell>
          <cell r="J56">
            <v>4</v>
          </cell>
          <cell r="K56">
            <v>0</v>
          </cell>
          <cell r="L56">
            <v>0</v>
          </cell>
          <cell r="M56">
            <v>0</v>
          </cell>
        </row>
        <row r="57">
          <cell r="A57" t="str">
            <v>DZ-IUYL200-GR</v>
          </cell>
          <cell r="B57">
            <v>4</v>
          </cell>
          <cell r="C57">
            <v>0</v>
          </cell>
          <cell r="D57">
            <v>0</v>
          </cell>
          <cell r="E57">
            <v>0</v>
          </cell>
          <cell r="F57">
            <v>0</v>
          </cell>
          <cell r="G57">
            <v>0</v>
          </cell>
          <cell r="H57">
            <v>0</v>
          </cell>
          <cell r="I57">
            <v>0</v>
          </cell>
          <cell r="J57">
            <v>4</v>
          </cell>
          <cell r="K57">
            <v>0</v>
          </cell>
          <cell r="L57">
            <v>0</v>
          </cell>
          <cell r="M57">
            <v>0</v>
          </cell>
        </row>
        <row r="58">
          <cell r="A58" t="str">
            <v>GW-LULHY-5.1</v>
          </cell>
          <cell r="B58">
            <v>10</v>
          </cell>
          <cell r="C58">
            <v>0</v>
          </cell>
          <cell r="D58">
            <v>0</v>
          </cell>
          <cell r="E58">
            <v>0</v>
          </cell>
          <cell r="F58">
            <v>0</v>
          </cell>
          <cell r="G58">
            <v>0</v>
          </cell>
          <cell r="H58">
            <v>0</v>
          </cell>
          <cell r="I58">
            <v>0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</row>
        <row r="59">
          <cell r="A59" t="str">
            <v>XQ-IUYL320-GN-M</v>
          </cell>
          <cell r="B59">
            <v>4</v>
          </cell>
          <cell r="C59">
            <v>0</v>
          </cell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>
            <v>0</v>
          </cell>
          <cell r="I59">
            <v>0</v>
          </cell>
          <cell r="J59">
            <v>4</v>
          </cell>
          <cell r="K59">
            <v>0</v>
          </cell>
          <cell r="L59">
            <v>0</v>
          </cell>
          <cell r="M59">
            <v>0</v>
          </cell>
        </row>
        <row r="60">
          <cell r="A60" t="str">
            <v>ST166-K33-4-S</v>
          </cell>
          <cell r="B60">
            <v>5</v>
          </cell>
          <cell r="C60">
            <v>0</v>
          </cell>
          <cell r="D60">
            <v>0</v>
          </cell>
          <cell r="E60">
            <v>0</v>
          </cell>
          <cell r="F60">
            <v>0</v>
          </cell>
          <cell r="G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5</v>
          </cell>
          <cell r="M60">
            <v>0</v>
          </cell>
        </row>
        <row r="61">
          <cell r="A61" t="str">
            <v>ST172-NY-XL</v>
          </cell>
          <cell r="B61">
            <v>16</v>
          </cell>
          <cell r="C61">
            <v>0</v>
          </cell>
          <cell r="D61">
            <v>0</v>
          </cell>
          <cell r="E61">
            <v>0</v>
          </cell>
          <cell r="F61">
            <v>0</v>
          </cell>
          <cell r="G61">
            <v>0</v>
          </cell>
          <cell r="H61">
            <v>0</v>
          </cell>
          <cell r="I61">
            <v>0</v>
          </cell>
          <cell r="J61">
            <v>0</v>
          </cell>
          <cell r="K61">
            <v>1</v>
          </cell>
          <cell r="L61">
            <v>15</v>
          </cell>
          <cell r="M61">
            <v>0</v>
          </cell>
        </row>
        <row r="62">
          <cell r="A62" t="str">
            <v>ST172-WT1-XXL</v>
          </cell>
          <cell r="B62">
            <v>15</v>
          </cell>
          <cell r="C62">
            <v>0</v>
          </cell>
          <cell r="D62">
            <v>0</v>
          </cell>
          <cell r="E62">
            <v>0</v>
          </cell>
          <cell r="F62">
            <v>0</v>
          </cell>
          <cell r="G62">
            <v>0</v>
          </cell>
          <cell r="H62">
            <v>0</v>
          </cell>
          <cell r="I62">
            <v>0</v>
          </cell>
          <cell r="J62">
            <v>0</v>
          </cell>
          <cell r="K62">
            <v>0</v>
          </cell>
          <cell r="L62">
            <v>14</v>
          </cell>
          <cell r="M62">
            <v>0</v>
          </cell>
        </row>
        <row r="63">
          <cell r="A63" t="str">
            <v>KZ-LY021-WR-38</v>
          </cell>
          <cell r="B63">
            <v>3</v>
          </cell>
          <cell r="C63">
            <v>0</v>
          </cell>
          <cell r="D63">
            <v>0</v>
          </cell>
          <cell r="E63">
            <v>0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  <cell r="K63">
            <v>3</v>
          </cell>
          <cell r="L63">
            <v>0</v>
          </cell>
          <cell r="M63">
            <v>0</v>
          </cell>
        </row>
        <row r="64">
          <cell r="A64" t="str">
            <v>XQ-IUYL320-BL-M</v>
          </cell>
          <cell r="B64">
            <v>4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G64">
            <v>0</v>
          </cell>
          <cell r="H64">
            <v>0</v>
          </cell>
          <cell r="I64">
            <v>0</v>
          </cell>
          <cell r="J64">
            <v>4</v>
          </cell>
          <cell r="K64">
            <v>0</v>
          </cell>
          <cell r="L64">
            <v>0</v>
          </cell>
          <cell r="M64">
            <v>0</v>
          </cell>
        </row>
        <row r="65">
          <cell r="A65" t="str">
            <v>MMDC-IUHM100-BL</v>
          </cell>
          <cell r="B65">
            <v>3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G65">
            <v>0</v>
          </cell>
          <cell r="H65">
            <v>0</v>
          </cell>
          <cell r="I65">
            <v>0</v>
          </cell>
          <cell r="J65">
            <v>0</v>
          </cell>
          <cell r="K65">
            <v>0</v>
          </cell>
          <cell r="L65">
            <v>0</v>
          </cell>
          <cell r="M65">
            <v>0</v>
          </cell>
        </row>
        <row r="66">
          <cell r="A66" t="str">
            <v>XQ-IUYL320-DB-S</v>
          </cell>
          <cell r="B66">
            <v>4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  <cell r="J66">
            <v>4</v>
          </cell>
          <cell r="K66">
            <v>0</v>
          </cell>
          <cell r="L66">
            <v>0</v>
          </cell>
          <cell r="M66">
            <v>0</v>
          </cell>
        </row>
        <row r="67">
          <cell r="A67" t="str">
            <v>XQ-IUYL260-RD-M</v>
          </cell>
          <cell r="B67">
            <v>5</v>
          </cell>
          <cell r="C67">
            <v>0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</row>
        <row r="68">
          <cell r="A68" t="str">
            <v>KZ-LY021-KK-34</v>
          </cell>
          <cell r="B68">
            <v>2</v>
          </cell>
          <cell r="C68">
            <v>0</v>
          </cell>
          <cell r="D68">
            <v>0</v>
          </cell>
          <cell r="E68">
            <v>0</v>
          </cell>
          <cell r="F68">
            <v>0</v>
          </cell>
          <cell r="G68">
            <v>0</v>
          </cell>
          <cell r="H68">
            <v>0</v>
          </cell>
          <cell r="I68">
            <v>0</v>
          </cell>
          <cell r="J68">
            <v>0</v>
          </cell>
          <cell r="K68">
            <v>1</v>
          </cell>
          <cell r="L68">
            <v>0</v>
          </cell>
          <cell r="M68">
            <v>0</v>
          </cell>
        </row>
        <row r="69">
          <cell r="A69" t="str">
            <v>XQ-IUYL260-PK-M</v>
          </cell>
          <cell r="B69">
            <v>1</v>
          </cell>
          <cell r="C69">
            <v>0</v>
          </cell>
          <cell r="D69">
            <v>0</v>
          </cell>
          <cell r="E69">
            <v>0</v>
          </cell>
          <cell r="F69">
            <v>0</v>
          </cell>
          <cell r="G69">
            <v>0</v>
          </cell>
          <cell r="H69">
            <v>0</v>
          </cell>
          <cell r="I69">
            <v>0</v>
          </cell>
          <cell r="J69">
            <v>0</v>
          </cell>
          <cell r="K69">
            <v>0</v>
          </cell>
          <cell r="L69">
            <v>0</v>
          </cell>
          <cell r="M69">
            <v>0</v>
          </cell>
        </row>
        <row r="70">
          <cell r="A70" t="str">
            <v>ST171-Sa911-S</v>
          </cell>
          <cell r="B70">
            <v>13</v>
          </cell>
          <cell r="C70">
            <v>0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>
            <v>0</v>
          </cell>
          <cell r="L70">
            <v>13</v>
          </cell>
          <cell r="M70">
            <v>0</v>
          </cell>
        </row>
        <row r="71">
          <cell r="A71" t="str">
            <v>KZ-LY021-BK-34</v>
          </cell>
          <cell r="B71">
            <v>3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>
            <v>3</v>
          </cell>
          <cell r="L71">
            <v>0</v>
          </cell>
          <cell r="M71">
            <v>0</v>
          </cell>
        </row>
        <row r="72">
          <cell r="A72" t="str">
            <v>ST173-PK-XL</v>
          </cell>
          <cell r="B72">
            <v>1</v>
          </cell>
          <cell r="C72">
            <v>0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</row>
        <row r="73">
          <cell r="A73" t="str">
            <v>GW-LULHY-10</v>
          </cell>
          <cell r="B73">
            <v>23</v>
          </cell>
          <cell r="C73">
            <v>0</v>
          </cell>
          <cell r="D73">
            <v>0</v>
          </cell>
          <cell r="E73">
            <v>0</v>
          </cell>
          <cell r="F73">
            <v>0</v>
          </cell>
          <cell r="G73">
            <v>0</v>
          </cell>
          <cell r="H73">
            <v>0</v>
          </cell>
          <cell r="I73">
            <v>0</v>
          </cell>
          <cell r="J73">
            <v>0</v>
          </cell>
          <cell r="K73">
            <v>0</v>
          </cell>
          <cell r="L73">
            <v>0</v>
          </cell>
          <cell r="M73">
            <v>0</v>
          </cell>
        </row>
        <row r="74">
          <cell r="A74" t="str">
            <v>LGQ-IUYL100-BL</v>
          </cell>
          <cell r="B74">
            <v>17</v>
          </cell>
          <cell r="C74">
            <v>0</v>
          </cell>
          <cell r="D74">
            <v>0</v>
          </cell>
          <cell r="E74">
            <v>0</v>
          </cell>
          <cell r="F74">
            <v>0</v>
          </cell>
          <cell r="G74">
            <v>0</v>
          </cell>
          <cell r="H74">
            <v>0</v>
          </cell>
          <cell r="I74">
            <v>0</v>
          </cell>
          <cell r="J74">
            <v>0</v>
          </cell>
          <cell r="K74">
            <v>0</v>
          </cell>
          <cell r="L74">
            <v>0</v>
          </cell>
          <cell r="M74">
            <v>0</v>
          </cell>
        </row>
        <row r="75">
          <cell r="A75" t="str">
            <v>ST172-PP-L</v>
          </cell>
          <cell r="B75">
            <v>5</v>
          </cell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>
            <v>0</v>
          </cell>
          <cell r="L75">
            <v>5</v>
          </cell>
          <cell r="M75">
            <v>0</v>
          </cell>
        </row>
        <row r="76">
          <cell r="A76" t="str">
            <v>XQ-IUYL260-BL2-S</v>
          </cell>
          <cell r="B76">
            <v>12</v>
          </cell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>
            <v>0</v>
          </cell>
          <cell r="J76">
            <v>7</v>
          </cell>
          <cell r="K76">
            <v>0</v>
          </cell>
          <cell r="L76">
            <v>0</v>
          </cell>
          <cell r="M76">
            <v>0</v>
          </cell>
        </row>
        <row r="77">
          <cell r="A77" t="str">
            <v>ST172-WR-M</v>
          </cell>
          <cell r="B77">
            <v>9</v>
          </cell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>
            <v>1</v>
          </cell>
          <cell r="L77">
            <v>8</v>
          </cell>
          <cell r="M77">
            <v>0</v>
          </cell>
        </row>
        <row r="78">
          <cell r="A78" t="str">
            <v>LYQ-WF7125-PO-M</v>
          </cell>
          <cell r="B78">
            <v>1</v>
          </cell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H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</row>
        <row r="79">
          <cell r="A79" t="str">
            <v>SCF-C01-011</v>
          </cell>
          <cell r="B79">
            <v>7</v>
          </cell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H79">
            <v>0</v>
          </cell>
          <cell r="I79">
            <v>0</v>
          </cell>
          <cell r="J79">
            <v>0</v>
          </cell>
          <cell r="K79">
            <v>1</v>
          </cell>
          <cell r="L79">
            <v>6</v>
          </cell>
          <cell r="M79">
            <v>0</v>
          </cell>
        </row>
        <row r="80">
          <cell r="A80" t="str">
            <v>LYQ-WF7125-PO-L</v>
          </cell>
          <cell r="B80">
            <v>5</v>
          </cell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H80">
            <v>0</v>
          </cell>
          <cell r="I80">
            <v>0</v>
          </cell>
          <cell r="J80">
            <v>0</v>
          </cell>
          <cell r="K80">
            <v>5</v>
          </cell>
          <cell r="L80">
            <v>0</v>
          </cell>
          <cell r="M80">
            <v>0</v>
          </cell>
        </row>
        <row r="81">
          <cell r="A81" t="str">
            <v>ST172-WT1-S</v>
          </cell>
          <cell r="B81">
            <v>10</v>
          </cell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H81">
            <v>0</v>
          </cell>
          <cell r="I81">
            <v>0</v>
          </cell>
          <cell r="J81">
            <v>0</v>
          </cell>
          <cell r="K81">
            <v>0</v>
          </cell>
          <cell r="L81">
            <v>8</v>
          </cell>
          <cell r="M81">
            <v>0</v>
          </cell>
        </row>
        <row r="82">
          <cell r="A82" t="str">
            <v>XQ-IUYL260-GN-S</v>
          </cell>
          <cell r="B82">
            <v>9</v>
          </cell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H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</row>
        <row r="83">
          <cell r="A83" t="str">
            <v>SCF-B01-022</v>
          </cell>
          <cell r="B83">
            <v>7</v>
          </cell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H83">
            <v>0</v>
          </cell>
          <cell r="I83">
            <v>0</v>
          </cell>
          <cell r="J83">
            <v>0</v>
          </cell>
          <cell r="K83">
            <v>1</v>
          </cell>
          <cell r="L83">
            <v>6</v>
          </cell>
          <cell r="M83">
            <v>0</v>
          </cell>
        </row>
        <row r="84">
          <cell r="A84" t="str">
            <v>GS-IUYL280-1</v>
          </cell>
          <cell r="B84">
            <v>3</v>
          </cell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H84">
            <v>0</v>
          </cell>
          <cell r="I84">
            <v>0</v>
          </cell>
          <cell r="J84">
            <v>3</v>
          </cell>
          <cell r="K84">
            <v>0</v>
          </cell>
          <cell r="L84">
            <v>0</v>
          </cell>
          <cell r="M84">
            <v>0</v>
          </cell>
        </row>
        <row r="85">
          <cell r="A85" t="str">
            <v>LYQ-WF7125-BO-2X</v>
          </cell>
          <cell r="B85">
            <v>3</v>
          </cell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H85">
            <v>0</v>
          </cell>
          <cell r="I85">
            <v>0</v>
          </cell>
          <cell r="J85">
            <v>0</v>
          </cell>
          <cell r="K85">
            <v>3</v>
          </cell>
          <cell r="L85">
            <v>0</v>
          </cell>
          <cell r="M85">
            <v>0</v>
          </cell>
        </row>
        <row r="86">
          <cell r="A86" t="str">
            <v>XQ-IUYL320-PK-M</v>
          </cell>
          <cell r="B86">
            <v>2</v>
          </cell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H86">
            <v>0</v>
          </cell>
          <cell r="I86">
            <v>0</v>
          </cell>
          <cell r="J86">
            <v>2</v>
          </cell>
          <cell r="K86">
            <v>0</v>
          </cell>
          <cell r="L86">
            <v>0</v>
          </cell>
          <cell r="M86">
            <v>0</v>
          </cell>
        </row>
        <row r="87">
          <cell r="A87" t="str">
            <v>KZ-LY021-WR-40</v>
          </cell>
          <cell r="B87">
            <v>3</v>
          </cell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H87">
            <v>0</v>
          </cell>
          <cell r="I87">
            <v>0</v>
          </cell>
          <cell r="J87">
            <v>0</v>
          </cell>
          <cell r="K87">
            <v>3</v>
          </cell>
          <cell r="L87">
            <v>0</v>
          </cell>
          <cell r="M87">
            <v>0</v>
          </cell>
        </row>
        <row r="88">
          <cell r="A88" t="str">
            <v>ST172-WT2-XL</v>
          </cell>
          <cell r="B88">
            <v>1</v>
          </cell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H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</row>
        <row r="89">
          <cell r="A89" t="str">
            <v>LYQ-WF7125-PO-XL</v>
          </cell>
          <cell r="B89">
            <v>4</v>
          </cell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H89">
            <v>0</v>
          </cell>
          <cell r="I89">
            <v>0</v>
          </cell>
          <cell r="J89">
            <v>0</v>
          </cell>
          <cell r="K89">
            <v>4</v>
          </cell>
          <cell r="L89">
            <v>0</v>
          </cell>
          <cell r="M89">
            <v>0</v>
          </cell>
        </row>
        <row r="90">
          <cell r="A90" t="str">
            <v>TZ-IUYL240-RABBIT-L</v>
          </cell>
          <cell r="B90">
            <v>16</v>
          </cell>
          <cell r="C90">
            <v>0</v>
          </cell>
          <cell r="D90">
            <v>3</v>
          </cell>
          <cell r="E90">
            <v>0</v>
          </cell>
          <cell r="F90">
            <v>3</v>
          </cell>
          <cell r="G90">
            <v>0</v>
          </cell>
          <cell r="H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</row>
        <row r="91">
          <cell r="A91" t="str">
            <v>ST005-BK-S</v>
          </cell>
          <cell r="B91">
            <v>8</v>
          </cell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H91">
            <v>0</v>
          </cell>
          <cell r="I91">
            <v>0</v>
          </cell>
          <cell r="J91">
            <v>7</v>
          </cell>
          <cell r="K91">
            <v>0</v>
          </cell>
          <cell r="L91">
            <v>1</v>
          </cell>
          <cell r="M91">
            <v>0</v>
          </cell>
        </row>
        <row r="92">
          <cell r="A92" t="str">
            <v>XQ-IUYL320-PK-L</v>
          </cell>
          <cell r="B92">
            <v>1</v>
          </cell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H92">
            <v>0</v>
          </cell>
          <cell r="I92">
            <v>0</v>
          </cell>
          <cell r="J92">
            <v>1</v>
          </cell>
          <cell r="K92">
            <v>0</v>
          </cell>
          <cell r="L92">
            <v>0</v>
          </cell>
          <cell r="M92">
            <v>0</v>
          </cell>
        </row>
        <row r="93">
          <cell r="A93" t="str">
            <v>SCF-B01-004</v>
          </cell>
          <cell r="B93">
            <v>10</v>
          </cell>
          <cell r="C93">
            <v>0</v>
          </cell>
          <cell r="D93">
            <v>0</v>
          </cell>
          <cell r="E93">
            <v>0</v>
          </cell>
          <cell r="F93">
            <v>0</v>
          </cell>
          <cell r="G93">
            <v>0</v>
          </cell>
          <cell r="H93">
            <v>0</v>
          </cell>
          <cell r="I93">
            <v>0</v>
          </cell>
          <cell r="J93">
            <v>0</v>
          </cell>
          <cell r="K93">
            <v>1</v>
          </cell>
          <cell r="L93">
            <v>9</v>
          </cell>
          <cell r="M93">
            <v>0</v>
          </cell>
        </row>
        <row r="94">
          <cell r="A94" t="str">
            <v>XQ-IUYL320-PP-S</v>
          </cell>
          <cell r="B94">
            <v>4</v>
          </cell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>
            <v>0</v>
          </cell>
          <cell r="H94">
            <v>0</v>
          </cell>
          <cell r="I94">
            <v>0</v>
          </cell>
          <cell r="J94">
            <v>4</v>
          </cell>
          <cell r="K94">
            <v>0</v>
          </cell>
          <cell r="L94">
            <v>0</v>
          </cell>
          <cell r="M94">
            <v>0</v>
          </cell>
        </row>
        <row r="95">
          <cell r="A95" t="str">
            <v>SCF-C01-007</v>
          </cell>
          <cell r="B95">
            <v>4</v>
          </cell>
          <cell r="C95">
            <v>0</v>
          </cell>
          <cell r="D95">
            <v>0</v>
          </cell>
          <cell r="E95">
            <v>0</v>
          </cell>
          <cell r="F95">
            <v>0</v>
          </cell>
          <cell r="G95">
            <v>0</v>
          </cell>
          <cell r="H95">
            <v>0</v>
          </cell>
          <cell r="I95">
            <v>0</v>
          </cell>
          <cell r="J95">
            <v>0</v>
          </cell>
          <cell r="K95">
            <v>1</v>
          </cell>
          <cell r="L95">
            <v>3</v>
          </cell>
          <cell r="M95">
            <v>0</v>
          </cell>
        </row>
        <row r="96">
          <cell r="A96" t="str">
            <v>ST172-BK-M</v>
          </cell>
          <cell r="B96">
            <v>6</v>
          </cell>
          <cell r="C96">
            <v>0</v>
          </cell>
          <cell r="D96">
            <v>0</v>
          </cell>
          <cell r="E96">
            <v>0</v>
          </cell>
          <cell r="F96">
            <v>0</v>
          </cell>
          <cell r="G96">
            <v>0</v>
          </cell>
          <cell r="H96">
            <v>0</v>
          </cell>
          <cell r="I96">
            <v>0</v>
          </cell>
          <cell r="J96">
            <v>0</v>
          </cell>
          <cell r="K96">
            <v>0</v>
          </cell>
          <cell r="L96">
            <v>6</v>
          </cell>
          <cell r="M96">
            <v>0</v>
          </cell>
        </row>
        <row r="97">
          <cell r="A97" t="str">
            <v>LYQ-WF7125-KO-XL</v>
          </cell>
          <cell r="B97">
            <v>4</v>
          </cell>
          <cell r="C97">
            <v>0</v>
          </cell>
          <cell r="D97">
            <v>0</v>
          </cell>
          <cell r="E97">
            <v>0</v>
          </cell>
          <cell r="F97">
            <v>0</v>
          </cell>
          <cell r="G97">
            <v>0</v>
          </cell>
          <cell r="H97">
            <v>0</v>
          </cell>
          <cell r="I97">
            <v>0</v>
          </cell>
          <cell r="J97">
            <v>0</v>
          </cell>
          <cell r="K97">
            <v>3</v>
          </cell>
          <cell r="L97">
            <v>0</v>
          </cell>
          <cell r="M97">
            <v>0</v>
          </cell>
        </row>
        <row r="98">
          <cell r="A98" t="str">
            <v>LYQ-WF7125-PO-XS</v>
          </cell>
          <cell r="B98">
            <v>1</v>
          </cell>
          <cell r="C98">
            <v>0</v>
          </cell>
          <cell r="D98">
            <v>0</v>
          </cell>
          <cell r="E98">
            <v>0</v>
          </cell>
          <cell r="F98">
            <v>0</v>
          </cell>
          <cell r="G98">
            <v>0</v>
          </cell>
          <cell r="H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</row>
        <row r="99">
          <cell r="A99" t="str">
            <v>SCF-B01-007</v>
          </cell>
          <cell r="B99">
            <v>6</v>
          </cell>
          <cell r="C99">
            <v>0</v>
          </cell>
          <cell r="D99">
            <v>0</v>
          </cell>
          <cell r="E99">
            <v>0</v>
          </cell>
          <cell r="F99">
            <v>0</v>
          </cell>
          <cell r="G99">
            <v>0</v>
          </cell>
          <cell r="H99">
            <v>0</v>
          </cell>
          <cell r="I99">
            <v>0</v>
          </cell>
          <cell r="J99">
            <v>0</v>
          </cell>
          <cell r="K99">
            <v>1</v>
          </cell>
          <cell r="L99">
            <v>5</v>
          </cell>
          <cell r="M99">
            <v>0</v>
          </cell>
        </row>
        <row r="100">
          <cell r="A100" t="str">
            <v>AQD-IUYL340-LP</v>
          </cell>
          <cell r="B100">
            <v>3</v>
          </cell>
          <cell r="C100">
            <v>0</v>
          </cell>
          <cell r="D100">
            <v>0</v>
          </cell>
          <cell r="E100">
            <v>0</v>
          </cell>
          <cell r="F100">
            <v>0</v>
          </cell>
          <cell r="G100">
            <v>0</v>
          </cell>
          <cell r="H100">
            <v>0</v>
          </cell>
          <cell r="I100">
            <v>0</v>
          </cell>
          <cell r="J100">
            <v>3</v>
          </cell>
          <cell r="K100">
            <v>0</v>
          </cell>
          <cell r="L100">
            <v>0</v>
          </cell>
          <cell r="M100">
            <v>0</v>
          </cell>
        </row>
        <row r="101">
          <cell r="A101" t="str">
            <v>ST173-PK-XXL</v>
          </cell>
          <cell r="B101">
            <v>0</v>
          </cell>
          <cell r="C101">
            <v>0</v>
          </cell>
          <cell r="D101">
            <v>0</v>
          </cell>
          <cell r="E101">
            <v>0</v>
          </cell>
          <cell r="F101">
            <v>0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  <cell r="K101">
            <v>0</v>
          </cell>
          <cell r="L101">
            <v>0</v>
          </cell>
          <cell r="M101">
            <v>0</v>
          </cell>
        </row>
        <row r="102">
          <cell r="A102" t="str">
            <v>ST172-WT1-XL</v>
          </cell>
          <cell r="B102">
            <v>17</v>
          </cell>
          <cell r="C102">
            <v>0</v>
          </cell>
          <cell r="D102">
            <v>0</v>
          </cell>
          <cell r="E102">
            <v>0</v>
          </cell>
          <cell r="F102">
            <v>0</v>
          </cell>
          <cell r="G102">
            <v>0</v>
          </cell>
          <cell r="H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17</v>
          </cell>
          <cell r="M102">
            <v>0</v>
          </cell>
        </row>
        <row r="103">
          <cell r="A103" t="str">
            <v>ST172-GR-M</v>
          </cell>
          <cell r="B103">
            <v>14</v>
          </cell>
          <cell r="C103">
            <v>0</v>
          </cell>
          <cell r="D103">
            <v>0</v>
          </cell>
          <cell r="E103">
            <v>0</v>
          </cell>
          <cell r="F103">
            <v>0</v>
          </cell>
          <cell r="G103">
            <v>0</v>
          </cell>
          <cell r="H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14</v>
          </cell>
          <cell r="M103">
            <v>0</v>
          </cell>
        </row>
        <row r="104">
          <cell r="A104" t="str">
            <v>SCF-C01-008</v>
          </cell>
          <cell r="B104">
            <v>4</v>
          </cell>
          <cell r="C104">
            <v>0</v>
          </cell>
          <cell r="D104">
            <v>0</v>
          </cell>
          <cell r="E104">
            <v>0</v>
          </cell>
          <cell r="F104">
            <v>0</v>
          </cell>
          <cell r="G104">
            <v>0</v>
          </cell>
          <cell r="H104">
            <v>0</v>
          </cell>
          <cell r="I104">
            <v>0</v>
          </cell>
          <cell r="J104">
            <v>0</v>
          </cell>
          <cell r="K104">
            <v>1</v>
          </cell>
          <cell r="L104">
            <v>3</v>
          </cell>
          <cell r="M104">
            <v>0</v>
          </cell>
        </row>
        <row r="105">
          <cell r="A105" t="str">
            <v>SCF-D01-007</v>
          </cell>
          <cell r="B105">
            <v>3</v>
          </cell>
          <cell r="C105">
            <v>0</v>
          </cell>
          <cell r="D105">
            <v>0</v>
          </cell>
          <cell r="E105">
            <v>0</v>
          </cell>
          <cell r="F105">
            <v>0</v>
          </cell>
          <cell r="G105">
            <v>0</v>
          </cell>
          <cell r="H105">
            <v>0</v>
          </cell>
          <cell r="I105">
            <v>0</v>
          </cell>
          <cell r="J105">
            <v>0</v>
          </cell>
          <cell r="K105">
            <v>1</v>
          </cell>
          <cell r="L105">
            <v>1</v>
          </cell>
          <cell r="M105">
            <v>0</v>
          </cell>
        </row>
        <row r="106">
          <cell r="A106" t="str">
            <v>TZ-IUYL240LHY-STRAWBERRY-M</v>
          </cell>
          <cell r="B106">
            <v>84</v>
          </cell>
          <cell r="C106">
            <v>0</v>
          </cell>
          <cell r="D106">
            <v>0</v>
          </cell>
          <cell r="E106">
            <v>0</v>
          </cell>
          <cell r="F106">
            <v>0</v>
          </cell>
          <cell r="G106">
            <v>0</v>
          </cell>
          <cell r="H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</row>
        <row r="107">
          <cell r="A107" t="str">
            <v>ST172-WR-XL</v>
          </cell>
          <cell r="B107">
            <v>8</v>
          </cell>
          <cell r="C107">
            <v>0</v>
          </cell>
          <cell r="D107">
            <v>0</v>
          </cell>
          <cell r="E107">
            <v>0</v>
          </cell>
          <cell r="F107">
            <v>0</v>
          </cell>
          <cell r="G107">
            <v>0</v>
          </cell>
          <cell r="H107">
            <v>0</v>
          </cell>
          <cell r="I107">
            <v>0</v>
          </cell>
          <cell r="J107">
            <v>0</v>
          </cell>
          <cell r="K107">
            <v>1</v>
          </cell>
          <cell r="L107">
            <v>7</v>
          </cell>
          <cell r="M107">
            <v>0</v>
          </cell>
        </row>
        <row r="108">
          <cell r="A108" t="str">
            <v>SCF-B01-014</v>
          </cell>
          <cell r="B108">
            <v>6</v>
          </cell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1</v>
          </cell>
          <cell r="L108">
            <v>5</v>
          </cell>
          <cell r="M108">
            <v>0</v>
          </cell>
        </row>
        <row r="109">
          <cell r="A109" t="str">
            <v>LYQ-WF7125-NO-2L</v>
          </cell>
          <cell r="B109">
            <v>4</v>
          </cell>
          <cell r="C109">
            <v>0</v>
          </cell>
          <cell r="D109">
            <v>0</v>
          </cell>
          <cell r="E109">
            <v>0</v>
          </cell>
          <cell r="F109">
            <v>0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>
            <v>4</v>
          </cell>
          <cell r="L109">
            <v>0</v>
          </cell>
          <cell r="M109">
            <v>0</v>
          </cell>
        </row>
        <row r="110">
          <cell r="A110" t="str">
            <v>SCF-C01-013</v>
          </cell>
          <cell r="B110">
            <v>4</v>
          </cell>
          <cell r="C110">
            <v>0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>
            <v>1</v>
          </cell>
          <cell r="L110">
            <v>3</v>
          </cell>
          <cell r="M110">
            <v>0</v>
          </cell>
        </row>
        <row r="111">
          <cell r="A111" t="str">
            <v>LYQ-WF7125-WO-2L</v>
          </cell>
          <cell r="B111">
            <v>4</v>
          </cell>
          <cell r="C111">
            <v>0</v>
          </cell>
          <cell r="D111">
            <v>0</v>
          </cell>
          <cell r="E111">
            <v>0</v>
          </cell>
          <cell r="F111">
            <v>0</v>
          </cell>
          <cell r="G111">
            <v>0</v>
          </cell>
          <cell r="H111">
            <v>0</v>
          </cell>
          <cell r="I111">
            <v>0</v>
          </cell>
          <cell r="J111">
            <v>0</v>
          </cell>
          <cell r="K111">
            <v>3</v>
          </cell>
          <cell r="L111">
            <v>0</v>
          </cell>
          <cell r="M111">
            <v>0</v>
          </cell>
        </row>
        <row r="112">
          <cell r="A112" t="str">
            <v>XQ-IUYL320-RD-XL</v>
          </cell>
          <cell r="B112">
            <v>4</v>
          </cell>
          <cell r="C112">
            <v>0</v>
          </cell>
          <cell r="D112">
            <v>0</v>
          </cell>
          <cell r="E112">
            <v>0</v>
          </cell>
          <cell r="F112">
            <v>0</v>
          </cell>
          <cell r="G112">
            <v>0</v>
          </cell>
          <cell r="H112">
            <v>0</v>
          </cell>
          <cell r="I112">
            <v>0</v>
          </cell>
          <cell r="J112">
            <v>4</v>
          </cell>
          <cell r="K112">
            <v>0</v>
          </cell>
          <cell r="L112">
            <v>0</v>
          </cell>
          <cell r="M112">
            <v>0</v>
          </cell>
        </row>
        <row r="113">
          <cell r="A113" t="str">
            <v>ST155-AG-32</v>
          </cell>
          <cell r="B113">
            <v>1</v>
          </cell>
          <cell r="C113">
            <v>0</v>
          </cell>
          <cell r="D113">
            <v>0</v>
          </cell>
          <cell r="E113">
            <v>0</v>
          </cell>
          <cell r="F113">
            <v>0</v>
          </cell>
          <cell r="G113">
            <v>0</v>
          </cell>
          <cell r="H113">
            <v>0</v>
          </cell>
          <cell r="I113">
            <v>0</v>
          </cell>
          <cell r="J113">
            <v>0</v>
          </cell>
          <cell r="K113">
            <v>0</v>
          </cell>
          <cell r="L113">
            <v>0</v>
          </cell>
          <cell r="M113">
            <v>0</v>
          </cell>
        </row>
        <row r="114">
          <cell r="A114" t="str">
            <v>SCF-C01-012</v>
          </cell>
          <cell r="B114">
            <v>5</v>
          </cell>
          <cell r="C114">
            <v>0</v>
          </cell>
          <cell r="D114">
            <v>0</v>
          </cell>
          <cell r="E114">
            <v>0</v>
          </cell>
          <cell r="F114">
            <v>0</v>
          </cell>
          <cell r="G114">
            <v>0</v>
          </cell>
          <cell r="H114">
            <v>0</v>
          </cell>
          <cell r="I114">
            <v>0</v>
          </cell>
          <cell r="J114">
            <v>1</v>
          </cell>
          <cell r="K114">
            <v>2</v>
          </cell>
          <cell r="L114">
            <v>2</v>
          </cell>
          <cell r="M114">
            <v>0</v>
          </cell>
        </row>
        <row r="115">
          <cell r="A115" t="str">
            <v>KZ-LY021-BL-40</v>
          </cell>
          <cell r="B115">
            <v>2</v>
          </cell>
          <cell r="C115">
            <v>0</v>
          </cell>
          <cell r="D115">
            <v>0</v>
          </cell>
          <cell r="E115">
            <v>0</v>
          </cell>
          <cell r="F115">
            <v>0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  <cell r="K115">
            <v>2</v>
          </cell>
          <cell r="L115">
            <v>0</v>
          </cell>
          <cell r="M115">
            <v>0</v>
          </cell>
        </row>
        <row r="116">
          <cell r="A116" t="str">
            <v>ST006-BL2-S</v>
          </cell>
          <cell r="B116">
            <v>1</v>
          </cell>
          <cell r="C116">
            <v>0</v>
          </cell>
          <cell r="D116">
            <v>0</v>
          </cell>
          <cell r="E116">
            <v>0</v>
          </cell>
          <cell r="F116">
            <v>0</v>
          </cell>
          <cell r="G116">
            <v>0</v>
          </cell>
          <cell r="H116">
            <v>0</v>
          </cell>
          <cell r="I116">
            <v>0</v>
          </cell>
          <cell r="J116">
            <v>1</v>
          </cell>
          <cell r="K116">
            <v>0</v>
          </cell>
          <cell r="L116">
            <v>0</v>
          </cell>
          <cell r="M116">
            <v>0</v>
          </cell>
        </row>
        <row r="117">
          <cell r="A117" t="str">
            <v>TZ-IUYL240-STRAWBERRY-M</v>
          </cell>
          <cell r="B117">
            <v>20</v>
          </cell>
          <cell r="C117">
            <v>0</v>
          </cell>
          <cell r="D117">
            <v>0</v>
          </cell>
          <cell r="E117">
            <v>0</v>
          </cell>
          <cell r="F117">
            <v>0</v>
          </cell>
          <cell r="G117">
            <v>0</v>
          </cell>
          <cell r="H117">
            <v>0</v>
          </cell>
          <cell r="I117">
            <v>0</v>
          </cell>
          <cell r="J117">
            <v>0</v>
          </cell>
          <cell r="K117">
            <v>0</v>
          </cell>
          <cell r="L117">
            <v>0</v>
          </cell>
          <cell r="M117">
            <v>0</v>
          </cell>
        </row>
        <row r="118">
          <cell r="A118" t="str">
            <v>AQD-IUYL340-PK</v>
          </cell>
          <cell r="B118">
            <v>3</v>
          </cell>
          <cell r="C118">
            <v>0</v>
          </cell>
          <cell r="D118">
            <v>0</v>
          </cell>
          <cell r="E118">
            <v>0</v>
          </cell>
          <cell r="F118">
            <v>0</v>
          </cell>
          <cell r="G118">
            <v>0</v>
          </cell>
          <cell r="H118">
            <v>0</v>
          </cell>
          <cell r="I118">
            <v>0</v>
          </cell>
          <cell r="J118">
            <v>3</v>
          </cell>
          <cell r="K118">
            <v>0</v>
          </cell>
          <cell r="L118">
            <v>0</v>
          </cell>
          <cell r="M118">
            <v>0</v>
          </cell>
        </row>
        <row r="119">
          <cell r="A119" t="str">
            <v>GS-IUYL280-3</v>
          </cell>
          <cell r="B119">
            <v>3</v>
          </cell>
          <cell r="C119">
            <v>0</v>
          </cell>
          <cell r="D119">
            <v>0</v>
          </cell>
          <cell r="E119">
            <v>0</v>
          </cell>
          <cell r="F119">
            <v>0</v>
          </cell>
          <cell r="G119">
            <v>0</v>
          </cell>
          <cell r="H119">
            <v>0</v>
          </cell>
          <cell r="I119">
            <v>0</v>
          </cell>
          <cell r="J119">
            <v>3</v>
          </cell>
          <cell r="K119">
            <v>0</v>
          </cell>
          <cell r="L119">
            <v>0</v>
          </cell>
          <cell r="M119">
            <v>0</v>
          </cell>
        </row>
        <row r="120">
          <cell r="A120" t="str">
            <v>SCF-C01-005</v>
          </cell>
          <cell r="B120">
            <v>2</v>
          </cell>
          <cell r="C120">
            <v>0</v>
          </cell>
          <cell r="D120">
            <v>0</v>
          </cell>
          <cell r="E120">
            <v>0</v>
          </cell>
          <cell r="F120">
            <v>0</v>
          </cell>
          <cell r="G120">
            <v>0</v>
          </cell>
          <cell r="H120">
            <v>0</v>
          </cell>
          <cell r="I120">
            <v>0</v>
          </cell>
          <cell r="J120">
            <v>0</v>
          </cell>
          <cell r="K120">
            <v>1</v>
          </cell>
          <cell r="L120">
            <v>1</v>
          </cell>
          <cell r="M120">
            <v>0</v>
          </cell>
        </row>
        <row r="121">
          <cell r="A121" t="str">
            <v>TZ-IUYL240-LOVE-L</v>
          </cell>
          <cell r="B121">
            <v>16</v>
          </cell>
          <cell r="C121">
            <v>0</v>
          </cell>
          <cell r="D121">
            <v>0</v>
          </cell>
          <cell r="E121">
            <v>0</v>
          </cell>
          <cell r="F121">
            <v>0</v>
          </cell>
          <cell r="G121">
            <v>0</v>
          </cell>
          <cell r="H121">
            <v>0</v>
          </cell>
          <cell r="I121">
            <v>0</v>
          </cell>
          <cell r="J121">
            <v>0</v>
          </cell>
          <cell r="K121">
            <v>0</v>
          </cell>
          <cell r="L121">
            <v>0</v>
          </cell>
          <cell r="M121">
            <v>0</v>
          </cell>
        </row>
        <row r="122">
          <cell r="A122" t="str">
            <v>KZ-LY021-BL-38</v>
          </cell>
          <cell r="B122">
            <v>1</v>
          </cell>
          <cell r="C122">
            <v>0</v>
          </cell>
          <cell r="D122">
            <v>0</v>
          </cell>
          <cell r="E122">
            <v>0</v>
          </cell>
          <cell r="F122">
            <v>0</v>
          </cell>
          <cell r="G122">
            <v>0</v>
          </cell>
          <cell r="H122">
            <v>0</v>
          </cell>
          <cell r="I122">
            <v>0</v>
          </cell>
          <cell r="J122">
            <v>0</v>
          </cell>
          <cell r="K122">
            <v>1</v>
          </cell>
          <cell r="L122">
            <v>0</v>
          </cell>
          <cell r="M122">
            <v>0</v>
          </cell>
        </row>
        <row r="123">
          <cell r="A123" t="str">
            <v>AQD-IUYL330-RD</v>
          </cell>
          <cell r="B123">
            <v>4</v>
          </cell>
          <cell r="C123">
            <v>0</v>
          </cell>
          <cell r="D123">
            <v>0</v>
          </cell>
          <cell r="E123">
            <v>0</v>
          </cell>
          <cell r="F123">
            <v>0</v>
          </cell>
          <cell r="G123">
            <v>0</v>
          </cell>
          <cell r="H123">
            <v>0</v>
          </cell>
          <cell r="I123">
            <v>0</v>
          </cell>
          <cell r="J123">
            <v>4</v>
          </cell>
          <cell r="K123">
            <v>0</v>
          </cell>
          <cell r="L123">
            <v>0</v>
          </cell>
          <cell r="M123">
            <v>0</v>
          </cell>
        </row>
        <row r="124">
          <cell r="A124" t="str">
            <v>KZ-LY021-BK-40</v>
          </cell>
          <cell r="B124">
            <v>2</v>
          </cell>
          <cell r="C124">
            <v>0</v>
          </cell>
          <cell r="D124">
            <v>0</v>
          </cell>
          <cell r="E124">
            <v>0</v>
          </cell>
          <cell r="F124">
            <v>0</v>
          </cell>
          <cell r="G124">
            <v>0</v>
          </cell>
          <cell r="H124">
            <v>0</v>
          </cell>
          <cell r="I124">
            <v>0</v>
          </cell>
          <cell r="J124">
            <v>0</v>
          </cell>
          <cell r="K124">
            <v>2</v>
          </cell>
          <cell r="L124">
            <v>0</v>
          </cell>
          <cell r="M124">
            <v>0</v>
          </cell>
        </row>
        <row r="125">
          <cell r="A125" t="str">
            <v>SZ-IUYL002</v>
          </cell>
          <cell r="B125">
            <v>4</v>
          </cell>
          <cell r="C125">
            <v>0</v>
          </cell>
          <cell r="D125">
            <v>0</v>
          </cell>
          <cell r="E125">
            <v>0</v>
          </cell>
          <cell r="F125">
            <v>0</v>
          </cell>
          <cell r="G125">
            <v>0</v>
          </cell>
          <cell r="H125">
            <v>0</v>
          </cell>
          <cell r="I125">
            <v>0</v>
          </cell>
          <cell r="J125">
            <v>4</v>
          </cell>
          <cell r="K125">
            <v>0</v>
          </cell>
          <cell r="L125">
            <v>0</v>
          </cell>
          <cell r="M125">
            <v>0</v>
          </cell>
        </row>
        <row r="126">
          <cell r="A126" t="str">
            <v>GS-IUYL270</v>
          </cell>
          <cell r="B126">
            <v>2</v>
          </cell>
          <cell r="C126">
            <v>0</v>
          </cell>
          <cell r="D126">
            <v>0</v>
          </cell>
          <cell r="E126">
            <v>0</v>
          </cell>
          <cell r="F126">
            <v>0</v>
          </cell>
          <cell r="G126">
            <v>0</v>
          </cell>
          <cell r="H126">
            <v>0</v>
          </cell>
          <cell r="I126">
            <v>0</v>
          </cell>
          <cell r="J126">
            <v>2</v>
          </cell>
          <cell r="K126">
            <v>0</v>
          </cell>
          <cell r="L126">
            <v>0</v>
          </cell>
          <cell r="M126">
            <v>0</v>
          </cell>
        </row>
        <row r="127">
          <cell r="A127" t="str">
            <v>XQ-IUYL320-GN-S</v>
          </cell>
          <cell r="B127">
            <v>4</v>
          </cell>
          <cell r="C127">
            <v>0</v>
          </cell>
          <cell r="D127">
            <v>0</v>
          </cell>
          <cell r="E127">
            <v>0</v>
          </cell>
          <cell r="F127">
            <v>0</v>
          </cell>
          <cell r="G127">
            <v>0</v>
          </cell>
          <cell r="H127">
            <v>0</v>
          </cell>
          <cell r="I127">
            <v>0</v>
          </cell>
          <cell r="J127">
            <v>4</v>
          </cell>
          <cell r="K127">
            <v>0</v>
          </cell>
          <cell r="L127">
            <v>0</v>
          </cell>
          <cell r="M127">
            <v>0</v>
          </cell>
        </row>
        <row r="128">
          <cell r="A128" t="str">
            <v>SCF-A01-013</v>
          </cell>
          <cell r="B128">
            <v>7</v>
          </cell>
          <cell r="C128">
            <v>0</v>
          </cell>
          <cell r="D128">
            <v>0</v>
          </cell>
          <cell r="E128">
            <v>0</v>
          </cell>
          <cell r="F128">
            <v>0</v>
          </cell>
          <cell r="G128">
            <v>0</v>
          </cell>
          <cell r="H128">
            <v>0</v>
          </cell>
          <cell r="I128">
            <v>0</v>
          </cell>
          <cell r="J128">
            <v>1</v>
          </cell>
          <cell r="K128">
            <v>1</v>
          </cell>
          <cell r="L128">
            <v>5</v>
          </cell>
          <cell r="M128">
            <v>0</v>
          </cell>
        </row>
        <row r="129">
          <cell r="A129" t="str">
            <v>XQ-IUYL320-BL-XL</v>
          </cell>
          <cell r="B129">
            <v>4</v>
          </cell>
          <cell r="C129">
            <v>0</v>
          </cell>
          <cell r="D129">
            <v>0</v>
          </cell>
          <cell r="E129">
            <v>0</v>
          </cell>
          <cell r="F129">
            <v>0</v>
          </cell>
          <cell r="G129">
            <v>0</v>
          </cell>
          <cell r="H129">
            <v>0</v>
          </cell>
          <cell r="I129">
            <v>0</v>
          </cell>
          <cell r="J129">
            <v>4</v>
          </cell>
          <cell r="K129">
            <v>0</v>
          </cell>
          <cell r="L129">
            <v>0</v>
          </cell>
          <cell r="M129">
            <v>0</v>
          </cell>
        </row>
        <row r="130">
          <cell r="A130" t="str">
            <v>ST005-BL2-S</v>
          </cell>
          <cell r="B130">
            <v>9</v>
          </cell>
          <cell r="C130">
            <v>0</v>
          </cell>
          <cell r="D130">
            <v>0</v>
          </cell>
          <cell r="E130">
            <v>0</v>
          </cell>
          <cell r="F130">
            <v>0</v>
          </cell>
          <cell r="G130">
            <v>0</v>
          </cell>
          <cell r="H130">
            <v>0</v>
          </cell>
          <cell r="I130">
            <v>0</v>
          </cell>
          <cell r="J130">
            <v>7</v>
          </cell>
          <cell r="K130">
            <v>0</v>
          </cell>
          <cell r="L130">
            <v>2</v>
          </cell>
          <cell r="M130">
            <v>0</v>
          </cell>
        </row>
        <row r="131">
          <cell r="A131" t="str">
            <v>LYQ-WF7125-PO-S</v>
          </cell>
          <cell r="B131">
            <v>5</v>
          </cell>
          <cell r="C131">
            <v>0</v>
          </cell>
          <cell r="D131">
            <v>0</v>
          </cell>
          <cell r="E131">
            <v>0</v>
          </cell>
          <cell r="F131">
            <v>0</v>
          </cell>
          <cell r="G131">
            <v>0</v>
          </cell>
          <cell r="H131">
            <v>0</v>
          </cell>
          <cell r="I131">
            <v>0</v>
          </cell>
          <cell r="J131">
            <v>0</v>
          </cell>
          <cell r="K131">
            <v>5</v>
          </cell>
          <cell r="L131">
            <v>0</v>
          </cell>
          <cell r="M131">
            <v>0</v>
          </cell>
        </row>
        <row r="132">
          <cell r="A132" t="str">
            <v>XQ-IUYL320-GN-L</v>
          </cell>
          <cell r="B132">
            <v>4</v>
          </cell>
          <cell r="C132">
            <v>0</v>
          </cell>
          <cell r="D132">
            <v>0</v>
          </cell>
          <cell r="E132">
            <v>0</v>
          </cell>
          <cell r="F132">
            <v>0</v>
          </cell>
          <cell r="G132">
            <v>0</v>
          </cell>
          <cell r="H132">
            <v>0</v>
          </cell>
          <cell r="I132">
            <v>0</v>
          </cell>
          <cell r="J132">
            <v>4</v>
          </cell>
          <cell r="K132">
            <v>0</v>
          </cell>
          <cell r="L132">
            <v>0</v>
          </cell>
          <cell r="M132">
            <v>0</v>
          </cell>
        </row>
        <row r="133">
          <cell r="A133" t="str">
            <v>TZ-IUYL240-RABBIT-M</v>
          </cell>
          <cell r="B133">
            <v>26</v>
          </cell>
          <cell r="C133">
            <v>0</v>
          </cell>
          <cell r="D133">
            <v>0</v>
          </cell>
          <cell r="E133">
            <v>0</v>
          </cell>
          <cell r="F133">
            <v>0</v>
          </cell>
          <cell r="G133">
            <v>0</v>
          </cell>
          <cell r="H133">
            <v>0</v>
          </cell>
          <cell r="I133">
            <v>0</v>
          </cell>
          <cell r="J133">
            <v>0</v>
          </cell>
          <cell r="K133">
            <v>0</v>
          </cell>
          <cell r="L133">
            <v>0</v>
          </cell>
          <cell r="M133">
            <v>0</v>
          </cell>
        </row>
        <row r="134">
          <cell r="A134" t="str">
            <v>BBBD-BUSB1605B-RD</v>
          </cell>
          <cell r="B134">
            <v>1</v>
          </cell>
          <cell r="C134">
            <v>0</v>
          </cell>
          <cell r="D134">
            <v>0</v>
          </cell>
          <cell r="E134">
            <v>0</v>
          </cell>
          <cell r="F134">
            <v>0</v>
          </cell>
          <cell r="G134">
            <v>0</v>
          </cell>
          <cell r="H134">
            <v>0</v>
          </cell>
          <cell r="I134">
            <v>0</v>
          </cell>
          <cell r="J134">
            <v>0</v>
          </cell>
          <cell r="K134">
            <v>0</v>
          </cell>
          <cell r="L134">
            <v>0</v>
          </cell>
          <cell r="M134">
            <v>0</v>
          </cell>
        </row>
        <row r="135">
          <cell r="A135" t="str">
            <v>XQ-IUYL320-DB-M</v>
          </cell>
          <cell r="B135">
            <v>4</v>
          </cell>
          <cell r="C135">
            <v>0</v>
          </cell>
          <cell r="D135">
            <v>0</v>
          </cell>
          <cell r="E135">
            <v>0</v>
          </cell>
          <cell r="F135">
            <v>0</v>
          </cell>
          <cell r="G135">
            <v>0</v>
          </cell>
          <cell r="H135">
            <v>0</v>
          </cell>
          <cell r="I135">
            <v>0</v>
          </cell>
          <cell r="J135">
            <v>4</v>
          </cell>
          <cell r="K135">
            <v>0</v>
          </cell>
          <cell r="L135">
            <v>0</v>
          </cell>
          <cell r="M135">
            <v>0</v>
          </cell>
        </row>
        <row r="136">
          <cell r="A136" t="str">
            <v>LYQ-WF7125-NO-XL</v>
          </cell>
          <cell r="B136">
            <v>4</v>
          </cell>
          <cell r="C136">
            <v>0</v>
          </cell>
          <cell r="D136">
            <v>0</v>
          </cell>
          <cell r="E136">
            <v>0</v>
          </cell>
          <cell r="F136">
            <v>0</v>
          </cell>
          <cell r="G136">
            <v>0</v>
          </cell>
          <cell r="H136">
            <v>0</v>
          </cell>
          <cell r="I136">
            <v>0</v>
          </cell>
          <cell r="J136">
            <v>0</v>
          </cell>
          <cell r="K136">
            <v>4</v>
          </cell>
          <cell r="L136">
            <v>0</v>
          </cell>
          <cell r="M136">
            <v>0</v>
          </cell>
        </row>
        <row r="137">
          <cell r="A137" t="str">
            <v>KZ-LY021-GY-32</v>
          </cell>
          <cell r="B137">
            <v>3</v>
          </cell>
          <cell r="C137">
            <v>0</v>
          </cell>
          <cell r="D137">
            <v>0</v>
          </cell>
          <cell r="E137">
            <v>0</v>
          </cell>
          <cell r="F137">
            <v>0</v>
          </cell>
          <cell r="G137">
            <v>0</v>
          </cell>
          <cell r="H137">
            <v>0</v>
          </cell>
          <cell r="I137">
            <v>0</v>
          </cell>
          <cell r="J137">
            <v>0</v>
          </cell>
          <cell r="K137">
            <v>2</v>
          </cell>
          <cell r="L137">
            <v>0</v>
          </cell>
          <cell r="M137">
            <v>0</v>
          </cell>
        </row>
        <row r="138">
          <cell r="A138" t="str">
            <v>SCF-C01-018</v>
          </cell>
          <cell r="B138">
            <v>4</v>
          </cell>
          <cell r="C138">
            <v>0</v>
          </cell>
          <cell r="D138">
            <v>0</v>
          </cell>
          <cell r="E138">
            <v>0</v>
          </cell>
          <cell r="F138">
            <v>0</v>
          </cell>
          <cell r="G138">
            <v>0</v>
          </cell>
          <cell r="H138">
            <v>0</v>
          </cell>
          <cell r="I138">
            <v>0</v>
          </cell>
          <cell r="J138">
            <v>1</v>
          </cell>
          <cell r="K138">
            <v>1</v>
          </cell>
          <cell r="L138">
            <v>2</v>
          </cell>
          <cell r="M138">
            <v>0</v>
          </cell>
        </row>
        <row r="139">
          <cell r="A139" t="str">
            <v>SCF-D01-004</v>
          </cell>
          <cell r="B139">
            <v>2</v>
          </cell>
          <cell r="C139">
            <v>0</v>
          </cell>
          <cell r="D139">
            <v>0</v>
          </cell>
          <cell r="E139">
            <v>0</v>
          </cell>
          <cell r="F139">
            <v>0</v>
          </cell>
          <cell r="G139">
            <v>0</v>
          </cell>
          <cell r="H139">
            <v>0</v>
          </cell>
          <cell r="I139">
            <v>0</v>
          </cell>
          <cell r="J139">
            <v>0</v>
          </cell>
          <cell r="K139">
            <v>1</v>
          </cell>
          <cell r="L139">
            <v>1</v>
          </cell>
          <cell r="M139">
            <v>0</v>
          </cell>
        </row>
        <row r="140">
          <cell r="A140" t="str">
            <v>SCF-B01-020</v>
          </cell>
          <cell r="B140">
            <v>6</v>
          </cell>
          <cell r="C140">
            <v>0</v>
          </cell>
          <cell r="D140">
            <v>0</v>
          </cell>
          <cell r="E140">
            <v>0</v>
          </cell>
          <cell r="F140">
            <v>0</v>
          </cell>
          <cell r="G140">
            <v>0</v>
          </cell>
          <cell r="H140">
            <v>0</v>
          </cell>
          <cell r="I140">
            <v>0</v>
          </cell>
          <cell r="J140">
            <v>0</v>
          </cell>
          <cell r="K140">
            <v>1</v>
          </cell>
          <cell r="L140">
            <v>5</v>
          </cell>
          <cell r="M140">
            <v>0</v>
          </cell>
        </row>
        <row r="141">
          <cell r="A141" t="str">
            <v>ST172-BL-M</v>
          </cell>
          <cell r="B141">
            <v>15</v>
          </cell>
          <cell r="C141">
            <v>0</v>
          </cell>
          <cell r="D141">
            <v>0</v>
          </cell>
          <cell r="E141">
            <v>0</v>
          </cell>
          <cell r="F141">
            <v>0</v>
          </cell>
          <cell r="G141">
            <v>0</v>
          </cell>
          <cell r="H141">
            <v>0</v>
          </cell>
          <cell r="I141">
            <v>0</v>
          </cell>
          <cell r="J141">
            <v>0</v>
          </cell>
          <cell r="K141">
            <v>0</v>
          </cell>
          <cell r="L141">
            <v>15</v>
          </cell>
          <cell r="M141">
            <v>0</v>
          </cell>
        </row>
        <row r="142">
          <cell r="A142" t="str">
            <v>MJ-IUYL230-CF-L</v>
          </cell>
          <cell r="B142">
            <v>2</v>
          </cell>
          <cell r="C142">
            <v>0</v>
          </cell>
          <cell r="D142">
            <v>0</v>
          </cell>
          <cell r="E142">
            <v>0</v>
          </cell>
          <cell r="F142">
            <v>0</v>
          </cell>
          <cell r="G142">
            <v>0</v>
          </cell>
          <cell r="H142">
            <v>0</v>
          </cell>
          <cell r="I142">
            <v>0</v>
          </cell>
          <cell r="J142">
            <v>0</v>
          </cell>
          <cell r="K142">
            <v>0</v>
          </cell>
          <cell r="L142">
            <v>0</v>
          </cell>
          <cell r="M142">
            <v>0</v>
          </cell>
        </row>
        <row r="143">
          <cell r="A143" t="str">
            <v>BBBD-1605A-RD</v>
          </cell>
          <cell r="B143">
            <v>2</v>
          </cell>
          <cell r="C143">
            <v>0</v>
          </cell>
          <cell r="D143">
            <v>0</v>
          </cell>
          <cell r="E143">
            <v>0</v>
          </cell>
          <cell r="F143">
            <v>0</v>
          </cell>
          <cell r="G143">
            <v>0</v>
          </cell>
          <cell r="H143">
            <v>0</v>
          </cell>
          <cell r="I143">
            <v>0</v>
          </cell>
          <cell r="J143">
            <v>0</v>
          </cell>
          <cell r="K143">
            <v>0</v>
          </cell>
          <cell r="L143">
            <v>0</v>
          </cell>
          <cell r="M143">
            <v>0</v>
          </cell>
        </row>
        <row r="144">
          <cell r="A144" t="str">
            <v>ST172-GR-XL</v>
          </cell>
          <cell r="B144">
            <v>12</v>
          </cell>
          <cell r="C144">
            <v>0</v>
          </cell>
          <cell r="D144">
            <v>0</v>
          </cell>
          <cell r="E144">
            <v>0</v>
          </cell>
          <cell r="F144">
            <v>0</v>
          </cell>
          <cell r="G144">
            <v>0</v>
          </cell>
          <cell r="H144">
            <v>0</v>
          </cell>
          <cell r="I144">
            <v>0</v>
          </cell>
          <cell r="J144">
            <v>0</v>
          </cell>
          <cell r="K144">
            <v>0</v>
          </cell>
          <cell r="L144">
            <v>12</v>
          </cell>
          <cell r="M144">
            <v>0</v>
          </cell>
        </row>
        <row r="145">
          <cell r="A145" t="str">
            <v>LYQ-WF7125-KO-S</v>
          </cell>
          <cell r="B145">
            <v>5</v>
          </cell>
          <cell r="C145">
            <v>0</v>
          </cell>
          <cell r="D145">
            <v>0</v>
          </cell>
          <cell r="E145">
            <v>0</v>
          </cell>
          <cell r="F145">
            <v>0</v>
          </cell>
          <cell r="G145">
            <v>0</v>
          </cell>
          <cell r="H145">
            <v>0</v>
          </cell>
          <cell r="I145">
            <v>0</v>
          </cell>
          <cell r="J145">
            <v>1</v>
          </cell>
          <cell r="K145">
            <v>4</v>
          </cell>
          <cell r="L145">
            <v>0</v>
          </cell>
          <cell r="M145">
            <v>0</v>
          </cell>
        </row>
        <row r="146">
          <cell r="A146" t="str">
            <v>SCF-B01-001</v>
          </cell>
          <cell r="B146">
            <v>6</v>
          </cell>
          <cell r="C146">
            <v>0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>
            <v>1</v>
          </cell>
          <cell r="L146">
            <v>5</v>
          </cell>
          <cell r="M146">
            <v>0</v>
          </cell>
        </row>
        <row r="147">
          <cell r="A147" t="str">
            <v>XQ-IUYL320-CF-XL</v>
          </cell>
          <cell r="B147">
            <v>4</v>
          </cell>
          <cell r="C147">
            <v>0</v>
          </cell>
          <cell r="D147">
            <v>0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4</v>
          </cell>
          <cell r="K147">
            <v>0</v>
          </cell>
          <cell r="L147">
            <v>0</v>
          </cell>
          <cell r="M147">
            <v>0</v>
          </cell>
        </row>
        <row r="148">
          <cell r="A148" t="str">
            <v>LYQ-WF7125-NO-XS</v>
          </cell>
          <cell r="B148">
            <v>3</v>
          </cell>
          <cell r="C148">
            <v>0</v>
          </cell>
          <cell r="D148">
            <v>0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>
            <v>3</v>
          </cell>
          <cell r="L148">
            <v>0</v>
          </cell>
          <cell r="M148">
            <v>0</v>
          </cell>
        </row>
        <row r="149">
          <cell r="A149" t="str">
            <v>LYQ-WF7125-K0-2L</v>
          </cell>
          <cell r="B149">
            <v>5</v>
          </cell>
          <cell r="C149">
            <v>0</v>
          </cell>
          <cell r="D149">
            <v>0</v>
          </cell>
          <cell r="E149">
            <v>0</v>
          </cell>
          <cell r="F149">
            <v>0</v>
          </cell>
          <cell r="G149">
            <v>0</v>
          </cell>
          <cell r="H149">
            <v>0</v>
          </cell>
          <cell r="I149">
            <v>0</v>
          </cell>
          <cell r="J149">
            <v>0</v>
          </cell>
          <cell r="K149">
            <v>5</v>
          </cell>
          <cell r="L149">
            <v>0</v>
          </cell>
          <cell r="M149">
            <v>0</v>
          </cell>
        </row>
        <row r="150">
          <cell r="A150" t="str">
            <v>SCF-A01-010</v>
          </cell>
          <cell r="B150">
            <v>6</v>
          </cell>
          <cell r="C150">
            <v>0</v>
          </cell>
          <cell r="D150">
            <v>0</v>
          </cell>
          <cell r="E150">
            <v>0</v>
          </cell>
          <cell r="F150">
            <v>0</v>
          </cell>
          <cell r="G150">
            <v>0</v>
          </cell>
          <cell r="H150">
            <v>0</v>
          </cell>
          <cell r="I150">
            <v>0</v>
          </cell>
          <cell r="J150">
            <v>0</v>
          </cell>
          <cell r="K150">
            <v>1</v>
          </cell>
          <cell r="L150">
            <v>5</v>
          </cell>
          <cell r="M150">
            <v>0</v>
          </cell>
        </row>
        <row r="151">
          <cell r="A151" t="str">
            <v>KZ-LY021-GY-34</v>
          </cell>
          <cell r="B151">
            <v>3</v>
          </cell>
          <cell r="C151">
            <v>0</v>
          </cell>
          <cell r="D151">
            <v>0</v>
          </cell>
          <cell r="E151">
            <v>0</v>
          </cell>
          <cell r="F151">
            <v>0</v>
          </cell>
          <cell r="G151">
            <v>0</v>
          </cell>
          <cell r="H151">
            <v>0</v>
          </cell>
          <cell r="I151">
            <v>0</v>
          </cell>
          <cell r="J151">
            <v>0</v>
          </cell>
          <cell r="K151">
            <v>3</v>
          </cell>
          <cell r="L151">
            <v>0</v>
          </cell>
          <cell r="M151">
            <v>0</v>
          </cell>
        </row>
        <row r="152">
          <cell r="A152" t="str">
            <v>ST172-BK-S</v>
          </cell>
          <cell r="B152">
            <v>2</v>
          </cell>
          <cell r="C152">
            <v>0</v>
          </cell>
          <cell r="D152">
            <v>0</v>
          </cell>
          <cell r="E152">
            <v>0</v>
          </cell>
          <cell r="F152">
            <v>0</v>
          </cell>
          <cell r="G152">
            <v>0</v>
          </cell>
          <cell r="H152">
            <v>0</v>
          </cell>
          <cell r="I152">
            <v>0</v>
          </cell>
          <cell r="J152">
            <v>0</v>
          </cell>
          <cell r="K152">
            <v>1</v>
          </cell>
          <cell r="L152">
            <v>1</v>
          </cell>
          <cell r="M152">
            <v>0</v>
          </cell>
        </row>
        <row r="153">
          <cell r="A153" t="str">
            <v>LYQ-WF7125-PO-2L</v>
          </cell>
          <cell r="B153">
            <v>2</v>
          </cell>
          <cell r="C153">
            <v>0</v>
          </cell>
          <cell r="D153">
            <v>0</v>
          </cell>
          <cell r="E153">
            <v>0</v>
          </cell>
          <cell r="F153">
            <v>0</v>
          </cell>
          <cell r="G153">
            <v>0</v>
          </cell>
          <cell r="H153">
            <v>0</v>
          </cell>
          <cell r="I153">
            <v>0</v>
          </cell>
          <cell r="J153">
            <v>0</v>
          </cell>
          <cell r="K153">
            <v>2</v>
          </cell>
          <cell r="L153">
            <v>0</v>
          </cell>
          <cell r="M153">
            <v>0</v>
          </cell>
        </row>
        <row r="154">
          <cell r="A154" t="str">
            <v>SCF-C01-019</v>
          </cell>
          <cell r="B154">
            <v>1</v>
          </cell>
          <cell r="C154">
            <v>0</v>
          </cell>
          <cell r="D154">
            <v>0</v>
          </cell>
          <cell r="E154">
            <v>0</v>
          </cell>
          <cell r="F154">
            <v>0</v>
          </cell>
          <cell r="G154">
            <v>0</v>
          </cell>
          <cell r="H154">
            <v>0</v>
          </cell>
          <cell r="I154">
            <v>0</v>
          </cell>
          <cell r="J154">
            <v>1</v>
          </cell>
          <cell r="K154">
            <v>0</v>
          </cell>
          <cell r="L154">
            <v>0</v>
          </cell>
          <cell r="M154">
            <v>0</v>
          </cell>
        </row>
        <row r="155">
          <cell r="A155" t="str">
            <v>XQ-IUYL320-CF-S</v>
          </cell>
          <cell r="B155">
            <v>4</v>
          </cell>
          <cell r="C155">
            <v>0</v>
          </cell>
          <cell r="D155">
            <v>0</v>
          </cell>
          <cell r="E155">
            <v>0</v>
          </cell>
          <cell r="F155">
            <v>0</v>
          </cell>
          <cell r="G155">
            <v>0</v>
          </cell>
          <cell r="H155">
            <v>0</v>
          </cell>
          <cell r="I155">
            <v>0</v>
          </cell>
          <cell r="J155">
            <v>4</v>
          </cell>
          <cell r="K155">
            <v>0</v>
          </cell>
          <cell r="L155">
            <v>0</v>
          </cell>
          <cell r="M155">
            <v>0</v>
          </cell>
        </row>
        <row r="156">
          <cell r="A156" t="str">
            <v>ST172-WR-L</v>
          </cell>
          <cell r="B156">
            <v>7</v>
          </cell>
          <cell r="C156">
            <v>0</v>
          </cell>
          <cell r="D156">
            <v>0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>
            <v>0</v>
          </cell>
          <cell r="L156">
            <v>7</v>
          </cell>
          <cell r="M156">
            <v>0</v>
          </cell>
        </row>
        <row r="157">
          <cell r="A157" t="str">
            <v>scarf-001-blueheart</v>
          </cell>
          <cell r="B157">
            <v>7</v>
          </cell>
          <cell r="C157">
            <v>0</v>
          </cell>
          <cell r="D157">
            <v>0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>
            <v>0</v>
          </cell>
          <cell r="L157">
            <v>7</v>
          </cell>
          <cell r="M157">
            <v>0</v>
          </cell>
        </row>
        <row r="158">
          <cell r="A158" t="str">
            <v>KZ-LY021-BL-34</v>
          </cell>
          <cell r="B158">
            <v>3</v>
          </cell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>
            <v>3</v>
          </cell>
          <cell r="L158">
            <v>0</v>
          </cell>
          <cell r="M158">
            <v>0</v>
          </cell>
        </row>
        <row r="159">
          <cell r="A159" t="str">
            <v>ST172-NY-L</v>
          </cell>
          <cell r="B159">
            <v>14</v>
          </cell>
          <cell r="C159">
            <v>0</v>
          </cell>
          <cell r="D159">
            <v>0</v>
          </cell>
          <cell r="E159">
            <v>0</v>
          </cell>
          <cell r="F159">
            <v>0</v>
          </cell>
          <cell r="G159">
            <v>0</v>
          </cell>
          <cell r="H159">
            <v>0</v>
          </cell>
          <cell r="I159">
            <v>0</v>
          </cell>
          <cell r="J159">
            <v>0</v>
          </cell>
          <cell r="K159">
            <v>1</v>
          </cell>
          <cell r="L159">
            <v>13</v>
          </cell>
          <cell r="M159">
            <v>0</v>
          </cell>
        </row>
        <row r="160">
          <cell r="A160" t="str">
            <v>LYQ-WF7125-KO-L</v>
          </cell>
          <cell r="B160">
            <v>4</v>
          </cell>
          <cell r="C160">
            <v>0</v>
          </cell>
          <cell r="D160">
            <v>0</v>
          </cell>
          <cell r="E160">
            <v>0</v>
          </cell>
          <cell r="F160">
            <v>0</v>
          </cell>
          <cell r="G160">
            <v>0</v>
          </cell>
          <cell r="H160">
            <v>0</v>
          </cell>
          <cell r="I160">
            <v>0</v>
          </cell>
          <cell r="J160">
            <v>0</v>
          </cell>
          <cell r="K160">
            <v>3</v>
          </cell>
          <cell r="L160">
            <v>0</v>
          </cell>
          <cell r="M160">
            <v>0</v>
          </cell>
        </row>
        <row r="161">
          <cell r="A161" t="str">
            <v>ST006-CF-S</v>
          </cell>
          <cell r="B161">
            <v>3</v>
          </cell>
          <cell r="C161">
            <v>0</v>
          </cell>
          <cell r="D161">
            <v>0</v>
          </cell>
          <cell r="E161">
            <v>0</v>
          </cell>
          <cell r="F161">
            <v>0</v>
          </cell>
          <cell r="G161">
            <v>0</v>
          </cell>
          <cell r="H161">
            <v>0</v>
          </cell>
          <cell r="I161">
            <v>0</v>
          </cell>
          <cell r="J161">
            <v>0</v>
          </cell>
          <cell r="K161">
            <v>0</v>
          </cell>
          <cell r="L161">
            <v>1</v>
          </cell>
          <cell r="M161">
            <v>0</v>
          </cell>
        </row>
        <row r="162">
          <cell r="A162" t="str">
            <v>SCF-D01-006</v>
          </cell>
          <cell r="B162">
            <v>5</v>
          </cell>
          <cell r="C162">
            <v>0</v>
          </cell>
          <cell r="D162">
            <v>0</v>
          </cell>
          <cell r="E162">
            <v>0</v>
          </cell>
          <cell r="F162">
            <v>0</v>
          </cell>
          <cell r="G162">
            <v>0</v>
          </cell>
          <cell r="H162">
            <v>0</v>
          </cell>
          <cell r="I162">
            <v>0</v>
          </cell>
          <cell r="J162">
            <v>0</v>
          </cell>
          <cell r="K162">
            <v>1</v>
          </cell>
          <cell r="L162">
            <v>4</v>
          </cell>
          <cell r="M162">
            <v>0</v>
          </cell>
        </row>
        <row r="163">
          <cell r="A163" t="str">
            <v>XQ-IUYL320-PK-XL</v>
          </cell>
          <cell r="B163">
            <v>1</v>
          </cell>
          <cell r="C163">
            <v>0</v>
          </cell>
          <cell r="D163">
            <v>0</v>
          </cell>
          <cell r="E163">
            <v>0</v>
          </cell>
          <cell r="F163">
            <v>0</v>
          </cell>
          <cell r="G163">
            <v>0</v>
          </cell>
          <cell r="H163">
            <v>0</v>
          </cell>
          <cell r="I163">
            <v>0</v>
          </cell>
          <cell r="J163">
            <v>1</v>
          </cell>
          <cell r="K163">
            <v>0</v>
          </cell>
          <cell r="L163">
            <v>0</v>
          </cell>
          <cell r="M163">
            <v>0</v>
          </cell>
        </row>
        <row r="164">
          <cell r="A164" t="str">
            <v>LGQ-IUYL100-GN</v>
          </cell>
          <cell r="B164">
            <v>8</v>
          </cell>
          <cell r="C164">
            <v>0</v>
          </cell>
          <cell r="D164">
            <v>0</v>
          </cell>
          <cell r="E164">
            <v>0</v>
          </cell>
          <cell r="F164">
            <v>0</v>
          </cell>
          <cell r="G164">
            <v>0</v>
          </cell>
          <cell r="H164">
            <v>0</v>
          </cell>
          <cell r="I164">
            <v>0</v>
          </cell>
          <cell r="J164">
            <v>3</v>
          </cell>
          <cell r="K164">
            <v>0</v>
          </cell>
          <cell r="L164">
            <v>0</v>
          </cell>
          <cell r="M164">
            <v>0</v>
          </cell>
        </row>
        <row r="165">
          <cell r="A165" t="str">
            <v>ST172-WR-XXL</v>
          </cell>
          <cell r="B165">
            <v>12</v>
          </cell>
          <cell r="C165">
            <v>0</v>
          </cell>
          <cell r="D165">
            <v>0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1</v>
          </cell>
          <cell r="L165">
            <v>11</v>
          </cell>
          <cell r="M165">
            <v>0</v>
          </cell>
        </row>
        <row r="166">
          <cell r="A166" t="str">
            <v>XQ-IUYL320-CF-L</v>
          </cell>
          <cell r="B166">
            <v>4</v>
          </cell>
          <cell r="C166">
            <v>0</v>
          </cell>
          <cell r="D166">
            <v>0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  <cell r="J166">
            <v>4</v>
          </cell>
          <cell r="K166">
            <v>0</v>
          </cell>
          <cell r="L166">
            <v>0</v>
          </cell>
          <cell r="M166">
            <v>0</v>
          </cell>
        </row>
        <row r="167">
          <cell r="A167" t="str">
            <v>LYQ-WF7125-NO-L</v>
          </cell>
          <cell r="B167">
            <v>3</v>
          </cell>
          <cell r="C167">
            <v>0</v>
          </cell>
          <cell r="D167">
            <v>0</v>
          </cell>
          <cell r="E167">
            <v>0</v>
          </cell>
          <cell r="F167">
            <v>0</v>
          </cell>
          <cell r="G167">
            <v>0</v>
          </cell>
          <cell r="H167">
            <v>0</v>
          </cell>
          <cell r="I167">
            <v>0</v>
          </cell>
          <cell r="J167">
            <v>0</v>
          </cell>
          <cell r="K167">
            <v>2</v>
          </cell>
          <cell r="L167">
            <v>0</v>
          </cell>
          <cell r="M167">
            <v>0</v>
          </cell>
        </row>
        <row r="168">
          <cell r="A168" t="str">
            <v>ST172-PP-M</v>
          </cell>
          <cell r="B168">
            <v>4</v>
          </cell>
          <cell r="C168">
            <v>0</v>
          </cell>
          <cell r="D168">
            <v>0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>
            <v>0</v>
          </cell>
          <cell r="L168">
            <v>4</v>
          </cell>
          <cell r="M168">
            <v>0</v>
          </cell>
        </row>
        <row r="169">
          <cell r="A169" t="str">
            <v>ST173-WR-S</v>
          </cell>
          <cell r="B169">
            <v>10</v>
          </cell>
          <cell r="C169">
            <v>0</v>
          </cell>
          <cell r="D169">
            <v>0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>
            <v>0</v>
          </cell>
          <cell r="L169">
            <v>10</v>
          </cell>
          <cell r="M169">
            <v>0</v>
          </cell>
        </row>
        <row r="170">
          <cell r="A170" t="str">
            <v>XQ-IUYL320-YL-L</v>
          </cell>
          <cell r="B170">
            <v>4</v>
          </cell>
          <cell r="C170">
            <v>0</v>
          </cell>
          <cell r="D170">
            <v>0</v>
          </cell>
          <cell r="E170">
            <v>0</v>
          </cell>
          <cell r="F170">
            <v>0</v>
          </cell>
          <cell r="G170">
            <v>0</v>
          </cell>
          <cell r="H170">
            <v>0</v>
          </cell>
          <cell r="I170">
            <v>0</v>
          </cell>
          <cell r="J170">
            <v>4</v>
          </cell>
          <cell r="K170">
            <v>0</v>
          </cell>
          <cell r="L170">
            <v>0</v>
          </cell>
          <cell r="M170">
            <v>0</v>
          </cell>
        </row>
        <row r="171">
          <cell r="A171" t="str">
            <v>KZ-LY021-NY-36</v>
          </cell>
          <cell r="B171">
            <v>1</v>
          </cell>
          <cell r="C171">
            <v>0</v>
          </cell>
          <cell r="D171">
            <v>0</v>
          </cell>
          <cell r="E171">
            <v>0</v>
          </cell>
          <cell r="F171">
            <v>0</v>
          </cell>
          <cell r="G171">
            <v>0</v>
          </cell>
          <cell r="H171">
            <v>0</v>
          </cell>
          <cell r="I171">
            <v>0</v>
          </cell>
          <cell r="J171">
            <v>0</v>
          </cell>
          <cell r="K171">
            <v>1</v>
          </cell>
          <cell r="L171">
            <v>0</v>
          </cell>
          <cell r="M171">
            <v>0</v>
          </cell>
        </row>
        <row r="172">
          <cell r="A172" t="str">
            <v>XQ-IUYL320-BL-L</v>
          </cell>
          <cell r="B172">
            <v>4</v>
          </cell>
          <cell r="C172">
            <v>0</v>
          </cell>
          <cell r="D172">
            <v>0</v>
          </cell>
          <cell r="E172">
            <v>0</v>
          </cell>
          <cell r="F172">
            <v>0</v>
          </cell>
          <cell r="G172">
            <v>0</v>
          </cell>
          <cell r="H172">
            <v>0</v>
          </cell>
          <cell r="I172">
            <v>0</v>
          </cell>
          <cell r="J172">
            <v>4</v>
          </cell>
          <cell r="K172">
            <v>0</v>
          </cell>
          <cell r="L172">
            <v>0</v>
          </cell>
          <cell r="M172">
            <v>0</v>
          </cell>
        </row>
        <row r="173">
          <cell r="A173" t="str">
            <v>BBBD-1605A-BL</v>
          </cell>
          <cell r="B173">
            <v>3</v>
          </cell>
          <cell r="C173">
            <v>0</v>
          </cell>
          <cell r="D173">
            <v>0</v>
          </cell>
          <cell r="E173">
            <v>0</v>
          </cell>
          <cell r="F173">
            <v>0</v>
          </cell>
          <cell r="G173">
            <v>0</v>
          </cell>
          <cell r="H173">
            <v>0</v>
          </cell>
          <cell r="I173">
            <v>0</v>
          </cell>
          <cell r="J173">
            <v>0</v>
          </cell>
          <cell r="K173">
            <v>0</v>
          </cell>
          <cell r="L173">
            <v>0</v>
          </cell>
          <cell r="M173">
            <v>0</v>
          </cell>
        </row>
        <row r="174">
          <cell r="A174" t="str">
            <v>XQ-IUYL320-PK-S</v>
          </cell>
          <cell r="B174">
            <v>3</v>
          </cell>
          <cell r="C174">
            <v>0</v>
          </cell>
          <cell r="D174">
            <v>0</v>
          </cell>
          <cell r="E174">
            <v>0</v>
          </cell>
          <cell r="F174">
            <v>0</v>
          </cell>
          <cell r="G174">
            <v>0</v>
          </cell>
          <cell r="H174">
            <v>0</v>
          </cell>
          <cell r="I174">
            <v>0</v>
          </cell>
          <cell r="J174">
            <v>3</v>
          </cell>
          <cell r="K174">
            <v>0</v>
          </cell>
          <cell r="L174">
            <v>0</v>
          </cell>
          <cell r="M174">
            <v>0</v>
          </cell>
        </row>
        <row r="175">
          <cell r="A175" t="str">
            <v>XQ-IUYL320-DB-L</v>
          </cell>
          <cell r="B175">
            <v>4</v>
          </cell>
          <cell r="C175">
            <v>0</v>
          </cell>
          <cell r="D175">
            <v>0</v>
          </cell>
          <cell r="E175">
            <v>0</v>
          </cell>
          <cell r="F175">
            <v>0</v>
          </cell>
          <cell r="G175">
            <v>0</v>
          </cell>
          <cell r="H175">
            <v>0</v>
          </cell>
          <cell r="I175">
            <v>0</v>
          </cell>
          <cell r="J175">
            <v>4</v>
          </cell>
          <cell r="K175">
            <v>0</v>
          </cell>
          <cell r="L175">
            <v>0</v>
          </cell>
          <cell r="M175">
            <v>0</v>
          </cell>
        </row>
        <row r="176">
          <cell r="A176" t="str">
            <v>ST172-BL-S</v>
          </cell>
          <cell r="B176">
            <v>11</v>
          </cell>
          <cell r="C176">
            <v>0</v>
          </cell>
          <cell r="D176">
            <v>0</v>
          </cell>
          <cell r="E176">
            <v>0</v>
          </cell>
          <cell r="F176">
            <v>0</v>
          </cell>
          <cell r="G176">
            <v>0</v>
          </cell>
          <cell r="H176">
            <v>0</v>
          </cell>
          <cell r="I176">
            <v>0</v>
          </cell>
          <cell r="J176">
            <v>1</v>
          </cell>
          <cell r="K176">
            <v>0</v>
          </cell>
          <cell r="L176">
            <v>10</v>
          </cell>
          <cell r="M176">
            <v>0</v>
          </cell>
        </row>
        <row r="177">
          <cell r="A177" t="str">
            <v>XQ-IUYL260-YL-M</v>
          </cell>
          <cell r="B177">
            <v>0</v>
          </cell>
          <cell r="C177">
            <v>0</v>
          </cell>
          <cell r="D177">
            <v>0</v>
          </cell>
          <cell r="E177">
            <v>0</v>
          </cell>
          <cell r="F177">
            <v>0</v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  <cell r="K177">
            <v>0</v>
          </cell>
          <cell r="L177">
            <v>0</v>
          </cell>
          <cell r="M177">
            <v>0</v>
          </cell>
        </row>
        <row r="178">
          <cell r="A178" t="str">
            <v>GW-LULHY-4.5</v>
          </cell>
          <cell r="B178">
            <v>10</v>
          </cell>
          <cell r="C178">
            <v>0</v>
          </cell>
          <cell r="D178">
            <v>0</v>
          </cell>
          <cell r="E178">
            <v>0</v>
          </cell>
          <cell r="F178">
            <v>0</v>
          </cell>
          <cell r="G178">
            <v>0</v>
          </cell>
          <cell r="H178">
            <v>0</v>
          </cell>
          <cell r="I178">
            <v>0</v>
          </cell>
          <cell r="J178">
            <v>0</v>
          </cell>
          <cell r="K178">
            <v>0</v>
          </cell>
          <cell r="L178">
            <v>0</v>
          </cell>
          <cell r="M178">
            <v>0</v>
          </cell>
        </row>
        <row r="179">
          <cell r="A179" t="str">
            <v>KZ-LY021-WR-34</v>
          </cell>
          <cell r="B179">
            <v>3</v>
          </cell>
          <cell r="C179">
            <v>0</v>
          </cell>
          <cell r="D179">
            <v>0</v>
          </cell>
          <cell r="E179">
            <v>0</v>
          </cell>
          <cell r="F179">
            <v>0</v>
          </cell>
          <cell r="G179">
            <v>0</v>
          </cell>
          <cell r="H179">
            <v>0</v>
          </cell>
          <cell r="I179">
            <v>0</v>
          </cell>
          <cell r="J179">
            <v>0</v>
          </cell>
          <cell r="K179">
            <v>3</v>
          </cell>
          <cell r="L179">
            <v>0</v>
          </cell>
          <cell r="M179">
            <v>0</v>
          </cell>
        </row>
        <row r="180">
          <cell r="A180" t="str">
            <v>ST172-PK-XXL</v>
          </cell>
          <cell r="B180">
            <v>18</v>
          </cell>
          <cell r="C180">
            <v>0</v>
          </cell>
          <cell r="D180">
            <v>0</v>
          </cell>
          <cell r="E180">
            <v>0</v>
          </cell>
          <cell r="F180">
            <v>0</v>
          </cell>
          <cell r="G180">
            <v>0</v>
          </cell>
          <cell r="H180">
            <v>0</v>
          </cell>
          <cell r="I180">
            <v>0</v>
          </cell>
          <cell r="J180">
            <v>0</v>
          </cell>
          <cell r="K180">
            <v>0</v>
          </cell>
          <cell r="L180">
            <v>18</v>
          </cell>
          <cell r="M180">
            <v>0</v>
          </cell>
        </row>
        <row r="181">
          <cell r="A181" t="str">
            <v>XQ-IUYL320-BK-L</v>
          </cell>
          <cell r="B181">
            <v>4</v>
          </cell>
          <cell r="C181">
            <v>0</v>
          </cell>
          <cell r="D181">
            <v>0</v>
          </cell>
          <cell r="E181">
            <v>0</v>
          </cell>
          <cell r="F181">
            <v>0</v>
          </cell>
          <cell r="G181">
            <v>0</v>
          </cell>
          <cell r="H181">
            <v>0</v>
          </cell>
          <cell r="I181">
            <v>0</v>
          </cell>
          <cell r="J181">
            <v>4</v>
          </cell>
          <cell r="K181">
            <v>0</v>
          </cell>
          <cell r="L181">
            <v>0</v>
          </cell>
          <cell r="M181">
            <v>0</v>
          </cell>
        </row>
        <row r="182">
          <cell r="A182" t="str">
            <v>SCF-B01-021</v>
          </cell>
          <cell r="B182">
            <v>7</v>
          </cell>
          <cell r="C182">
            <v>0</v>
          </cell>
          <cell r="D182">
            <v>0</v>
          </cell>
          <cell r="E182">
            <v>0</v>
          </cell>
          <cell r="F182">
            <v>0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>
            <v>1</v>
          </cell>
          <cell r="L182">
            <v>5</v>
          </cell>
          <cell r="M182">
            <v>0</v>
          </cell>
        </row>
        <row r="183">
          <cell r="A183" t="str">
            <v>LYQ-WF7125-WO-XS</v>
          </cell>
          <cell r="B183">
            <v>0</v>
          </cell>
          <cell r="C183">
            <v>0</v>
          </cell>
          <cell r="D183">
            <v>0</v>
          </cell>
          <cell r="E183">
            <v>0</v>
          </cell>
          <cell r="F183">
            <v>0</v>
          </cell>
          <cell r="G183">
            <v>0</v>
          </cell>
          <cell r="H183">
            <v>0</v>
          </cell>
          <cell r="I183">
            <v>0</v>
          </cell>
          <cell r="J183">
            <v>0</v>
          </cell>
          <cell r="K183">
            <v>0</v>
          </cell>
          <cell r="L183">
            <v>0</v>
          </cell>
          <cell r="M183">
            <v>0</v>
          </cell>
        </row>
        <row r="184">
          <cell r="A184" t="str">
            <v>ST172-GR-S</v>
          </cell>
          <cell r="B184">
            <v>18</v>
          </cell>
          <cell r="C184">
            <v>0</v>
          </cell>
          <cell r="D184">
            <v>0</v>
          </cell>
          <cell r="E184">
            <v>0</v>
          </cell>
          <cell r="F184">
            <v>0</v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  <cell r="K184">
            <v>0</v>
          </cell>
          <cell r="L184">
            <v>18</v>
          </cell>
          <cell r="M184">
            <v>0</v>
          </cell>
        </row>
        <row r="185">
          <cell r="A185" t="str">
            <v>TZ-IUYL240-STAR-S</v>
          </cell>
          <cell r="B185">
            <v>0</v>
          </cell>
          <cell r="C185">
            <v>0</v>
          </cell>
          <cell r="D185">
            <v>0</v>
          </cell>
          <cell r="E185">
            <v>0</v>
          </cell>
          <cell r="F185">
            <v>0</v>
          </cell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>
            <v>0</v>
          </cell>
          <cell r="L185">
            <v>0</v>
          </cell>
          <cell r="M185">
            <v>0</v>
          </cell>
        </row>
        <row r="186">
          <cell r="A186" t="str">
            <v>AQD-IUYL330-LB</v>
          </cell>
          <cell r="B186">
            <v>2</v>
          </cell>
          <cell r="C186">
            <v>0</v>
          </cell>
          <cell r="D186">
            <v>0</v>
          </cell>
          <cell r="E186">
            <v>0</v>
          </cell>
          <cell r="F186">
            <v>0</v>
          </cell>
          <cell r="G186">
            <v>0</v>
          </cell>
          <cell r="H186">
            <v>0</v>
          </cell>
          <cell r="I186">
            <v>0</v>
          </cell>
          <cell r="J186">
            <v>2</v>
          </cell>
          <cell r="K186">
            <v>0</v>
          </cell>
          <cell r="L186">
            <v>0</v>
          </cell>
          <cell r="M186">
            <v>0</v>
          </cell>
        </row>
        <row r="187">
          <cell r="A187" t="str">
            <v>ST172-NY-XXL</v>
          </cell>
          <cell r="B187">
            <v>10</v>
          </cell>
          <cell r="C187">
            <v>0</v>
          </cell>
          <cell r="D187">
            <v>0</v>
          </cell>
          <cell r="E187">
            <v>0</v>
          </cell>
          <cell r="F187">
            <v>0</v>
          </cell>
          <cell r="G187">
            <v>0</v>
          </cell>
          <cell r="H187">
            <v>0</v>
          </cell>
          <cell r="I187">
            <v>0</v>
          </cell>
          <cell r="J187">
            <v>0</v>
          </cell>
          <cell r="K187">
            <v>2</v>
          </cell>
          <cell r="L187">
            <v>6</v>
          </cell>
          <cell r="M187">
            <v>0</v>
          </cell>
        </row>
        <row r="188">
          <cell r="A188" t="str">
            <v>ST171-LB916-S</v>
          </cell>
          <cell r="B188">
            <v>1</v>
          </cell>
          <cell r="C188">
            <v>0</v>
          </cell>
          <cell r="D188">
            <v>0</v>
          </cell>
          <cell r="E188">
            <v>0</v>
          </cell>
          <cell r="F188">
            <v>0</v>
          </cell>
          <cell r="G188">
            <v>0</v>
          </cell>
          <cell r="H188">
            <v>0</v>
          </cell>
          <cell r="I188">
            <v>0</v>
          </cell>
          <cell r="J188">
            <v>0</v>
          </cell>
          <cell r="K188">
            <v>0</v>
          </cell>
          <cell r="L188">
            <v>0</v>
          </cell>
          <cell r="M188">
            <v>0</v>
          </cell>
        </row>
        <row r="189">
          <cell r="A189" t="str">
            <v>ST172-BL-L</v>
          </cell>
          <cell r="B189">
            <v>3</v>
          </cell>
          <cell r="C189">
            <v>0</v>
          </cell>
          <cell r="D189">
            <v>0</v>
          </cell>
          <cell r="E189">
            <v>0</v>
          </cell>
          <cell r="F189">
            <v>0</v>
          </cell>
          <cell r="G189">
            <v>0</v>
          </cell>
          <cell r="H189">
            <v>0</v>
          </cell>
          <cell r="I189">
            <v>0</v>
          </cell>
          <cell r="J189">
            <v>0</v>
          </cell>
          <cell r="K189">
            <v>1</v>
          </cell>
          <cell r="L189">
            <v>2</v>
          </cell>
          <cell r="M189">
            <v>0</v>
          </cell>
        </row>
        <row r="190">
          <cell r="A190" t="str">
            <v>ST-K559-KQ-44</v>
          </cell>
          <cell r="B190">
            <v>1</v>
          </cell>
          <cell r="C190">
            <v>0</v>
          </cell>
          <cell r="D190">
            <v>0</v>
          </cell>
          <cell r="E190">
            <v>0</v>
          </cell>
          <cell r="F190">
            <v>0</v>
          </cell>
          <cell r="G190">
            <v>0</v>
          </cell>
          <cell r="H190">
            <v>0</v>
          </cell>
          <cell r="I190">
            <v>0</v>
          </cell>
          <cell r="J190">
            <v>0</v>
          </cell>
          <cell r="K190">
            <v>0</v>
          </cell>
          <cell r="L190">
            <v>1</v>
          </cell>
          <cell r="M190">
            <v>0</v>
          </cell>
        </row>
        <row r="191">
          <cell r="A191" t="str">
            <v>SCF-B01-017</v>
          </cell>
          <cell r="B191">
            <v>7</v>
          </cell>
          <cell r="C191">
            <v>0</v>
          </cell>
          <cell r="D191">
            <v>0</v>
          </cell>
          <cell r="E191">
            <v>0</v>
          </cell>
          <cell r="F191">
            <v>0</v>
          </cell>
          <cell r="G191">
            <v>0</v>
          </cell>
          <cell r="H191">
            <v>0</v>
          </cell>
          <cell r="I191">
            <v>0</v>
          </cell>
          <cell r="J191">
            <v>0</v>
          </cell>
          <cell r="K191">
            <v>1</v>
          </cell>
          <cell r="L191">
            <v>6</v>
          </cell>
          <cell r="M191">
            <v>0</v>
          </cell>
        </row>
        <row r="192">
          <cell r="A192" t="str">
            <v>SCF-A01-009</v>
          </cell>
          <cell r="B192">
            <v>4</v>
          </cell>
          <cell r="C192">
            <v>0</v>
          </cell>
          <cell r="D192">
            <v>0</v>
          </cell>
          <cell r="E192">
            <v>0</v>
          </cell>
          <cell r="F192">
            <v>0</v>
          </cell>
          <cell r="G192">
            <v>0</v>
          </cell>
          <cell r="H192">
            <v>0</v>
          </cell>
          <cell r="I192">
            <v>0</v>
          </cell>
          <cell r="J192">
            <v>0</v>
          </cell>
          <cell r="K192">
            <v>3</v>
          </cell>
          <cell r="L192">
            <v>1</v>
          </cell>
          <cell r="M192">
            <v>0</v>
          </cell>
        </row>
        <row r="193">
          <cell r="A193" t="str">
            <v>LGQ-IUYL100-WT</v>
          </cell>
          <cell r="B193">
            <v>8</v>
          </cell>
          <cell r="C193">
            <v>0</v>
          </cell>
          <cell r="D193">
            <v>0</v>
          </cell>
          <cell r="E193">
            <v>0</v>
          </cell>
          <cell r="F193">
            <v>0</v>
          </cell>
          <cell r="G193">
            <v>0</v>
          </cell>
          <cell r="H193">
            <v>0</v>
          </cell>
          <cell r="I193">
            <v>0</v>
          </cell>
          <cell r="J193">
            <v>2</v>
          </cell>
          <cell r="K193">
            <v>0</v>
          </cell>
          <cell r="L193">
            <v>0</v>
          </cell>
          <cell r="M193">
            <v>0</v>
          </cell>
        </row>
        <row r="194">
          <cell r="A194" t="str">
            <v>GW-LULHY-6.2</v>
          </cell>
          <cell r="B194">
            <v>7</v>
          </cell>
          <cell r="C194">
            <v>0</v>
          </cell>
          <cell r="D194">
            <v>0</v>
          </cell>
          <cell r="E194">
            <v>0</v>
          </cell>
          <cell r="F194">
            <v>0</v>
          </cell>
          <cell r="G194">
            <v>0</v>
          </cell>
          <cell r="H194">
            <v>0</v>
          </cell>
          <cell r="I194">
            <v>0</v>
          </cell>
          <cell r="J194">
            <v>0</v>
          </cell>
          <cell r="K194">
            <v>0</v>
          </cell>
          <cell r="L194">
            <v>0</v>
          </cell>
          <cell r="M194">
            <v>0</v>
          </cell>
        </row>
        <row r="195">
          <cell r="A195" t="str">
            <v>GS-IUYL280-2</v>
          </cell>
          <cell r="B195">
            <v>3</v>
          </cell>
          <cell r="C195">
            <v>0</v>
          </cell>
          <cell r="D195">
            <v>0</v>
          </cell>
          <cell r="E195">
            <v>0</v>
          </cell>
          <cell r="F195">
            <v>0</v>
          </cell>
          <cell r="G195">
            <v>0</v>
          </cell>
          <cell r="H195">
            <v>0</v>
          </cell>
          <cell r="I195">
            <v>0</v>
          </cell>
          <cell r="J195">
            <v>3</v>
          </cell>
          <cell r="K195">
            <v>0</v>
          </cell>
          <cell r="L195">
            <v>0</v>
          </cell>
          <cell r="M195">
            <v>0</v>
          </cell>
        </row>
        <row r="196">
          <cell r="A196" t="str">
            <v>XQ-IUYL320-BK-S</v>
          </cell>
          <cell r="B196">
            <v>4</v>
          </cell>
          <cell r="C196">
            <v>0</v>
          </cell>
          <cell r="D196">
            <v>0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4</v>
          </cell>
          <cell r="K196">
            <v>0</v>
          </cell>
          <cell r="L196">
            <v>0</v>
          </cell>
          <cell r="M196">
            <v>0</v>
          </cell>
        </row>
        <row r="197">
          <cell r="A197" t="str">
            <v>SCF-A01-012</v>
          </cell>
          <cell r="B197">
            <v>5</v>
          </cell>
          <cell r="C197">
            <v>0</v>
          </cell>
          <cell r="D197">
            <v>0</v>
          </cell>
          <cell r="E197">
            <v>0</v>
          </cell>
          <cell r="F197">
            <v>0</v>
          </cell>
          <cell r="G197">
            <v>0</v>
          </cell>
          <cell r="H197">
            <v>0</v>
          </cell>
          <cell r="I197">
            <v>0</v>
          </cell>
          <cell r="J197">
            <v>0</v>
          </cell>
          <cell r="K197">
            <v>1</v>
          </cell>
          <cell r="L197">
            <v>4</v>
          </cell>
          <cell r="M197">
            <v>0</v>
          </cell>
        </row>
        <row r="198">
          <cell r="A198" t="str">
            <v>LGQ-IUYL100-PK</v>
          </cell>
          <cell r="B198">
            <v>0</v>
          </cell>
          <cell r="C198">
            <v>0</v>
          </cell>
          <cell r="D198">
            <v>13</v>
          </cell>
          <cell r="E198">
            <v>0</v>
          </cell>
          <cell r="F198">
            <v>13</v>
          </cell>
          <cell r="G198">
            <v>0</v>
          </cell>
          <cell r="H198">
            <v>0</v>
          </cell>
          <cell r="I198">
            <v>0</v>
          </cell>
          <cell r="J198">
            <v>0</v>
          </cell>
          <cell r="K198">
            <v>0</v>
          </cell>
          <cell r="L198">
            <v>0</v>
          </cell>
          <cell r="M198">
            <v>0</v>
          </cell>
        </row>
        <row r="199">
          <cell r="A199" t="str">
            <v>XQ-IUYL320-GN-XL</v>
          </cell>
          <cell r="B199">
            <v>4</v>
          </cell>
          <cell r="C199">
            <v>0</v>
          </cell>
          <cell r="D199">
            <v>0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4</v>
          </cell>
          <cell r="K199">
            <v>0</v>
          </cell>
          <cell r="L199">
            <v>0</v>
          </cell>
          <cell r="M199">
            <v>0</v>
          </cell>
        </row>
        <row r="200">
          <cell r="A200" t="str">
            <v>ST172-NY-M</v>
          </cell>
          <cell r="B200">
            <v>14</v>
          </cell>
          <cell r="C200">
            <v>0</v>
          </cell>
          <cell r="D200">
            <v>0</v>
          </cell>
          <cell r="E200">
            <v>0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1</v>
          </cell>
          <cell r="K200">
            <v>0</v>
          </cell>
          <cell r="L200">
            <v>13</v>
          </cell>
          <cell r="M200">
            <v>0</v>
          </cell>
        </row>
        <row r="201">
          <cell r="A201" t="str">
            <v>SCF-B01-018</v>
          </cell>
          <cell r="B201">
            <v>7</v>
          </cell>
          <cell r="C201">
            <v>0</v>
          </cell>
          <cell r="D201">
            <v>0</v>
          </cell>
          <cell r="E201">
            <v>0</v>
          </cell>
          <cell r="F201">
            <v>0</v>
          </cell>
          <cell r="G201">
            <v>0</v>
          </cell>
          <cell r="H201">
            <v>0</v>
          </cell>
          <cell r="I201">
            <v>0</v>
          </cell>
          <cell r="J201">
            <v>0</v>
          </cell>
          <cell r="K201">
            <v>1</v>
          </cell>
          <cell r="L201">
            <v>6</v>
          </cell>
          <cell r="M201">
            <v>0</v>
          </cell>
        </row>
        <row r="202">
          <cell r="A202" t="str">
            <v>ST173-NY-S</v>
          </cell>
          <cell r="B202">
            <v>12</v>
          </cell>
          <cell r="C202">
            <v>0</v>
          </cell>
          <cell r="D202">
            <v>0</v>
          </cell>
          <cell r="E202">
            <v>0</v>
          </cell>
          <cell r="F202">
            <v>0</v>
          </cell>
          <cell r="G202">
            <v>0</v>
          </cell>
          <cell r="H202">
            <v>0</v>
          </cell>
          <cell r="I202">
            <v>0</v>
          </cell>
          <cell r="J202">
            <v>0</v>
          </cell>
          <cell r="K202">
            <v>0</v>
          </cell>
          <cell r="L202">
            <v>12</v>
          </cell>
          <cell r="M202">
            <v>0</v>
          </cell>
        </row>
        <row r="203">
          <cell r="A203" t="str">
            <v>BD-LUHM010</v>
          </cell>
          <cell r="B203">
            <v>19</v>
          </cell>
          <cell r="C203">
            <v>0</v>
          </cell>
          <cell r="D203">
            <v>0</v>
          </cell>
          <cell r="E203">
            <v>0</v>
          </cell>
          <cell r="F203">
            <v>0</v>
          </cell>
          <cell r="G203">
            <v>0</v>
          </cell>
          <cell r="H203">
            <v>0</v>
          </cell>
          <cell r="I203">
            <v>0</v>
          </cell>
          <cell r="J203">
            <v>0</v>
          </cell>
          <cell r="K203">
            <v>0</v>
          </cell>
          <cell r="L203">
            <v>0</v>
          </cell>
          <cell r="M203">
            <v>0</v>
          </cell>
        </row>
        <row r="204">
          <cell r="A204" t="str">
            <v>LGQ-IUYL100-YL</v>
          </cell>
          <cell r="B204">
            <v>21</v>
          </cell>
          <cell r="C204">
            <v>0</v>
          </cell>
          <cell r="D204">
            <v>0</v>
          </cell>
          <cell r="E204">
            <v>0</v>
          </cell>
          <cell r="F204">
            <v>0</v>
          </cell>
          <cell r="G204">
            <v>0</v>
          </cell>
          <cell r="H204">
            <v>0</v>
          </cell>
          <cell r="I204">
            <v>0</v>
          </cell>
          <cell r="J204">
            <v>4</v>
          </cell>
          <cell r="K204">
            <v>0</v>
          </cell>
          <cell r="L204">
            <v>0</v>
          </cell>
          <cell r="M204">
            <v>0</v>
          </cell>
        </row>
        <row r="205">
          <cell r="A205" t="str">
            <v>ST172-BL-XXL</v>
          </cell>
          <cell r="B205">
            <v>5</v>
          </cell>
          <cell r="C205">
            <v>0</v>
          </cell>
          <cell r="D205">
            <v>0</v>
          </cell>
          <cell r="E205">
            <v>0</v>
          </cell>
          <cell r="F205">
            <v>0</v>
          </cell>
          <cell r="G205">
            <v>0</v>
          </cell>
          <cell r="H205">
            <v>0</v>
          </cell>
          <cell r="I205">
            <v>0</v>
          </cell>
          <cell r="J205">
            <v>0</v>
          </cell>
          <cell r="K205">
            <v>0</v>
          </cell>
          <cell r="L205">
            <v>3</v>
          </cell>
          <cell r="M205">
            <v>0</v>
          </cell>
        </row>
        <row r="206">
          <cell r="A206" t="str">
            <v>ST173-PK-L</v>
          </cell>
          <cell r="B206">
            <v>1</v>
          </cell>
          <cell r="C206">
            <v>0</v>
          </cell>
          <cell r="D206">
            <v>0</v>
          </cell>
          <cell r="E206">
            <v>0</v>
          </cell>
          <cell r="F206">
            <v>0</v>
          </cell>
          <cell r="G206">
            <v>0</v>
          </cell>
          <cell r="H206">
            <v>0</v>
          </cell>
          <cell r="I206">
            <v>0</v>
          </cell>
          <cell r="J206">
            <v>1</v>
          </cell>
          <cell r="K206">
            <v>0</v>
          </cell>
          <cell r="L206">
            <v>0</v>
          </cell>
          <cell r="M206">
            <v>0</v>
          </cell>
        </row>
        <row r="207">
          <cell r="A207" t="str">
            <v>SCF-C01-016</v>
          </cell>
          <cell r="B207">
            <v>7</v>
          </cell>
          <cell r="C207">
            <v>0</v>
          </cell>
          <cell r="D207">
            <v>0</v>
          </cell>
          <cell r="E207">
            <v>0</v>
          </cell>
          <cell r="F207">
            <v>0</v>
          </cell>
          <cell r="G207">
            <v>0</v>
          </cell>
          <cell r="H207">
            <v>0</v>
          </cell>
          <cell r="I207">
            <v>0</v>
          </cell>
          <cell r="J207">
            <v>0</v>
          </cell>
          <cell r="K207">
            <v>1</v>
          </cell>
          <cell r="L207">
            <v>6</v>
          </cell>
          <cell r="M207">
            <v>0</v>
          </cell>
        </row>
        <row r="208">
          <cell r="A208" t="str">
            <v>KZ-LY021-GY-36</v>
          </cell>
          <cell r="B208">
            <v>3</v>
          </cell>
          <cell r="C208">
            <v>0</v>
          </cell>
          <cell r="D208">
            <v>0</v>
          </cell>
          <cell r="E208">
            <v>0</v>
          </cell>
          <cell r="F208">
            <v>0</v>
          </cell>
          <cell r="G208">
            <v>0</v>
          </cell>
          <cell r="H208">
            <v>0</v>
          </cell>
          <cell r="I208">
            <v>0</v>
          </cell>
          <cell r="J208">
            <v>0</v>
          </cell>
          <cell r="K208">
            <v>3</v>
          </cell>
          <cell r="L208">
            <v>0</v>
          </cell>
          <cell r="M208">
            <v>0</v>
          </cell>
        </row>
        <row r="209">
          <cell r="A209" t="str">
            <v>ST172-PP-XL</v>
          </cell>
          <cell r="B209">
            <v>1</v>
          </cell>
          <cell r="C209">
            <v>0</v>
          </cell>
          <cell r="D209">
            <v>0</v>
          </cell>
          <cell r="E209">
            <v>0</v>
          </cell>
          <cell r="F209">
            <v>0</v>
          </cell>
          <cell r="G209">
            <v>0</v>
          </cell>
          <cell r="H209">
            <v>0</v>
          </cell>
          <cell r="I209">
            <v>0</v>
          </cell>
          <cell r="J209">
            <v>0</v>
          </cell>
          <cell r="K209">
            <v>1</v>
          </cell>
          <cell r="L209">
            <v>0</v>
          </cell>
          <cell r="M209">
            <v>0</v>
          </cell>
        </row>
        <row r="210">
          <cell r="A210" t="str">
            <v>ST172-PK-L</v>
          </cell>
          <cell r="B210">
            <v>18</v>
          </cell>
          <cell r="C210">
            <v>0</v>
          </cell>
          <cell r="D210">
            <v>0</v>
          </cell>
          <cell r="E210">
            <v>0</v>
          </cell>
          <cell r="F210">
            <v>0</v>
          </cell>
          <cell r="G210">
            <v>0</v>
          </cell>
          <cell r="H210">
            <v>0</v>
          </cell>
          <cell r="I210">
            <v>0</v>
          </cell>
          <cell r="J210">
            <v>0</v>
          </cell>
          <cell r="K210">
            <v>0</v>
          </cell>
          <cell r="L210">
            <v>18</v>
          </cell>
          <cell r="M210">
            <v>0</v>
          </cell>
        </row>
        <row r="211">
          <cell r="A211" t="str">
            <v>ST172-PK-XL</v>
          </cell>
          <cell r="B211">
            <v>18</v>
          </cell>
          <cell r="C211">
            <v>0</v>
          </cell>
          <cell r="D211">
            <v>0</v>
          </cell>
          <cell r="E211">
            <v>0</v>
          </cell>
          <cell r="F211">
            <v>0</v>
          </cell>
          <cell r="G211">
            <v>0</v>
          </cell>
          <cell r="H211">
            <v>0</v>
          </cell>
          <cell r="I211">
            <v>0</v>
          </cell>
          <cell r="J211">
            <v>0</v>
          </cell>
          <cell r="K211">
            <v>0</v>
          </cell>
          <cell r="L211">
            <v>18</v>
          </cell>
          <cell r="M211">
            <v>0</v>
          </cell>
        </row>
        <row r="212">
          <cell r="A212" t="str">
            <v>ST172-BL-XL</v>
          </cell>
          <cell r="B212">
            <v>5</v>
          </cell>
          <cell r="C212">
            <v>0</v>
          </cell>
          <cell r="D212">
            <v>0</v>
          </cell>
          <cell r="E212">
            <v>0</v>
          </cell>
          <cell r="F212">
            <v>0</v>
          </cell>
          <cell r="G212">
            <v>0</v>
          </cell>
          <cell r="H212">
            <v>0</v>
          </cell>
          <cell r="I212">
            <v>0</v>
          </cell>
          <cell r="J212">
            <v>0</v>
          </cell>
          <cell r="K212">
            <v>0</v>
          </cell>
          <cell r="L212">
            <v>5</v>
          </cell>
          <cell r="M212">
            <v>0</v>
          </cell>
        </row>
        <row r="213">
          <cell r="A213" t="str">
            <v>GW-LULHY-7.6</v>
          </cell>
          <cell r="B213">
            <v>20</v>
          </cell>
          <cell r="C213">
            <v>0</v>
          </cell>
          <cell r="D213">
            <v>0</v>
          </cell>
          <cell r="E213">
            <v>0</v>
          </cell>
          <cell r="F213">
            <v>0</v>
          </cell>
          <cell r="G213">
            <v>0</v>
          </cell>
          <cell r="H213">
            <v>0</v>
          </cell>
          <cell r="I213">
            <v>0</v>
          </cell>
          <cell r="J213">
            <v>0</v>
          </cell>
          <cell r="K213">
            <v>0</v>
          </cell>
          <cell r="L213">
            <v>0</v>
          </cell>
          <cell r="M213">
            <v>0</v>
          </cell>
        </row>
        <row r="214">
          <cell r="A214" t="str">
            <v>TZ-IUYL240-STRAWBERRY-L</v>
          </cell>
          <cell r="B214">
            <v>18</v>
          </cell>
          <cell r="C214">
            <v>0</v>
          </cell>
          <cell r="D214">
            <v>0</v>
          </cell>
          <cell r="E214">
            <v>0</v>
          </cell>
          <cell r="F214">
            <v>0</v>
          </cell>
          <cell r="G214">
            <v>0</v>
          </cell>
          <cell r="H214">
            <v>0</v>
          </cell>
          <cell r="I214">
            <v>0</v>
          </cell>
          <cell r="J214">
            <v>0</v>
          </cell>
          <cell r="K214">
            <v>0</v>
          </cell>
          <cell r="L214">
            <v>0</v>
          </cell>
          <cell r="M214">
            <v>0</v>
          </cell>
        </row>
        <row r="215">
          <cell r="A215" t="str">
            <v>KZ-LY021-WR-32</v>
          </cell>
          <cell r="B215">
            <v>3</v>
          </cell>
          <cell r="C215">
            <v>0</v>
          </cell>
          <cell r="D215">
            <v>0</v>
          </cell>
          <cell r="E215">
            <v>0</v>
          </cell>
          <cell r="F215">
            <v>0</v>
          </cell>
          <cell r="G215">
            <v>0</v>
          </cell>
          <cell r="H215">
            <v>0</v>
          </cell>
          <cell r="I215">
            <v>0</v>
          </cell>
          <cell r="J215">
            <v>0</v>
          </cell>
          <cell r="K215">
            <v>3</v>
          </cell>
          <cell r="L215">
            <v>0</v>
          </cell>
          <cell r="M215">
            <v>0</v>
          </cell>
        </row>
        <row r="216">
          <cell r="A216" t="str">
            <v>SCF-B01-008</v>
          </cell>
          <cell r="B216">
            <v>6</v>
          </cell>
          <cell r="C216">
            <v>0</v>
          </cell>
          <cell r="D216">
            <v>0</v>
          </cell>
          <cell r="E216">
            <v>0</v>
          </cell>
          <cell r="F216">
            <v>0</v>
          </cell>
          <cell r="G216">
            <v>0</v>
          </cell>
          <cell r="H216">
            <v>0</v>
          </cell>
          <cell r="I216">
            <v>0</v>
          </cell>
          <cell r="J216">
            <v>0</v>
          </cell>
          <cell r="K216">
            <v>1</v>
          </cell>
          <cell r="L216">
            <v>5</v>
          </cell>
          <cell r="M216">
            <v>0</v>
          </cell>
        </row>
        <row r="217">
          <cell r="A217" t="str">
            <v>XQ-IUYL320-RD-L</v>
          </cell>
          <cell r="B217">
            <v>4</v>
          </cell>
          <cell r="C217">
            <v>0</v>
          </cell>
          <cell r="D217">
            <v>0</v>
          </cell>
          <cell r="E217">
            <v>0</v>
          </cell>
          <cell r="F217">
            <v>0</v>
          </cell>
          <cell r="G217">
            <v>0</v>
          </cell>
          <cell r="H217">
            <v>0</v>
          </cell>
          <cell r="I217">
            <v>0</v>
          </cell>
          <cell r="J217">
            <v>4</v>
          </cell>
          <cell r="K217">
            <v>0</v>
          </cell>
          <cell r="L217">
            <v>0</v>
          </cell>
          <cell r="M217">
            <v>0</v>
          </cell>
        </row>
        <row r="218">
          <cell r="A218" t="str">
            <v>XQ-IUYL320-PP-XL</v>
          </cell>
          <cell r="B218">
            <v>3</v>
          </cell>
          <cell r="C218">
            <v>0</v>
          </cell>
          <cell r="D218">
            <v>0</v>
          </cell>
          <cell r="E218">
            <v>0</v>
          </cell>
          <cell r="F218">
            <v>0</v>
          </cell>
          <cell r="G218">
            <v>0</v>
          </cell>
          <cell r="H218">
            <v>0</v>
          </cell>
          <cell r="I218">
            <v>0</v>
          </cell>
          <cell r="J218">
            <v>3</v>
          </cell>
          <cell r="K218">
            <v>0</v>
          </cell>
          <cell r="L218">
            <v>0</v>
          </cell>
          <cell r="M218">
            <v>0</v>
          </cell>
        </row>
        <row r="219">
          <cell r="A219" t="str">
            <v>ST172-WT2-XXL</v>
          </cell>
          <cell r="B219">
            <v>1</v>
          </cell>
          <cell r="C219">
            <v>0</v>
          </cell>
          <cell r="D219">
            <v>0</v>
          </cell>
          <cell r="E219">
            <v>0</v>
          </cell>
          <cell r="F219">
            <v>0</v>
          </cell>
          <cell r="G219">
            <v>0</v>
          </cell>
          <cell r="H219">
            <v>0</v>
          </cell>
          <cell r="I219">
            <v>0</v>
          </cell>
          <cell r="J219">
            <v>0</v>
          </cell>
          <cell r="K219">
            <v>0</v>
          </cell>
          <cell r="L219">
            <v>0</v>
          </cell>
          <cell r="M219">
            <v>0</v>
          </cell>
        </row>
        <row r="220">
          <cell r="A220" t="str">
            <v>SCF-B01-012</v>
          </cell>
          <cell r="B220">
            <v>6</v>
          </cell>
          <cell r="C220">
            <v>0</v>
          </cell>
          <cell r="D220">
            <v>0</v>
          </cell>
          <cell r="E220">
            <v>0</v>
          </cell>
          <cell r="F220">
            <v>0</v>
          </cell>
          <cell r="G220">
            <v>0</v>
          </cell>
          <cell r="H220">
            <v>0</v>
          </cell>
          <cell r="I220">
            <v>0</v>
          </cell>
          <cell r="J220">
            <v>1</v>
          </cell>
          <cell r="K220">
            <v>1</v>
          </cell>
          <cell r="L220">
            <v>3</v>
          </cell>
          <cell r="M220">
            <v>0</v>
          </cell>
        </row>
        <row r="221">
          <cell r="A221" t="str">
            <v>XQ-IUYL320-YL-S</v>
          </cell>
          <cell r="B221">
            <v>4</v>
          </cell>
          <cell r="C221">
            <v>0</v>
          </cell>
          <cell r="D221">
            <v>0</v>
          </cell>
          <cell r="E221">
            <v>0</v>
          </cell>
          <cell r="F221">
            <v>0</v>
          </cell>
          <cell r="G221">
            <v>0</v>
          </cell>
          <cell r="H221">
            <v>0</v>
          </cell>
          <cell r="I221">
            <v>0</v>
          </cell>
          <cell r="J221">
            <v>4</v>
          </cell>
          <cell r="K221">
            <v>0</v>
          </cell>
          <cell r="L221">
            <v>0</v>
          </cell>
          <cell r="M221">
            <v>0</v>
          </cell>
        </row>
        <row r="222">
          <cell r="A222" t="str">
            <v>AQD-IUYL330-YL</v>
          </cell>
          <cell r="B222">
            <v>2</v>
          </cell>
          <cell r="C222">
            <v>0</v>
          </cell>
          <cell r="D222">
            <v>0</v>
          </cell>
          <cell r="E222">
            <v>0</v>
          </cell>
          <cell r="F222">
            <v>0</v>
          </cell>
          <cell r="G222">
            <v>0</v>
          </cell>
          <cell r="H222">
            <v>0</v>
          </cell>
          <cell r="I222">
            <v>0</v>
          </cell>
          <cell r="J222">
            <v>2</v>
          </cell>
          <cell r="K222">
            <v>0</v>
          </cell>
          <cell r="L222">
            <v>0</v>
          </cell>
          <cell r="M222">
            <v>0</v>
          </cell>
        </row>
        <row r="223">
          <cell r="A223" t="str">
            <v>ST172-PP-S</v>
          </cell>
          <cell r="B223">
            <v>7</v>
          </cell>
          <cell r="C223">
            <v>0</v>
          </cell>
          <cell r="D223">
            <v>0</v>
          </cell>
          <cell r="E223">
            <v>0</v>
          </cell>
          <cell r="F223">
            <v>0</v>
          </cell>
          <cell r="G223">
            <v>0</v>
          </cell>
          <cell r="H223">
            <v>0</v>
          </cell>
          <cell r="I223">
            <v>0</v>
          </cell>
          <cell r="J223">
            <v>1</v>
          </cell>
          <cell r="K223">
            <v>0</v>
          </cell>
          <cell r="L223">
            <v>6</v>
          </cell>
          <cell r="M223">
            <v>0</v>
          </cell>
        </row>
        <row r="224">
          <cell r="A224" t="str">
            <v>TZ-IUYL240LHY-STAR-S</v>
          </cell>
          <cell r="B224">
            <v>56</v>
          </cell>
          <cell r="C224">
            <v>0</v>
          </cell>
          <cell r="D224">
            <v>0</v>
          </cell>
          <cell r="E224">
            <v>8</v>
          </cell>
          <cell r="F224">
            <v>8</v>
          </cell>
          <cell r="G224">
            <v>0</v>
          </cell>
          <cell r="H224">
            <v>0</v>
          </cell>
          <cell r="I224">
            <v>0</v>
          </cell>
          <cell r="J224">
            <v>0</v>
          </cell>
          <cell r="K224">
            <v>0</v>
          </cell>
          <cell r="L224">
            <v>0</v>
          </cell>
          <cell r="M224">
            <v>0</v>
          </cell>
        </row>
        <row r="225">
          <cell r="A225" t="str">
            <v>XQ-IUYL320-RD-S</v>
          </cell>
          <cell r="B225">
            <v>4</v>
          </cell>
          <cell r="C225">
            <v>0</v>
          </cell>
          <cell r="D225">
            <v>0</v>
          </cell>
          <cell r="E225">
            <v>0</v>
          </cell>
          <cell r="F225">
            <v>0</v>
          </cell>
          <cell r="G225">
            <v>0</v>
          </cell>
          <cell r="H225">
            <v>0</v>
          </cell>
          <cell r="I225">
            <v>0</v>
          </cell>
          <cell r="J225">
            <v>4</v>
          </cell>
          <cell r="K225">
            <v>0</v>
          </cell>
          <cell r="L225">
            <v>0</v>
          </cell>
          <cell r="M225">
            <v>0</v>
          </cell>
        </row>
        <row r="226">
          <cell r="A226" t="str">
            <v>ST172-WT1-L</v>
          </cell>
          <cell r="B226">
            <v>15</v>
          </cell>
          <cell r="C226">
            <v>0</v>
          </cell>
          <cell r="D226">
            <v>0</v>
          </cell>
          <cell r="E226">
            <v>0</v>
          </cell>
          <cell r="F226">
            <v>0</v>
          </cell>
          <cell r="G226">
            <v>0</v>
          </cell>
          <cell r="H226">
            <v>0</v>
          </cell>
          <cell r="I226">
            <v>0</v>
          </cell>
          <cell r="J226">
            <v>0</v>
          </cell>
          <cell r="K226">
            <v>0</v>
          </cell>
          <cell r="L226">
            <v>15</v>
          </cell>
          <cell r="M226">
            <v>0</v>
          </cell>
        </row>
        <row r="227">
          <cell r="A227" t="str">
            <v>SCF-B01-002</v>
          </cell>
          <cell r="B227">
            <v>6</v>
          </cell>
          <cell r="C227">
            <v>0</v>
          </cell>
          <cell r="D227">
            <v>0</v>
          </cell>
          <cell r="E227">
            <v>0</v>
          </cell>
          <cell r="F227">
            <v>0</v>
          </cell>
          <cell r="G227">
            <v>0</v>
          </cell>
          <cell r="H227">
            <v>0</v>
          </cell>
          <cell r="I227">
            <v>0</v>
          </cell>
          <cell r="J227">
            <v>0</v>
          </cell>
          <cell r="K227">
            <v>1</v>
          </cell>
          <cell r="L227">
            <v>5</v>
          </cell>
          <cell r="M227">
            <v>0</v>
          </cell>
        </row>
        <row r="228">
          <cell r="A228" t="str">
            <v>XQ-IUYL260-BK-S</v>
          </cell>
          <cell r="B228">
            <v>9</v>
          </cell>
          <cell r="C228">
            <v>0</v>
          </cell>
          <cell r="D228">
            <v>0</v>
          </cell>
          <cell r="E228">
            <v>0</v>
          </cell>
          <cell r="F228">
            <v>0</v>
          </cell>
          <cell r="G228">
            <v>0</v>
          </cell>
          <cell r="H228">
            <v>0</v>
          </cell>
          <cell r="I228">
            <v>0</v>
          </cell>
          <cell r="J228">
            <v>0</v>
          </cell>
          <cell r="K228">
            <v>0</v>
          </cell>
          <cell r="L228">
            <v>0</v>
          </cell>
          <cell r="M228">
            <v>0</v>
          </cell>
        </row>
        <row r="229">
          <cell r="A229" t="str">
            <v>ST006-BL-S</v>
          </cell>
          <cell r="B229">
            <v>9</v>
          </cell>
          <cell r="C229">
            <v>0</v>
          </cell>
          <cell r="D229">
            <v>0</v>
          </cell>
          <cell r="E229">
            <v>0</v>
          </cell>
          <cell r="F229">
            <v>0</v>
          </cell>
          <cell r="G229">
            <v>0</v>
          </cell>
          <cell r="H229">
            <v>0</v>
          </cell>
          <cell r="I229">
            <v>0</v>
          </cell>
          <cell r="J229">
            <v>0</v>
          </cell>
          <cell r="K229">
            <v>0</v>
          </cell>
          <cell r="L229">
            <v>9</v>
          </cell>
          <cell r="M229">
            <v>0</v>
          </cell>
        </row>
        <row r="230">
          <cell r="A230" t="str">
            <v>AQD-IUYL330-PK</v>
          </cell>
          <cell r="B230">
            <v>3</v>
          </cell>
          <cell r="C230">
            <v>0</v>
          </cell>
          <cell r="D230">
            <v>0</v>
          </cell>
          <cell r="E230">
            <v>0</v>
          </cell>
          <cell r="F230">
            <v>0</v>
          </cell>
          <cell r="G230">
            <v>0</v>
          </cell>
          <cell r="H230">
            <v>0</v>
          </cell>
          <cell r="I230">
            <v>0</v>
          </cell>
          <cell r="J230">
            <v>3</v>
          </cell>
          <cell r="K230">
            <v>0</v>
          </cell>
          <cell r="L230">
            <v>0</v>
          </cell>
          <cell r="M230">
            <v>0</v>
          </cell>
        </row>
        <row r="231">
          <cell r="A231" t="str">
            <v>ST172-NY-S</v>
          </cell>
          <cell r="B231">
            <v>16</v>
          </cell>
          <cell r="C231">
            <v>0</v>
          </cell>
          <cell r="D231">
            <v>0</v>
          </cell>
          <cell r="E231">
            <v>0</v>
          </cell>
          <cell r="F231">
            <v>0</v>
          </cell>
          <cell r="G231">
            <v>0</v>
          </cell>
          <cell r="H231">
            <v>0</v>
          </cell>
          <cell r="I231">
            <v>0</v>
          </cell>
          <cell r="J231">
            <v>0</v>
          </cell>
          <cell r="K231">
            <v>0</v>
          </cell>
          <cell r="L231">
            <v>16</v>
          </cell>
          <cell r="M231">
            <v>0</v>
          </cell>
        </row>
        <row r="232">
          <cell r="A232" t="str">
            <v>ST172-WT2-L</v>
          </cell>
          <cell r="B232">
            <v>15</v>
          </cell>
          <cell r="C232">
            <v>0</v>
          </cell>
          <cell r="D232">
            <v>0</v>
          </cell>
          <cell r="E232">
            <v>0</v>
          </cell>
          <cell r="F232">
            <v>0</v>
          </cell>
          <cell r="G232">
            <v>0</v>
          </cell>
          <cell r="H232">
            <v>0</v>
          </cell>
          <cell r="I232">
            <v>0</v>
          </cell>
          <cell r="J232">
            <v>0</v>
          </cell>
          <cell r="K232">
            <v>0</v>
          </cell>
          <cell r="L232">
            <v>14</v>
          </cell>
          <cell r="M232">
            <v>0</v>
          </cell>
        </row>
        <row r="233">
          <cell r="A233" t="str">
            <v>KZ-LY021-GY-38</v>
          </cell>
          <cell r="B233">
            <v>2</v>
          </cell>
          <cell r="C233">
            <v>0</v>
          </cell>
          <cell r="D233">
            <v>0</v>
          </cell>
          <cell r="E233">
            <v>0</v>
          </cell>
          <cell r="F233">
            <v>0</v>
          </cell>
          <cell r="G233">
            <v>0</v>
          </cell>
          <cell r="H233">
            <v>0</v>
          </cell>
          <cell r="I233">
            <v>0</v>
          </cell>
          <cell r="J233">
            <v>0</v>
          </cell>
          <cell r="K233">
            <v>2</v>
          </cell>
          <cell r="L233">
            <v>0</v>
          </cell>
          <cell r="M233">
            <v>0</v>
          </cell>
        </row>
        <row r="234">
          <cell r="A234" t="str">
            <v>ST172-WT1-M</v>
          </cell>
          <cell r="B234">
            <v>16</v>
          </cell>
          <cell r="C234">
            <v>0</v>
          </cell>
          <cell r="D234">
            <v>0</v>
          </cell>
          <cell r="E234">
            <v>0</v>
          </cell>
          <cell r="F234">
            <v>0</v>
          </cell>
          <cell r="G234">
            <v>0</v>
          </cell>
          <cell r="H234">
            <v>0</v>
          </cell>
          <cell r="I234">
            <v>0</v>
          </cell>
          <cell r="J234">
            <v>1</v>
          </cell>
          <cell r="K234">
            <v>0</v>
          </cell>
          <cell r="L234">
            <v>15</v>
          </cell>
          <cell r="M234">
            <v>0</v>
          </cell>
        </row>
        <row r="235">
          <cell r="A235" t="str">
            <v>SCF-C01-017</v>
          </cell>
          <cell r="B235">
            <v>1</v>
          </cell>
          <cell r="C235">
            <v>0</v>
          </cell>
          <cell r="D235">
            <v>0</v>
          </cell>
          <cell r="E235">
            <v>0</v>
          </cell>
          <cell r="F235">
            <v>0</v>
          </cell>
          <cell r="G235">
            <v>0</v>
          </cell>
          <cell r="H235">
            <v>0</v>
          </cell>
          <cell r="I235">
            <v>0</v>
          </cell>
          <cell r="J235">
            <v>1</v>
          </cell>
          <cell r="K235">
            <v>0</v>
          </cell>
          <cell r="L235">
            <v>0</v>
          </cell>
          <cell r="M235">
            <v>0</v>
          </cell>
        </row>
        <row r="236">
          <cell r="A236" t="str">
            <v>KZ-LY021-GY-40</v>
          </cell>
          <cell r="B236">
            <v>3</v>
          </cell>
          <cell r="C236">
            <v>0</v>
          </cell>
          <cell r="D236">
            <v>0</v>
          </cell>
          <cell r="E236">
            <v>0</v>
          </cell>
          <cell r="F236">
            <v>0</v>
          </cell>
          <cell r="G236">
            <v>0</v>
          </cell>
          <cell r="H236">
            <v>0</v>
          </cell>
          <cell r="I236">
            <v>0</v>
          </cell>
          <cell r="J236">
            <v>0</v>
          </cell>
          <cell r="K236">
            <v>3</v>
          </cell>
          <cell r="L236">
            <v>0</v>
          </cell>
          <cell r="M236">
            <v>0</v>
          </cell>
        </row>
        <row r="237">
          <cell r="A237" t="str">
            <v>XQ-IUYL320-PP-M</v>
          </cell>
          <cell r="B237">
            <v>4</v>
          </cell>
          <cell r="C237">
            <v>0</v>
          </cell>
          <cell r="D237">
            <v>0</v>
          </cell>
          <cell r="E237">
            <v>0</v>
          </cell>
          <cell r="F237">
            <v>0</v>
          </cell>
          <cell r="G237">
            <v>0</v>
          </cell>
          <cell r="H237">
            <v>0</v>
          </cell>
          <cell r="I237">
            <v>0</v>
          </cell>
          <cell r="J237">
            <v>4</v>
          </cell>
          <cell r="K237">
            <v>0</v>
          </cell>
          <cell r="L237">
            <v>0</v>
          </cell>
          <cell r="M237">
            <v>0</v>
          </cell>
        </row>
        <row r="238">
          <cell r="A238" t="str">
            <v>LYQ-WF7125-BO-L</v>
          </cell>
          <cell r="B238">
            <v>3</v>
          </cell>
          <cell r="C238">
            <v>0</v>
          </cell>
          <cell r="D238">
            <v>0</v>
          </cell>
          <cell r="E238">
            <v>0</v>
          </cell>
          <cell r="F238">
            <v>0</v>
          </cell>
          <cell r="G238">
            <v>0</v>
          </cell>
          <cell r="H238">
            <v>0</v>
          </cell>
          <cell r="I238">
            <v>0</v>
          </cell>
          <cell r="J238">
            <v>0</v>
          </cell>
          <cell r="K238">
            <v>3</v>
          </cell>
          <cell r="L238">
            <v>0</v>
          </cell>
          <cell r="M238">
            <v>0</v>
          </cell>
        </row>
        <row r="239">
          <cell r="A239" t="str">
            <v>SCF-B01-015</v>
          </cell>
          <cell r="B239">
            <v>6</v>
          </cell>
          <cell r="C239">
            <v>0</v>
          </cell>
          <cell r="D239">
            <v>0</v>
          </cell>
          <cell r="E239">
            <v>0</v>
          </cell>
          <cell r="F239">
            <v>0</v>
          </cell>
          <cell r="G239">
            <v>0</v>
          </cell>
          <cell r="H239">
            <v>0</v>
          </cell>
          <cell r="I239">
            <v>0</v>
          </cell>
          <cell r="J239">
            <v>0</v>
          </cell>
          <cell r="K239">
            <v>1</v>
          </cell>
          <cell r="L239">
            <v>5</v>
          </cell>
          <cell r="M239">
            <v>0</v>
          </cell>
        </row>
        <row r="240">
          <cell r="A240" t="str">
            <v>AQD-IUYL330-CF</v>
          </cell>
          <cell r="B240">
            <v>4</v>
          </cell>
          <cell r="C240">
            <v>0</v>
          </cell>
          <cell r="D240">
            <v>0</v>
          </cell>
          <cell r="E240">
            <v>0</v>
          </cell>
          <cell r="F240">
            <v>0</v>
          </cell>
          <cell r="G240">
            <v>0</v>
          </cell>
          <cell r="H240">
            <v>0</v>
          </cell>
          <cell r="I240">
            <v>0</v>
          </cell>
          <cell r="J240">
            <v>4</v>
          </cell>
          <cell r="K240">
            <v>0</v>
          </cell>
          <cell r="L240">
            <v>0</v>
          </cell>
          <cell r="M240">
            <v>0</v>
          </cell>
        </row>
        <row r="241">
          <cell r="A241" t="str">
            <v>LYQ-WF7125-BO-S</v>
          </cell>
          <cell r="B241">
            <v>4</v>
          </cell>
          <cell r="C241">
            <v>0</v>
          </cell>
          <cell r="D241">
            <v>0</v>
          </cell>
          <cell r="E241">
            <v>0</v>
          </cell>
          <cell r="F241">
            <v>0</v>
          </cell>
          <cell r="G241">
            <v>0</v>
          </cell>
          <cell r="H241">
            <v>0</v>
          </cell>
          <cell r="I241">
            <v>0</v>
          </cell>
          <cell r="J241">
            <v>0</v>
          </cell>
          <cell r="K241">
            <v>4</v>
          </cell>
          <cell r="L241">
            <v>0</v>
          </cell>
          <cell r="M241">
            <v>0</v>
          </cell>
        </row>
        <row r="242">
          <cell r="A242" t="str">
            <v>AQD-IUYL340-OR</v>
          </cell>
          <cell r="B242">
            <v>1</v>
          </cell>
          <cell r="C242">
            <v>0</v>
          </cell>
          <cell r="D242">
            <v>0</v>
          </cell>
          <cell r="E242">
            <v>0</v>
          </cell>
          <cell r="F242">
            <v>0</v>
          </cell>
          <cell r="G242">
            <v>0</v>
          </cell>
          <cell r="H242">
            <v>0</v>
          </cell>
          <cell r="I242">
            <v>0</v>
          </cell>
          <cell r="J242">
            <v>1</v>
          </cell>
          <cell r="K242">
            <v>0</v>
          </cell>
          <cell r="L242">
            <v>0</v>
          </cell>
          <cell r="M242">
            <v>0</v>
          </cell>
        </row>
        <row r="243">
          <cell r="A243" t="str">
            <v>ST173-WR-M</v>
          </cell>
          <cell r="B243">
            <v>7</v>
          </cell>
          <cell r="C243">
            <v>0</v>
          </cell>
          <cell r="D243">
            <v>0</v>
          </cell>
          <cell r="E243">
            <v>0</v>
          </cell>
          <cell r="F243">
            <v>0</v>
          </cell>
          <cell r="G243">
            <v>0</v>
          </cell>
          <cell r="H243">
            <v>0</v>
          </cell>
          <cell r="I243">
            <v>0</v>
          </cell>
          <cell r="J243">
            <v>0</v>
          </cell>
          <cell r="K243">
            <v>0</v>
          </cell>
          <cell r="L243">
            <v>7</v>
          </cell>
          <cell r="M243">
            <v>0</v>
          </cell>
        </row>
        <row r="244">
          <cell r="A244" t="str">
            <v>ST172-PK-S</v>
          </cell>
          <cell r="B244">
            <v>18</v>
          </cell>
          <cell r="C244">
            <v>0</v>
          </cell>
          <cell r="D244">
            <v>0</v>
          </cell>
          <cell r="E244">
            <v>0</v>
          </cell>
          <cell r="F244">
            <v>0</v>
          </cell>
          <cell r="G244">
            <v>0</v>
          </cell>
          <cell r="H244">
            <v>0</v>
          </cell>
          <cell r="I244">
            <v>0</v>
          </cell>
          <cell r="J244">
            <v>0</v>
          </cell>
          <cell r="K244">
            <v>0</v>
          </cell>
          <cell r="L244">
            <v>18</v>
          </cell>
          <cell r="M244">
            <v>0</v>
          </cell>
        </row>
        <row r="245">
          <cell r="A245" t="str">
            <v>SCF-C01-003</v>
          </cell>
          <cell r="B245">
            <v>4</v>
          </cell>
          <cell r="C245">
            <v>0</v>
          </cell>
          <cell r="D245">
            <v>0</v>
          </cell>
          <cell r="E245">
            <v>0</v>
          </cell>
          <cell r="F245">
            <v>0</v>
          </cell>
          <cell r="G245">
            <v>0</v>
          </cell>
          <cell r="H245">
            <v>0</v>
          </cell>
          <cell r="I245">
            <v>0</v>
          </cell>
          <cell r="J245">
            <v>0</v>
          </cell>
          <cell r="K245">
            <v>2</v>
          </cell>
          <cell r="L245">
            <v>2</v>
          </cell>
          <cell r="M245">
            <v>0</v>
          </cell>
        </row>
        <row r="246">
          <cell r="A246" t="str">
            <v>AQD-IUYL340-DP</v>
          </cell>
          <cell r="B246">
            <v>3</v>
          </cell>
          <cell r="C246">
            <v>0</v>
          </cell>
          <cell r="D246">
            <v>0</v>
          </cell>
          <cell r="E246">
            <v>0</v>
          </cell>
          <cell r="F246">
            <v>0</v>
          </cell>
          <cell r="G246">
            <v>0</v>
          </cell>
          <cell r="H246">
            <v>0</v>
          </cell>
          <cell r="I246">
            <v>0</v>
          </cell>
          <cell r="J246">
            <v>3</v>
          </cell>
          <cell r="K246">
            <v>0</v>
          </cell>
          <cell r="L246">
            <v>0</v>
          </cell>
          <cell r="M246">
            <v>0</v>
          </cell>
        </row>
        <row r="247">
          <cell r="A247" t="str">
            <v>AQD-IUYL340-YL</v>
          </cell>
          <cell r="B247">
            <v>4</v>
          </cell>
          <cell r="C247">
            <v>0</v>
          </cell>
          <cell r="D247">
            <v>0</v>
          </cell>
          <cell r="E247">
            <v>0</v>
          </cell>
          <cell r="F247">
            <v>0</v>
          </cell>
          <cell r="G247">
            <v>0</v>
          </cell>
          <cell r="H247">
            <v>0</v>
          </cell>
          <cell r="I247">
            <v>0</v>
          </cell>
          <cell r="J247">
            <v>4</v>
          </cell>
          <cell r="K247">
            <v>0</v>
          </cell>
          <cell r="L247">
            <v>0</v>
          </cell>
          <cell r="M247">
            <v>0</v>
          </cell>
        </row>
        <row r="248">
          <cell r="A248" t="str">
            <v>TZ-IUYL240-STAR-M</v>
          </cell>
          <cell r="B248">
            <v>9</v>
          </cell>
          <cell r="C248">
            <v>0</v>
          </cell>
          <cell r="D248">
            <v>0</v>
          </cell>
          <cell r="E248">
            <v>0</v>
          </cell>
          <cell r="F248">
            <v>0</v>
          </cell>
          <cell r="G248">
            <v>0</v>
          </cell>
          <cell r="H248">
            <v>0</v>
          </cell>
          <cell r="I248">
            <v>0</v>
          </cell>
          <cell r="J248">
            <v>0</v>
          </cell>
          <cell r="K248">
            <v>0</v>
          </cell>
          <cell r="L248">
            <v>0</v>
          </cell>
          <cell r="M248">
            <v>0</v>
          </cell>
        </row>
        <row r="249">
          <cell r="A249" t="str">
            <v>SCF-B01-003</v>
          </cell>
          <cell r="B249">
            <v>4</v>
          </cell>
          <cell r="C249">
            <v>0</v>
          </cell>
          <cell r="D249">
            <v>0</v>
          </cell>
          <cell r="E249">
            <v>0</v>
          </cell>
          <cell r="F249">
            <v>0</v>
          </cell>
          <cell r="G249">
            <v>0</v>
          </cell>
          <cell r="H249">
            <v>0</v>
          </cell>
          <cell r="I249">
            <v>0</v>
          </cell>
          <cell r="J249">
            <v>0</v>
          </cell>
          <cell r="K249">
            <v>2</v>
          </cell>
          <cell r="L249">
            <v>1</v>
          </cell>
          <cell r="M249">
            <v>0</v>
          </cell>
        </row>
        <row r="250">
          <cell r="A250" t="str">
            <v>XQ-IUYL320-DB-XL</v>
          </cell>
          <cell r="B250">
            <v>4</v>
          </cell>
          <cell r="C250">
            <v>0</v>
          </cell>
          <cell r="D250">
            <v>0</v>
          </cell>
          <cell r="E250">
            <v>0</v>
          </cell>
          <cell r="F250">
            <v>0</v>
          </cell>
          <cell r="G250">
            <v>0</v>
          </cell>
          <cell r="H250">
            <v>0</v>
          </cell>
          <cell r="I250">
            <v>0</v>
          </cell>
          <cell r="J250">
            <v>4</v>
          </cell>
          <cell r="K250">
            <v>0</v>
          </cell>
          <cell r="L250">
            <v>0</v>
          </cell>
          <cell r="M250">
            <v>0</v>
          </cell>
        </row>
        <row r="251">
          <cell r="A251" t="str">
            <v>GW-LULHY-8.8</v>
          </cell>
          <cell r="B251">
            <v>22</v>
          </cell>
          <cell r="C251">
            <v>0</v>
          </cell>
          <cell r="D251">
            <v>0</v>
          </cell>
          <cell r="E251">
            <v>0</v>
          </cell>
          <cell r="F251">
            <v>0</v>
          </cell>
          <cell r="G251">
            <v>0</v>
          </cell>
          <cell r="H251">
            <v>0</v>
          </cell>
          <cell r="I251">
            <v>0</v>
          </cell>
          <cell r="J251">
            <v>0</v>
          </cell>
          <cell r="K251">
            <v>0</v>
          </cell>
          <cell r="L251">
            <v>0</v>
          </cell>
          <cell r="M251">
            <v>0</v>
          </cell>
        </row>
        <row r="252">
          <cell r="A252" t="str">
            <v>TZ-IUYL240LHY-STAR-L</v>
          </cell>
          <cell r="B252">
            <v>49</v>
          </cell>
          <cell r="C252">
            <v>0</v>
          </cell>
          <cell r="D252">
            <v>0</v>
          </cell>
          <cell r="E252">
            <v>0</v>
          </cell>
          <cell r="F252">
            <v>0</v>
          </cell>
          <cell r="G252">
            <v>0</v>
          </cell>
          <cell r="H252">
            <v>0</v>
          </cell>
          <cell r="I252">
            <v>0</v>
          </cell>
          <cell r="J252">
            <v>0</v>
          </cell>
          <cell r="K252">
            <v>0</v>
          </cell>
          <cell r="L252">
            <v>0</v>
          </cell>
          <cell r="M252">
            <v>0</v>
          </cell>
        </row>
        <row r="253">
          <cell r="A253" t="str">
            <v>XQ-IUYL320-PP-L</v>
          </cell>
          <cell r="B253">
            <v>4</v>
          </cell>
          <cell r="C253">
            <v>0</v>
          </cell>
          <cell r="D253">
            <v>0</v>
          </cell>
          <cell r="E253">
            <v>0</v>
          </cell>
          <cell r="F253">
            <v>0</v>
          </cell>
          <cell r="G253">
            <v>0</v>
          </cell>
          <cell r="H253">
            <v>0</v>
          </cell>
          <cell r="I253">
            <v>0</v>
          </cell>
          <cell r="J253">
            <v>4</v>
          </cell>
          <cell r="K253">
            <v>0</v>
          </cell>
          <cell r="L253">
            <v>0</v>
          </cell>
          <cell r="M253">
            <v>0</v>
          </cell>
        </row>
        <row r="254">
          <cell r="A254" t="str">
            <v>SCF-A01-011</v>
          </cell>
          <cell r="B254">
            <v>2</v>
          </cell>
          <cell r="C254">
            <v>0</v>
          </cell>
          <cell r="D254">
            <v>0</v>
          </cell>
          <cell r="E254">
            <v>0</v>
          </cell>
          <cell r="F254">
            <v>0</v>
          </cell>
          <cell r="G254">
            <v>0</v>
          </cell>
          <cell r="H254">
            <v>0</v>
          </cell>
          <cell r="I254">
            <v>0</v>
          </cell>
          <cell r="J254">
            <v>0</v>
          </cell>
          <cell r="K254">
            <v>1</v>
          </cell>
          <cell r="L254">
            <v>1</v>
          </cell>
          <cell r="M254">
            <v>0</v>
          </cell>
        </row>
        <row r="255">
          <cell r="A255" t="str">
            <v>TZ-IUYL240LHY-STRAWBERRY-L</v>
          </cell>
          <cell r="B255">
            <v>80</v>
          </cell>
          <cell r="C255">
            <v>1</v>
          </cell>
          <cell r="D255">
            <v>0</v>
          </cell>
          <cell r="E255">
            <v>0</v>
          </cell>
          <cell r="F255">
            <v>0</v>
          </cell>
          <cell r="G255">
            <v>0</v>
          </cell>
          <cell r="H255">
            <v>0</v>
          </cell>
          <cell r="I255">
            <v>0</v>
          </cell>
          <cell r="J255">
            <v>0</v>
          </cell>
          <cell r="K255">
            <v>0</v>
          </cell>
          <cell r="L255">
            <v>0</v>
          </cell>
          <cell r="M255">
            <v>0</v>
          </cell>
        </row>
        <row r="256">
          <cell r="A256" t="str">
            <v>XQ-IUYL260-BL2-M</v>
          </cell>
          <cell r="B256">
            <v>12</v>
          </cell>
          <cell r="C256">
            <v>0</v>
          </cell>
          <cell r="D256">
            <v>0</v>
          </cell>
          <cell r="E256">
            <v>0</v>
          </cell>
          <cell r="F256">
            <v>0</v>
          </cell>
          <cell r="G256">
            <v>0</v>
          </cell>
          <cell r="H256">
            <v>0</v>
          </cell>
          <cell r="I256">
            <v>0</v>
          </cell>
          <cell r="J256">
            <v>7</v>
          </cell>
          <cell r="K256">
            <v>0</v>
          </cell>
          <cell r="L256">
            <v>0</v>
          </cell>
          <cell r="M256">
            <v>0</v>
          </cell>
        </row>
        <row r="257">
          <cell r="A257" t="str">
            <v>SCF-B01-005</v>
          </cell>
          <cell r="B257">
            <v>3</v>
          </cell>
          <cell r="C257">
            <v>0</v>
          </cell>
          <cell r="D257">
            <v>0</v>
          </cell>
          <cell r="E257">
            <v>0</v>
          </cell>
          <cell r="F257">
            <v>0</v>
          </cell>
          <cell r="G257">
            <v>0</v>
          </cell>
          <cell r="H257">
            <v>0</v>
          </cell>
          <cell r="I257">
            <v>0</v>
          </cell>
          <cell r="J257">
            <v>0</v>
          </cell>
          <cell r="K257">
            <v>1</v>
          </cell>
          <cell r="L257">
            <v>2</v>
          </cell>
          <cell r="M257">
            <v>0</v>
          </cell>
        </row>
        <row r="258">
          <cell r="A258" t="str">
            <v>SCF-C01-009</v>
          </cell>
          <cell r="B258">
            <v>5</v>
          </cell>
          <cell r="C258">
            <v>0</v>
          </cell>
          <cell r="D258">
            <v>0</v>
          </cell>
          <cell r="E258">
            <v>0</v>
          </cell>
          <cell r="F258">
            <v>0</v>
          </cell>
          <cell r="G258">
            <v>0</v>
          </cell>
          <cell r="H258">
            <v>0</v>
          </cell>
          <cell r="I258">
            <v>0</v>
          </cell>
          <cell r="J258">
            <v>0</v>
          </cell>
          <cell r="K258">
            <v>1</v>
          </cell>
          <cell r="L258">
            <v>3</v>
          </cell>
          <cell r="M258">
            <v>0</v>
          </cell>
        </row>
        <row r="259">
          <cell r="A259" t="str">
            <v>KZ-LY021-KK-38</v>
          </cell>
          <cell r="B259">
            <v>2</v>
          </cell>
          <cell r="C259">
            <v>0</v>
          </cell>
          <cell r="D259">
            <v>0</v>
          </cell>
          <cell r="E259">
            <v>0</v>
          </cell>
          <cell r="F259">
            <v>0</v>
          </cell>
          <cell r="G259">
            <v>0</v>
          </cell>
          <cell r="H259">
            <v>0</v>
          </cell>
          <cell r="I259">
            <v>0</v>
          </cell>
          <cell r="J259">
            <v>0</v>
          </cell>
          <cell r="K259">
            <v>2</v>
          </cell>
          <cell r="L259">
            <v>0</v>
          </cell>
          <cell r="M259">
            <v>0</v>
          </cell>
        </row>
        <row r="260">
          <cell r="A260" t="str">
            <v>ST173-GR-S</v>
          </cell>
          <cell r="B260">
            <v>10</v>
          </cell>
          <cell r="C260">
            <v>0</v>
          </cell>
          <cell r="D260">
            <v>0</v>
          </cell>
          <cell r="E260">
            <v>0</v>
          </cell>
          <cell r="F260">
            <v>0</v>
          </cell>
          <cell r="G260">
            <v>0</v>
          </cell>
          <cell r="H260">
            <v>0</v>
          </cell>
          <cell r="I260">
            <v>0</v>
          </cell>
          <cell r="J260">
            <v>0</v>
          </cell>
          <cell r="K260">
            <v>0</v>
          </cell>
          <cell r="L260">
            <v>10</v>
          </cell>
          <cell r="M260">
            <v>0</v>
          </cell>
        </row>
        <row r="261">
          <cell r="A261" t="str">
            <v>KZ-LY021-NY-34</v>
          </cell>
          <cell r="B261">
            <v>1</v>
          </cell>
          <cell r="C261">
            <v>0</v>
          </cell>
          <cell r="D261">
            <v>0</v>
          </cell>
          <cell r="E261">
            <v>0</v>
          </cell>
          <cell r="F261">
            <v>0</v>
          </cell>
          <cell r="G261">
            <v>0</v>
          </cell>
          <cell r="H261">
            <v>0</v>
          </cell>
          <cell r="I261">
            <v>0</v>
          </cell>
          <cell r="J261">
            <v>0</v>
          </cell>
          <cell r="K261">
            <v>0</v>
          </cell>
          <cell r="L261">
            <v>0</v>
          </cell>
          <cell r="M261">
            <v>0</v>
          </cell>
        </row>
        <row r="262">
          <cell r="A262" t="str">
            <v>AQD-IUYL330-OR</v>
          </cell>
          <cell r="B262">
            <v>4</v>
          </cell>
          <cell r="C262">
            <v>0</v>
          </cell>
          <cell r="D262">
            <v>0</v>
          </cell>
          <cell r="E262">
            <v>0</v>
          </cell>
          <cell r="F262">
            <v>0</v>
          </cell>
          <cell r="G262">
            <v>0</v>
          </cell>
          <cell r="H262">
            <v>0</v>
          </cell>
          <cell r="I262">
            <v>0</v>
          </cell>
          <cell r="J262">
            <v>4</v>
          </cell>
          <cell r="K262">
            <v>0</v>
          </cell>
          <cell r="L262">
            <v>0</v>
          </cell>
          <cell r="M262">
            <v>0</v>
          </cell>
        </row>
        <row r="263">
          <cell r="A263" t="str">
            <v>LYQ-WF7125-BO-XL</v>
          </cell>
          <cell r="B263">
            <v>4</v>
          </cell>
          <cell r="C263">
            <v>0</v>
          </cell>
          <cell r="D263">
            <v>0</v>
          </cell>
          <cell r="E263">
            <v>0</v>
          </cell>
          <cell r="F263">
            <v>0</v>
          </cell>
          <cell r="G263">
            <v>0</v>
          </cell>
          <cell r="H263">
            <v>0</v>
          </cell>
          <cell r="I263">
            <v>0</v>
          </cell>
          <cell r="J263">
            <v>0</v>
          </cell>
          <cell r="K263">
            <v>4</v>
          </cell>
          <cell r="L263">
            <v>0</v>
          </cell>
          <cell r="M263">
            <v>0</v>
          </cell>
        </row>
        <row r="264">
          <cell r="A264" t="str">
            <v>XQ-IUYL320-BK-XL</v>
          </cell>
          <cell r="B264">
            <v>4</v>
          </cell>
          <cell r="C264">
            <v>0</v>
          </cell>
          <cell r="D264">
            <v>0</v>
          </cell>
          <cell r="E264">
            <v>0</v>
          </cell>
          <cell r="F264">
            <v>0</v>
          </cell>
          <cell r="G264">
            <v>0</v>
          </cell>
          <cell r="H264">
            <v>0</v>
          </cell>
          <cell r="I264">
            <v>0</v>
          </cell>
          <cell r="J264">
            <v>4</v>
          </cell>
          <cell r="K264">
            <v>0</v>
          </cell>
          <cell r="L264">
            <v>0</v>
          </cell>
          <cell r="M264">
            <v>0</v>
          </cell>
        </row>
        <row r="265">
          <cell r="A265" t="str">
            <v>MMDC-IUHM100-PK</v>
          </cell>
          <cell r="B265">
            <v>3</v>
          </cell>
          <cell r="C265">
            <v>0</v>
          </cell>
          <cell r="D265">
            <v>0</v>
          </cell>
          <cell r="E265">
            <v>0</v>
          </cell>
          <cell r="F265">
            <v>0</v>
          </cell>
          <cell r="G265">
            <v>0</v>
          </cell>
          <cell r="H265">
            <v>0</v>
          </cell>
          <cell r="I265">
            <v>0</v>
          </cell>
          <cell r="J265">
            <v>0</v>
          </cell>
          <cell r="K265">
            <v>0</v>
          </cell>
          <cell r="L265">
            <v>0</v>
          </cell>
          <cell r="M265">
            <v>0</v>
          </cell>
        </row>
        <row r="266">
          <cell r="A266" t="str">
            <v>XQ-IUYL260-PP-M</v>
          </cell>
          <cell r="B266">
            <v>4</v>
          </cell>
          <cell r="C266">
            <v>0</v>
          </cell>
          <cell r="D266">
            <v>0</v>
          </cell>
          <cell r="E266">
            <v>0</v>
          </cell>
          <cell r="F266">
            <v>0</v>
          </cell>
          <cell r="G266">
            <v>0</v>
          </cell>
          <cell r="H266">
            <v>0</v>
          </cell>
          <cell r="I266">
            <v>0</v>
          </cell>
          <cell r="J266">
            <v>0</v>
          </cell>
          <cell r="K266">
            <v>0</v>
          </cell>
          <cell r="L266">
            <v>0</v>
          </cell>
          <cell r="M266">
            <v>0</v>
          </cell>
        </row>
        <row r="267">
          <cell r="A267" t="str">
            <v>KZ-LY021-BK-36</v>
          </cell>
          <cell r="B267">
            <v>3</v>
          </cell>
          <cell r="C267">
            <v>0</v>
          </cell>
          <cell r="D267">
            <v>0</v>
          </cell>
          <cell r="E267">
            <v>0</v>
          </cell>
          <cell r="F267">
            <v>0</v>
          </cell>
          <cell r="G267">
            <v>0</v>
          </cell>
          <cell r="H267">
            <v>0</v>
          </cell>
          <cell r="I267">
            <v>0</v>
          </cell>
          <cell r="J267">
            <v>0</v>
          </cell>
          <cell r="K267">
            <v>3</v>
          </cell>
          <cell r="L267">
            <v>0</v>
          </cell>
          <cell r="M267">
            <v>0</v>
          </cell>
        </row>
        <row r="268">
          <cell r="A268" t="str">
            <v>XQ-IUYL260-YL-S</v>
          </cell>
          <cell r="B268">
            <v>3</v>
          </cell>
          <cell r="C268">
            <v>0</v>
          </cell>
          <cell r="D268">
            <v>0</v>
          </cell>
          <cell r="E268">
            <v>0</v>
          </cell>
          <cell r="F268">
            <v>0</v>
          </cell>
          <cell r="G268">
            <v>0</v>
          </cell>
          <cell r="H268">
            <v>0</v>
          </cell>
          <cell r="I268">
            <v>0</v>
          </cell>
          <cell r="J268">
            <v>0</v>
          </cell>
          <cell r="K268">
            <v>0</v>
          </cell>
          <cell r="L268">
            <v>0</v>
          </cell>
          <cell r="M268">
            <v>0</v>
          </cell>
        </row>
        <row r="269">
          <cell r="A269" t="str">
            <v>XQ-IUYL320-BK-M</v>
          </cell>
          <cell r="B269">
            <v>4</v>
          </cell>
          <cell r="C269">
            <v>0</v>
          </cell>
          <cell r="D269">
            <v>0</v>
          </cell>
          <cell r="E269">
            <v>0</v>
          </cell>
          <cell r="F269">
            <v>0</v>
          </cell>
          <cell r="G269">
            <v>0</v>
          </cell>
          <cell r="H269">
            <v>0</v>
          </cell>
          <cell r="I269">
            <v>0</v>
          </cell>
          <cell r="J269">
            <v>4</v>
          </cell>
          <cell r="K269">
            <v>0</v>
          </cell>
          <cell r="L269">
            <v>0</v>
          </cell>
          <cell r="M269">
            <v>0</v>
          </cell>
        </row>
        <row r="270">
          <cell r="A270" t="str">
            <v>SCF-B01-011</v>
          </cell>
          <cell r="B270">
            <v>5</v>
          </cell>
          <cell r="C270">
            <v>0</v>
          </cell>
          <cell r="D270">
            <v>0</v>
          </cell>
          <cell r="E270">
            <v>0</v>
          </cell>
          <cell r="F270">
            <v>0</v>
          </cell>
          <cell r="G270">
            <v>0</v>
          </cell>
          <cell r="H270">
            <v>0</v>
          </cell>
          <cell r="I270">
            <v>0</v>
          </cell>
          <cell r="J270">
            <v>0</v>
          </cell>
          <cell r="K270">
            <v>1</v>
          </cell>
          <cell r="L270">
            <v>3</v>
          </cell>
          <cell r="M270">
            <v>0</v>
          </cell>
        </row>
        <row r="271">
          <cell r="A271" t="str">
            <v>XQ-IUYL320-RD-M</v>
          </cell>
          <cell r="B271">
            <v>4</v>
          </cell>
          <cell r="C271">
            <v>0</v>
          </cell>
          <cell r="D271">
            <v>0</v>
          </cell>
          <cell r="E271">
            <v>0</v>
          </cell>
          <cell r="F271">
            <v>0</v>
          </cell>
          <cell r="G271">
            <v>0</v>
          </cell>
          <cell r="H271">
            <v>0</v>
          </cell>
          <cell r="I271">
            <v>0</v>
          </cell>
          <cell r="J271">
            <v>4</v>
          </cell>
          <cell r="K271">
            <v>0</v>
          </cell>
          <cell r="L271">
            <v>0</v>
          </cell>
          <cell r="M271">
            <v>0</v>
          </cell>
        </row>
        <row r="272">
          <cell r="A272" t="str">
            <v>XQ-IUYL260-BL1-S</v>
          </cell>
          <cell r="B272">
            <v>8</v>
          </cell>
          <cell r="C272">
            <v>0</v>
          </cell>
          <cell r="D272">
            <v>0</v>
          </cell>
          <cell r="E272">
            <v>0</v>
          </cell>
          <cell r="F272">
            <v>0</v>
          </cell>
          <cell r="G272">
            <v>0</v>
          </cell>
          <cell r="H272">
            <v>0</v>
          </cell>
          <cell r="I272">
            <v>0</v>
          </cell>
          <cell r="J272">
            <v>4</v>
          </cell>
          <cell r="K272">
            <v>0</v>
          </cell>
          <cell r="L272">
            <v>0</v>
          </cell>
          <cell r="M272">
            <v>0</v>
          </cell>
        </row>
        <row r="273">
          <cell r="A273" t="str">
            <v>SCF-B01-019</v>
          </cell>
          <cell r="B273">
            <v>7</v>
          </cell>
          <cell r="C273">
            <v>0</v>
          </cell>
          <cell r="D273">
            <v>0</v>
          </cell>
          <cell r="E273">
            <v>0</v>
          </cell>
          <cell r="F273">
            <v>0</v>
          </cell>
          <cell r="G273">
            <v>0</v>
          </cell>
          <cell r="H273">
            <v>0</v>
          </cell>
          <cell r="I273">
            <v>0</v>
          </cell>
          <cell r="J273">
            <v>0</v>
          </cell>
          <cell r="K273">
            <v>1</v>
          </cell>
          <cell r="L273">
            <v>6</v>
          </cell>
          <cell r="M273">
            <v>0</v>
          </cell>
        </row>
        <row r="274">
          <cell r="A274" t="str">
            <v>XQ-IUYL260-BL1-M</v>
          </cell>
          <cell r="B274">
            <v>3</v>
          </cell>
          <cell r="C274">
            <v>0</v>
          </cell>
          <cell r="D274">
            <v>0</v>
          </cell>
          <cell r="E274">
            <v>0</v>
          </cell>
          <cell r="F274">
            <v>0</v>
          </cell>
          <cell r="G274">
            <v>0</v>
          </cell>
          <cell r="H274">
            <v>0</v>
          </cell>
          <cell r="I274">
            <v>0</v>
          </cell>
          <cell r="J274">
            <v>0</v>
          </cell>
          <cell r="K274">
            <v>0</v>
          </cell>
          <cell r="L274">
            <v>0</v>
          </cell>
          <cell r="M274">
            <v>0</v>
          </cell>
        </row>
        <row r="275">
          <cell r="A275" t="str">
            <v>KZ-LY021-KK-40</v>
          </cell>
          <cell r="B275">
            <v>2</v>
          </cell>
          <cell r="C275">
            <v>0</v>
          </cell>
          <cell r="D275">
            <v>0</v>
          </cell>
          <cell r="E275">
            <v>0</v>
          </cell>
          <cell r="F275">
            <v>0</v>
          </cell>
          <cell r="G275">
            <v>0</v>
          </cell>
          <cell r="H275">
            <v>0</v>
          </cell>
          <cell r="I275">
            <v>0</v>
          </cell>
          <cell r="J275">
            <v>0</v>
          </cell>
          <cell r="K275">
            <v>2</v>
          </cell>
          <cell r="L275">
            <v>0</v>
          </cell>
          <cell r="M275">
            <v>0</v>
          </cell>
        </row>
        <row r="276">
          <cell r="A276" t="str">
            <v>KZ-LY021-BL-32</v>
          </cell>
          <cell r="B276">
            <v>3</v>
          </cell>
          <cell r="C276">
            <v>0</v>
          </cell>
          <cell r="D276">
            <v>0</v>
          </cell>
          <cell r="E276">
            <v>0</v>
          </cell>
          <cell r="F276">
            <v>0</v>
          </cell>
          <cell r="G276">
            <v>0</v>
          </cell>
          <cell r="H276">
            <v>0</v>
          </cell>
          <cell r="I276">
            <v>0</v>
          </cell>
          <cell r="J276">
            <v>0</v>
          </cell>
          <cell r="K276">
            <v>3</v>
          </cell>
          <cell r="L276">
            <v>0</v>
          </cell>
          <cell r="M276">
            <v>0</v>
          </cell>
        </row>
        <row r="277">
          <cell r="A277" t="str">
            <v>KZ-LY021-NY-40</v>
          </cell>
          <cell r="B277">
            <v>2</v>
          </cell>
          <cell r="C277">
            <v>0</v>
          </cell>
          <cell r="D277">
            <v>0</v>
          </cell>
          <cell r="E277">
            <v>0</v>
          </cell>
          <cell r="F277">
            <v>0</v>
          </cell>
          <cell r="G277">
            <v>0</v>
          </cell>
          <cell r="H277">
            <v>0</v>
          </cell>
          <cell r="I277">
            <v>0</v>
          </cell>
          <cell r="J277">
            <v>0</v>
          </cell>
          <cell r="K277">
            <v>2</v>
          </cell>
          <cell r="L277">
            <v>0</v>
          </cell>
          <cell r="M277">
            <v>0</v>
          </cell>
        </row>
        <row r="278">
          <cell r="A278" t="str">
            <v>DZ-IUYL200-BK</v>
          </cell>
          <cell r="B278">
            <v>8</v>
          </cell>
          <cell r="C278">
            <v>0</v>
          </cell>
          <cell r="D278">
            <v>0</v>
          </cell>
          <cell r="E278">
            <v>0</v>
          </cell>
          <cell r="F278">
            <v>0</v>
          </cell>
          <cell r="G278">
            <v>0</v>
          </cell>
          <cell r="H278">
            <v>0</v>
          </cell>
          <cell r="I278">
            <v>0</v>
          </cell>
          <cell r="J278">
            <v>8</v>
          </cell>
          <cell r="K278">
            <v>0</v>
          </cell>
          <cell r="L278">
            <v>0</v>
          </cell>
          <cell r="M278">
            <v>0</v>
          </cell>
        </row>
        <row r="279">
          <cell r="A279" t="str">
            <v>XQ-IUYL260-GN-M</v>
          </cell>
          <cell r="B279">
            <v>10</v>
          </cell>
          <cell r="C279">
            <v>0</v>
          </cell>
          <cell r="D279">
            <v>0</v>
          </cell>
          <cell r="E279">
            <v>0</v>
          </cell>
          <cell r="F279">
            <v>0</v>
          </cell>
          <cell r="G279">
            <v>0</v>
          </cell>
          <cell r="H279">
            <v>0</v>
          </cell>
          <cell r="I279">
            <v>0</v>
          </cell>
          <cell r="J279">
            <v>5</v>
          </cell>
          <cell r="K279">
            <v>0</v>
          </cell>
          <cell r="L279">
            <v>0</v>
          </cell>
          <cell r="M279">
            <v>0</v>
          </cell>
        </row>
        <row r="280">
          <cell r="A280" t="str">
            <v>ST173-WR-L</v>
          </cell>
          <cell r="B280">
            <v>4</v>
          </cell>
          <cell r="C280">
            <v>0</v>
          </cell>
          <cell r="D280">
            <v>0</v>
          </cell>
          <cell r="E280">
            <v>0</v>
          </cell>
          <cell r="F280">
            <v>0</v>
          </cell>
          <cell r="G280">
            <v>0</v>
          </cell>
          <cell r="H280">
            <v>0</v>
          </cell>
          <cell r="I280">
            <v>0</v>
          </cell>
          <cell r="J280">
            <v>0</v>
          </cell>
          <cell r="K280">
            <v>1</v>
          </cell>
          <cell r="L280">
            <v>3</v>
          </cell>
          <cell r="M280">
            <v>0</v>
          </cell>
        </row>
        <row r="281">
          <cell r="A281" t="str">
            <v>SCF-C01-010</v>
          </cell>
          <cell r="B281">
            <v>6</v>
          </cell>
          <cell r="C281">
            <v>0</v>
          </cell>
          <cell r="D281">
            <v>0</v>
          </cell>
          <cell r="E281">
            <v>0</v>
          </cell>
          <cell r="F281">
            <v>0</v>
          </cell>
          <cell r="G281">
            <v>0</v>
          </cell>
          <cell r="H281">
            <v>0</v>
          </cell>
          <cell r="I281">
            <v>0</v>
          </cell>
          <cell r="J281">
            <v>0</v>
          </cell>
          <cell r="K281">
            <v>1</v>
          </cell>
          <cell r="L281">
            <v>5</v>
          </cell>
          <cell r="M281">
            <v>0</v>
          </cell>
        </row>
        <row r="282">
          <cell r="A282" t="str">
            <v>ST172-GR-XXL</v>
          </cell>
          <cell r="B282">
            <v>14</v>
          </cell>
          <cell r="C282">
            <v>0</v>
          </cell>
          <cell r="D282">
            <v>0</v>
          </cell>
          <cell r="E282">
            <v>0</v>
          </cell>
          <cell r="F282">
            <v>0</v>
          </cell>
          <cell r="G282">
            <v>0</v>
          </cell>
          <cell r="H282">
            <v>0</v>
          </cell>
          <cell r="I282">
            <v>0</v>
          </cell>
          <cell r="J282">
            <v>0</v>
          </cell>
          <cell r="K282">
            <v>0</v>
          </cell>
          <cell r="L282">
            <v>14</v>
          </cell>
          <cell r="M282">
            <v>0</v>
          </cell>
        </row>
        <row r="283">
          <cell r="A283" t="str">
            <v>MMDC-IUHM100-BK</v>
          </cell>
          <cell r="B283">
            <v>0</v>
          </cell>
          <cell r="C283">
            <v>0</v>
          </cell>
          <cell r="D283">
            <v>10</v>
          </cell>
          <cell r="E283">
            <v>0</v>
          </cell>
          <cell r="F283">
            <v>10</v>
          </cell>
          <cell r="G283">
            <v>0</v>
          </cell>
          <cell r="H283">
            <v>0</v>
          </cell>
          <cell r="I283">
            <v>0</v>
          </cell>
          <cell r="J283">
            <v>0</v>
          </cell>
          <cell r="K283">
            <v>0</v>
          </cell>
          <cell r="L283">
            <v>0</v>
          </cell>
          <cell r="M283">
            <v>0</v>
          </cell>
        </row>
        <row r="284">
          <cell r="A284" t="str">
            <v>LYQ-WF7125-NO-S</v>
          </cell>
          <cell r="B284">
            <v>5</v>
          </cell>
          <cell r="C284">
            <v>0</v>
          </cell>
          <cell r="D284">
            <v>0</v>
          </cell>
          <cell r="E284">
            <v>0</v>
          </cell>
          <cell r="F284">
            <v>0</v>
          </cell>
          <cell r="G284">
            <v>0</v>
          </cell>
          <cell r="H284">
            <v>0</v>
          </cell>
          <cell r="I284">
            <v>0</v>
          </cell>
          <cell r="J284">
            <v>0</v>
          </cell>
          <cell r="K284">
            <v>5</v>
          </cell>
          <cell r="L284">
            <v>0</v>
          </cell>
          <cell r="M284">
            <v>0</v>
          </cell>
        </row>
        <row r="285">
          <cell r="A285" t="str">
            <v>AQD-IUYL330-BK</v>
          </cell>
          <cell r="B285">
            <v>0</v>
          </cell>
          <cell r="C285">
            <v>0</v>
          </cell>
          <cell r="D285">
            <v>5</v>
          </cell>
          <cell r="E285">
            <v>0</v>
          </cell>
          <cell r="F285">
            <v>5</v>
          </cell>
          <cell r="G285">
            <v>0</v>
          </cell>
          <cell r="H285">
            <v>0</v>
          </cell>
          <cell r="I285">
            <v>0</v>
          </cell>
          <cell r="J285">
            <v>0</v>
          </cell>
          <cell r="K285">
            <v>0</v>
          </cell>
          <cell r="L285">
            <v>0</v>
          </cell>
          <cell r="M285">
            <v>0</v>
          </cell>
        </row>
        <row r="286">
          <cell r="A286" t="str">
            <v>AQD-IUYL330-PP</v>
          </cell>
          <cell r="B286">
            <v>0</v>
          </cell>
          <cell r="C286">
            <v>0</v>
          </cell>
          <cell r="D286">
            <v>5</v>
          </cell>
          <cell r="E286">
            <v>0</v>
          </cell>
          <cell r="F286">
            <v>5</v>
          </cell>
          <cell r="G286">
            <v>0</v>
          </cell>
          <cell r="H286">
            <v>0</v>
          </cell>
          <cell r="I286">
            <v>0</v>
          </cell>
          <cell r="J286">
            <v>0</v>
          </cell>
          <cell r="K286">
            <v>0</v>
          </cell>
          <cell r="L286">
            <v>0</v>
          </cell>
          <cell r="M286">
            <v>0</v>
          </cell>
        </row>
        <row r="287">
          <cell r="A287" t="str">
            <v>BBBD-BUSB1605A-BL</v>
          </cell>
          <cell r="B287">
            <v>0</v>
          </cell>
          <cell r="C287">
            <v>0</v>
          </cell>
          <cell r="D287">
            <v>0</v>
          </cell>
          <cell r="E287">
            <v>0</v>
          </cell>
          <cell r="F287">
            <v>0</v>
          </cell>
          <cell r="G287">
            <v>0</v>
          </cell>
          <cell r="H287">
            <v>0</v>
          </cell>
          <cell r="I287">
            <v>0</v>
          </cell>
          <cell r="J287">
            <v>0</v>
          </cell>
          <cell r="K287">
            <v>0</v>
          </cell>
          <cell r="L287">
            <v>0</v>
          </cell>
          <cell r="M287">
            <v>0</v>
          </cell>
        </row>
        <row r="288">
          <cell r="A288" t="str">
            <v>BBBD-BUSB1605A-CF</v>
          </cell>
          <cell r="B288">
            <v>0</v>
          </cell>
          <cell r="C288">
            <v>0</v>
          </cell>
          <cell r="D288">
            <v>0</v>
          </cell>
          <cell r="E288">
            <v>0</v>
          </cell>
          <cell r="F288">
            <v>0</v>
          </cell>
          <cell r="G288">
            <v>0</v>
          </cell>
          <cell r="H288">
            <v>0</v>
          </cell>
          <cell r="I288">
            <v>0</v>
          </cell>
          <cell r="J288">
            <v>0</v>
          </cell>
          <cell r="K288">
            <v>0</v>
          </cell>
          <cell r="L288">
            <v>0</v>
          </cell>
          <cell r="M288">
            <v>0</v>
          </cell>
        </row>
        <row r="289">
          <cell r="A289" t="str">
            <v>BBBD-BUSB1605A-PK</v>
          </cell>
          <cell r="B289">
            <v>0</v>
          </cell>
          <cell r="C289">
            <v>0</v>
          </cell>
          <cell r="D289">
            <v>0</v>
          </cell>
          <cell r="E289">
            <v>0</v>
          </cell>
          <cell r="F289">
            <v>0</v>
          </cell>
          <cell r="G289">
            <v>0</v>
          </cell>
          <cell r="H289">
            <v>0</v>
          </cell>
          <cell r="I289">
            <v>0</v>
          </cell>
          <cell r="J289">
            <v>0</v>
          </cell>
          <cell r="K289">
            <v>0</v>
          </cell>
          <cell r="L289">
            <v>0</v>
          </cell>
          <cell r="M289">
            <v>0</v>
          </cell>
        </row>
        <row r="290">
          <cell r="A290" t="str">
            <v>BBBD-BUSB1605A-RD</v>
          </cell>
          <cell r="B290">
            <v>0</v>
          </cell>
          <cell r="C290">
            <v>0</v>
          </cell>
          <cell r="D290">
            <v>0</v>
          </cell>
          <cell r="E290">
            <v>0</v>
          </cell>
          <cell r="F290">
            <v>0</v>
          </cell>
          <cell r="G290">
            <v>0</v>
          </cell>
          <cell r="H290">
            <v>0</v>
          </cell>
          <cell r="I290">
            <v>0</v>
          </cell>
          <cell r="J290">
            <v>0</v>
          </cell>
          <cell r="K290">
            <v>0</v>
          </cell>
          <cell r="L290">
            <v>0</v>
          </cell>
          <cell r="M290">
            <v>0</v>
          </cell>
        </row>
        <row r="291">
          <cell r="A291" t="str">
            <v>BBBD-BUSB1605B-BL</v>
          </cell>
          <cell r="B291">
            <v>0</v>
          </cell>
          <cell r="C291">
            <v>0</v>
          </cell>
          <cell r="D291">
            <v>0</v>
          </cell>
          <cell r="E291">
            <v>0</v>
          </cell>
          <cell r="F291">
            <v>0</v>
          </cell>
          <cell r="G291">
            <v>0</v>
          </cell>
          <cell r="H291">
            <v>0</v>
          </cell>
          <cell r="I291">
            <v>0</v>
          </cell>
          <cell r="J291">
            <v>0</v>
          </cell>
          <cell r="K291">
            <v>0</v>
          </cell>
          <cell r="L291">
            <v>0</v>
          </cell>
          <cell r="M291">
            <v>0</v>
          </cell>
        </row>
        <row r="292">
          <cell r="A292" t="str">
            <v>BBBD-BUSB1605B-PK</v>
          </cell>
          <cell r="B292">
            <v>0</v>
          </cell>
          <cell r="C292">
            <v>0</v>
          </cell>
          <cell r="D292">
            <v>0</v>
          </cell>
          <cell r="E292">
            <v>0</v>
          </cell>
          <cell r="F292">
            <v>0</v>
          </cell>
          <cell r="G292">
            <v>0</v>
          </cell>
          <cell r="H292">
            <v>0</v>
          </cell>
          <cell r="I292">
            <v>0</v>
          </cell>
          <cell r="J292">
            <v>0</v>
          </cell>
          <cell r="K292">
            <v>0</v>
          </cell>
          <cell r="L292">
            <v>0</v>
          </cell>
          <cell r="M292">
            <v>0</v>
          </cell>
        </row>
        <row r="293">
          <cell r="A293" t="str">
            <v>BD-PUHM101-B0-L</v>
          </cell>
          <cell r="B293">
            <v>0</v>
          </cell>
          <cell r="C293">
            <v>0</v>
          </cell>
          <cell r="D293">
            <v>0</v>
          </cell>
          <cell r="E293">
            <v>0</v>
          </cell>
          <cell r="F293">
            <v>0</v>
          </cell>
          <cell r="G293">
            <v>0</v>
          </cell>
          <cell r="H293">
            <v>0</v>
          </cell>
          <cell r="I293">
            <v>0</v>
          </cell>
          <cell r="J293">
            <v>0</v>
          </cell>
          <cell r="K293">
            <v>0</v>
          </cell>
          <cell r="L293">
            <v>0</v>
          </cell>
          <cell r="M293">
            <v>0</v>
          </cell>
        </row>
        <row r="294">
          <cell r="A294" t="str">
            <v>BD-PUHM101-B0-M</v>
          </cell>
          <cell r="B294">
            <v>0</v>
          </cell>
          <cell r="C294">
            <v>0</v>
          </cell>
          <cell r="D294">
            <v>0</v>
          </cell>
          <cell r="E294">
            <v>0</v>
          </cell>
          <cell r="F294">
            <v>0</v>
          </cell>
          <cell r="G294">
            <v>0</v>
          </cell>
          <cell r="H294">
            <v>0</v>
          </cell>
          <cell r="I294">
            <v>0</v>
          </cell>
          <cell r="J294">
            <v>0</v>
          </cell>
          <cell r="K294">
            <v>0</v>
          </cell>
          <cell r="L294">
            <v>0</v>
          </cell>
          <cell r="M294">
            <v>0</v>
          </cell>
        </row>
        <row r="295">
          <cell r="A295" t="str">
            <v>BD-PUHM101-B0-S</v>
          </cell>
          <cell r="B295">
            <v>0</v>
          </cell>
          <cell r="C295">
            <v>0</v>
          </cell>
          <cell r="D295">
            <v>0</v>
          </cell>
          <cell r="E295">
            <v>0</v>
          </cell>
          <cell r="F295">
            <v>0</v>
          </cell>
          <cell r="G295">
            <v>0</v>
          </cell>
          <cell r="H295">
            <v>0</v>
          </cell>
          <cell r="I295">
            <v>0</v>
          </cell>
          <cell r="J295">
            <v>0</v>
          </cell>
          <cell r="K295">
            <v>0</v>
          </cell>
          <cell r="L295">
            <v>0</v>
          </cell>
          <cell r="M295">
            <v>0</v>
          </cell>
        </row>
        <row r="296">
          <cell r="A296" t="str">
            <v>BD-PUHM101-B0-XL</v>
          </cell>
          <cell r="B296">
            <v>0</v>
          </cell>
          <cell r="C296">
            <v>0</v>
          </cell>
          <cell r="D296">
            <v>0</v>
          </cell>
          <cell r="E296">
            <v>0</v>
          </cell>
          <cell r="F296">
            <v>0</v>
          </cell>
          <cell r="G296">
            <v>0</v>
          </cell>
          <cell r="H296">
            <v>0</v>
          </cell>
          <cell r="I296">
            <v>0</v>
          </cell>
          <cell r="J296">
            <v>0</v>
          </cell>
          <cell r="K296">
            <v>0</v>
          </cell>
          <cell r="L296">
            <v>0</v>
          </cell>
          <cell r="M296">
            <v>0</v>
          </cell>
        </row>
        <row r="297">
          <cell r="A297" t="str">
            <v>BD-PUHM101-G0-L</v>
          </cell>
          <cell r="B297">
            <v>0</v>
          </cell>
          <cell r="C297">
            <v>0</v>
          </cell>
          <cell r="D297">
            <v>0</v>
          </cell>
          <cell r="E297">
            <v>0</v>
          </cell>
          <cell r="F297">
            <v>0</v>
          </cell>
          <cell r="G297">
            <v>0</v>
          </cell>
          <cell r="H297">
            <v>0</v>
          </cell>
          <cell r="I297">
            <v>0</v>
          </cell>
          <cell r="J297">
            <v>0</v>
          </cell>
          <cell r="K297">
            <v>0</v>
          </cell>
          <cell r="L297">
            <v>0</v>
          </cell>
          <cell r="M297">
            <v>0</v>
          </cell>
        </row>
        <row r="298">
          <cell r="A298" t="str">
            <v>BD-PUHM101-G0-M</v>
          </cell>
          <cell r="B298">
            <v>0</v>
          </cell>
          <cell r="C298">
            <v>0</v>
          </cell>
          <cell r="D298">
            <v>0</v>
          </cell>
          <cell r="E298">
            <v>0</v>
          </cell>
          <cell r="F298">
            <v>0</v>
          </cell>
          <cell r="G298">
            <v>0</v>
          </cell>
          <cell r="H298">
            <v>0</v>
          </cell>
          <cell r="I298">
            <v>0</v>
          </cell>
          <cell r="J298">
            <v>0</v>
          </cell>
          <cell r="K298">
            <v>0</v>
          </cell>
          <cell r="L298">
            <v>0</v>
          </cell>
          <cell r="M298">
            <v>0</v>
          </cell>
        </row>
        <row r="299">
          <cell r="A299" t="str">
            <v>BD-PUHM101-G0-S</v>
          </cell>
          <cell r="B299">
            <v>0</v>
          </cell>
          <cell r="C299">
            <v>0</v>
          </cell>
          <cell r="D299">
            <v>0</v>
          </cell>
          <cell r="E299">
            <v>0</v>
          </cell>
          <cell r="F299">
            <v>0</v>
          </cell>
          <cell r="G299">
            <v>0</v>
          </cell>
          <cell r="H299">
            <v>0</v>
          </cell>
          <cell r="I299">
            <v>0</v>
          </cell>
          <cell r="J299">
            <v>0</v>
          </cell>
          <cell r="K299">
            <v>0</v>
          </cell>
          <cell r="L299">
            <v>0</v>
          </cell>
          <cell r="M299">
            <v>0</v>
          </cell>
        </row>
        <row r="300">
          <cell r="A300" t="str">
            <v>BD-PUHM101-G0-XL</v>
          </cell>
          <cell r="B300">
            <v>0</v>
          </cell>
          <cell r="C300">
            <v>0</v>
          </cell>
          <cell r="D300">
            <v>0</v>
          </cell>
          <cell r="E300">
            <v>0</v>
          </cell>
          <cell r="F300">
            <v>0</v>
          </cell>
          <cell r="G300">
            <v>0</v>
          </cell>
          <cell r="H300">
            <v>0</v>
          </cell>
          <cell r="I300">
            <v>0</v>
          </cell>
          <cell r="J300">
            <v>0</v>
          </cell>
          <cell r="K300">
            <v>0</v>
          </cell>
          <cell r="L300">
            <v>0</v>
          </cell>
          <cell r="M300">
            <v>0</v>
          </cell>
        </row>
        <row r="301">
          <cell r="A301" t="str">
            <v>BD-PUHM101-K0-L</v>
          </cell>
          <cell r="B301">
            <v>0</v>
          </cell>
          <cell r="C301">
            <v>0</v>
          </cell>
          <cell r="D301">
            <v>0</v>
          </cell>
          <cell r="E301">
            <v>0</v>
          </cell>
          <cell r="F301">
            <v>0</v>
          </cell>
          <cell r="G301">
            <v>0</v>
          </cell>
          <cell r="H301">
            <v>0</v>
          </cell>
          <cell r="I301">
            <v>0</v>
          </cell>
          <cell r="J301">
            <v>0</v>
          </cell>
          <cell r="K301">
            <v>0</v>
          </cell>
          <cell r="L301">
            <v>0</v>
          </cell>
          <cell r="M301">
            <v>0</v>
          </cell>
        </row>
        <row r="302">
          <cell r="A302" t="str">
            <v>BD-PUHM101-K0-M</v>
          </cell>
          <cell r="B302">
            <v>0</v>
          </cell>
          <cell r="C302">
            <v>0</v>
          </cell>
          <cell r="D302">
            <v>0</v>
          </cell>
          <cell r="E302">
            <v>0</v>
          </cell>
          <cell r="F302">
            <v>0</v>
          </cell>
          <cell r="G302">
            <v>0</v>
          </cell>
          <cell r="H302">
            <v>0</v>
          </cell>
          <cell r="I302">
            <v>0</v>
          </cell>
          <cell r="J302">
            <v>0</v>
          </cell>
          <cell r="K302">
            <v>0</v>
          </cell>
          <cell r="L302">
            <v>0</v>
          </cell>
          <cell r="M302">
            <v>0</v>
          </cell>
        </row>
        <row r="303">
          <cell r="A303" t="str">
            <v>BD-PUHM101-K0-S</v>
          </cell>
          <cell r="B303">
            <v>0</v>
          </cell>
          <cell r="C303">
            <v>0</v>
          </cell>
          <cell r="D303">
            <v>0</v>
          </cell>
          <cell r="E303">
            <v>0</v>
          </cell>
          <cell r="F303">
            <v>0</v>
          </cell>
          <cell r="G303">
            <v>0</v>
          </cell>
          <cell r="H303">
            <v>0</v>
          </cell>
          <cell r="I303">
            <v>0</v>
          </cell>
          <cell r="J303">
            <v>0</v>
          </cell>
          <cell r="K303">
            <v>0</v>
          </cell>
          <cell r="L303">
            <v>0</v>
          </cell>
          <cell r="M303">
            <v>0</v>
          </cell>
        </row>
        <row r="304">
          <cell r="A304" t="str">
            <v>BD-PUHM101-K0-XL</v>
          </cell>
          <cell r="B304">
            <v>0</v>
          </cell>
          <cell r="C304">
            <v>0</v>
          </cell>
          <cell r="D304">
            <v>0</v>
          </cell>
          <cell r="E304">
            <v>0</v>
          </cell>
          <cell r="F304">
            <v>0</v>
          </cell>
          <cell r="G304">
            <v>0</v>
          </cell>
          <cell r="H304">
            <v>0</v>
          </cell>
          <cell r="I304">
            <v>0</v>
          </cell>
          <cell r="J304">
            <v>0</v>
          </cell>
          <cell r="K304">
            <v>0</v>
          </cell>
          <cell r="L304">
            <v>0</v>
          </cell>
          <cell r="M304">
            <v>0</v>
          </cell>
        </row>
        <row r="305">
          <cell r="A305" t="str">
            <v>BD-PUHM101-R0-L</v>
          </cell>
          <cell r="B305">
            <v>0</v>
          </cell>
          <cell r="C305">
            <v>0</v>
          </cell>
          <cell r="D305">
            <v>0</v>
          </cell>
          <cell r="E305">
            <v>0</v>
          </cell>
          <cell r="F305">
            <v>0</v>
          </cell>
          <cell r="G305">
            <v>0</v>
          </cell>
          <cell r="H305">
            <v>0</v>
          </cell>
          <cell r="I305">
            <v>0</v>
          </cell>
          <cell r="J305">
            <v>0</v>
          </cell>
          <cell r="K305">
            <v>0</v>
          </cell>
          <cell r="L305">
            <v>0</v>
          </cell>
          <cell r="M305">
            <v>0</v>
          </cell>
        </row>
        <row r="306">
          <cell r="A306" t="str">
            <v>BD-PUHM101-R0-M</v>
          </cell>
          <cell r="B306">
            <v>0</v>
          </cell>
          <cell r="C306">
            <v>0</v>
          </cell>
          <cell r="D306">
            <v>0</v>
          </cell>
          <cell r="E306">
            <v>0</v>
          </cell>
          <cell r="F306">
            <v>0</v>
          </cell>
          <cell r="G306">
            <v>0</v>
          </cell>
          <cell r="H306">
            <v>0</v>
          </cell>
          <cell r="I306">
            <v>0</v>
          </cell>
          <cell r="J306">
            <v>0</v>
          </cell>
          <cell r="K306">
            <v>0</v>
          </cell>
          <cell r="L306">
            <v>0</v>
          </cell>
          <cell r="M306">
            <v>0</v>
          </cell>
        </row>
        <row r="307">
          <cell r="A307" t="str">
            <v>BD-PUHM101-R0-S</v>
          </cell>
          <cell r="B307">
            <v>0</v>
          </cell>
          <cell r="C307">
            <v>0</v>
          </cell>
          <cell r="D307">
            <v>0</v>
          </cell>
          <cell r="E307">
            <v>0</v>
          </cell>
          <cell r="F307">
            <v>0</v>
          </cell>
          <cell r="G307">
            <v>0</v>
          </cell>
          <cell r="H307">
            <v>0</v>
          </cell>
          <cell r="I307">
            <v>0</v>
          </cell>
          <cell r="J307">
            <v>0</v>
          </cell>
          <cell r="K307">
            <v>0</v>
          </cell>
          <cell r="L307">
            <v>0</v>
          </cell>
          <cell r="M307">
            <v>0</v>
          </cell>
        </row>
        <row r="308">
          <cell r="A308" t="str">
            <v>BD-PUHM101-R0-XL</v>
          </cell>
          <cell r="B308">
            <v>0</v>
          </cell>
          <cell r="C308">
            <v>0</v>
          </cell>
          <cell r="D308">
            <v>0</v>
          </cell>
          <cell r="E308">
            <v>0</v>
          </cell>
          <cell r="F308">
            <v>0</v>
          </cell>
          <cell r="G308">
            <v>0</v>
          </cell>
          <cell r="H308">
            <v>0</v>
          </cell>
          <cell r="I308">
            <v>0</v>
          </cell>
          <cell r="J308">
            <v>0</v>
          </cell>
          <cell r="K308">
            <v>0</v>
          </cell>
          <cell r="L308">
            <v>0</v>
          </cell>
          <cell r="M308">
            <v>0</v>
          </cell>
        </row>
        <row r="309">
          <cell r="A309" t="str">
            <v>BX-PUHM000-G0-2XL</v>
          </cell>
          <cell r="B309">
            <v>0</v>
          </cell>
          <cell r="C309">
            <v>0</v>
          </cell>
          <cell r="D309">
            <v>0</v>
          </cell>
          <cell r="E309">
            <v>0</v>
          </cell>
          <cell r="F309">
            <v>0</v>
          </cell>
          <cell r="G309">
            <v>0</v>
          </cell>
          <cell r="H309">
            <v>0</v>
          </cell>
          <cell r="I309">
            <v>0</v>
          </cell>
          <cell r="J309">
            <v>0</v>
          </cell>
          <cell r="K309">
            <v>0</v>
          </cell>
          <cell r="L309">
            <v>0</v>
          </cell>
          <cell r="M309">
            <v>0</v>
          </cell>
        </row>
        <row r="310">
          <cell r="A310" t="str">
            <v>BX-PUHM000-G0-3XL</v>
          </cell>
          <cell r="B310">
            <v>0</v>
          </cell>
          <cell r="C310">
            <v>0</v>
          </cell>
          <cell r="D310">
            <v>0</v>
          </cell>
          <cell r="E310">
            <v>0</v>
          </cell>
          <cell r="F310">
            <v>0</v>
          </cell>
          <cell r="G310">
            <v>0</v>
          </cell>
          <cell r="H310">
            <v>0</v>
          </cell>
          <cell r="I310">
            <v>0</v>
          </cell>
          <cell r="J310">
            <v>0</v>
          </cell>
          <cell r="K310">
            <v>0</v>
          </cell>
          <cell r="L310">
            <v>0</v>
          </cell>
          <cell r="M310">
            <v>0</v>
          </cell>
        </row>
        <row r="311">
          <cell r="A311" t="str">
            <v>BX-PUHM000-G0-4XL</v>
          </cell>
          <cell r="B311">
            <v>0</v>
          </cell>
          <cell r="C311">
            <v>0</v>
          </cell>
          <cell r="D311">
            <v>0</v>
          </cell>
          <cell r="E311">
            <v>0</v>
          </cell>
          <cell r="F311">
            <v>0</v>
          </cell>
          <cell r="G311">
            <v>0</v>
          </cell>
          <cell r="H311">
            <v>0</v>
          </cell>
          <cell r="I311">
            <v>0</v>
          </cell>
          <cell r="J311">
            <v>0</v>
          </cell>
          <cell r="K311">
            <v>0</v>
          </cell>
          <cell r="L311">
            <v>0</v>
          </cell>
          <cell r="M311">
            <v>0</v>
          </cell>
        </row>
        <row r="312">
          <cell r="A312" t="str">
            <v>BX-PUHM000-G0-5XL</v>
          </cell>
          <cell r="B312">
            <v>0</v>
          </cell>
          <cell r="C312">
            <v>0</v>
          </cell>
          <cell r="D312">
            <v>0</v>
          </cell>
          <cell r="E312">
            <v>0</v>
          </cell>
          <cell r="F312">
            <v>0</v>
          </cell>
          <cell r="G312">
            <v>0</v>
          </cell>
          <cell r="H312">
            <v>0</v>
          </cell>
          <cell r="I312">
            <v>0</v>
          </cell>
          <cell r="J312">
            <v>0</v>
          </cell>
          <cell r="K312">
            <v>0</v>
          </cell>
          <cell r="L312">
            <v>0</v>
          </cell>
          <cell r="M312">
            <v>0</v>
          </cell>
        </row>
        <row r="313">
          <cell r="A313" t="str">
            <v>BX-PUHM000-G0-L</v>
          </cell>
          <cell r="B313">
            <v>0</v>
          </cell>
          <cell r="C313">
            <v>0</v>
          </cell>
          <cell r="D313">
            <v>0</v>
          </cell>
          <cell r="E313">
            <v>0</v>
          </cell>
          <cell r="F313">
            <v>0</v>
          </cell>
          <cell r="G313">
            <v>0</v>
          </cell>
          <cell r="H313">
            <v>0</v>
          </cell>
          <cell r="I313">
            <v>0</v>
          </cell>
          <cell r="J313">
            <v>0</v>
          </cell>
          <cell r="K313">
            <v>0</v>
          </cell>
          <cell r="L313">
            <v>0</v>
          </cell>
          <cell r="M313">
            <v>0</v>
          </cell>
        </row>
        <row r="314">
          <cell r="A314" t="str">
            <v>BX-PUHM000-G0-M</v>
          </cell>
          <cell r="B314">
            <v>0</v>
          </cell>
          <cell r="C314">
            <v>0</v>
          </cell>
          <cell r="D314">
            <v>0</v>
          </cell>
          <cell r="E314">
            <v>0</v>
          </cell>
          <cell r="F314">
            <v>0</v>
          </cell>
          <cell r="G314">
            <v>0</v>
          </cell>
          <cell r="H314">
            <v>0</v>
          </cell>
          <cell r="I314">
            <v>0</v>
          </cell>
          <cell r="J314">
            <v>0</v>
          </cell>
          <cell r="K314">
            <v>0</v>
          </cell>
          <cell r="L314">
            <v>0</v>
          </cell>
          <cell r="M314">
            <v>0</v>
          </cell>
        </row>
        <row r="315">
          <cell r="A315" t="str">
            <v>BX-PUHM000-G0-S</v>
          </cell>
          <cell r="B315">
            <v>0</v>
          </cell>
          <cell r="C315">
            <v>0</v>
          </cell>
          <cell r="D315">
            <v>0</v>
          </cell>
          <cell r="E315">
            <v>0</v>
          </cell>
          <cell r="F315">
            <v>0</v>
          </cell>
          <cell r="G315">
            <v>0</v>
          </cell>
          <cell r="H315">
            <v>0</v>
          </cell>
          <cell r="I315">
            <v>0</v>
          </cell>
          <cell r="J315">
            <v>0</v>
          </cell>
          <cell r="K315">
            <v>0</v>
          </cell>
          <cell r="L315">
            <v>0</v>
          </cell>
          <cell r="M315">
            <v>0</v>
          </cell>
        </row>
        <row r="316">
          <cell r="A316" t="str">
            <v>BX-PUHM000-G0-XL</v>
          </cell>
          <cell r="B316">
            <v>0</v>
          </cell>
          <cell r="C316">
            <v>0</v>
          </cell>
          <cell r="D316">
            <v>0</v>
          </cell>
          <cell r="E316">
            <v>0</v>
          </cell>
          <cell r="F316">
            <v>0</v>
          </cell>
          <cell r="G316">
            <v>0</v>
          </cell>
          <cell r="H316">
            <v>0</v>
          </cell>
          <cell r="I316">
            <v>0</v>
          </cell>
          <cell r="J316">
            <v>0</v>
          </cell>
          <cell r="K316">
            <v>0</v>
          </cell>
          <cell r="L316">
            <v>0</v>
          </cell>
          <cell r="M316">
            <v>0</v>
          </cell>
        </row>
        <row r="317">
          <cell r="A317" t="str">
            <v>BX-PUHM000-OR-2XL</v>
          </cell>
          <cell r="B317">
            <v>0</v>
          </cell>
          <cell r="C317">
            <v>0</v>
          </cell>
          <cell r="D317">
            <v>0</v>
          </cell>
          <cell r="E317">
            <v>0</v>
          </cell>
          <cell r="F317">
            <v>0</v>
          </cell>
          <cell r="G317">
            <v>0</v>
          </cell>
          <cell r="H317">
            <v>0</v>
          </cell>
          <cell r="I317">
            <v>0</v>
          </cell>
          <cell r="J317">
            <v>0</v>
          </cell>
          <cell r="K317">
            <v>0</v>
          </cell>
          <cell r="L317">
            <v>0</v>
          </cell>
          <cell r="M317">
            <v>0</v>
          </cell>
        </row>
        <row r="318">
          <cell r="A318" t="str">
            <v>BX-PUHM000-OR-3XL</v>
          </cell>
          <cell r="B318">
            <v>0</v>
          </cell>
          <cell r="C318">
            <v>0</v>
          </cell>
          <cell r="D318">
            <v>0</v>
          </cell>
          <cell r="E318">
            <v>0</v>
          </cell>
          <cell r="F318">
            <v>0</v>
          </cell>
          <cell r="G318">
            <v>0</v>
          </cell>
          <cell r="H318">
            <v>0</v>
          </cell>
          <cell r="I318">
            <v>0</v>
          </cell>
          <cell r="J318">
            <v>0</v>
          </cell>
          <cell r="K318">
            <v>0</v>
          </cell>
          <cell r="L318">
            <v>0</v>
          </cell>
          <cell r="M318">
            <v>0</v>
          </cell>
        </row>
        <row r="319">
          <cell r="A319" t="str">
            <v>BX-PUHM000-OR-4XL</v>
          </cell>
          <cell r="B319">
            <v>0</v>
          </cell>
          <cell r="C319">
            <v>0</v>
          </cell>
          <cell r="D319">
            <v>0</v>
          </cell>
          <cell r="E319">
            <v>0</v>
          </cell>
          <cell r="F319">
            <v>0</v>
          </cell>
          <cell r="G319">
            <v>0</v>
          </cell>
          <cell r="H319">
            <v>0</v>
          </cell>
          <cell r="I319">
            <v>0</v>
          </cell>
          <cell r="J319">
            <v>0</v>
          </cell>
          <cell r="K319">
            <v>0</v>
          </cell>
          <cell r="L319">
            <v>0</v>
          </cell>
          <cell r="M319">
            <v>0</v>
          </cell>
        </row>
        <row r="320">
          <cell r="A320" t="str">
            <v>BX-PUHM000-OR-5XL</v>
          </cell>
          <cell r="B320">
            <v>0</v>
          </cell>
          <cell r="C320">
            <v>0</v>
          </cell>
          <cell r="D320">
            <v>0</v>
          </cell>
          <cell r="E320">
            <v>0</v>
          </cell>
          <cell r="F320">
            <v>0</v>
          </cell>
          <cell r="G320">
            <v>0</v>
          </cell>
          <cell r="H320">
            <v>0</v>
          </cell>
          <cell r="I320">
            <v>0</v>
          </cell>
          <cell r="J320">
            <v>0</v>
          </cell>
          <cell r="K320">
            <v>0</v>
          </cell>
          <cell r="L320">
            <v>0</v>
          </cell>
          <cell r="M320">
            <v>0</v>
          </cell>
        </row>
        <row r="321">
          <cell r="A321" t="str">
            <v>BX-PUHM000-OR-L</v>
          </cell>
          <cell r="B321">
            <v>0</v>
          </cell>
          <cell r="C321">
            <v>0</v>
          </cell>
          <cell r="D321">
            <v>0</v>
          </cell>
          <cell r="E321">
            <v>0</v>
          </cell>
          <cell r="F321">
            <v>0</v>
          </cell>
          <cell r="G321">
            <v>0</v>
          </cell>
          <cell r="H321">
            <v>0</v>
          </cell>
          <cell r="I321">
            <v>0</v>
          </cell>
          <cell r="J321">
            <v>0</v>
          </cell>
          <cell r="K321">
            <v>0</v>
          </cell>
          <cell r="L321">
            <v>0</v>
          </cell>
          <cell r="M321">
            <v>0</v>
          </cell>
        </row>
        <row r="322">
          <cell r="A322" t="str">
            <v>BX-PUHM000-OR-M</v>
          </cell>
          <cell r="B322">
            <v>0</v>
          </cell>
          <cell r="C322">
            <v>0</v>
          </cell>
          <cell r="D322">
            <v>0</v>
          </cell>
          <cell r="E322">
            <v>0</v>
          </cell>
          <cell r="F322">
            <v>0</v>
          </cell>
          <cell r="G322">
            <v>0</v>
          </cell>
          <cell r="H322">
            <v>0</v>
          </cell>
          <cell r="I322">
            <v>0</v>
          </cell>
          <cell r="J322">
            <v>0</v>
          </cell>
          <cell r="K322">
            <v>0</v>
          </cell>
          <cell r="L322">
            <v>0</v>
          </cell>
          <cell r="M322">
            <v>0</v>
          </cell>
        </row>
        <row r="323">
          <cell r="A323" t="str">
            <v>BX-PUHM000-OR-S</v>
          </cell>
          <cell r="B323">
            <v>0</v>
          </cell>
          <cell r="C323">
            <v>0</v>
          </cell>
          <cell r="D323">
            <v>0</v>
          </cell>
          <cell r="E323">
            <v>0</v>
          </cell>
          <cell r="F323">
            <v>0</v>
          </cell>
          <cell r="G323">
            <v>0</v>
          </cell>
          <cell r="H323">
            <v>0</v>
          </cell>
          <cell r="I323">
            <v>0</v>
          </cell>
          <cell r="J323">
            <v>0</v>
          </cell>
          <cell r="K323">
            <v>0</v>
          </cell>
          <cell r="L323">
            <v>0</v>
          </cell>
          <cell r="M323">
            <v>0</v>
          </cell>
        </row>
        <row r="324">
          <cell r="A324" t="str">
            <v>BX-PUHM000-OR-XL</v>
          </cell>
          <cell r="B324">
            <v>0</v>
          </cell>
          <cell r="C324">
            <v>0</v>
          </cell>
          <cell r="D324">
            <v>0</v>
          </cell>
          <cell r="E324">
            <v>0</v>
          </cell>
          <cell r="F324">
            <v>0</v>
          </cell>
          <cell r="G324">
            <v>0</v>
          </cell>
          <cell r="H324">
            <v>0</v>
          </cell>
          <cell r="I324">
            <v>0</v>
          </cell>
          <cell r="J324">
            <v>0</v>
          </cell>
          <cell r="K324">
            <v>0</v>
          </cell>
          <cell r="L324">
            <v>0</v>
          </cell>
          <cell r="M324">
            <v>0</v>
          </cell>
        </row>
        <row r="325">
          <cell r="A325" t="str">
            <v>BX-PUHM000-P0-2XL</v>
          </cell>
          <cell r="B325">
            <v>0</v>
          </cell>
          <cell r="C325">
            <v>0</v>
          </cell>
          <cell r="D325">
            <v>0</v>
          </cell>
          <cell r="E325">
            <v>0</v>
          </cell>
          <cell r="F325">
            <v>0</v>
          </cell>
          <cell r="G325">
            <v>0</v>
          </cell>
          <cell r="H325">
            <v>0</v>
          </cell>
          <cell r="I325">
            <v>0</v>
          </cell>
          <cell r="J325">
            <v>0</v>
          </cell>
          <cell r="K325">
            <v>0</v>
          </cell>
          <cell r="L325">
            <v>0</v>
          </cell>
          <cell r="M325">
            <v>0</v>
          </cell>
        </row>
        <row r="326">
          <cell r="A326" t="str">
            <v>BX-PUHM000-P0-3XL</v>
          </cell>
          <cell r="B326">
            <v>0</v>
          </cell>
          <cell r="C326">
            <v>0</v>
          </cell>
          <cell r="D326">
            <v>0</v>
          </cell>
          <cell r="E326">
            <v>0</v>
          </cell>
          <cell r="F326">
            <v>0</v>
          </cell>
          <cell r="G326">
            <v>0</v>
          </cell>
          <cell r="H326">
            <v>0</v>
          </cell>
          <cell r="I326">
            <v>0</v>
          </cell>
          <cell r="J326">
            <v>0</v>
          </cell>
          <cell r="K326">
            <v>0</v>
          </cell>
          <cell r="L326">
            <v>0</v>
          </cell>
          <cell r="M326">
            <v>0</v>
          </cell>
        </row>
        <row r="327">
          <cell r="A327" t="str">
            <v>BX-PUHM000-P0-4XL</v>
          </cell>
          <cell r="B327">
            <v>0</v>
          </cell>
          <cell r="C327">
            <v>0</v>
          </cell>
          <cell r="D327">
            <v>0</v>
          </cell>
          <cell r="E327">
            <v>0</v>
          </cell>
          <cell r="F327">
            <v>0</v>
          </cell>
          <cell r="G327">
            <v>0</v>
          </cell>
          <cell r="H327">
            <v>0</v>
          </cell>
          <cell r="I327">
            <v>0</v>
          </cell>
          <cell r="J327">
            <v>0</v>
          </cell>
          <cell r="K327">
            <v>0</v>
          </cell>
          <cell r="L327">
            <v>0</v>
          </cell>
          <cell r="M327">
            <v>0</v>
          </cell>
        </row>
        <row r="328">
          <cell r="A328" t="str">
            <v>BX-PUHM000-P0-5XL</v>
          </cell>
          <cell r="B328">
            <v>0</v>
          </cell>
          <cell r="C328">
            <v>0</v>
          </cell>
          <cell r="D328">
            <v>0</v>
          </cell>
          <cell r="E328">
            <v>0</v>
          </cell>
          <cell r="F328">
            <v>0</v>
          </cell>
          <cell r="G328">
            <v>0</v>
          </cell>
          <cell r="H328">
            <v>0</v>
          </cell>
          <cell r="I328">
            <v>0</v>
          </cell>
          <cell r="J328">
            <v>0</v>
          </cell>
          <cell r="K328">
            <v>0</v>
          </cell>
          <cell r="L328">
            <v>0</v>
          </cell>
          <cell r="M328">
            <v>0</v>
          </cell>
        </row>
        <row r="329">
          <cell r="A329" t="str">
            <v>BX-PUHM000-P0-L</v>
          </cell>
          <cell r="B329">
            <v>0</v>
          </cell>
          <cell r="C329">
            <v>0</v>
          </cell>
          <cell r="D329">
            <v>0</v>
          </cell>
          <cell r="E329">
            <v>0</v>
          </cell>
          <cell r="F329">
            <v>0</v>
          </cell>
          <cell r="G329">
            <v>0</v>
          </cell>
          <cell r="H329">
            <v>0</v>
          </cell>
          <cell r="I329">
            <v>0</v>
          </cell>
          <cell r="J329">
            <v>0</v>
          </cell>
          <cell r="K329">
            <v>0</v>
          </cell>
          <cell r="L329">
            <v>0</v>
          </cell>
          <cell r="M329">
            <v>0</v>
          </cell>
        </row>
        <row r="330">
          <cell r="A330" t="str">
            <v>BX-PUHM000-P0-M</v>
          </cell>
          <cell r="B330">
            <v>0</v>
          </cell>
          <cell r="C330">
            <v>0</v>
          </cell>
          <cell r="D330">
            <v>0</v>
          </cell>
          <cell r="E330">
            <v>0</v>
          </cell>
          <cell r="F330">
            <v>0</v>
          </cell>
          <cell r="G330">
            <v>0</v>
          </cell>
          <cell r="H330">
            <v>0</v>
          </cell>
          <cell r="I330">
            <v>0</v>
          </cell>
          <cell r="J330">
            <v>0</v>
          </cell>
          <cell r="K330">
            <v>0</v>
          </cell>
          <cell r="L330">
            <v>0</v>
          </cell>
          <cell r="M330">
            <v>0</v>
          </cell>
        </row>
        <row r="331">
          <cell r="A331" t="str">
            <v>BX-PUHM000-P0-S</v>
          </cell>
          <cell r="B331">
            <v>0</v>
          </cell>
          <cell r="C331">
            <v>0</v>
          </cell>
          <cell r="D331">
            <v>0</v>
          </cell>
          <cell r="E331">
            <v>0</v>
          </cell>
          <cell r="F331">
            <v>0</v>
          </cell>
          <cell r="G331">
            <v>0</v>
          </cell>
          <cell r="H331">
            <v>0</v>
          </cell>
          <cell r="I331">
            <v>0</v>
          </cell>
          <cell r="J331">
            <v>0</v>
          </cell>
          <cell r="K331">
            <v>0</v>
          </cell>
          <cell r="L331">
            <v>0</v>
          </cell>
          <cell r="M331">
            <v>0</v>
          </cell>
        </row>
        <row r="332">
          <cell r="A332" t="str">
            <v>BX-PUHM000-P0-XL</v>
          </cell>
          <cell r="B332">
            <v>0</v>
          </cell>
          <cell r="C332">
            <v>0</v>
          </cell>
          <cell r="D332">
            <v>0</v>
          </cell>
          <cell r="E332">
            <v>0</v>
          </cell>
          <cell r="F332">
            <v>0</v>
          </cell>
          <cell r="G332">
            <v>0</v>
          </cell>
          <cell r="H332">
            <v>0</v>
          </cell>
          <cell r="I332">
            <v>0</v>
          </cell>
          <cell r="J332">
            <v>0</v>
          </cell>
          <cell r="K332">
            <v>0</v>
          </cell>
          <cell r="L332">
            <v>0</v>
          </cell>
          <cell r="M332">
            <v>0</v>
          </cell>
        </row>
        <row r="333">
          <cell r="A333" t="str">
            <v>BX-PUHM000-PI-2XL</v>
          </cell>
          <cell r="B333">
            <v>0</v>
          </cell>
          <cell r="C333">
            <v>0</v>
          </cell>
          <cell r="D333">
            <v>0</v>
          </cell>
          <cell r="E333">
            <v>0</v>
          </cell>
          <cell r="F333">
            <v>0</v>
          </cell>
          <cell r="G333">
            <v>0</v>
          </cell>
          <cell r="H333">
            <v>0</v>
          </cell>
          <cell r="I333">
            <v>0</v>
          </cell>
          <cell r="J333">
            <v>0</v>
          </cell>
          <cell r="K333">
            <v>0</v>
          </cell>
          <cell r="L333">
            <v>0</v>
          </cell>
          <cell r="M333">
            <v>0</v>
          </cell>
        </row>
        <row r="334">
          <cell r="A334" t="str">
            <v>BX-PUHM000-PI-3XL</v>
          </cell>
          <cell r="B334">
            <v>0</v>
          </cell>
          <cell r="C334">
            <v>0</v>
          </cell>
          <cell r="D334">
            <v>0</v>
          </cell>
          <cell r="E334">
            <v>0</v>
          </cell>
          <cell r="F334">
            <v>0</v>
          </cell>
          <cell r="G334">
            <v>0</v>
          </cell>
          <cell r="H334">
            <v>0</v>
          </cell>
          <cell r="I334">
            <v>0</v>
          </cell>
          <cell r="J334">
            <v>0</v>
          </cell>
          <cell r="K334">
            <v>0</v>
          </cell>
          <cell r="L334">
            <v>0</v>
          </cell>
          <cell r="M334">
            <v>0</v>
          </cell>
        </row>
        <row r="335">
          <cell r="A335" t="str">
            <v>BX-PUHM000-PI-4XL</v>
          </cell>
          <cell r="B335">
            <v>0</v>
          </cell>
          <cell r="C335">
            <v>0</v>
          </cell>
          <cell r="D335">
            <v>0</v>
          </cell>
          <cell r="E335">
            <v>0</v>
          </cell>
          <cell r="F335">
            <v>0</v>
          </cell>
          <cell r="G335">
            <v>0</v>
          </cell>
          <cell r="H335">
            <v>0</v>
          </cell>
          <cell r="I335">
            <v>0</v>
          </cell>
          <cell r="J335">
            <v>0</v>
          </cell>
          <cell r="K335">
            <v>0</v>
          </cell>
          <cell r="L335">
            <v>0</v>
          </cell>
          <cell r="M335">
            <v>0</v>
          </cell>
        </row>
        <row r="336">
          <cell r="A336" t="str">
            <v>BX-PUHM000-PI-5XL</v>
          </cell>
          <cell r="B336">
            <v>0</v>
          </cell>
          <cell r="C336">
            <v>0</v>
          </cell>
          <cell r="D336">
            <v>0</v>
          </cell>
          <cell r="E336">
            <v>0</v>
          </cell>
          <cell r="F336">
            <v>0</v>
          </cell>
          <cell r="G336">
            <v>0</v>
          </cell>
          <cell r="H336">
            <v>0</v>
          </cell>
          <cell r="I336">
            <v>0</v>
          </cell>
          <cell r="J336">
            <v>0</v>
          </cell>
          <cell r="K336">
            <v>0</v>
          </cell>
          <cell r="L336">
            <v>0</v>
          </cell>
          <cell r="M336">
            <v>0</v>
          </cell>
        </row>
        <row r="337">
          <cell r="A337" t="str">
            <v>BX-PUHM000-PI-L</v>
          </cell>
          <cell r="B337">
            <v>0</v>
          </cell>
          <cell r="C337">
            <v>0</v>
          </cell>
          <cell r="D337">
            <v>0</v>
          </cell>
          <cell r="E337">
            <v>0</v>
          </cell>
          <cell r="F337">
            <v>0</v>
          </cell>
          <cell r="G337">
            <v>0</v>
          </cell>
          <cell r="H337">
            <v>0</v>
          </cell>
          <cell r="I337">
            <v>0</v>
          </cell>
          <cell r="J337">
            <v>0</v>
          </cell>
          <cell r="K337">
            <v>0</v>
          </cell>
          <cell r="L337">
            <v>0</v>
          </cell>
          <cell r="M337">
            <v>0</v>
          </cell>
        </row>
        <row r="338">
          <cell r="A338" t="str">
            <v>BX-PUHM000-PI-M</v>
          </cell>
          <cell r="B338">
            <v>0</v>
          </cell>
          <cell r="C338">
            <v>0</v>
          </cell>
          <cell r="D338">
            <v>0</v>
          </cell>
          <cell r="E338">
            <v>0</v>
          </cell>
          <cell r="F338">
            <v>0</v>
          </cell>
          <cell r="G338">
            <v>0</v>
          </cell>
          <cell r="H338">
            <v>0</v>
          </cell>
          <cell r="I338">
            <v>0</v>
          </cell>
          <cell r="J338">
            <v>0</v>
          </cell>
          <cell r="K338">
            <v>0</v>
          </cell>
          <cell r="L338">
            <v>0</v>
          </cell>
          <cell r="M338">
            <v>0</v>
          </cell>
        </row>
        <row r="339">
          <cell r="A339" t="str">
            <v>BX-PUHM000-PI-S</v>
          </cell>
          <cell r="B339">
            <v>0</v>
          </cell>
          <cell r="C339">
            <v>0</v>
          </cell>
          <cell r="D339">
            <v>0</v>
          </cell>
          <cell r="E339">
            <v>0</v>
          </cell>
          <cell r="F339">
            <v>0</v>
          </cell>
          <cell r="G339">
            <v>0</v>
          </cell>
          <cell r="H339">
            <v>0</v>
          </cell>
          <cell r="I339">
            <v>0</v>
          </cell>
          <cell r="J339">
            <v>0</v>
          </cell>
          <cell r="K339">
            <v>0</v>
          </cell>
          <cell r="L339">
            <v>0</v>
          </cell>
          <cell r="M339">
            <v>0</v>
          </cell>
        </row>
        <row r="340">
          <cell r="A340" t="str">
            <v>BX-PUHM000-PI-XL</v>
          </cell>
          <cell r="B340">
            <v>0</v>
          </cell>
          <cell r="C340">
            <v>0</v>
          </cell>
          <cell r="D340">
            <v>0</v>
          </cell>
          <cell r="E340">
            <v>0</v>
          </cell>
          <cell r="F340">
            <v>0</v>
          </cell>
          <cell r="G340">
            <v>0</v>
          </cell>
          <cell r="H340">
            <v>0</v>
          </cell>
          <cell r="I340">
            <v>0</v>
          </cell>
          <cell r="J340">
            <v>0</v>
          </cell>
          <cell r="K340">
            <v>0</v>
          </cell>
          <cell r="L340">
            <v>0</v>
          </cell>
          <cell r="M340">
            <v>0</v>
          </cell>
        </row>
        <row r="341">
          <cell r="A341" t="str">
            <v>BX-PUHM000-R0-2XL</v>
          </cell>
          <cell r="B341">
            <v>0</v>
          </cell>
          <cell r="C341">
            <v>0</v>
          </cell>
          <cell r="D341">
            <v>0</v>
          </cell>
          <cell r="E341">
            <v>0</v>
          </cell>
          <cell r="F341">
            <v>0</v>
          </cell>
          <cell r="G341">
            <v>0</v>
          </cell>
          <cell r="H341">
            <v>0</v>
          </cell>
          <cell r="I341">
            <v>0</v>
          </cell>
          <cell r="J341">
            <v>0</v>
          </cell>
          <cell r="K341">
            <v>0</v>
          </cell>
          <cell r="L341">
            <v>0</v>
          </cell>
          <cell r="M341">
            <v>0</v>
          </cell>
        </row>
        <row r="342">
          <cell r="A342" t="str">
            <v>BX-PUHM000-R0-3XL</v>
          </cell>
          <cell r="B342">
            <v>0</v>
          </cell>
          <cell r="C342">
            <v>0</v>
          </cell>
          <cell r="D342">
            <v>0</v>
          </cell>
          <cell r="E342">
            <v>0</v>
          </cell>
          <cell r="F342">
            <v>0</v>
          </cell>
          <cell r="G342">
            <v>0</v>
          </cell>
          <cell r="H342">
            <v>0</v>
          </cell>
          <cell r="I342">
            <v>0</v>
          </cell>
          <cell r="J342">
            <v>0</v>
          </cell>
          <cell r="K342">
            <v>0</v>
          </cell>
          <cell r="L342">
            <v>0</v>
          </cell>
          <cell r="M342">
            <v>0</v>
          </cell>
        </row>
        <row r="343">
          <cell r="A343" t="str">
            <v>BX-PUHM000-R0-4XL</v>
          </cell>
          <cell r="B343">
            <v>0</v>
          </cell>
          <cell r="C343">
            <v>0</v>
          </cell>
          <cell r="D343">
            <v>0</v>
          </cell>
          <cell r="E343">
            <v>0</v>
          </cell>
          <cell r="F343">
            <v>0</v>
          </cell>
          <cell r="G343">
            <v>0</v>
          </cell>
          <cell r="H343">
            <v>0</v>
          </cell>
          <cell r="I343">
            <v>0</v>
          </cell>
          <cell r="J343">
            <v>0</v>
          </cell>
          <cell r="K343">
            <v>0</v>
          </cell>
          <cell r="L343">
            <v>0</v>
          </cell>
          <cell r="M343">
            <v>0</v>
          </cell>
        </row>
        <row r="344">
          <cell r="A344" t="str">
            <v>BX-PUHM000-R0-5XL</v>
          </cell>
          <cell r="B344">
            <v>0</v>
          </cell>
          <cell r="C344">
            <v>0</v>
          </cell>
          <cell r="D344">
            <v>0</v>
          </cell>
          <cell r="E344">
            <v>0</v>
          </cell>
          <cell r="F344">
            <v>0</v>
          </cell>
          <cell r="G344">
            <v>0</v>
          </cell>
          <cell r="H344">
            <v>0</v>
          </cell>
          <cell r="I344">
            <v>0</v>
          </cell>
          <cell r="J344">
            <v>0</v>
          </cell>
          <cell r="K344">
            <v>0</v>
          </cell>
          <cell r="L344">
            <v>0</v>
          </cell>
          <cell r="M344">
            <v>0</v>
          </cell>
        </row>
        <row r="345">
          <cell r="A345" t="str">
            <v>BX-PUHM000-R0-L</v>
          </cell>
          <cell r="B345">
            <v>0</v>
          </cell>
          <cell r="C345">
            <v>0</v>
          </cell>
          <cell r="D345">
            <v>0</v>
          </cell>
          <cell r="E345">
            <v>0</v>
          </cell>
          <cell r="F345">
            <v>0</v>
          </cell>
          <cell r="G345">
            <v>0</v>
          </cell>
          <cell r="H345">
            <v>0</v>
          </cell>
          <cell r="I345">
            <v>0</v>
          </cell>
          <cell r="J345">
            <v>0</v>
          </cell>
          <cell r="K345">
            <v>0</v>
          </cell>
          <cell r="L345">
            <v>0</v>
          </cell>
          <cell r="M345">
            <v>0</v>
          </cell>
        </row>
        <row r="346">
          <cell r="A346" t="str">
            <v>BX-PUHM000-R0-M</v>
          </cell>
          <cell r="B346">
            <v>0</v>
          </cell>
          <cell r="C346">
            <v>0</v>
          </cell>
          <cell r="D346">
            <v>0</v>
          </cell>
          <cell r="E346">
            <v>0</v>
          </cell>
          <cell r="F346">
            <v>0</v>
          </cell>
          <cell r="G346">
            <v>0</v>
          </cell>
          <cell r="H346">
            <v>0</v>
          </cell>
          <cell r="I346">
            <v>0</v>
          </cell>
          <cell r="J346">
            <v>0</v>
          </cell>
          <cell r="K346">
            <v>0</v>
          </cell>
          <cell r="L346">
            <v>0</v>
          </cell>
          <cell r="M346">
            <v>0</v>
          </cell>
        </row>
        <row r="347">
          <cell r="A347" t="str">
            <v>BX-PUHM000-R0-S</v>
          </cell>
          <cell r="B347">
            <v>0</v>
          </cell>
          <cell r="C347">
            <v>0</v>
          </cell>
          <cell r="D347">
            <v>0</v>
          </cell>
          <cell r="E347">
            <v>0</v>
          </cell>
          <cell r="F347">
            <v>0</v>
          </cell>
          <cell r="G347">
            <v>0</v>
          </cell>
          <cell r="H347">
            <v>0</v>
          </cell>
          <cell r="I347">
            <v>0</v>
          </cell>
          <cell r="J347">
            <v>0</v>
          </cell>
          <cell r="K347">
            <v>0</v>
          </cell>
          <cell r="L347">
            <v>0</v>
          </cell>
          <cell r="M347">
            <v>0</v>
          </cell>
        </row>
        <row r="348">
          <cell r="A348" t="str">
            <v>BX-PUHM000-R0-XL</v>
          </cell>
          <cell r="B348">
            <v>0</v>
          </cell>
          <cell r="C348">
            <v>0</v>
          </cell>
          <cell r="D348">
            <v>0</v>
          </cell>
          <cell r="E348">
            <v>0</v>
          </cell>
          <cell r="F348">
            <v>0</v>
          </cell>
          <cell r="G348">
            <v>0</v>
          </cell>
          <cell r="H348">
            <v>0</v>
          </cell>
          <cell r="I348">
            <v>0</v>
          </cell>
          <cell r="J348">
            <v>0</v>
          </cell>
          <cell r="K348">
            <v>0</v>
          </cell>
          <cell r="L348">
            <v>0</v>
          </cell>
          <cell r="M348">
            <v>0</v>
          </cell>
        </row>
        <row r="349">
          <cell r="A349" t="str">
            <v>BX-PUHM001-B0-L</v>
          </cell>
          <cell r="B349">
            <v>0</v>
          </cell>
          <cell r="C349">
            <v>0</v>
          </cell>
          <cell r="D349">
            <v>0</v>
          </cell>
          <cell r="E349">
            <v>0</v>
          </cell>
          <cell r="F349">
            <v>0</v>
          </cell>
          <cell r="G349">
            <v>0</v>
          </cell>
          <cell r="H349">
            <v>0</v>
          </cell>
          <cell r="I349">
            <v>0</v>
          </cell>
          <cell r="J349">
            <v>0</v>
          </cell>
          <cell r="K349">
            <v>0</v>
          </cell>
          <cell r="L349">
            <v>0</v>
          </cell>
          <cell r="M349">
            <v>0</v>
          </cell>
        </row>
        <row r="350">
          <cell r="A350" t="str">
            <v>BX-PUHM001-B0-M</v>
          </cell>
          <cell r="B350">
            <v>0</v>
          </cell>
          <cell r="C350">
            <v>0</v>
          </cell>
          <cell r="D350">
            <v>0</v>
          </cell>
          <cell r="E350">
            <v>0</v>
          </cell>
          <cell r="F350">
            <v>0</v>
          </cell>
          <cell r="G350">
            <v>0</v>
          </cell>
          <cell r="H350">
            <v>0</v>
          </cell>
          <cell r="I350">
            <v>0</v>
          </cell>
          <cell r="J350">
            <v>0</v>
          </cell>
          <cell r="K350">
            <v>0</v>
          </cell>
          <cell r="L350">
            <v>0</v>
          </cell>
          <cell r="M350">
            <v>0</v>
          </cell>
        </row>
        <row r="351">
          <cell r="A351" t="str">
            <v>BX-PUHM001-B0-S</v>
          </cell>
          <cell r="B351">
            <v>0</v>
          </cell>
          <cell r="C351">
            <v>0</v>
          </cell>
          <cell r="D351">
            <v>0</v>
          </cell>
          <cell r="E351">
            <v>0</v>
          </cell>
          <cell r="F351">
            <v>0</v>
          </cell>
          <cell r="G351">
            <v>0</v>
          </cell>
          <cell r="H351">
            <v>0</v>
          </cell>
          <cell r="I351">
            <v>0</v>
          </cell>
          <cell r="J351">
            <v>0</v>
          </cell>
          <cell r="K351">
            <v>0</v>
          </cell>
          <cell r="L351">
            <v>0</v>
          </cell>
          <cell r="M351">
            <v>0</v>
          </cell>
        </row>
        <row r="352">
          <cell r="A352" t="str">
            <v>BX-PUHM001-B0-XL</v>
          </cell>
          <cell r="B352">
            <v>0</v>
          </cell>
          <cell r="C352">
            <v>0</v>
          </cell>
          <cell r="D352">
            <v>0</v>
          </cell>
          <cell r="E352">
            <v>0</v>
          </cell>
          <cell r="F352">
            <v>0</v>
          </cell>
          <cell r="G352">
            <v>0</v>
          </cell>
          <cell r="H352">
            <v>0</v>
          </cell>
          <cell r="I352">
            <v>0</v>
          </cell>
          <cell r="J352">
            <v>0</v>
          </cell>
          <cell r="K352">
            <v>0</v>
          </cell>
          <cell r="L352">
            <v>0</v>
          </cell>
          <cell r="M352">
            <v>0</v>
          </cell>
        </row>
        <row r="353">
          <cell r="A353" t="str">
            <v>BX-PUHM001-B0-XS</v>
          </cell>
          <cell r="B353">
            <v>0</v>
          </cell>
          <cell r="C353">
            <v>0</v>
          </cell>
          <cell r="D353">
            <v>0</v>
          </cell>
          <cell r="E353">
            <v>0</v>
          </cell>
          <cell r="F353">
            <v>0</v>
          </cell>
          <cell r="G353">
            <v>0</v>
          </cell>
          <cell r="H353">
            <v>0</v>
          </cell>
          <cell r="I353">
            <v>0</v>
          </cell>
          <cell r="J353">
            <v>0</v>
          </cell>
          <cell r="K353">
            <v>0</v>
          </cell>
          <cell r="L353">
            <v>0</v>
          </cell>
          <cell r="M353">
            <v>0</v>
          </cell>
        </row>
        <row r="354">
          <cell r="A354" t="str">
            <v>BX-PUHM001-OR-L</v>
          </cell>
          <cell r="B354">
            <v>0</v>
          </cell>
          <cell r="C354">
            <v>0</v>
          </cell>
          <cell r="D354">
            <v>0</v>
          </cell>
          <cell r="E354">
            <v>0</v>
          </cell>
          <cell r="F354">
            <v>0</v>
          </cell>
          <cell r="G354">
            <v>0</v>
          </cell>
          <cell r="H354">
            <v>0</v>
          </cell>
          <cell r="I354">
            <v>0</v>
          </cell>
          <cell r="J354">
            <v>0</v>
          </cell>
          <cell r="K354">
            <v>0</v>
          </cell>
          <cell r="L354">
            <v>0</v>
          </cell>
          <cell r="M354">
            <v>0</v>
          </cell>
        </row>
        <row r="355">
          <cell r="A355" t="str">
            <v>BX-PUHM001-OR-M</v>
          </cell>
          <cell r="B355">
            <v>0</v>
          </cell>
          <cell r="C355">
            <v>0</v>
          </cell>
          <cell r="D355">
            <v>0</v>
          </cell>
          <cell r="E355">
            <v>0</v>
          </cell>
          <cell r="F355">
            <v>0</v>
          </cell>
          <cell r="G355">
            <v>0</v>
          </cell>
          <cell r="H355">
            <v>0</v>
          </cell>
          <cell r="I355">
            <v>0</v>
          </cell>
          <cell r="J355">
            <v>0</v>
          </cell>
          <cell r="K355">
            <v>0</v>
          </cell>
          <cell r="L355">
            <v>0</v>
          </cell>
          <cell r="M355">
            <v>0</v>
          </cell>
        </row>
        <row r="356">
          <cell r="A356" t="str">
            <v>BX-PUHM001-OR-S</v>
          </cell>
          <cell r="B356">
            <v>0</v>
          </cell>
          <cell r="C356">
            <v>0</v>
          </cell>
          <cell r="D356">
            <v>0</v>
          </cell>
          <cell r="E356">
            <v>0</v>
          </cell>
          <cell r="F356">
            <v>0</v>
          </cell>
          <cell r="G356">
            <v>0</v>
          </cell>
          <cell r="H356">
            <v>0</v>
          </cell>
          <cell r="I356">
            <v>0</v>
          </cell>
          <cell r="J356">
            <v>0</v>
          </cell>
          <cell r="K356">
            <v>0</v>
          </cell>
          <cell r="L356">
            <v>0</v>
          </cell>
          <cell r="M356">
            <v>0</v>
          </cell>
        </row>
        <row r="357">
          <cell r="A357" t="str">
            <v>BX-PUHM001-OR-XL</v>
          </cell>
          <cell r="B357">
            <v>0</v>
          </cell>
          <cell r="C357">
            <v>0</v>
          </cell>
          <cell r="D357">
            <v>0</v>
          </cell>
          <cell r="E357">
            <v>0</v>
          </cell>
          <cell r="F357">
            <v>0</v>
          </cell>
          <cell r="G357">
            <v>0</v>
          </cell>
          <cell r="H357">
            <v>0</v>
          </cell>
          <cell r="I357">
            <v>0</v>
          </cell>
          <cell r="J357">
            <v>0</v>
          </cell>
          <cell r="K357">
            <v>0</v>
          </cell>
          <cell r="L357">
            <v>0</v>
          </cell>
          <cell r="M357">
            <v>0</v>
          </cell>
        </row>
        <row r="358">
          <cell r="A358" t="str">
            <v>BX-PUHM001-OR-XS</v>
          </cell>
          <cell r="B358">
            <v>0</v>
          </cell>
          <cell r="C358">
            <v>0</v>
          </cell>
          <cell r="D358">
            <v>0</v>
          </cell>
          <cell r="E358">
            <v>0</v>
          </cell>
          <cell r="F358">
            <v>0</v>
          </cell>
          <cell r="G358">
            <v>0</v>
          </cell>
          <cell r="H358">
            <v>0</v>
          </cell>
          <cell r="I358">
            <v>0</v>
          </cell>
          <cell r="J358">
            <v>0</v>
          </cell>
          <cell r="K358">
            <v>0</v>
          </cell>
          <cell r="L358">
            <v>0</v>
          </cell>
          <cell r="M358">
            <v>0</v>
          </cell>
        </row>
        <row r="359">
          <cell r="A359" t="str">
            <v>BX-PUHM001-R0-L</v>
          </cell>
          <cell r="B359">
            <v>0</v>
          </cell>
          <cell r="C359">
            <v>0</v>
          </cell>
          <cell r="D359">
            <v>0</v>
          </cell>
          <cell r="E359">
            <v>0</v>
          </cell>
          <cell r="F359">
            <v>0</v>
          </cell>
          <cell r="G359">
            <v>0</v>
          </cell>
          <cell r="H359">
            <v>0</v>
          </cell>
          <cell r="I359">
            <v>0</v>
          </cell>
          <cell r="J359">
            <v>0</v>
          </cell>
          <cell r="K359">
            <v>0</v>
          </cell>
          <cell r="L359">
            <v>0</v>
          </cell>
          <cell r="M359">
            <v>0</v>
          </cell>
        </row>
        <row r="360">
          <cell r="A360" t="str">
            <v>BX-PUHM001-R0-M</v>
          </cell>
          <cell r="B360">
            <v>0</v>
          </cell>
          <cell r="C360">
            <v>0</v>
          </cell>
          <cell r="D360">
            <v>0</v>
          </cell>
          <cell r="E360">
            <v>0</v>
          </cell>
          <cell r="F360">
            <v>0</v>
          </cell>
          <cell r="G360">
            <v>0</v>
          </cell>
          <cell r="H360">
            <v>0</v>
          </cell>
          <cell r="I360">
            <v>0</v>
          </cell>
          <cell r="J360">
            <v>0</v>
          </cell>
          <cell r="K360">
            <v>0</v>
          </cell>
          <cell r="L360">
            <v>0</v>
          </cell>
          <cell r="M360">
            <v>0</v>
          </cell>
        </row>
        <row r="361">
          <cell r="A361" t="str">
            <v>BX-PUHM001-R0-S</v>
          </cell>
          <cell r="B361">
            <v>0</v>
          </cell>
          <cell r="C361">
            <v>0</v>
          </cell>
          <cell r="D361">
            <v>0</v>
          </cell>
          <cell r="E361">
            <v>0</v>
          </cell>
          <cell r="F361">
            <v>0</v>
          </cell>
          <cell r="G361">
            <v>0</v>
          </cell>
          <cell r="H361">
            <v>0</v>
          </cell>
          <cell r="I361">
            <v>0</v>
          </cell>
          <cell r="J361">
            <v>0</v>
          </cell>
          <cell r="K361">
            <v>0</v>
          </cell>
          <cell r="L361">
            <v>0</v>
          </cell>
          <cell r="M361">
            <v>0</v>
          </cell>
        </row>
        <row r="362">
          <cell r="A362" t="str">
            <v>BX-PUHM001-R0-XL</v>
          </cell>
          <cell r="B362">
            <v>0</v>
          </cell>
          <cell r="C362">
            <v>0</v>
          </cell>
          <cell r="D362">
            <v>0</v>
          </cell>
          <cell r="E362">
            <v>0</v>
          </cell>
          <cell r="F362">
            <v>0</v>
          </cell>
          <cell r="G362">
            <v>0</v>
          </cell>
          <cell r="H362">
            <v>0</v>
          </cell>
          <cell r="I362">
            <v>0</v>
          </cell>
          <cell r="J362">
            <v>0</v>
          </cell>
          <cell r="K362">
            <v>0</v>
          </cell>
          <cell r="L362">
            <v>0</v>
          </cell>
          <cell r="M362">
            <v>0</v>
          </cell>
        </row>
        <row r="363">
          <cell r="A363" t="str">
            <v>BX-PUHM001-R0-XS</v>
          </cell>
          <cell r="B363">
            <v>0</v>
          </cell>
          <cell r="C363">
            <v>0</v>
          </cell>
          <cell r="D363">
            <v>0</v>
          </cell>
          <cell r="E363">
            <v>0</v>
          </cell>
          <cell r="F363">
            <v>0</v>
          </cell>
          <cell r="G363">
            <v>0</v>
          </cell>
          <cell r="H363">
            <v>0</v>
          </cell>
          <cell r="I363">
            <v>0</v>
          </cell>
          <cell r="J363">
            <v>0</v>
          </cell>
          <cell r="K363">
            <v>0</v>
          </cell>
          <cell r="L363">
            <v>0</v>
          </cell>
          <cell r="M363">
            <v>0</v>
          </cell>
        </row>
        <row r="364">
          <cell r="A364" t="str">
            <v>CWB-PUHM021-CH-L</v>
          </cell>
          <cell r="B364">
            <v>0</v>
          </cell>
          <cell r="C364">
            <v>0</v>
          </cell>
          <cell r="D364">
            <v>0</v>
          </cell>
          <cell r="E364">
            <v>0</v>
          </cell>
          <cell r="F364">
            <v>0</v>
          </cell>
          <cell r="G364">
            <v>0</v>
          </cell>
          <cell r="H364">
            <v>0</v>
          </cell>
          <cell r="I364">
            <v>0</v>
          </cell>
          <cell r="J364">
            <v>0</v>
          </cell>
          <cell r="K364">
            <v>0</v>
          </cell>
          <cell r="L364">
            <v>0</v>
          </cell>
          <cell r="M364">
            <v>0</v>
          </cell>
        </row>
        <row r="365">
          <cell r="A365" t="str">
            <v>CWB-PUHM021-CH-M</v>
          </cell>
          <cell r="B365">
            <v>0</v>
          </cell>
          <cell r="C365">
            <v>0</v>
          </cell>
          <cell r="D365">
            <v>0</v>
          </cell>
          <cell r="E365">
            <v>0</v>
          </cell>
          <cell r="F365">
            <v>0</v>
          </cell>
          <cell r="G365">
            <v>0</v>
          </cell>
          <cell r="H365">
            <v>0</v>
          </cell>
          <cell r="I365">
            <v>0</v>
          </cell>
          <cell r="J365">
            <v>0</v>
          </cell>
          <cell r="K365">
            <v>0</v>
          </cell>
          <cell r="L365">
            <v>0</v>
          </cell>
          <cell r="M365">
            <v>0</v>
          </cell>
        </row>
        <row r="366">
          <cell r="A366" t="str">
            <v>CWB-PUHM021-CH-S</v>
          </cell>
          <cell r="B366">
            <v>0</v>
          </cell>
          <cell r="C366">
            <v>0</v>
          </cell>
          <cell r="D366">
            <v>0</v>
          </cell>
          <cell r="E366">
            <v>0</v>
          </cell>
          <cell r="F366">
            <v>0</v>
          </cell>
          <cell r="G366">
            <v>0</v>
          </cell>
          <cell r="H366">
            <v>0</v>
          </cell>
          <cell r="I366">
            <v>0</v>
          </cell>
          <cell r="J366">
            <v>0</v>
          </cell>
          <cell r="K366">
            <v>0</v>
          </cell>
          <cell r="L366">
            <v>0</v>
          </cell>
          <cell r="M366">
            <v>0</v>
          </cell>
        </row>
        <row r="367">
          <cell r="A367" t="str">
            <v>CWB-PUHM021-CH-XL</v>
          </cell>
          <cell r="B367">
            <v>0</v>
          </cell>
          <cell r="C367">
            <v>0</v>
          </cell>
          <cell r="D367">
            <v>0</v>
          </cell>
          <cell r="E367">
            <v>0</v>
          </cell>
          <cell r="F367">
            <v>0</v>
          </cell>
          <cell r="G367">
            <v>0</v>
          </cell>
          <cell r="H367">
            <v>0</v>
          </cell>
          <cell r="I367">
            <v>0</v>
          </cell>
          <cell r="J367">
            <v>0</v>
          </cell>
          <cell r="K367">
            <v>0</v>
          </cell>
          <cell r="L367">
            <v>0</v>
          </cell>
          <cell r="M367">
            <v>0</v>
          </cell>
        </row>
        <row r="368">
          <cell r="A368" t="str">
            <v>CWB-PUHM021-MC-L</v>
          </cell>
          <cell r="B368">
            <v>0</v>
          </cell>
          <cell r="C368">
            <v>0</v>
          </cell>
          <cell r="D368">
            <v>0</v>
          </cell>
          <cell r="E368">
            <v>0</v>
          </cell>
          <cell r="F368">
            <v>0</v>
          </cell>
          <cell r="G368">
            <v>0</v>
          </cell>
          <cell r="H368">
            <v>0</v>
          </cell>
          <cell r="I368">
            <v>0</v>
          </cell>
          <cell r="J368">
            <v>0</v>
          </cell>
          <cell r="K368">
            <v>0</v>
          </cell>
          <cell r="L368">
            <v>0</v>
          </cell>
          <cell r="M368">
            <v>0</v>
          </cell>
        </row>
        <row r="369">
          <cell r="A369" t="str">
            <v>CWB-PUHM021-MC-M</v>
          </cell>
          <cell r="B369">
            <v>0</v>
          </cell>
          <cell r="C369">
            <v>0</v>
          </cell>
          <cell r="D369">
            <v>0</v>
          </cell>
          <cell r="E369">
            <v>0</v>
          </cell>
          <cell r="F369">
            <v>0</v>
          </cell>
          <cell r="G369">
            <v>0</v>
          </cell>
          <cell r="H369">
            <v>0</v>
          </cell>
          <cell r="I369">
            <v>0</v>
          </cell>
          <cell r="J369">
            <v>0</v>
          </cell>
          <cell r="K369">
            <v>0</v>
          </cell>
          <cell r="L369">
            <v>0</v>
          </cell>
          <cell r="M369">
            <v>0</v>
          </cell>
        </row>
        <row r="370">
          <cell r="A370" t="str">
            <v>CWB-PUHM021-MC-S</v>
          </cell>
          <cell r="B370">
            <v>0</v>
          </cell>
          <cell r="C370">
            <v>0</v>
          </cell>
          <cell r="D370">
            <v>0</v>
          </cell>
          <cell r="E370">
            <v>0</v>
          </cell>
          <cell r="F370">
            <v>0</v>
          </cell>
          <cell r="G370">
            <v>0</v>
          </cell>
          <cell r="H370">
            <v>0</v>
          </cell>
          <cell r="I370">
            <v>0</v>
          </cell>
          <cell r="J370">
            <v>0</v>
          </cell>
          <cell r="K370">
            <v>0</v>
          </cell>
          <cell r="L370">
            <v>0</v>
          </cell>
          <cell r="M370">
            <v>0</v>
          </cell>
        </row>
        <row r="371">
          <cell r="A371" t="str">
            <v>CWB-PUHM021-MC-XL</v>
          </cell>
          <cell r="B371">
            <v>0</v>
          </cell>
          <cell r="C371">
            <v>0</v>
          </cell>
          <cell r="D371">
            <v>0</v>
          </cell>
          <cell r="E371">
            <v>0</v>
          </cell>
          <cell r="F371">
            <v>0</v>
          </cell>
          <cell r="G371">
            <v>0</v>
          </cell>
          <cell r="H371">
            <v>0</v>
          </cell>
          <cell r="I371">
            <v>0</v>
          </cell>
          <cell r="J371">
            <v>0</v>
          </cell>
          <cell r="K371">
            <v>0</v>
          </cell>
          <cell r="L371">
            <v>0</v>
          </cell>
          <cell r="M371">
            <v>0</v>
          </cell>
        </row>
        <row r="372">
          <cell r="A372" t="str">
            <v>CWB-PUHM021-TW-L</v>
          </cell>
          <cell r="B372">
            <v>0</v>
          </cell>
          <cell r="C372">
            <v>0</v>
          </cell>
          <cell r="D372">
            <v>0</v>
          </cell>
          <cell r="E372">
            <v>0</v>
          </cell>
          <cell r="F372">
            <v>0</v>
          </cell>
          <cell r="G372">
            <v>0</v>
          </cell>
          <cell r="H372">
            <v>0</v>
          </cell>
          <cell r="I372">
            <v>0</v>
          </cell>
          <cell r="J372">
            <v>0</v>
          </cell>
          <cell r="K372">
            <v>0</v>
          </cell>
          <cell r="L372">
            <v>0</v>
          </cell>
          <cell r="M372">
            <v>0</v>
          </cell>
        </row>
        <row r="373">
          <cell r="A373" t="str">
            <v>CWB-PUHM021-TW-M</v>
          </cell>
          <cell r="B373">
            <v>0</v>
          </cell>
          <cell r="C373">
            <v>0</v>
          </cell>
          <cell r="D373">
            <v>0</v>
          </cell>
          <cell r="E373">
            <v>0</v>
          </cell>
          <cell r="F373">
            <v>0</v>
          </cell>
          <cell r="G373">
            <v>0</v>
          </cell>
          <cell r="H373">
            <v>0</v>
          </cell>
          <cell r="I373">
            <v>0</v>
          </cell>
          <cell r="J373">
            <v>0</v>
          </cell>
          <cell r="K373">
            <v>0</v>
          </cell>
          <cell r="L373">
            <v>0</v>
          </cell>
          <cell r="M373">
            <v>0</v>
          </cell>
        </row>
        <row r="374">
          <cell r="A374" t="str">
            <v>CWB-PUHM021-TW-S</v>
          </cell>
          <cell r="B374">
            <v>0</v>
          </cell>
          <cell r="C374">
            <v>0</v>
          </cell>
          <cell r="D374">
            <v>0</v>
          </cell>
          <cell r="E374">
            <v>0</v>
          </cell>
          <cell r="F374">
            <v>0</v>
          </cell>
          <cell r="G374">
            <v>0</v>
          </cell>
          <cell r="H374">
            <v>0</v>
          </cell>
          <cell r="I374">
            <v>0</v>
          </cell>
          <cell r="J374">
            <v>0</v>
          </cell>
          <cell r="K374">
            <v>0</v>
          </cell>
          <cell r="L374">
            <v>0</v>
          </cell>
          <cell r="M374">
            <v>0</v>
          </cell>
        </row>
        <row r="375">
          <cell r="A375" t="str">
            <v>CWB-PUHM021-TW-XL</v>
          </cell>
          <cell r="B375">
            <v>0</v>
          </cell>
          <cell r="C375">
            <v>0</v>
          </cell>
          <cell r="D375">
            <v>0</v>
          </cell>
          <cell r="E375">
            <v>0</v>
          </cell>
          <cell r="F375">
            <v>0</v>
          </cell>
          <cell r="G375">
            <v>0</v>
          </cell>
          <cell r="H375">
            <v>0</v>
          </cell>
          <cell r="I375">
            <v>0</v>
          </cell>
          <cell r="J375">
            <v>0</v>
          </cell>
          <cell r="K375">
            <v>0</v>
          </cell>
          <cell r="L375">
            <v>0</v>
          </cell>
          <cell r="M375">
            <v>0</v>
          </cell>
        </row>
        <row r="376">
          <cell r="A376" t="str">
            <v>CWDZ-IULHY-BONE-KK-L</v>
          </cell>
          <cell r="B376">
            <v>0</v>
          </cell>
          <cell r="C376">
            <v>0</v>
          </cell>
          <cell r="D376">
            <v>0</v>
          </cell>
          <cell r="E376">
            <v>0</v>
          </cell>
          <cell r="F376">
            <v>0</v>
          </cell>
          <cell r="G376">
            <v>0</v>
          </cell>
          <cell r="H376">
            <v>0</v>
          </cell>
          <cell r="I376">
            <v>0</v>
          </cell>
          <cell r="J376">
            <v>0</v>
          </cell>
          <cell r="K376">
            <v>0</v>
          </cell>
          <cell r="L376">
            <v>0</v>
          </cell>
          <cell r="M376">
            <v>0</v>
          </cell>
        </row>
        <row r="377">
          <cell r="A377" t="str">
            <v>CWDZ-IULHY-BONE-KK-M</v>
          </cell>
          <cell r="B377">
            <v>0</v>
          </cell>
          <cell r="C377">
            <v>0</v>
          </cell>
          <cell r="D377">
            <v>0</v>
          </cell>
          <cell r="E377">
            <v>0</v>
          </cell>
          <cell r="F377">
            <v>0</v>
          </cell>
          <cell r="G377">
            <v>0</v>
          </cell>
          <cell r="H377">
            <v>0</v>
          </cell>
          <cell r="I377">
            <v>0</v>
          </cell>
          <cell r="J377">
            <v>0</v>
          </cell>
          <cell r="K377">
            <v>0</v>
          </cell>
          <cell r="L377">
            <v>0</v>
          </cell>
          <cell r="M377">
            <v>0</v>
          </cell>
        </row>
        <row r="378">
          <cell r="A378" t="str">
            <v>CWDZ-IULHY-BONE-KK-XL</v>
          </cell>
          <cell r="B378">
            <v>0</v>
          </cell>
          <cell r="C378">
            <v>0</v>
          </cell>
          <cell r="D378">
            <v>0</v>
          </cell>
          <cell r="E378">
            <v>0</v>
          </cell>
          <cell r="F378">
            <v>0</v>
          </cell>
          <cell r="G378">
            <v>0</v>
          </cell>
          <cell r="H378">
            <v>0</v>
          </cell>
          <cell r="I378">
            <v>0</v>
          </cell>
          <cell r="J378">
            <v>0</v>
          </cell>
          <cell r="K378">
            <v>0</v>
          </cell>
          <cell r="L378">
            <v>0</v>
          </cell>
          <cell r="M378">
            <v>0</v>
          </cell>
        </row>
        <row r="379">
          <cell r="A379" t="str">
            <v>CWDZ-IULHY-BONE-PK-L</v>
          </cell>
          <cell r="B379">
            <v>0</v>
          </cell>
          <cell r="C379">
            <v>0</v>
          </cell>
          <cell r="D379">
            <v>0</v>
          </cell>
          <cell r="E379">
            <v>0</v>
          </cell>
          <cell r="F379">
            <v>0</v>
          </cell>
          <cell r="G379">
            <v>0</v>
          </cell>
          <cell r="H379">
            <v>0</v>
          </cell>
          <cell r="I379">
            <v>0</v>
          </cell>
          <cell r="J379">
            <v>0</v>
          </cell>
          <cell r="K379">
            <v>0</v>
          </cell>
          <cell r="L379">
            <v>0</v>
          </cell>
          <cell r="M379">
            <v>0</v>
          </cell>
        </row>
        <row r="380">
          <cell r="A380" t="str">
            <v>CWDZ-IULHY-BONE-PK-M</v>
          </cell>
          <cell r="B380">
            <v>0</v>
          </cell>
          <cell r="C380">
            <v>0</v>
          </cell>
          <cell r="D380">
            <v>0</v>
          </cell>
          <cell r="E380">
            <v>0</v>
          </cell>
          <cell r="F380">
            <v>0</v>
          </cell>
          <cell r="G380">
            <v>0</v>
          </cell>
          <cell r="H380">
            <v>0</v>
          </cell>
          <cell r="I380">
            <v>0</v>
          </cell>
          <cell r="J380">
            <v>0</v>
          </cell>
          <cell r="K380">
            <v>0</v>
          </cell>
          <cell r="L380">
            <v>0</v>
          </cell>
          <cell r="M380">
            <v>0</v>
          </cell>
        </row>
        <row r="381">
          <cell r="A381" t="str">
            <v>CWDZ-IULHY-BONE-PK-XL</v>
          </cell>
          <cell r="B381">
            <v>0</v>
          </cell>
          <cell r="C381">
            <v>0</v>
          </cell>
          <cell r="D381">
            <v>0</v>
          </cell>
          <cell r="E381">
            <v>0</v>
          </cell>
          <cell r="F381">
            <v>0</v>
          </cell>
          <cell r="G381">
            <v>0</v>
          </cell>
          <cell r="H381">
            <v>0</v>
          </cell>
          <cell r="I381">
            <v>0</v>
          </cell>
          <cell r="J381">
            <v>0</v>
          </cell>
          <cell r="K381">
            <v>0</v>
          </cell>
          <cell r="L381">
            <v>0</v>
          </cell>
          <cell r="M381">
            <v>0</v>
          </cell>
        </row>
        <row r="382">
          <cell r="A382" t="str">
            <v>CWDZ-IULHY-BONE-PP-L</v>
          </cell>
          <cell r="B382">
            <v>0</v>
          </cell>
          <cell r="C382">
            <v>0</v>
          </cell>
          <cell r="D382">
            <v>0</v>
          </cell>
          <cell r="E382">
            <v>0</v>
          </cell>
          <cell r="F382">
            <v>0</v>
          </cell>
          <cell r="G382">
            <v>0</v>
          </cell>
          <cell r="H382">
            <v>0</v>
          </cell>
          <cell r="I382">
            <v>0</v>
          </cell>
          <cell r="J382">
            <v>0</v>
          </cell>
          <cell r="K382">
            <v>0</v>
          </cell>
          <cell r="L382">
            <v>0</v>
          </cell>
          <cell r="M382">
            <v>0</v>
          </cell>
        </row>
        <row r="383">
          <cell r="A383" t="str">
            <v>CWDZ-IULHY-BONE-PP-M</v>
          </cell>
          <cell r="B383">
            <v>0</v>
          </cell>
          <cell r="C383">
            <v>0</v>
          </cell>
          <cell r="D383">
            <v>0</v>
          </cell>
          <cell r="E383">
            <v>0</v>
          </cell>
          <cell r="F383">
            <v>0</v>
          </cell>
          <cell r="G383">
            <v>0</v>
          </cell>
          <cell r="H383">
            <v>0</v>
          </cell>
          <cell r="I383">
            <v>0</v>
          </cell>
          <cell r="J383">
            <v>0</v>
          </cell>
          <cell r="K383">
            <v>0</v>
          </cell>
          <cell r="L383">
            <v>0</v>
          </cell>
          <cell r="M383">
            <v>0</v>
          </cell>
        </row>
        <row r="384">
          <cell r="A384" t="str">
            <v>CWDZ-IULHY-BONE-PP-XL</v>
          </cell>
          <cell r="B384">
            <v>0</v>
          </cell>
          <cell r="C384">
            <v>0</v>
          </cell>
          <cell r="D384">
            <v>0</v>
          </cell>
          <cell r="E384">
            <v>0</v>
          </cell>
          <cell r="F384">
            <v>0</v>
          </cell>
          <cell r="G384">
            <v>0</v>
          </cell>
          <cell r="H384">
            <v>0</v>
          </cell>
          <cell r="I384">
            <v>0</v>
          </cell>
          <cell r="J384">
            <v>0</v>
          </cell>
          <cell r="K384">
            <v>0</v>
          </cell>
          <cell r="L384">
            <v>0</v>
          </cell>
          <cell r="M384">
            <v>0</v>
          </cell>
        </row>
        <row r="385">
          <cell r="A385" t="str">
            <v>CWDZ-IULHY-DOT-BL-L</v>
          </cell>
          <cell r="B385">
            <v>0</v>
          </cell>
          <cell r="C385">
            <v>0</v>
          </cell>
          <cell r="D385">
            <v>0</v>
          </cell>
          <cell r="E385">
            <v>0</v>
          </cell>
          <cell r="F385">
            <v>0</v>
          </cell>
          <cell r="G385">
            <v>0</v>
          </cell>
          <cell r="H385">
            <v>0</v>
          </cell>
          <cell r="I385">
            <v>0</v>
          </cell>
          <cell r="J385">
            <v>0</v>
          </cell>
          <cell r="K385">
            <v>0</v>
          </cell>
          <cell r="L385">
            <v>0</v>
          </cell>
          <cell r="M385">
            <v>0</v>
          </cell>
        </row>
        <row r="386">
          <cell r="A386" t="str">
            <v>CWDZ-IULHY-DOT-BL-M</v>
          </cell>
          <cell r="B386">
            <v>0</v>
          </cell>
          <cell r="C386">
            <v>0</v>
          </cell>
          <cell r="D386">
            <v>0</v>
          </cell>
          <cell r="E386">
            <v>0</v>
          </cell>
          <cell r="F386">
            <v>0</v>
          </cell>
          <cell r="G386">
            <v>0</v>
          </cell>
          <cell r="H386">
            <v>0</v>
          </cell>
          <cell r="I386">
            <v>0</v>
          </cell>
          <cell r="J386">
            <v>0</v>
          </cell>
          <cell r="K386">
            <v>0</v>
          </cell>
          <cell r="L386">
            <v>0</v>
          </cell>
          <cell r="M386">
            <v>0</v>
          </cell>
        </row>
        <row r="387">
          <cell r="A387" t="str">
            <v>CWDZ-IULHY-DOT-BL-XL</v>
          </cell>
          <cell r="B387">
            <v>0</v>
          </cell>
          <cell r="C387">
            <v>0</v>
          </cell>
          <cell r="D387">
            <v>0</v>
          </cell>
          <cell r="E387">
            <v>0</v>
          </cell>
          <cell r="F387">
            <v>0</v>
          </cell>
          <cell r="G387">
            <v>0</v>
          </cell>
          <cell r="H387">
            <v>0</v>
          </cell>
          <cell r="I387">
            <v>0</v>
          </cell>
          <cell r="J387">
            <v>0</v>
          </cell>
          <cell r="K387">
            <v>0</v>
          </cell>
          <cell r="L387">
            <v>0</v>
          </cell>
          <cell r="M387">
            <v>0</v>
          </cell>
        </row>
        <row r="388">
          <cell r="A388" t="str">
            <v>CWDZ-IULHY-DOT-NY-L</v>
          </cell>
          <cell r="B388">
            <v>0</v>
          </cell>
          <cell r="C388">
            <v>0</v>
          </cell>
          <cell r="D388">
            <v>0</v>
          </cell>
          <cell r="E388">
            <v>0</v>
          </cell>
          <cell r="F388">
            <v>0</v>
          </cell>
          <cell r="G388">
            <v>0</v>
          </cell>
          <cell r="H388">
            <v>0</v>
          </cell>
          <cell r="I388">
            <v>0</v>
          </cell>
          <cell r="J388">
            <v>0</v>
          </cell>
          <cell r="K388">
            <v>0</v>
          </cell>
          <cell r="L388">
            <v>0</v>
          </cell>
          <cell r="M388">
            <v>0</v>
          </cell>
        </row>
        <row r="389">
          <cell r="A389" t="str">
            <v>CWDZ-IULHY-DOT-NY-M</v>
          </cell>
          <cell r="B389">
            <v>0</v>
          </cell>
          <cell r="C389">
            <v>0</v>
          </cell>
          <cell r="D389">
            <v>0</v>
          </cell>
          <cell r="E389">
            <v>0</v>
          </cell>
          <cell r="F389">
            <v>0</v>
          </cell>
          <cell r="G389">
            <v>0</v>
          </cell>
          <cell r="H389">
            <v>0</v>
          </cell>
          <cell r="I389">
            <v>0</v>
          </cell>
          <cell r="J389">
            <v>0</v>
          </cell>
          <cell r="K389">
            <v>0</v>
          </cell>
          <cell r="L389">
            <v>0</v>
          </cell>
          <cell r="M389">
            <v>0</v>
          </cell>
        </row>
        <row r="390">
          <cell r="A390" t="str">
            <v>CWDZ-IULHY-DOT-NY-XL</v>
          </cell>
          <cell r="B390">
            <v>0</v>
          </cell>
          <cell r="C390">
            <v>0</v>
          </cell>
          <cell r="D390">
            <v>0</v>
          </cell>
          <cell r="E390">
            <v>0</v>
          </cell>
          <cell r="F390">
            <v>0</v>
          </cell>
          <cell r="G390">
            <v>0</v>
          </cell>
          <cell r="H390">
            <v>0</v>
          </cell>
          <cell r="I390">
            <v>0</v>
          </cell>
          <cell r="J390">
            <v>0</v>
          </cell>
          <cell r="K390">
            <v>0</v>
          </cell>
          <cell r="L390">
            <v>0</v>
          </cell>
          <cell r="M390">
            <v>0</v>
          </cell>
        </row>
        <row r="391">
          <cell r="A391" t="str">
            <v>CWDZ-IULHY-DOT-PP-L</v>
          </cell>
          <cell r="B391">
            <v>0</v>
          </cell>
          <cell r="C391">
            <v>0</v>
          </cell>
          <cell r="D391">
            <v>0</v>
          </cell>
          <cell r="E391">
            <v>0</v>
          </cell>
          <cell r="F391">
            <v>0</v>
          </cell>
          <cell r="G391">
            <v>0</v>
          </cell>
          <cell r="H391">
            <v>0</v>
          </cell>
          <cell r="I391">
            <v>0</v>
          </cell>
          <cell r="J391">
            <v>0</v>
          </cell>
          <cell r="K391">
            <v>0</v>
          </cell>
          <cell r="L391">
            <v>0</v>
          </cell>
          <cell r="M391">
            <v>0</v>
          </cell>
        </row>
        <row r="392">
          <cell r="A392" t="str">
            <v>CWDZ-IULHY-DOT-PP-M</v>
          </cell>
          <cell r="B392">
            <v>0</v>
          </cell>
          <cell r="C392">
            <v>0</v>
          </cell>
          <cell r="D392">
            <v>0</v>
          </cell>
          <cell r="E392">
            <v>0</v>
          </cell>
          <cell r="F392">
            <v>0</v>
          </cell>
          <cell r="G392">
            <v>0</v>
          </cell>
          <cell r="H392">
            <v>0</v>
          </cell>
          <cell r="I392">
            <v>0</v>
          </cell>
          <cell r="J392">
            <v>0</v>
          </cell>
          <cell r="K392">
            <v>0</v>
          </cell>
          <cell r="L392">
            <v>0</v>
          </cell>
          <cell r="M392">
            <v>0</v>
          </cell>
        </row>
        <row r="393">
          <cell r="A393" t="str">
            <v>CWDZ-IULHY-DOT-PP-XL</v>
          </cell>
          <cell r="B393">
            <v>0</v>
          </cell>
          <cell r="C393">
            <v>0</v>
          </cell>
          <cell r="D393">
            <v>0</v>
          </cell>
          <cell r="E393">
            <v>0</v>
          </cell>
          <cell r="F393">
            <v>0</v>
          </cell>
          <cell r="G393">
            <v>0</v>
          </cell>
          <cell r="H393">
            <v>0</v>
          </cell>
          <cell r="I393">
            <v>0</v>
          </cell>
          <cell r="J393">
            <v>0</v>
          </cell>
          <cell r="K393">
            <v>0</v>
          </cell>
          <cell r="L393">
            <v>0</v>
          </cell>
          <cell r="M393">
            <v>0</v>
          </cell>
        </row>
        <row r="394">
          <cell r="A394" t="str">
            <v>CWDZ-IULHY-DOT2-CF-L</v>
          </cell>
          <cell r="B394">
            <v>0</v>
          </cell>
          <cell r="C394">
            <v>0</v>
          </cell>
          <cell r="D394">
            <v>0</v>
          </cell>
          <cell r="E394">
            <v>0</v>
          </cell>
          <cell r="F394">
            <v>0</v>
          </cell>
          <cell r="G394">
            <v>0</v>
          </cell>
          <cell r="H394">
            <v>0</v>
          </cell>
          <cell r="I394">
            <v>0</v>
          </cell>
          <cell r="J394">
            <v>0</v>
          </cell>
          <cell r="K394">
            <v>0</v>
          </cell>
          <cell r="L394">
            <v>0</v>
          </cell>
          <cell r="M394">
            <v>0</v>
          </cell>
        </row>
        <row r="395">
          <cell r="A395" t="str">
            <v>CWDZ-IULHY-DOT2-CF-M</v>
          </cell>
          <cell r="B395">
            <v>0</v>
          </cell>
          <cell r="C395">
            <v>0</v>
          </cell>
          <cell r="D395">
            <v>0</v>
          </cell>
          <cell r="E395">
            <v>0</v>
          </cell>
          <cell r="F395">
            <v>0</v>
          </cell>
          <cell r="G395">
            <v>0</v>
          </cell>
          <cell r="H395">
            <v>0</v>
          </cell>
          <cell r="I395">
            <v>0</v>
          </cell>
          <cell r="J395">
            <v>0</v>
          </cell>
          <cell r="K395">
            <v>0</v>
          </cell>
          <cell r="L395">
            <v>0</v>
          </cell>
          <cell r="M395">
            <v>0</v>
          </cell>
        </row>
        <row r="396">
          <cell r="A396" t="str">
            <v>CWDZ-IULHY-DOT2-CF-XL</v>
          </cell>
          <cell r="B396">
            <v>0</v>
          </cell>
          <cell r="C396">
            <v>0</v>
          </cell>
          <cell r="D396">
            <v>0</v>
          </cell>
          <cell r="E396">
            <v>0</v>
          </cell>
          <cell r="F396">
            <v>0</v>
          </cell>
          <cell r="G396">
            <v>0</v>
          </cell>
          <cell r="H396">
            <v>0</v>
          </cell>
          <cell r="I396">
            <v>0</v>
          </cell>
          <cell r="J396">
            <v>0</v>
          </cell>
          <cell r="K396">
            <v>0</v>
          </cell>
          <cell r="L396">
            <v>0</v>
          </cell>
          <cell r="M396">
            <v>0</v>
          </cell>
        </row>
        <row r="397">
          <cell r="A397" t="str">
            <v>CWDZ-IULHY-DOT2-PK-L</v>
          </cell>
          <cell r="B397">
            <v>0</v>
          </cell>
          <cell r="C397">
            <v>0</v>
          </cell>
          <cell r="D397">
            <v>0</v>
          </cell>
          <cell r="E397">
            <v>0</v>
          </cell>
          <cell r="F397">
            <v>0</v>
          </cell>
          <cell r="G397">
            <v>0</v>
          </cell>
          <cell r="H397">
            <v>0</v>
          </cell>
          <cell r="I397">
            <v>0</v>
          </cell>
          <cell r="J397">
            <v>0</v>
          </cell>
          <cell r="K397">
            <v>0</v>
          </cell>
          <cell r="L397">
            <v>0</v>
          </cell>
          <cell r="M397">
            <v>0</v>
          </cell>
        </row>
        <row r="398">
          <cell r="A398" t="str">
            <v>CWDZ-IULHY-DOT2-PK-M</v>
          </cell>
          <cell r="B398">
            <v>0</v>
          </cell>
          <cell r="C398">
            <v>0</v>
          </cell>
          <cell r="D398">
            <v>0</v>
          </cell>
          <cell r="E398">
            <v>0</v>
          </cell>
          <cell r="F398">
            <v>0</v>
          </cell>
          <cell r="G398">
            <v>0</v>
          </cell>
          <cell r="H398">
            <v>0</v>
          </cell>
          <cell r="I398">
            <v>0</v>
          </cell>
          <cell r="J398">
            <v>0</v>
          </cell>
          <cell r="K398">
            <v>0</v>
          </cell>
          <cell r="L398">
            <v>0</v>
          </cell>
          <cell r="M398">
            <v>0</v>
          </cell>
        </row>
        <row r="399">
          <cell r="A399" t="str">
            <v>CWDZ-IULHY-DOT2-PK-XL</v>
          </cell>
          <cell r="B399">
            <v>0</v>
          </cell>
          <cell r="C399">
            <v>0</v>
          </cell>
          <cell r="D399">
            <v>0</v>
          </cell>
          <cell r="E399">
            <v>0</v>
          </cell>
          <cell r="F399">
            <v>0</v>
          </cell>
          <cell r="G399">
            <v>0</v>
          </cell>
          <cell r="H399">
            <v>0</v>
          </cell>
          <cell r="I399">
            <v>0</v>
          </cell>
          <cell r="J399">
            <v>0</v>
          </cell>
          <cell r="K399">
            <v>0</v>
          </cell>
          <cell r="L399">
            <v>0</v>
          </cell>
          <cell r="M399">
            <v>0</v>
          </cell>
        </row>
        <row r="400">
          <cell r="A400" t="str">
            <v>CWDZ-IULHY-DOT2-WT-L</v>
          </cell>
          <cell r="B400">
            <v>0</v>
          </cell>
          <cell r="C400">
            <v>0</v>
          </cell>
          <cell r="D400">
            <v>0</v>
          </cell>
          <cell r="E400">
            <v>0</v>
          </cell>
          <cell r="F400">
            <v>0</v>
          </cell>
          <cell r="G400">
            <v>0</v>
          </cell>
          <cell r="H400">
            <v>0</v>
          </cell>
          <cell r="I400">
            <v>0</v>
          </cell>
          <cell r="J400">
            <v>0</v>
          </cell>
          <cell r="K400">
            <v>0</v>
          </cell>
          <cell r="L400">
            <v>0</v>
          </cell>
          <cell r="M400">
            <v>0</v>
          </cell>
        </row>
        <row r="401">
          <cell r="A401" t="str">
            <v>CWDZ-IULHY-DOT2-WT-M</v>
          </cell>
          <cell r="B401">
            <v>0</v>
          </cell>
          <cell r="C401">
            <v>0</v>
          </cell>
          <cell r="D401">
            <v>0</v>
          </cell>
          <cell r="E401">
            <v>0</v>
          </cell>
          <cell r="F401">
            <v>0</v>
          </cell>
          <cell r="G401">
            <v>0</v>
          </cell>
          <cell r="H401">
            <v>0</v>
          </cell>
          <cell r="I401">
            <v>0</v>
          </cell>
          <cell r="J401">
            <v>0</v>
          </cell>
          <cell r="K401">
            <v>0</v>
          </cell>
          <cell r="L401">
            <v>0</v>
          </cell>
          <cell r="M401">
            <v>0</v>
          </cell>
        </row>
        <row r="402">
          <cell r="A402" t="str">
            <v>CWDZ-IULHY-DOT2-WT-XL</v>
          </cell>
          <cell r="B402">
            <v>0</v>
          </cell>
          <cell r="C402">
            <v>0</v>
          </cell>
          <cell r="D402">
            <v>0</v>
          </cell>
          <cell r="E402">
            <v>0</v>
          </cell>
          <cell r="F402">
            <v>0</v>
          </cell>
          <cell r="G402">
            <v>0</v>
          </cell>
          <cell r="H402">
            <v>0</v>
          </cell>
          <cell r="I402">
            <v>0</v>
          </cell>
          <cell r="J402">
            <v>0</v>
          </cell>
          <cell r="K402">
            <v>0</v>
          </cell>
          <cell r="L402">
            <v>0</v>
          </cell>
          <cell r="M402">
            <v>0</v>
          </cell>
        </row>
        <row r="403">
          <cell r="A403" t="str">
            <v>CWDZ-IULHY-ELPH-BL-L</v>
          </cell>
          <cell r="B403">
            <v>0</v>
          </cell>
          <cell r="C403">
            <v>0</v>
          </cell>
          <cell r="D403">
            <v>0</v>
          </cell>
          <cell r="E403">
            <v>0</v>
          </cell>
          <cell r="F403">
            <v>0</v>
          </cell>
          <cell r="G403">
            <v>0</v>
          </cell>
          <cell r="H403">
            <v>0</v>
          </cell>
          <cell r="I403">
            <v>0</v>
          </cell>
          <cell r="J403">
            <v>0</v>
          </cell>
          <cell r="K403">
            <v>0</v>
          </cell>
          <cell r="L403">
            <v>0</v>
          </cell>
          <cell r="M403">
            <v>0</v>
          </cell>
        </row>
        <row r="404">
          <cell r="A404" t="str">
            <v>CWDZ-IULHY-ELPH-BL-M</v>
          </cell>
          <cell r="B404">
            <v>0</v>
          </cell>
          <cell r="C404">
            <v>0</v>
          </cell>
          <cell r="D404">
            <v>0</v>
          </cell>
          <cell r="E404">
            <v>0</v>
          </cell>
          <cell r="F404">
            <v>0</v>
          </cell>
          <cell r="G404">
            <v>0</v>
          </cell>
          <cell r="H404">
            <v>0</v>
          </cell>
          <cell r="I404">
            <v>0</v>
          </cell>
          <cell r="J404">
            <v>0</v>
          </cell>
          <cell r="K404">
            <v>0</v>
          </cell>
          <cell r="L404">
            <v>0</v>
          </cell>
          <cell r="M404">
            <v>0</v>
          </cell>
        </row>
        <row r="405">
          <cell r="A405" t="str">
            <v>CWDZ-IULHY-ELPH-BL-XL</v>
          </cell>
          <cell r="B405">
            <v>0</v>
          </cell>
          <cell r="C405">
            <v>0</v>
          </cell>
          <cell r="D405">
            <v>0</v>
          </cell>
          <cell r="E405">
            <v>0</v>
          </cell>
          <cell r="F405">
            <v>0</v>
          </cell>
          <cell r="G405">
            <v>0</v>
          </cell>
          <cell r="H405">
            <v>0</v>
          </cell>
          <cell r="I405">
            <v>0</v>
          </cell>
          <cell r="J405">
            <v>0</v>
          </cell>
          <cell r="K405">
            <v>0</v>
          </cell>
          <cell r="L405">
            <v>0</v>
          </cell>
          <cell r="M405">
            <v>0</v>
          </cell>
        </row>
        <row r="406">
          <cell r="A406" t="str">
            <v>CWDZ-IULHY-ELPH-PK-L</v>
          </cell>
          <cell r="B406">
            <v>0</v>
          </cell>
          <cell r="C406">
            <v>0</v>
          </cell>
          <cell r="D406">
            <v>0</v>
          </cell>
          <cell r="E406">
            <v>0</v>
          </cell>
          <cell r="F406">
            <v>0</v>
          </cell>
          <cell r="G406">
            <v>0</v>
          </cell>
          <cell r="H406">
            <v>0</v>
          </cell>
          <cell r="I406">
            <v>0</v>
          </cell>
          <cell r="J406">
            <v>0</v>
          </cell>
          <cell r="K406">
            <v>0</v>
          </cell>
          <cell r="L406">
            <v>0</v>
          </cell>
          <cell r="M406">
            <v>0</v>
          </cell>
        </row>
        <row r="407">
          <cell r="A407" t="str">
            <v>CWDZ-IULHY-ELPH-PK-M</v>
          </cell>
          <cell r="B407">
            <v>0</v>
          </cell>
          <cell r="C407">
            <v>0</v>
          </cell>
          <cell r="D407">
            <v>0</v>
          </cell>
          <cell r="E407">
            <v>0</v>
          </cell>
          <cell r="F407">
            <v>0</v>
          </cell>
          <cell r="G407">
            <v>0</v>
          </cell>
          <cell r="H407">
            <v>0</v>
          </cell>
          <cell r="I407">
            <v>0</v>
          </cell>
          <cell r="J407">
            <v>0</v>
          </cell>
          <cell r="K407">
            <v>0</v>
          </cell>
          <cell r="L407">
            <v>0</v>
          </cell>
          <cell r="M407">
            <v>0</v>
          </cell>
        </row>
        <row r="408">
          <cell r="A408" t="str">
            <v>CWDZ-IULHY-ELPH-PK-XL</v>
          </cell>
          <cell r="B408">
            <v>0</v>
          </cell>
          <cell r="C408">
            <v>0</v>
          </cell>
          <cell r="D408">
            <v>0</v>
          </cell>
          <cell r="E408">
            <v>0</v>
          </cell>
          <cell r="F408">
            <v>0</v>
          </cell>
          <cell r="G408">
            <v>0</v>
          </cell>
          <cell r="H408">
            <v>0</v>
          </cell>
          <cell r="I408">
            <v>0</v>
          </cell>
          <cell r="J408">
            <v>0</v>
          </cell>
          <cell r="K408">
            <v>0</v>
          </cell>
          <cell r="L408">
            <v>0</v>
          </cell>
          <cell r="M408">
            <v>0</v>
          </cell>
        </row>
        <row r="409">
          <cell r="A409" t="str">
            <v>CWDZ-IULHY-ELPH-YL-L</v>
          </cell>
          <cell r="B409">
            <v>0</v>
          </cell>
          <cell r="C409">
            <v>0</v>
          </cell>
          <cell r="D409">
            <v>0</v>
          </cell>
          <cell r="E409">
            <v>0</v>
          </cell>
          <cell r="F409">
            <v>0</v>
          </cell>
          <cell r="G409">
            <v>0</v>
          </cell>
          <cell r="H409">
            <v>0</v>
          </cell>
          <cell r="I409">
            <v>0</v>
          </cell>
          <cell r="J409">
            <v>0</v>
          </cell>
          <cell r="K409">
            <v>0</v>
          </cell>
          <cell r="L409">
            <v>0</v>
          </cell>
          <cell r="M409">
            <v>0</v>
          </cell>
        </row>
        <row r="410">
          <cell r="A410" t="str">
            <v>CWDZ-IULHY-ELPH-YL-M</v>
          </cell>
          <cell r="B410">
            <v>0</v>
          </cell>
          <cell r="C410">
            <v>0</v>
          </cell>
          <cell r="D410">
            <v>0</v>
          </cell>
          <cell r="E410">
            <v>0</v>
          </cell>
          <cell r="F410">
            <v>0</v>
          </cell>
          <cell r="G410">
            <v>0</v>
          </cell>
          <cell r="H410">
            <v>0</v>
          </cell>
          <cell r="I410">
            <v>0</v>
          </cell>
          <cell r="J410">
            <v>0</v>
          </cell>
          <cell r="K410">
            <v>0</v>
          </cell>
          <cell r="L410">
            <v>0</v>
          </cell>
          <cell r="M410">
            <v>0</v>
          </cell>
        </row>
        <row r="411">
          <cell r="A411" t="str">
            <v>CWDZ-IULHY-ELPH-YL-XL</v>
          </cell>
          <cell r="B411">
            <v>0</v>
          </cell>
          <cell r="C411">
            <v>0</v>
          </cell>
          <cell r="D411">
            <v>0</v>
          </cell>
          <cell r="E411">
            <v>0</v>
          </cell>
          <cell r="F411">
            <v>0</v>
          </cell>
          <cell r="G411">
            <v>0</v>
          </cell>
          <cell r="H411">
            <v>0</v>
          </cell>
          <cell r="I411">
            <v>0</v>
          </cell>
          <cell r="J411">
            <v>0</v>
          </cell>
          <cell r="K411">
            <v>0</v>
          </cell>
          <cell r="L411">
            <v>0</v>
          </cell>
          <cell r="M411">
            <v>0</v>
          </cell>
        </row>
        <row r="412">
          <cell r="A412" t="str">
            <v>CWDZ-IULHY-PAW-CF-L</v>
          </cell>
          <cell r="B412">
            <v>0</v>
          </cell>
          <cell r="C412">
            <v>0</v>
          </cell>
          <cell r="D412">
            <v>0</v>
          </cell>
          <cell r="E412">
            <v>0</v>
          </cell>
          <cell r="F412">
            <v>0</v>
          </cell>
          <cell r="G412">
            <v>0</v>
          </cell>
          <cell r="H412">
            <v>0</v>
          </cell>
          <cell r="I412">
            <v>0</v>
          </cell>
          <cell r="J412">
            <v>0</v>
          </cell>
          <cell r="K412">
            <v>0</v>
          </cell>
          <cell r="L412">
            <v>0</v>
          </cell>
          <cell r="M412">
            <v>0</v>
          </cell>
        </row>
        <row r="413">
          <cell r="A413" t="str">
            <v>CWDZ-IULHY-PAW-CF-M</v>
          </cell>
          <cell r="B413">
            <v>0</v>
          </cell>
          <cell r="C413">
            <v>0</v>
          </cell>
          <cell r="D413">
            <v>0</v>
          </cell>
          <cell r="E413">
            <v>0</v>
          </cell>
          <cell r="F413">
            <v>0</v>
          </cell>
          <cell r="G413">
            <v>0</v>
          </cell>
          <cell r="H413">
            <v>0</v>
          </cell>
          <cell r="I413">
            <v>0</v>
          </cell>
          <cell r="J413">
            <v>0</v>
          </cell>
          <cell r="K413">
            <v>0</v>
          </cell>
          <cell r="L413">
            <v>0</v>
          </cell>
          <cell r="M413">
            <v>0</v>
          </cell>
        </row>
        <row r="414">
          <cell r="A414" t="str">
            <v>CWDZ-IULHY-PAW-CF-XL</v>
          </cell>
          <cell r="B414">
            <v>0</v>
          </cell>
          <cell r="C414">
            <v>0</v>
          </cell>
          <cell r="D414">
            <v>0</v>
          </cell>
          <cell r="E414">
            <v>0</v>
          </cell>
          <cell r="F414">
            <v>0</v>
          </cell>
          <cell r="G414">
            <v>0</v>
          </cell>
          <cell r="H414">
            <v>0</v>
          </cell>
          <cell r="I414">
            <v>0</v>
          </cell>
          <cell r="J414">
            <v>0</v>
          </cell>
          <cell r="K414">
            <v>0</v>
          </cell>
          <cell r="L414">
            <v>0</v>
          </cell>
          <cell r="M414">
            <v>0</v>
          </cell>
        </row>
        <row r="415">
          <cell r="A415" t="str">
            <v>CWDZ-IULHY-PAW-PK-L</v>
          </cell>
          <cell r="B415">
            <v>0</v>
          </cell>
          <cell r="C415">
            <v>0</v>
          </cell>
          <cell r="D415">
            <v>0</v>
          </cell>
          <cell r="E415">
            <v>0</v>
          </cell>
          <cell r="F415">
            <v>0</v>
          </cell>
          <cell r="G415">
            <v>0</v>
          </cell>
          <cell r="H415">
            <v>0</v>
          </cell>
          <cell r="I415">
            <v>0</v>
          </cell>
          <cell r="J415">
            <v>0</v>
          </cell>
          <cell r="K415">
            <v>0</v>
          </cell>
          <cell r="L415">
            <v>0</v>
          </cell>
          <cell r="M415">
            <v>0</v>
          </cell>
        </row>
        <row r="416">
          <cell r="A416" t="str">
            <v>CWDZ-IULHY-PAW-PK-M</v>
          </cell>
          <cell r="B416">
            <v>0</v>
          </cell>
          <cell r="C416">
            <v>0</v>
          </cell>
          <cell r="D416">
            <v>0</v>
          </cell>
          <cell r="E416">
            <v>0</v>
          </cell>
          <cell r="F416">
            <v>0</v>
          </cell>
          <cell r="G416">
            <v>0</v>
          </cell>
          <cell r="H416">
            <v>0</v>
          </cell>
          <cell r="I416">
            <v>0</v>
          </cell>
          <cell r="J416">
            <v>0</v>
          </cell>
          <cell r="K416">
            <v>0</v>
          </cell>
          <cell r="L416">
            <v>0</v>
          </cell>
          <cell r="M416">
            <v>0</v>
          </cell>
        </row>
        <row r="417">
          <cell r="A417" t="str">
            <v>CWDZ-IULHY-PAW-PK-XL</v>
          </cell>
          <cell r="B417">
            <v>0</v>
          </cell>
          <cell r="C417">
            <v>0</v>
          </cell>
          <cell r="D417">
            <v>0</v>
          </cell>
          <cell r="E417">
            <v>0</v>
          </cell>
          <cell r="F417">
            <v>0</v>
          </cell>
          <cell r="G417">
            <v>0</v>
          </cell>
          <cell r="H417">
            <v>0</v>
          </cell>
          <cell r="I417">
            <v>0</v>
          </cell>
          <cell r="J417">
            <v>0</v>
          </cell>
          <cell r="K417">
            <v>0</v>
          </cell>
          <cell r="L417">
            <v>0</v>
          </cell>
          <cell r="M417">
            <v>0</v>
          </cell>
        </row>
        <row r="418">
          <cell r="A418" t="str">
            <v>CWDZ-IULHY-PAW-WT-L</v>
          </cell>
          <cell r="B418">
            <v>0</v>
          </cell>
          <cell r="C418">
            <v>0</v>
          </cell>
          <cell r="D418">
            <v>0</v>
          </cell>
          <cell r="E418">
            <v>0</v>
          </cell>
          <cell r="F418">
            <v>0</v>
          </cell>
          <cell r="G418">
            <v>0</v>
          </cell>
          <cell r="H418">
            <v>0</v>
          </cell>
          <cell r="I418">
            <v>0</v>
          </cell>
          <cell r="J418">
            <v>0</v>
          </cell>
          <cell r="K418">
            <v>0</v>
          </cell>
          <cell r="L418">
            <v>0</v>
          </cell>
          <cell r="M418">
            <v>0</v>
          </cell>
        </row>
        <row r="419">
          <cell r="A419" t="str">
            <v>CWDZ-IULHY-PAW-WT-M</v>
          </cell>
          <cell r="B419">
            <v>0</v>
          </cell>
          <cell r="C419">
            <v>0</v>
          </cell>
          <cell r="D419">
            <v>0</v>
          </cell>
          <cell r="E419">
            <v>0</v>
          </cell>
          <cell r="F419">
            <v>0</v>
          </cell>
          <cell r="G419">
            <v>0</v>
          </cell>
          <cell r="H419">
            <v>0</v>
          </cell>
          <cell r="I419">
            <v>0</v>
          </cell>
          <cell r="J419">
            <v>0</v>
          </cell>
          <cell r="K419">
            <v>0</v>
          </cell>
          <cell r="L419">
            <v>0</v>
          </cell>
          <cell r="M419">
            <v>0</v>
          </cell>
        </row>
        <row r="420">
          <cell r="A420" t="str">
            <v>CWDZ-IULHY-PAW-WT-XL</v>
          </cell>
          <cell r="B420">
            <v>0</v>
          </cell>
          <cell r="C420">
            <v>0</v>
          </cell>
          <cell r="D420">
            <v>0</v>
          </cell>
          <cell r="E420">
            <v>0</v>
          </cell>
          <cell r="F420">
            <v>0</v>
          </cell>
          <cell r="G420">
            <v>0</v>
          </cell>
          <cell r="H420">
            <v>0</v>
          </cell>
          <cell r="I420">
            <v>0</v>
          </cell>
          <cell r="J420">
            <v>0</v>
          </cell>
          <cell r="K420">
            <v>0</v>
          </cell>
          <cell r="L420">
            <v>0</v>
          </cell>
          <cell r="M420">
            <v>0</v>
          </cell>
        </row>
        <row r="421">
          <cell r="A421" t="str">
            <v>CWDZ-IULHY-STAR-BL-L</v>
          </cell>
          <cell r="B421">
            <v>0</v>
          </cell>
          <cell r="C421">
            <v>0</v>
          </cell>
          <cell r="D421">
            <v>0</v>
          </cell>
          <cell r="E421">
            <v>0</v>
          </cell>
          <cell r="F421">
            <v>0</v>
          </cell>
          <cell r="G421">
            <v>0</v>
          </cell>
          <cell r="H421">
            <v>0</v>
          </cell>
          <cell r="I421">
            <v>0</v>
          </cell>
          <cell r="J421">
            <v>0</v>
          </cell>
          <cell r="K421">
            <v>0</v>
          </cell>
          <cell r="L421">
            <v>0</v>
          </cell>
          <cell r="M421">
            <v>0</v>
          </cell>
        </row>
        <row r="422">
          <cell r="A422" t="str">
            <v>CWDZ-IULHY-STAR-BL-M</v>
          </cell>
          <cell r="B422">
            <v>0</v>
          </cell>
          <cell r="C422">
            <v>0</v>
          </cell>
          <cell r="D422">
            <v>0</v>
          </cell>
          <cell r="E422">
            <v>0</v>
          </cell>
          <cell r="F422">
            <v>0</v>
          </cell>
          <cell r="G422">
            <v>0</v>
          </cell>
          <cell r="H422">
            <v>0</v>
          </cell>
          <cell r="I422">
            <v>0</v>
          </cell>
          <cell r="J422">
            <v>0</v>
          </cell>
          <cell r="K422">
            <v>0</v>
          </cell>
          <cell r="L422">
            <v>0</v>
          </cell>
          <cell r="M422">
            <v>0</v>
          </cell>
        </row>
        <row r="423">
          <cell r="A423" t="str">
            <v>CWDZ-IULHY-STAR-BL-XL</v>
          </cell>
          <cell r="B423">
            <v>0</v>
          </cell>
          <cell r="C423">
            <v>0</v>
          </cell>
          <cell r="D423">
            <v>0</v>
          </cell>
          <cell r="E423">
            <v>0</v>
          </cell>
          <cell r="F423">
            <v>0</v>
          </cell>
          <cell r="G423">
            <v>0</v>
          </cell>
          <cell r="H423">
            <v>0</v>
          </cell>
          <cell r="I423">
            <v>0</v>
          </cell>
          <cell r="J423">
            <v>0</v>
          </cell>
          <cell r="K423">
            <v>0</v>
          </cell>
          <cell r="L423">
            <v>0</v>
          </cell>
          <cell r="M423">
            <v>0</v>
          </cell>
        </row>
        <row r="424">
          <cell r="A424" t="str">
            <v>CWDZ-IULHY-STAR-KK-L</v>
          </cell>
          <cell r="B424">
            <v>0</v>
          </cell>
          <cell r="C424">
            <v>0</v>
          </cell>
          <cell r="D424">
            <v>0</v>
          </cell>
          <cell r="E424">
            <v>0</v>
          </cell>
          <cell r="F424">
            <v>0</v>
          </cell>
          <cell r="G424">
            <v>0</v>
          </cell>
          <cell r="H424">
            <v>0</v>
          </cell>
          <cell r="I424">
            <v>0</v>
          </cell>
          <cell r="J424">
            <v>0</v>
          </cell>
          <cell r="K424">
            <v>0</v>
          </cell>
          <cell r="L424">
            <v>0</v>
          </cell>
          <cell r="M424">
            <v>0</v>
          </cell>
        </row>
        <row r="425">
          <cell r="A425" t="str">
            <v>CWDZ-IULHY-STAR-KK-M</v>
          </cell>
          <cell r="B425">
            <v>0</v>
          </cell>
          <cell r="C425">
            <v>0</v>
          </cell>
          <cell r="D425">
            <v>0</v>
          </cell>
          <cell r="E425">
            <v>0</v>
          </cell>
          <cell r="F425">
            <v>0</v>
          </cell>
          <cell r="G425">
            <v>0</v>
          </cell>
          <cell r="H425">
            <v>0</v>
          </cell>
          <cell r="I425">
            <v>0</v>
          </cell>
          <cell r="J425">
            <v>0</v>
          </cell>
          <cell r="K425">
            <v>0</v>
          </cell>
          <cell r="L425">
            <v>0</v>
          </cell>
          <cell r="M425">
            <v>0</v>
          </cell>
        </row>
        <row r="426">
          <cell r="A426" t="str">
            <v>CWDZ-IULHY-STAR-KK-XL</v>
          </cell>
          <cell r="B426">
            <v>0</v>
          </cell>
          <cell r="C426">
            <v>0</v>
          </cell>
          <cell r="D426">
            <v>0</v>
          </cell>
          <cell r="E426">
            <v>0</v>
          </cell>
          <cell r="F426">
            <v>0</v>
          </cell>
          <cell r="G426">
            <v>0</v>
          </cell>
          <cell r="H426">
            <v>0</v>
          </cell>
          <cell r="I426">
            <v>0</v>
          </cell>
          <cell r="J426">
            <v>0</v>
          </cell>
          <cell r="K426">
            <v>0</v>
          </cell>
          <cell r="L426">
            <v>0</v>
          </cell>
          <cell r="M426">
            <v>0</v>
          </cell>
        </row>
        <row r="427">
          <cell r="A427" t="str">
            <v>CWDZ-IULHY-STAR-PK-L</v>
          </cell>
          <cell r="B427">
            <v>0</v>
          </cell>
          <cell r="C427">
            <v>0</v>
          </cell>
          <cell r="D427">
            <v>0</v>
          </cell>
          <cell r="E427">
            <v>0</v>
          </cell>
          <cell r="F427">
            <v>0</v>
          </cell>
          <cell r="G427">
            <v>0</v>
          </cell>
          <cell r="H427">
            <v>0</v>
          </cell>
          <cell r="I427">
            <v>0</v>
          </cell>
          <cell r="J427">
            <v>0</v>
          </cell>
          <cell r="K427">
            <v>0</v>
          </cell>
          <cell r="L427">
            <v>0</v>
          </cell>
          <cell r="M427">
            <v>0</v>
          </cell>
        </row>
        <row r="428">
          <cell r="A428" t="str">
            <v>CWDZ-IULHY-STAR-PK-M</v>
          </cell>
          <cell r="B428">
            <v>0</v>
          </cell>
          <cell r="C428">
            <v>0</v>
          </cell>
          <cell r="D428">
            <v>0</v>
          </cell>
          <cell r="E428">
            <v>0</v>
          </cell>
          <cell r="F428">
            <v>0</v>
          </cell>
          <cell r="G428">
            <v>0</v>
          </cell>
          <cell r="H428">
            <v>0</v>
          </cell>
          <cell r="I428">
            <v>0</v>
          </cell>
          <cell r="J428">
            <v>0</v>
          </cell>
          <cell r="K428">
            <v>0</v>
          </cell>
          <cell r="L428">
            <v>0</v>
          </cell>
          <cell r="M428">
            <v>0</v>
          </cell>
        </row>
        <row r="429">
          <cell r="A429" t="str">
            <v>CWDZ-IULHY-STAR-PK-XL</v>
          </cell>
          <cell r="B429">
            <v>0</v>
          </cell>
          <cell r="C429">
            <v>0</v>
          </cell>
          <cell r="D429">
            <v>0</v>
          </cell>
          <cell r="E429">
            <v>0</v>
          </cell>
          <cell r="F429">
            <v>0</v>
          </cell>
          <cell r="G429">
            <v>0</v>
          </cell>
          <cell r="H429">
            <v>0</v>
          </cell>
          <cell r="I429">
            <v>0</v>
          </cell>
          <cell r="J429">
            <v>0</v>
          </cell>
          <cell r="K429">
            <v>0</v>
          </cell>
          <cell r="L429">
            <v>0</v>
          </cell>
          <cell r="M429">
            <v>0</v>
          </cell>
        </row>
        <row r="430">
          <cell r="A430" t="str">
            <v>DZ-IUYL210-BK</v>
          </cell>
          <cell r="B430">
            <v>0</v>
          </cell>
          <cell r="C430">
            <v>0</v>
          </cell>
          <cell r="D430">
            <v>0</v>
          </cell>
          <cell r="E430">
            <v>0</v>
          </cell>
          <cell r="F430">
            <v>0</v>
          </cell>
          <cell r="G430">
            <v>0</v>
          </cell>
          <cell r="H430">
            <v>0</v>
          </cell>
          <cell r="I430">
            <v>0</v>
          </cell>
          <cell r="J430">
            <v>0</v>
          </cell>
          <cell r="K430">
            <v>0</v>
          </cell>
          <cell r="L430">
            <v>0</v>
          </cell>
          <cell r="M430">
            <v>0</v>
          </cell>
        </row>
        <row r="431">
          <cell r="A431" t="str">
            <v>DZ-IUYL220-BK</v>
          </cell>
          <cell r="B431">
            <v>0</v>
          </cell>
          <cell r="C431">
            <v>0</v>
          </cell>
          <cell r="D431">
            <v>0</v>
          </cell>
          <cell r="E431">
            <v>0</v>
          </cell>
          <cell r="F431">
            <v>0</v>
          </cell>
          <cell r="G431">
            <v>0</v>
          </cell>
          <cell r="H431">
            <v>0</v>
          </cell>
          <cell r="I431">
            <v>0</v>
          </cell>
          <cell r="J431">
            <v>0</v>
          </cell>
          <cell r="K431">
            <v>0</v>
          </cell>
          <cell r="L431">
            <v>0</v>
          </cell>
          <cell r="M431">
            <v>0</v>
          </cell>
        </row>
        <row r="432">
          <cell r="A432" t="str">
            <v>DZ-IUYL220-GR</v>
          </cell>
          <cell r="B432">
            <v>0</v>
          </cell>
          <cell r="C432">
            <v>0</v>
          </cell>
          <cell r="D432">
            <v>0</v>
          </cell>
          <cell r="E432">
            <v>0</v>
          </cell>
          <cell r="F432">
            <v>0</v>
          </cell>
          <cell r="G432">
            <v>0</v>
          </cell>
          <cell r="H432">
            <v>0</v>
          </cell>
          <cell r="I432">
            <v>0</v>
          </cell>
          <cell r="J432">
            <v>0</v>
          </cell>
          <cell r="K432">
            <v>0</v>
          </cell>
          <cell r="L432">
            <v>0</v>
          </cell>
          <cell r="M432">
            <v>0</v>
          </cell>
        </row>
        <row r="433">
          <cell r="A433" t="str">
            <v>GS-PUHM019-B0-L</v>
          </cell>
          <cell r="B433">
            <v>0</v>
          </cell>
          <cell r="C433">
            <v>0</v>
          </cell>
          <cell r="D433">
            <v>0</v>
          </cell>
          <cell r="E433">
            <v>0</v>
          </cell>
          <cell r="F433">
            <v>0</v>
          </cell>
          <cell r="G433">
            <v>0</v>
          </cell>
          <cell r="H433">
            <v>0</v>
          </cell>
          <cell r="I433">
            <v>0</v>
          </cell>
          <cell r="J433">
            <v>0</v>
          </cell>
          <cell r="K433">
            <v>0</v>
          </cell>
          <cell r="L433">
            <v>0</v>
          </cell>
          <cell r="M433">
            <v>0</v>
          </cell>
        </row>
        <row r="434">
          <cell r="A434" t="str">
            <v>GS-PUHM019-B0-M</v>
          </cell>
          <cell r="B434">
            <v>0</v>
          </cell>
          <cell r="C434">
            <v>0</v>
          </cell>
          <cell r="D434">
            <v>0</v>
          </cell>
          <cell r="E434">
            <v>0</v>
          </cell>
          <cell r="F434">
            <v>0</v>
          </cell>
          <cell r="G434">
            <v>0</v>
          </cell>
          <cell r="H434">
            <v>0</v>
          </cell>
          <cell r="I434">
            <v>0</v>
          </cell>
          <cell r="J434">
            <v>0</v>
          </cell>
          <cell r="K434">
            <v>0</v>
          </cell>
          <cell r="L434">
            <v>0</v>
          </cell>
          <cell r="M434">
            <v>0</v>
          </cell>
        </row>
        <row r="435">
          <cell r="A435" t="str">
            <v>GS-PUHM019-B0-S</v>
          </cell>
          <cell r="B435">
            <v>0</v>
          </cell>
          <cell r="C435">
            <v>0</v>
          </cell>
          <cell r="D435">
            <v>0</v>
          </cell>
          <cell r="E435">
            <v>0</v>
          </cell>
          <cell r="F435">
            <v>0</v>
          </cell>
          <cell r="G435">
            <v>0</v>
          </cell>
          <cell r="H435">
            <v>0</v>
          </cell>
          <cell r="I435">
            <v>0</v>
          </cell>
          <cell r="J435">
            <v>0</v>
          </cell>
          <cell r="K435">
            <v>0</v>
          </cell>
          <cell r="L435">
            <v>0</v>
          </cell>
          <cell r="M435">
            <v>0</v>
          </cell>
        </row>
        <row r="436">
          <cell r="A436" t="str">
            <v>GS-PUHM019-B0-XL</v>
          </cell>
          <cell r="B436">
            <v>0</v>
          </cell>
          <cell r="C436">
            <v>0</v>
          </cell>
          <cell r="D436">
            <v>0</v>
          </cell>
          <cell r="E436">
            <v>0</v>
          </cell>
          <cell r="F436">
            <v>0</v>
          </cell>
          <cell r="G436">
            <v>0</v>
          </cell>
          <cell r="H436">
            <v>0</v>
          </cell>
          <cell r="I436">
            <v>0</v>
          </cell>
          <cell r="J436">
            <v>0</v>
          </cell>
          <cell r="K436">
            <v>0</v>
          </cell>
          <cell r="L436">
            <v>0</v>
          </cell>
          <cell r="M436">
            <v>0</v>
          </cell>
        </row>
        <row r="437">
          <cell r="A437" t="str">
            <v>GS-PUHM019-K0-L</v>
          </cell>
          <cell r="B437">
            <v>0</v>
          </cell>
          <cell r="C437">
            <v>0</v>
          </cell>
          <cell r="D437">
            <v>0</v>
          </cell>
          <cell r="E437">
            <v>0</v>
          </cell>
          <cell r="F437">
            <v>0</v>
          </cell>
          <cell r="G437">
            <v>0</v>
          </cell>
          <cell r="H437">
            <v>0</v>
          </cell>
          <cell r="I437">
            <v>0</v>
          </cell>
          <cell r="J437">
            <v>0</v>
          </cell>
          <cell r="K437">
            <v>0</v>
          </cell>
          <cell r="L437">
            <v>0</v>
          </cell>
          <cell r="M437">
            <v>0</v>
          </cell>
        </row>
        <row r="438">
          <cell r="A438" t="str">
            <v>GS-PUHM019-K0-M</v>
          </cell>
          <cell r="B438">
            <v>0</v>
          </cell>
          <cell r="C438">
            <v>0</v>
          </cell>
          <cell r="D438">
            <v>0</v>
          </cell>
          <cell r="E438">
            <v>0</v>
          </cell>
          <cell r="F438">
            <v>0</v>
          </cell>
          <cell r="G438">
            <v>0</v>
          </cell>
          <cell r="H438">
            <v>0</v>
          </cell>
          <cell r="I438">
            <v>0</v>
          </cell>
          <cell r="J438">
            <v>0</v>
          </cell>
          <cell r="K438">
            <v>0</v>
          </cell>
          <cell r="L438">
            <v>0</v>
          </cell>
          <cell r="M438">
            <v>0</v>
          </cell>
        </row>
        <row r="439">
          <cell r="A439" t="str">
            <v>GS-PUHM019-K0-S</v>
          </cell>
          <cell r="B439">
            <v>0</v>
          </cell>
          <cell r="C439">
            <v>0</v>
          </cell>
          <cell r="D439">
            <v>0</v>
          </cell>
          <cell r="E439">
            <v>0</v>
          </cell>
          <cell r="F439">
            <v>0</v>
          </cell>
          <cell r="G439">
            <v>0</v>
          </cell>
          <cell r="H439">
            <v>0</v>
          </cell>
          <cell r="I439">
            <v>0</v>
          </cell>
          <cell r="J439">
            <v>0</v>
          </cell>
          <cell r="K439">
            <v>0</v>
          </cell>
          <cell r="L439">
            <v>0</v>
          </cell>
          <cell r="M439">
            <v>0</v>
          </cell>
        </row>
        <row r="440">
          <cell r="A440" t="str">
            <v>GS-PUHM019-K0-XL</v>
          </cell>
          <cell r="B440">
            <v>0</v>
          </cell>
          <cell r="C440">
            <v>0</v>
          </cell>
          <cell r="D440">
            <v>0</v>
          </cell>
          <cell r="E440">
            <v>0</v>
          </cell>
          <cell r="F440">
            <v>0</v>
          </cell>
          <cell r="G440">
            <v>0</v>
          </cell>
          <cell r="H440">
            <v>0</v>
          </cell>
          <cell r="I440">
            <v>0</v>
          </cell>
          <cell r="J440">
            <v>0</v>
          </cell>
          <cell r="K440">
            <v>0</v>
          </cell>
          <cell r="L440">
            <v>0</v>
          </cell>
          <cell r="M440">
            <v>0</v>
          </cell>
        </row>
        <row r="441">
          <cell r="A441" t="str">
            <v>GS-PUHM019-R0-L</v>
          </cell>
          <cell r="B441">
            <v>0</v>
          </cell>
          <cell r="C441">
            <v>0</v>
          </cell>
          <cell r="D441">
            <v>0</v>
          </cell>
          <cell r="E441">
            <v>0</v>
          </cell>
          <cell r="F441">
            <v>0</v>
          </cell>
          <cell r="G441">
            <v>0</v>
          </cell>
          <cell r="H441">
            <v>0</v>
          </cell>
          <cell r="I441">
            <v>0</v>
          </cell>
          <cell r="J441">
            <v>0</v>
          </cell>
          <cell r="K441">
            <v>0</v>
          </cell>
          <cell r="L441">
            <v>0</v>
          </cell>
          <cell r="M441">
            <v>0</v>
          </cell>
        </row>
        <row r="442">
          <cell r="A442" t="str">
            <v>GS-PUHM019-R0-M</v>
          </cell>
          <cell r="B442">
            <v>0</v>
          </cell>
          <cell r="C442">
            <v>0</v>
          </cell>
          <cell r="D442">
            <v>0</v>
          </cell>
          <cell r="E442">
            <v>0</v>
          </cell>
          <cell r="F442">
            <v>0</v>
          </cell>
          <cell r="G442">
            <v>0</v>
          </cell>
          <cell r="H442">
            <v>0</v>
          </cell>
          <cell r="I442">
            <v>0</v>
          </cell>
          <cell r="J442">
            <v>0</v>
          </cell>
          <cell r="K442">
            <v>0</v>
          </cell>
          <cell r="L442">
            <v>0</v>
          </cell>
          <cell r="M442">
            <v>0</v>
          </cell>
        </row>
        <row r="443">
          <cell r="A443" t="str">
            <v>GS-PUHM019-R0-S</v>
          </cell>
          <cell r="B443">
            <v>0</v>
          </cell>
          <cell r="C443">
            <v>0</v>
          </cell>
          <cell r="D443">
            <v>0</v>
          </cell>
          <cell r="E443">
            <v>0</v>
          </cell>
          <cell r="F443">
            <v>0</v>
          </cell>
          <cell r="G443">
            <v>0</v>
          </cell>
          <cell r="H443">
            <v>0</v>
          </cell>
          <cell r="I443">
            <v>0</v>
          </cell>
          <cell r="J443">
            <v>0</v>
          </cell>
          <cell r="K443">
            <v>0</v>
          </cell>
          <cell r="L443">
            <v>0</v>
          </cell>
          <cell r="M443">
            <v>0</v>
          </cell>
        </row>
        <row r="444">
          <cell r="A444" t="str">
            <v>GS-PUHM019-R0-XL</v>
          </cell>
          <cell r="B444">
            <v>0</v>
          </cell>
          <cell r="C444">
            <v>0</v>
          </cell>
          <cell r="D444">
            <v>0</v>
          </cell>
          <cell r="E444">
            <v>0</v>
          </cell>
          <cell r="F444">
            <v>0</v>
          </cell>
          <cell r="G444">
            <v>0</v>
          </cell>
          <cell r="H444">
            <v>0</v>
          </cell>
          <cell r="I444">
            <v>0</v>
          </cell>
          <cell r="J444">
            <v>0</v>
          </cell>
          <cell r="K444">
            <v>0</v>
          </cell>
          <cell r="L444">
            <v>0</v>
          </cell>
          <cell r="M444">
            <v>0</v>
          </cell>
        </row>
        <row r="445">
          <cell r="A445" t="str">
            <v>GW-IUHM-BONE-BK-L</v>
          </cell>
          <cell r="B445">
            <v>0</v>
          </cell>
          <cell r="C445">
            <v>0</v>
          </cell>
          <cell r="D445">
            <v>30</v>
          </cell>
          <cell r="E445">
            <v>0</v>
          </cell>
          <cell r="F445">
            <v>30</v>
          </cell>
          <cell r="G445">
            <v>0</v>
          </cell>
          <cell r="H445">
            <v>0</v>
          </cell>
          <cell r="I445">
            <v>0</v>
          </cell>
          <cell r="J445">
            <v>0</v>
          </cell>
          <cell r="K445">
            <v>0</v>
          </cell>
          <cell r="L445">
            <v>0</v>
          </cell>
          <cell r="M445">
            <v>0</v>
          </cell>
        </row>
        <row r="446">
          <cell r="A446" t="str">
            <v>GW-IUHM-BONE-BK-M</v>
          </cell>
          <cell r="B446">
            <v>0</v>
          </cell>
          <cell r="C446">
            <v>0</v>
          </cell>
          <cell r="D446">
            <v>30</v>
          </cell>
          <cell r="E446">
            <v>0</v>
          </cell>
          <cell r="F446">
            <v>30</v>
          </cell>
          <cell r="G446">
            <v>0</v>
          </cell>
          <cell r="H446">
            <v>0</v>
          </cell>
          <cell r="I446">
            <v>0</v>
          </cell>
          <cell r="J446">
            <v>0</v>
          </cell>
          <cell r="K446">
            <v>0</v>
          </cell>
          <cell r="L446">
            <v>0</v>
          </cell>
          <cell r="M446">
            <v>0</v>
          </cell>
        </row>
        <row r="447">
          <cell r="A447" t="str">
            <v>GW-IUHM-BONE-BK-S</v>
          </cell>
          <cell r="B447">
            <v>0</v>
          </cell>
          <cell r="C447">
            <v>0</v>
          </cell>
          <cell r="D447">
            <v>30</v>
          </cell>
          <cell r="E447">
            <v>0</v>
          </cell>
          <cell r="F447">
            <v>30</v>
          </cell>
          <cell r="G447">
            <v>0</v>
          </cell>
          <cell r="H447">
            <v>0</v>
          </cell>
          <cell r="I447">
            <v>0</v>
          </cell>
          <cell r="J447">
            <v>0</v>
          </cell>
          <cell r="K447">
            <v>0</v>
          </cell>
          <cell r="L447">
            <v>0</v>
          </cell>
          <cell r="M447">
            <v>0</v>
          </cell>
        </row>
        <row r="448">
          <cell r="A448" t="str">
            <v>GW-IUHM-BONE-BK-XL</v>
          </cell>
          <cell r="B448">
            <v>0</v>
          </cell>
          <cell r="C448">
            <v>0</v>
          </cell>
          <cell r="D448">
            <v>20</v>
          </cell>
          <cell r="E448">
            <v>0</v>
          </cell>
          <cell r="F448">
            <v>20</v>
          </cell>
          <cell r="G448">
            <v>0</v>
          </cell>
          <cell r="H448">
            <v>0</v>
          </cell>
          <cell r="I448">
            <v>0</v>
          </cell>
          <cell r="J448">
            <v>0</v>
          </cell>
          <cell r="K448">
            <v>0</v>
          </cell>
          <cell r="L448">
            <v>0</v>
          </cell>
          <cell r="M448">
            <v>0</v>
          </cell>
        </row>
        <row r="449">
          <cell r="A449" t="str">
            <v>GW-IUHM-BONE-CF-L</v>
          </cell>
          <cell r="B449">
            <v>0</v>
          </cell>
          <cell r="C449">
            <v>0</v>
          </cell>
          <cell r="D449">
            <v>30</v>
          </cell>
          <cell r="E449">
            <v>0</v>
          </cell>
          <cell r="F449">
            <v>30</v>
          </cell>
          <cell r="G449">
            <v>0</v>
          </cell>
          <cell r="H449">
            <v>0</v>
          </cell>
          <cell r="I449">
            <v>0</v>
          </cell>
          <cell r="J449">
            <v>0</v>
          </cell>
          <cell r="K449">
            <v>0</v>
          </cell>
          <cell r="L449">
            <v>0</v>
          </cell>
          <cell r="M449">
            <v>0</v>
          </cell>
        </row>
        <row r="450">
          <cell r="A450" t="str">
            <v>GW-IUHM-BONE-CF-M</v>
          </cell>
          <cell r="B450">
            <v>0</v>
          </cell>
          <cell r="C450">
            <v>0</v>
          </cell>
          <cell r="D450">
            <v>61</v>
          </cell>
          <cell r="E450">
            <v>0</v>
          </cell>
          <cell r="F450">
            <v>61</v>
          </cell>
          <cell r="G450">
            <v>0</v>
          </cell>
          <cell r="H450">
            <v>0</v>
          </cell>
          <cell r="I450">
            <v>0</v>
          </cell>
          <cell r="J450">
            <v>0</v>
          </cell>
          <cell r="K450">
            <v>0</v>
          </cell>
          <cell r="L450">
            <v>0</v>
          </cell>
          <cell r="M450">
            <v>0</v>
          </cell>
        </row>
        <row r="451">
          <cell r="A451" t="str">
            <v>GW-IUHM-BONE-CF-S</v>
          </cell>
          <cell r="B451">
            <v>0</v>
          </cell>
          <cell r="C451">
            <v>0</v>
          </cell>
          <cell r="D451">
            <v>30</v>
          </cell>
          <cell r="E451">
            <v>0</v>
          </cell>
          <cell r="F451">
            <v>30</v>
          </cell>
          <cell r="G451">
            <v>0</v>
          </cell>
          <cell r="H451">
            <v>0</v>
          </cell>
          <cell r="I451">
            <v>0</v>
          </cell>
          <cell r="J451">
            <v>0</v>
          </cell>
          <cell r="K451">
            <v>0</v>
          </cell>
          <cell r="L451">
            <v>0</v>
          </cell>
          <cell r="M451">
            <v>0</v>
          </cell>
        </row>
        <row r="452">
          <cell r="A452" t="str">
            <v>GW-IUHM-BONE-CF-XL</v>
          </cell>
          <cell r="B452">
            <v>0</v>
          </cell>
          <cell r="C452">
            <v>0</v>
          </cell>
          <cell r="D452">
            <v>19</v>
          </cell>
          <cell r="E452">
            <v>0</v>
          </cell>
          <cell r="F452">
            <v>19</v>
          </cell>
          <cell r="G452">
            <v>0</v>
          </cell>
          <cell r="H452">
            <v>0</v>
          </cell>
          <cell r="I452">
            <v>0</v>
          </cell>
          <cell r="J452">
            <v>0</v>
          </cell>
          <cell r="K452">
            <v>0</v>
          </cell>
          <cell r="L452">
            <v>0</v>
          </cell>
          <cell r="M452">
            <v>0</v>
          </cell>
        </row>
        <row r="453">
          <cell r="A453" t="str">
            <v>GW-IUHM-BONE-GR-L</v>
          </cell>
          <cell r="B453">
            <v>0</v>
          </cell>
          <cell r="C453">
            <v>0</v>
          </cell>
          <cell r="D453">
            <v>30</v>
          </cell>
          <cell r="E453">
            <v>0</v>
          </cell>
          <cell r="F453">
            <v>30</v>
          </cell>
          <cell r="G453">
            <v>0</v>
          </cell>
          <cell r="H453">
            <v>0</v>
          </cell>
          <cell r="I453">
            <v>0</v>
          </cell>
          <cell r="J453">
            <v>0</v>
          </cell>
          <cell r="K453">
            <v>0</v>
          </cell>
          <cell r="L453">
            <v>0</v>
          </cell>
          <cell r="M453">
            <v>0</v>
          </cell>
        </row>
        <row r="454">
          <cell r="A454" t="str">
            <v>GW-IUHM-BONE-GR-M</v>
          </cell>
          <cell r="B454">
            <v>0</v>
          </cell>
          <cell r="C454">
            <v>0</v>
          </cell>
          <cell r="D454">
            <v>30</v>
          </cell>
          <cell r="E454">
            <v>0</v>
          </cell>
          <cell r="F454">
            <v>30</v>
          </cell>
          <cell r="G454">
            <v>0</v>
          </cell>
          <cell r="H454">
            <v>0</v>
          </cell>
          <cell r="I454">
            <v>0</v>
          </cell>
          <cell r="J454">
            <v>0</v>
          </cell>
          <cell r="K454">
            <v>0</v>
          </cell>
          <cell r="L454">
            <v>0</v>
          </cell>
          <cell r="M454">
            <v>0</v>
          </cell>
        </row>
        <row r="455">
          <cell r="A455" t="str">
            <v>GW-IUHM-BONE-GR-S</v>
          </cell>
          <cell r="B455">
            <v>0</v>
          </cell>
          <cell r="C455">
            <v>0</v>
          </cell>
          <cell r="D455">
            <v>30</v>
          </cell>
          <cell r="E455">
            <v>0</v>
          </cell>
          <cell r="F455">
            <v>30</v>
          </cell>
          <cell r="G455">
            <v>0</v>
          </cell>
          <cell r="H455">
            <v>0</v>
          </cell>
          <cell r="I455">
            <v>0</v>
          </cell>
          <cell r="J455">
            <v>0</v>
          </cell>
          <cell r="K455">
            <v>0</v>
          </cell>
          <cell r="L455">
            <v>0</v>
          </cell>
          <cell r="M455">
            <v>0</v>
          </cell>
        </row>
        <row r="456">
          <cell r="A456" t="str">
            <v>GW-IUHM-BONE-GR-XL</v>
          </cell>
          <cell r="B456">
            <v>0</v>
          </cell>
          <cell r="C456">
            <v>0</v>
          </cell>
          <cell r="D456">
            <v>20</v>
          </cell>
          <cell r="E456">
            <v>0</v>
          </cell>
          <cell r="F456">
            <v>20</v>
          </cell>
          <cell r="G456">
            <v>0</v>
          </cell>
          <cell r="H456">
            <v>0</v>
          </cell>
          <cell r="I456">
            <v>0</v>
          </cell>
          <cell r="J456">
            <v>0</v>
          </cell>
          <cell r="K456">
            <v>0</v>
          </cell>
          <cell r="L456">
            <v>0</v>
          </cell>
          <cell r="M456">
            <v>0</v>
          </cell>
        </row>
        <row r="457">
          <cell r="A457" t="str">
            <v>GW-IUHM-BONE-LB-L</v>
          </cell>
          <cell r="B457">
            <v>0</v>
          </cell>
          <cell r="C457">
            <v>0</v>
          </cell>
          <cell r="D457">
            <v>10</v>
          </cell>
          <cell r="E457">
            <v>0</v>
          </cell>
          <cell r="F457">
            <v>10</v>
          </cell>
          <cell r="G457">
            <v>0</v>
          </cell>
          <cell r="H457">
            <v>0</v>
          </cell>
          <cell r="I457">
            <v>0</v>
          </cell>
          <cell r="J457">
            <v>0</v>
          </cell>
          <cell r="K457">
            <v>0</v>
          </cell>
          <cell r="L457">
            <v>0</v>
          </cell>
          <cell r="M457">
            <v>0</v>
          </cell>
        </row>
        <row r="458">
          <cell r="A458" t="str">
            <v>GW-IUHM-BONE-LB-M</v>
          </cell>
          <cell r="B458">
            <v>0</v>
          </cell>
          <cell r="C458">
            <v>0</v>
          </cell>
          <cell r="D458">
            <v>10</v>
          </cell>
          <cell r="E458">
            <v>0</v>
          </cell>
          <cell r="F458">
            <v>10</v>
          </cell>
          <cell r="G458">
            <v>0</v>
          </cell>
          <cell r="H458">
            <v>0</v>
          </cell>
          <cell r="I458">
            <v>0</v>
          </cell>
          <cell r="J458">
            <v>0</v>
          </cell>
          <cell r="K458">
            <v>0</v>
          </cell>
          <cell r="L458">
            <v>0</v>
          </cell>
          <cell r="M458">
            <v>0</v>
          </cell>
        </row>
        <row r="459">
          <cell r="A459" t="str">
            <v>GW-IUHM-BONE-LB-S</v>
          </cell>
          <cell r="B459">
            <v>0</v>
          </cell>
          <cell r="C459">
            <v>0</v>
          </cell>
          <cell r="D459">
            <v>19</v>
          </cell>
          <cell r="E459">
            <v>0</v>
          </cell>
          <cell r="F459">
            <v>19</v>
          </cell>
          <cell r="G459">
            <v>0</v>
          </cell>
          <cell r="H459">
            <v>0</v>
          </cell>
          <cell r="I459">
            <v>0</v>
          </cell>
          <cell r="J459">
            <v>0</v>
          </cell>
          <cell r="K459">
            <v>0</v>
          </cell>
          <cell r="L459">
            <v>0</v>
          </cell>
          <cell r="M459">
            <v>0</v>
          </cell>
        </row>
        <row r="460">
          <cell r="A460" t="str">
            <v>GW-IUHM-BONE-LB-XL</v>
          </cell>
          <cell r="B460">
            <v>0</v>
          </cell>
          <cell r="C460">
            <v>0</v>
          </cell>
          <cell r="D460">
            <v>10</v>
          </cell>
          <cell r="E460">
            <v>0</v>
          </cell>
          <cell r="F460">
            <v>10</v>
          </cell>
          <cell r="G460">
            <v>0</v>
          </cell>
          <cell r="H460">
            <v>0</v>
          </cell>
          <cell r="I460">
            <v>0</v>
          </cell>
          <cell r="J460">
            <v>0</v>
          </cell>
          <cell r="K460">
            <v>0</v>
          </cell>
          <cell r="L460">
            <v>0</v>
          </cell>
          <cell r="M460">
            <v>0</v>
          </cell>
        </row>
        <row r="461">
          <cell r="A461" t="str">
            <v>GW-IUHM-BONE-PK-L</v>
          </cell>
          <cell r="B461">
            <v>0</v>
          </cell>
          <cell r="C461">
            <v>0</v>
          </cell>
          <cell r="D461">
            <v>10</v>
          </cell>
          <cell r="E461">
            <v>0</v>
          </cell>
          <cell r="F461">
            <v>10</v>
          </cell>
          <cell r="G461">
            <v>0</v>
          </cell>
          <cell r="H461">
            <v>0</v>
          </cell>
          <cell r="I461">
            <v>0</v>
          </cell>
          <cell r="J461">
            <v>0</v>
          </cell>
          <cell r="K461">
            <v>0</v>
          </cell>
          <cell r="L461">
            <v>0</v>
          </cell>
          <cell r="M461">
            <v>0</v>
          </cell>
        </row>
        <row r="462">
          <cell r="A462" t="str">
            <v>GW-IUHM-BONE-PK-M</v>
          </cell>
          <cell r="B462">
            <v>0</v>
          </cell>
          <cell r="C462">
            <v>0</v>
          </cell>
          <cell r="D462">
            <v>10</v>
          </cell>
          <cell r="E462">
            <v>0</v>
          </cell>
          <cell r="F462">
            <v>10</v>
          </cell>
          <cell r="G462">
            <v>0</v>
          </cell>
          <cell r="H462">
            <v>0</v>
          </cell>
          <cell r="I462">
            <v>0</v>
          </cell>
          <cell r="J462">
            <v>0</v>
          </cell>
          <cell r="K462">
            <v>0</v>
          </cell>
          <cell r="L462">
            <v>0</v>
          </cell>
          <cell r="M462">
            <v>0</v>
          </cell>
        </row>
        <row r="463">
          <cell r="A463" t="str">
            <v>GW-IUHM-BONE-PK-S</v>
          </cell>
          <cell r="B463">
            <v>0</v>
          </cell>
          <cell r="C463">
            <v>0</v>
          </cell>
          <cell r="D463">
            <v>20</v>
          </cell>
          <cell r="E463">
            <v>0</v>
          </cell>
          <cell r="F463">
            <v>20</v>
          </cell>
          <cell r="G463">
            <v>0</v>
          </cell>
          <cell r="H463">
            <v>0</v>
          </cell>
          <cell r="I463">
            <v>0</v>
          </cell>
          <cell r="J463">
            <v>0</v>
          </cell>
          <cell r="K463">
            <v>0</v>
          </cell>
          <cell r="L463">
            <v>0</v>
          </cell>
          <cell r="M463">
            <v>0</v>
          </cell>
        </row>
        <row r="464">
          <cell r="A464" t="str">
            <v>GW-IUHM-BONE-PK-XL</v>
          </cell>
          <cell r="B464">
            <v>0</v>
          </cell>
          <cell r="C464">
            <v>0</v>
          </cell>
          <cell r="D464">
            <v>10</v>
          </cell>
          <cell r="E464">
            <v>0</v>
          </cell>
          <cell r="F464">
            <v>10</v>
          </cell>
          <cell r="G464">
            <v>0</v>
          </cell>
          <cell r="H464">
            <v>0</v>
          </cell>
          <cell r="I464">
            <v>0</v>
          </cell>
          <cell r="J464">
            <v>0</v>
          </cell>
          <cell r="K464">
            <v>0</v>
          </cell>
          <cell r="L464">
            <v>0</v>
          </cell>
          <cell r="M464">
            <v>0</v>
          </cell>
        </row>
        <row r="465">
          <cell r="A465" t="str">
            <v>GW-IUHM-PAW-CF-L</v>
          </cell>
          <cell r="B465">
            <v>0</v>
          </cell>
          <cell r="C465">
            <v>0</v>
          </cell>
          <cell r="D465">
            <v>30</v>
          </cell>
          <cell r="E465">
            <v>0</v>
          </cell>
          <cell r="F465">
            <v>30</v>
          </cell>
          <cell r="G465">
            <v>0</v>
          </cell>
          <cell r="H465">
            <v>0</v>
          </cell>
          <cell r="I465">
            <v>0</v>
          </cell>
          <cell r="J465">
            <v>0</v>
          </cell>
          <cell r="K465">
            <v>0</v>
          </cell>
          <cell r="L465">
            <v>0</v>
          </cell>
          <cell r="M465">
            <v>0</v>
          </cell>
        </row>
        <row r="466">
          <cell r="A466" t="str">
            <v>GW-IUHM-PAW-CF-M</v>
          </cell>
          <cell r="B466">
            <v>0</v>
          </cell>
          <cell r="C466">
            <v>0</v>
          </cell>
          <cell r="D466">
            <v>30</v>
          </cell>
          <cell r="E466">
            <v>0</v>
          </cell>
          <cell r="F466">
            <v>30</v>
          </cell>
          <cell r="G466">
            <v>0</v>
          </cell>
          <cell r="H466">
            <v>0</v>
          </cell>
          <cell r="I466">
            <v>0</v>
          </cell>
          <cell r="J466">
            <v>0</v>
          </cell>
          <cell r="K466">
            <v>0</v>
          </cell>
          <cell r="L466">
            <v>0</v>
          </cell>
          <cell r="M466">
            <v>0</v>
          </cell>
        </row>
        <row r="467">
          <cell r="A467" t="str">
            <v>GW-IUHM-PAW-CF-S</v>
          </cell>
          <cell r="B467">
            <v>0</v>
          </cell>
          <cell r="C467">
            <v>0</v>
          </cell>
          <cell r="D467">
            <v>30</v>
          </cell>
          <cell r="E467">
            <v>0</v>
          </cell>
          <cell r="F467">
            <v>30</v>
          </cell>
          <cell r="G467">
            <v>0</v>
          </cell>
          <cell r="H467">
            <v>0</v>
          </cell>
          <cell r="I467">
            <v>0</v>
          </cell>
          <cell r="J467">
            <v>0</v>
          </cell>
          <cell r="K467">
            <v>0</v>
          </cell>
          <cell r="L467">
            <v>0</v>
          </cell>
          <cell r="M467">
            <v>0</v>
          </cell>
        </row>
        <row r="468">
          <cell r="A468" t="str">
            <v>GW-IUHM-PAW-CF-XL</v>
          </cell>
          <cell r="B468">
            <v>0</v>
          </cell>
          <cell r="C468">
            <v>0</v>
          </cell>
          <cell r="D468">
            <v>20</v>
          </cell>
          <cell r="E468">
            <v>0</v>
          </cell>
          <cell r="F468">
            <v>20</v>
          </cell>
          <cell r="G468">
            <v>0</v>
          </cell>
          <cell r="H468">
            <v>0</v>
          </cell>
          <cell r="I468">
            <v>0</v>
          </cell>
          <cell r="J468">
            <v>0</v>
          </cell>
          <cell r="K468">
            <v>0</v>
          </cell>
          <cell r="L468">
            <v>0</v>
          </cell>
          <cell r="M468">
            <v>0</v>
          </cell>
        </row>
        <row r="469">
          <cell r="A469" t="str">
            <v>GW-IUHM-PAW-GN-L</v>
          </cell>
          <cell r="B469">
            <v>0</v>
          </cell>
          <cell r="C469">
            <v>0</v>
          </cell>
          <cell r="D469">
            <v>9</v>
          </cell>
          <cell r="E469">
            <v>0</v>
          </cell>
          <cell r="F469">
            <v>9</v>
          </cell>
          <cell r="G469">
            <v>0</v>
          </cell>
          <cell r="H469">
            <v>0</v>
          </cell>
          <cell r="I469">
            <v>0</v>
          </cell>
          <cell r="J469">
            <v>0</v>
          </cell>
          <cell r="K469">
            <v>0</v>
          </cell>
          <cell r="L469">
            <v>0</v>
          </cell>
          <cell r="M469">
            <v>0</v>
          </cell>
        </row>
        <row r="470">
          <cell r="A470" t="str">
            <v>GW-IUHM-PAW-GN-M</v>
          </cell>
          <cell r="B470">
            <v>0</v>
          </cell>
          <cell r="C470">
            <v>0</v>
          </cell>
          <cell r="D470">
            <v>10</v>
          </cell>
          <cell r="E470">
            <v>0</v>
          </cell>
          <cell r="F470">
            <v>10</v>
          </cell>
          <cell r="G470">
            <v>0</v>
          </cell>
          <cell r="H470">
            <v>0</v>
          </cell>
          <cell r="I470">
            <v>0</v>
          </cell>
          <cell r="J470">
            <v>0</v>
          </cell>
          <cell r="K470">
            <v>0</v>
          </cell>
          <cell r="L470">
            <v>0</v>
          </cell>
          <cell r="M470">
            <v>0</v>
          </cell>
        </row>
        <row r="471">
          <cell r="A471" t="str">
            <v>GW-IUHM-PAW-GN-S</v>
          </cell>
          <cell r="B471">
            <v>0</v>
          </cell>
          <cell r="C471">
            <v>0</v>
          </cell>
          <cell r="D471">
            <v>18</v>
          </cell>
          <cell r="E471">
            <v>0</v>
          </cell>
          <cell r="F471">
            <v>18</v>
          </cell>
          <cell r="G471">
            <v>0</v>
          </cell>
          <cell r="H471">
            <v>0</v>
          </cell>
          <cell r="I471">
            <v>0</v>
          </cell>
          <cell r="J471">
            <v>0</v>
          </cell>
          <cell r="K471">
            <v>0</v>
          </cell>
          <cell r="L471">
            <v>0</v>
          </cell>
          <cell r="M471">
            <v>0</v>
          </cell>
        </row>
        <row r="472">
          <cell r="A472" t="str">
            <v>GW-IUHM-PAW-GN-XL</v>
          </cell>
          <cell r="B472">
            <v>0</v>
          </cell>
          <cell r="C472">
            <v>0</v>
          </cell>
          <cell r="D472">
            <v>9</v>
          </cell>
          <cell r="E472">
            <v>0</v>
          </cell>
          <cell r="F472">
            <v>9</v>
          </cell>
          <cell r="G472">
            <v>0</v>
          </cell>
          <cell r="H472">
            <v>0</v>
          </cell>
          <cell r="I472">
            <v>0</v>
          </cell>
          <cell r="J472">
            <v>0</v>
          </cell>
          <cell r="K472">
            <v>0</v>
          </cell>
          <cell r="L472">
            <v>0</v>
          </cell>
          <cell r="M472">
            <v>0</v>
          </cell>
        </row>
        <row r="473">
          <cell r="A473" t="str">
            <v>GW-IUHM-PAW-LB-L</v>
          </cell>
          <cell r="B473">
            <v>0</v>
          </cell>
          <cell r="C473">
            <v>0</v>
          </cell>
          <cell r="D473">
            <v>10</v>
          </cell>
          <cell r="E473">
            <v>0</v>
          </cell>
          <cell r="F473">
            <v>10</v>
          </cell>
          <cell r="G473">
            <v>0</v>
          </cell>
          <cell r="H473">
            <v>0</v>
          </cell>
          <cell r="I473">
            <v>0</v>
          </cell>
          <cell r="J473">
            <v>0</v>
          </cell>
          <cell r="K473">
            <v>0</v>
          </cell>
          <cell r="L473">
            <v>0</v>
          </cell>
          <cell r="M473">
            <v>0</v>
          </cell>
        </row>
        <row r="474">
          <cell r="A474" t="str">
            <v>GW-IUHM-PAW-LB-M</v>
          </cell>
          <cell r="B474">
            <v>0</v>
          </cell>
          <cell r="C474">
            <v>0</v>
          </cell>
          <cell r="D474">
            <v>10</v>
          </cell>
          <cell r="E474">
            <v>0</v>
          </cell>
          <cell r="F474">
            <v>10</v>
          </cell>
          <cell r="G474">
            <v>0</v>
          </cell>
          <cell r="H474">
            <v>0</v>
          </cell>
          <cell r="I474">
            <v>0</v>
          </cell>
          <cell r="J474">
            <v>0</v>
          </cell>
          <cell r="K474">
            <v>0</v>
          </cell>
          <cell r="L474">
            <v>0</v>
          </cell>
          <cell r="M474">
            <v>0</v>
          </cell>
        </row>
        <row r="475">
          <cell r="A475" t="str">
            <v>GW-IUHM-PAW-LB-S</v>
          </cell>
          <cell r="B475">
            <v>0</v>
          </cell>
          <cell r="C475">
            <v>0</v>
          </cell>
          <cell r="D475">
            <v>20</v>
          </cell>
          <cell r="E475">
            <v>0</v>
          </cell>
          <cell r="F475">
            <v>20</v>
          </cell>
          <cell r="G475">
            <v>0</v>
          </cell>
          <cell r="H475">
            <v>0</v>
          </cell>
          <cell r="I475">
            <v>0</v>
          </cell>
          <cell r="J475">
            <v>0</v>
          </cell>
          <cell r="K475">
            <v>0</v>
          </cell>
          <cell r="L475">
            <v>0</v>
          </cell>
          <cell r="M475">
            <v>0</v>
          </cell>
        </row>
        <row r="476">
          <cell r="A476" t="str">
            <v>GW-IUHM-PAW-LB-XL</v>
          </cell>
          <cell r="B476">
            <v>0</v>
          </cell>
          <cell r="C476">
            <v>0</v>
          </cell>
          <cell r="D476">
            <v>10</v>
          </cell>
          <cell r="E476">
            <v>0</v>
          </cell>
          <cell r="F476">
            <v>10</v>
          </cell>
          <cell r="G476">
            <v>0</v>
          </cell>
          <cell r="H476">
            <v>0</v>
          </cell>
          <cell r="I476">
            <v>0</v>
          </cell>
          <cell r="J476">
            <v>0</v>
          </cell>
          <cell r="K476">
            <v>0</v>
          </cell>
          <cell r="L476">
            <v>0</v>
          </cell>
          <cell r="M476">
            <v>0</v>
          </cell>
        </row>
        <row r="477">
          <cell r="A477" t="str">
            <v>GW-IUHM-PAW-OR-L</v>
          </cell>
          <cell r="B477">
            <v>0</v>
          </cell>
          <cell r="C477">
            <v>0</v>
          </cell>
          <cell r="D477">
            <v>10</v>
          </cell>
          <cell r="E477">
            <v>0</v>
          </cell>
          <cell r="F477">
            <v>10</v>
          </cell>
          <cell r="G477">
            <v>0</v>
          </cell>
          <cell r="H477">
            <v>0</v>
          </cell>
          <cell r="I477">
            <v>0</v>
          </cell>
          <cell r="J477">
            <v>0</v>
          </cell>
          <cell r="K477">
            <v>0</v>
          </cell>
          <cell r="L477">
            <v>0</v>
          </cell>
          <cell r="M477">
            <v>0</v>
          </cell>
        </row>
        <row r="478">
          <cell r="A478" t="str">
            <v>GW-IUHM-PAW-OR-M</v>
          </cell>
          <cell r="B478">
            <v>0</v>
          </cell>
          <cell r="C478">
            <v>0</v>
          </cell>
          <cell r="D478">
            <v>10</v>
          </cell>
          <cell r="E478">
            <v>0</v>
          </cell>
          <cell r="F478">
            <v>10</v>
          </cell>
          <cell r="G478">
            <v>0</v>
          </cell>
          <cell r="H478">
            <v>0</v>
          </cell>
          <cell r="I478">
            <v>0</v>
          </cell>
          <cell r="J478">
            <v>0</v>
          </cell>
          <cell r="K478">
            <v>0</v>
          </cell>
          <cell r="L478">
            <v>0</v>
          </cell>
          <cell r="M478">
            <v>0</v>
          </cell>
        </row>
        <row r="479">
          <cell r="A479" t="str">
            <v>GW-IUHM-PAW-OR-S</v>
          </cell>
          <cell r="B479">
            <v>0</v>
          </cell>
          <cell r="C479">
            <v>0</v>
          </cell>
          <cell r="D479">
            <v>20</v>
          </cell>
          <cell r="E479">
            <v>0</v>
          </cell>
          <cell r="F479">
            <v>20</v>
          </cell>
          <cell r="G479">
            <v>0</v>
          </cell>
          <cell r="H479">
            <v>0</v>
          </cell>
          <cell r="I479">
            <v>0</v>
          </cell>
          <cell r="J479">
            <v>0</v>
          </cell>
          <cell r="K479">
            <v>0</v>
          </cell>
          <cell r="L479">
            <v>0</v>
          </cell>
          <cell r="M479">
            <v>0</v>
          </cell>
        </row>
        <row r="480">
          <cell r="A480" t="str">
            <v>GW-IUHM-PAW-OR-XL</v>
          </cell>
          <cell r="B480">
            <v>0</v>
          </cell>
          <cell r="C480">
            <v>0</v>
          </cell>
          <cell r="D480">
            <v>10</v>
          </cell>
          <cell r="E480">
            <v>0</v>
          </cell>
          <cell r="F480">
            <v>10</v>
          </cell>
          <cell r="G480">
            <v>0</v>
          </cell>
          <cell r="H480">
            <v>0</v>
          </cell>
          <cell r="I480">
            <v>0</v>
          </cell>
          <cell r="J480">
            <v>0</v>
          </cell>
          <cell r="K480">
            <v>0</v>
          </cell>
          <cell r="L480">
            <v>0</v>
          </cell>
          <cell r="M480">
            <v>0</v>
          </cell>
        </row>
        <row r="481">
          <cell r="A481" t="str">
            <v>GW-IUHM-PAW-PK-L</v>
          </cell>
          <cell r="B481">
            <v>0</v>
          </cell>
          <cell r="C481">
            <v>0</v>
          </cell>
          <cell r="D481">
            <v>10</v>
          </cell>
          <cell r="E481">
            <v>0</v>
          </cell>
          <cell r="F481">
            <v>10</v>
          </cell>
          <cell r="G481">
            <v>0</v>
          </cell>
          <cell r="H481">
            <v>0</v>
          </cell>
          <cell r="I481">
            <v>0</v>
          </cell>
          <cell r="J481">
            <v>0</v>
          </cell>
          <cell r="K481">
            <v>0</v>
          </cell>
          <cell r="L481">
            <v>0</v>
          </cell>
          <cell r="M481">
            <v>0</v>
          </cell>
        </row>
        <row r="482">
          <cell r="A482" t="str">
            <v>GW-IUHM-PAW-PK-M</v>
          </cell>
          <cell r="B482">
            <v>0</v>
          </cell>
          <cell r="C482">
            <v>0</v>
          </cell>
          <cell r="D482">
            <v>10</v>
          </cell>
          <cell r="E482">
            <v>0</v>
          </cell>
          <cell r="F482">
            <v>10</v>
          </cell>
          <cell r="G482">
            <v>0</v>
          </cell>
          <cell r="H482">
            <v>0</v>
          </cell>
          <cell r="I482">
            <v>0</v>
          </cell>
          <cell r="J482">
            <v>0</v>
          </cell>
          <cell r="K482">
            <v>0</v>
          </cell>
          <cell r="L482">
            <v>0</v>
          </cell>
          <cell r="M482">
            <v>0</v>
          </cell>
        </row>
        <row r="483">
          <cell r="A483" t="str">
            <v>GW-IUHM-PAW-PK-S</v>
          </cell>
          <cell r="B483">
            <v>0</v>
          </cell>
          <cell r="C483">
            <v>0</v>
          </cell>
          <cell r="D483">
            <v>20</v>
          </cell>
          <cell r="E483">
            <v>0</v>
          </cell>
          <cell r="F483">
            <v>20</v>
          </cell>
          <cell r="G483">
            <v>0</v>
          </cell>
          <cell r="H483">
            <v>0</v>
          </cell>
          <cell r="I483">
            <v>0</v>
          </cell>
          <cell r="J483">
            <v>0</v>
          </cell>
          <cell r="K483">
            <v>0</v>
          </cell>
          <cell r="L483">
            <v>0</v>
          </cell>
          <cell r="M483">
            <v>0</v>
          </cell>
        </row>
        <row r="484">
          <cell r="A484" t="str">
            <v>GW-IUHM-PAW-PK-XL</v>
          </cell>
          <cell r="B484">
            <v>0</v>
          </cell>
          <cell r="C484">
            <v>0</v>
          </cell>
          <cell r="D484">
            <v>10</v>
          </cell>
          <cell r="E484">
            <v>0</v>
          </cell>
          <cell r="F484">
            <v>10</v>
          </cell>
          <cell r="G484">
            <v>0</v>
          </cell>
          <cell r="H484">
            <v>0</v>
          </cell>
          <cell r="I484">
            <v>0</v>
          </cell>
          <cell r="J484">
            <v>0</v>
          </cell>
          <cell r="K484">
            <v>0</v>
          </cell>
          <cell r="L484">
            <v>0</v>
          </cell>
          <cell r="M484">
            <v>0</v>
          </cell>
        </row>
        <row r="485">
          <cell r="A485" t="str">
            <v>HZB-QJTZ-IUYL300310</v>
          </cell>
          <cell r="B485">
            <v>0</v>
          </cell>
          <cell r="C485">
            <v>0</v>
          </cell>
          <cell r="D485">
            <v>0</v>
          </cell>
          <cell r="E485">
            <v>0</v>
          </cell>
          <cell r="F485">
            <v>0</v>
          </cell>
          <cell r="G485">
            <v>0</v>
          </cell>
          <cell r="H485">
            <v>0</v>
          </cell>
          <cell r="I485">
            <v>0</v>
          </cell>
          <cell r="J485">
            <v>0</v>
          </cell>
          <cell r="K485">
            <v>0</v>
          </cell>
          <cell r="L485">
            <v>0</v>
          </cell>
          <cell r="M485">
            <v>0</v>
          </cell>
        </row>
        <row r="486">
          <cell r="A486" t="str">
            <v>KZ-LY021-BK-38</v>
          </cell>
          <cell r="B486">
            <v>0</v>
          </cell>
          <cell r="C486">
            <v>0</v>
          </cell>
          <cell r="D486">
            <v>0</v>
          </cell>
          <cell r="E486">
            <v>0</v>
          </cell>
          <cell r="F486">
            <v>0</v>
          </cell>
          <cell r="G486">
            <v>0</v>
          </cell>
          <cell r="H486">
            <v>0</v>
          </cell>
          <cell r="I486">
            <v>0</v>
          </cell>
          <cell r="J486">
            <v>0</v>
          </cell>
          <cell r="K486">
            <v>0</v>
          </cell>
          <cell r="L486">
            <v>0</v>
          </cell>
          <cell r="M486">
            <v>0</v>
          </cell>
        </row>
        <row r="487">
          <cell r="A487" t="str">
            <v>KZ-LY021-BL-36</v>
          </cell>
          <cell r="B487">
            <v>0</v>
          </cell>
          <cell r="C487">
            <v>0</v>
          </cell>
          <cell r="D487">
            <v>0</v>
          </cell>
          <cell r="E487">
            <v>0</v>
          </cell>
          <cell r="F487">
            <v>0</v>
          </cell>
          <cell r="G487">
            <v>0</v>
          </cell>
          <cell r="H487">
            <v>0</v>
          </cell>
          <cell r="I487">
            <v>0</v>
          </cell>
          <cell r="J487">
            <v>0</v>
          </cell>
          <cell r="K487">
            <v>0</v>
          </cell>
          <cell r="L487">
            <v>0</v>
          </cell>
          <cell r="M487">
            <v>0</v>
          </cell>
        </row>
        <row r="488">
          <cell r="A488" t="str">
            <v>KZ-LY021-KK-32</v>
          </cell>
          <cell r="B488">
            <v>0</v>
          </cell>
          <cell r="C488">
            <v>0</v>
          </cell>
          <cell r="D488">
            <v>0</v>
          </cell>
          <cell r="E488">
            <v>0</v>
          </cell>
          <cell r="F488">
            <v>0</v>
          </cell>
          <cell r="G488">
            <v>0</v>
          </cell>
          <cell r="H488">
            <v>0</v>
          </cell>
          <cell r="I488">
            <v>0</v>
          </cell>
          <cell r="J488">
            <v>0</v>
          </cell>
          <cell r="K488">
            <v>0</v>
          </cell>
          <cell r="L488">
            <v>0</v>
          </cell>
          <cell r="M488">
            <v>0</v>
          </cell>
        </row>
        <row r="489">
          <cell r="A489" t="str">
            <v>KZ-LY021-NY-32</v>
          </cell>
          <cell r="B489">
            <v>0</v>
          </cell>
          <cell r="C489">
            <v>0</v>
          </cell>
          <cell r="D489">
            <v>0</v>
          </cell>
          <cell r="E489">
            <v>0</v>
          </cell>
          <cell r="F489">
            <v>0</v>
          </cell>
          <cell r="G489">
            <v>0</v>
          </cell>
          <cell r="H489">
            <v>0</v>
          </cell>
          <cell r="I489">
            <v>0</v>
          </cell>
          <cell r="J489">
            <v>0</v>
          </cell>
          <cell r="K489">
            <v>0</v>
          </cell>
          <cell r="L489">
            <v>0</v>
          </cell>
          <cell r="M489">
            <v>0</v>
          </cell>
        </row>
        <row r="490">
          <cell r="A490" t="str">
            <v>LGQ-IUYL100-RD</v>
          </cell>
          <cell r="B490">
            <v>0</v>
          </cell>
          <cell r="C490">
            <v>0</v>
          </cell>
          <cell r="D490">
            <v>15</v>
          </cell>
          <cell r="E490">
            <v>0</v>
          </cell>
          <cell r="F490">
            <v>15</v>
          </cell>
          <cell r="G490">
            <v>0</v>
          </cell>
          <cell r="H490">
            <v>0</v>
          </cell>
          <cell r="I490">
            <v>0</v>
          </cell>
          <cell r="J490">
            <v>0</v>
          </cell>
          <cell r="K490">
            <v>0</v>
          </cell>
          <cell r="L490">
            <v>0</v>
          </cell>
          <cell r="M490">
            <v>0</v>
          </cell>
        </row>
        <row r="491">
          <cell r="A491" t="str">
            <v>LYQ-WF7125-BO-M</v>
          </cell>
          <cell r="B491">
            <v>0</v>
          </cell>
          <cell r="C491">
            <v>0</v>
          </cell>
          <cell r="D491">
            <v>0</v>
          </cell>
          <cell r="E491">
            <v>0</v>
          </cell>
          <cell r="F491">
            <v>0</v>
          </cell>
          <cell r="G491">
            <v>0</v>
          </cell>
          <cell r="H491">
            <v>0</v>
          </cell>
          <cell r="I491">
            <v>0</v>
          </cell>
          <cell r="J491">
            <v>0</v>
          </cell>
          <cell r="K491">
            <v>0</v>
          </cell>
          <cell r="L491">
            <v>0</v>
          </cell>
          <cell r="M491">
            <v>0</v>
          </cell>
        </row>
        <row r="492">
          <cell r="A492" t="str">
            <v>LYQ-WF7125-WO-M</v>
          </cell>
          <cell r="B492">
            <v>0</v>
          </cell>
          <cell r="C492">
            <v>0</v>
          </cell>
          <cell r="D492">
            <v>0</v>
          </cell>
          <cell r="E492">
            <v>0</v>
          </cell>
          <cell r="F492">
            <v>0</v>
          </cell>
          <cell r="G492">
            <v>0</v>
          </cell>
          <cell r="H492">
            <v>0</v>
          </cell>
          <cell r="I492">
            <v>0</v>
          </cell>
          <cell r="J492">
            <v>0</v>
          </cell>
          <cell r="K492">
            <v>0</v>
          </cell>
          <cell r="L492">
            <v>0</v>
          </cell>
          <cell r="M492">
            <v>0</v>
          </cell>
        </row>
        <row r="493">
          <cell r="A493" t="str">
            <v>LYQ-WF7125-WO-XL</v>
          </cell>
          <cell r="B493">
            <v>0</v>
          </cell>
          <cell r="C493">
            <v>0</v>
          </cell>
          <cell r="D493">
            <v>0</v>
          </cell>
          <cell r="E493">
            <v>0</v>
          </cell>
          <cell r="F493">
            <v>0</v>
          </cell>
          <cell r="G493">
            <v>0</v>
          </cell>
          <cell r="H493">
            <v>0</v>
          </cell>
          <cell r="I493">
            <v>0</v>
          </cell>
          <cell r="J493">
            <v>0</v>
          </cell>
          <cell r="K493">
            <v>0</v>
          </cell>
          <cell r="L493">
            <v>0</v>
          </cell>
          <cell r="M493">
            <v>0</v>
          </cell>
        </row>
        <row r="494">
          <cell r="A494" t="str">
            <v>MJ-IUYL230-BL-L</v>
          </cell>
          <cell r="B494">
            <v>0</v>
          </cell>
          <cell r="C494">
            <v>0</v>
          </cell>
          <cell r="D494">
            <v>0</v>
          </cell>
          <cell r="E494">
            <v>10</v>
          </cell>
          <cell r="F494">
            <v>10</v>
          </cell>
          <cell r="G494">
            <v>0</v>
          </cell>
          <cell r="H494">
            <v>0</v>
          </cell>
          <cell r="I494">
            <v>0</v>
          </cell>
          <cell r="J494">
            <v>0</v>
          </cell>
          <cell r="K494">
            <v>0</v>
          </cell>
          <cell r="L494">
            <v>0</v>
          </cell>
          <cell r="M494">
            <v>0</v>
          </cell>
        </row>
        <row r="495">
          <cell r="A495" t="str">
            <v>MY-PUHM001-OR-10</v>
          </cell>
          <cell r="B495">
            <v>0</v>
          </cell>
          <cell r="C495">
            <v>0</v>
          </cell>
          <cell r="D495">
            <v>0</v>
          </cell>
          <cell r="E495">
            <v>0</v>
          </cell>
          <cell r="F495">
            <v>0</v>
          </cell>
          <cell r="G495">
            <v>0</v>
          </cell>
          <cell r="H495">
            <v>0</v>
          </cell>
          <cell r="I495">
            <v>0</v>
          </cell>
          <cell r="J495">
            <v>0</v>
          </cell>
          <cell r="K495">
            <v>0</v>
          </cell>
          <cell r="L495">
            <v>0</v>
          </cell>
          <cell r="M495">
            <v>0</v>
          </cell>
        </row>
        <row r="496">
          <cell r="A496" t="str">
            <v>MY-PUHM001-OR-12</v>
          </cell>
          <cell r="B496">
            <v>0</v>
          </cell>
          <cell r="C496">
            <v>0</v>
          </cell>
          <cell r="D496">
            <v>0</v>
          </cell>
          <cell r="E496">
            <v>0</v>
          </cell>
          <cell r="F496">
            <v>0</v>
          </cell>
          <cell r="G496">
            <v>0</v>
          </cell>
          <cell r="H496">
            <v>0</v>
          </cell>
          <cell r="I496">
            <v>0</v>
          </cell>
          <cell r="J496">
            <v>0</v>
          </cell>
          <cell r="K496">
            <v>0</v>
          </cell>
          <cell r="L496">
            <v>0</v>
          </cell>
          <cell r="M496">
            <v>0</v>
          </cell>
        </row>
        <row r="497">
          <cell r="A497" t="str">
            <v>MY-PUHM001-OR-14</v>
          </cell>
          <cell r="B497">
            <v>0</v>
          </cell>
          <cell r="C497">
            <v>0</v>
          </cell>
          <cell r="D497">
            <v>0</v>
          </cell>
          <cell r="E497">
            <v>0</v>
          </cell>
          <cell r="F497">
            <v>0</v>
          </cell>
          <cell r="G497">
            <v>0</v>
          </cell>
          <cell r="H497">
            <v>0</v>
          </cell>
          <cell r="I497">
            <v>0</v>
          </cell>
          <cell r="J497">
            <v>0</v>
          </cell>
          <cell r="K497">
            <v>0</v>
          </cell>
          <cell r="L497">
            <v>0</v>
          </cell>
          <cell r="M497">
            <v>0</v>
          </cell>
        </row>
        <row r="498">
          <cell r="A498" t="str">
            <v>MY-PUHM001-OR-16</v>
          </cell>
          <cell r="B498">
            <v>0</v>
          </cell>
          <cell r="C498">
            <v>0</v>
          </cell>
          <cell r="D498">
            <v>0</v>
          </cell>
          <cell r="E498">
            <v>0</v>
          </cell>
          <cell r="F498">
            <v>0</v>
          </cell>
          <cell r="G498">
            <v>0</v>
          </cell>
          <cell r="H498">
            <v>0</v>
          </cell>
          <cell r="I498">
            <v>0</v>
          </cell>
          <cell r="J498">
            <v>0</v>
          </cell>
          <cell r="K498">
            <v>0</v>
          </cell>
          <cell r="L498">
            <v>0</v>
          </cell>
          <cell r="M498">
            <v>0</v>
          </cell>
        </row>
        <row r="499">
          <cell r="A499" t="str">
            <v>MY-PUHM001-OR-20</v>
          </cell>
          <cell r="B499">
            <v>0</v>
          </cell>
          <cell r="C499">
            <v>0</v>
          </cell>
          <cell r="D499">
            <v>0</v>
          </cell>
          <cell r="E499">
            <v>0</v>
          </cell>
          <cell r="F499">
            <v>0</v>
          </cell>
          <cell r="G499">
            <v>0</v>
          </cell>
          <cell r="H499">
            <v>0</v>
          </cell>
          <cell r="I499">
            <v>0</v>
          </cell>
          <cell r="J499">
            <v>0</v>
          </cell>
          <cell r="K499">
            <v>0</v>
          </cell>
          <cell r="L499">
            <v>0</v>
          </cell>
          <cell r="M499">
            <v>0</v>
          </cell>
        </row>
        <row r="500">
          <cell r="A500" t="str">
            <v>MY-PUHM001-OR-24</v>
          </cell>
          <cell r="B500">
            <v>0</v>
          </cell>
          <cell r="C500">
            <v>0</v>
          </cell>
          <cell r="D500">
            <v>0</v>
          </cell>
          <cell r="E500">
            <v>0</v>
          </cell>
          <cell r="F500">
            <v>0</v>
          </cell>
          <cell r="G500">
            <v>0</v>
          </cell>
          <cell r="H500">
            <v>0</v>
          </cell>
          <cell r="I500">
            <v>0</v>
          </cell>
          <cell r="J500">
            <v>0</v>
          </cell>
          <cell r="K500">
            <v>0</v>
          </cell>
          <cell r="L500">
            <v>0</v>
          </cell>
          <cell r="M500">
            <v>0</v>
          </cell>
        </row>
        <row r="501">
          <cell r="A501" t="str">
            <v>MY-PUHM001-OR-28</v>
          </cell>
          <cell r="B501">
            <v>0</v>
          </cell>
          <cell r="C501">
            <v>0</v>
          </cell>
          <cell r="D501">
            <v>0</v>
          </cell>
          <cell r="E501">
            <v>0</v>
          </cell>
          <cell r="F501">
            <v>0</v>
          </cell>
          <cell r="G501">
            <v>0</v>
          </cell>
          <cell r="H501">
            <v>0</v>
          </cell>
          <cell r="I501">
            <v>0</v>
          </cell>
          <cell r="J501">
            <v>0</v>
          </cell>
          <cell r="K501">
            <v>0</v>
          </cell>
          <cell r="L501">
            <v>0</v>
          </cell>
          <cell r="M501">
            <v>0</v>
          </cell>
        </row>
        <row r="502">
          <cell r="A502" t="str">
            <v>MY-PUHM001-OR-8</v>
          </cell>
          <cell r="B502">
            <v>0</v>
          </cell>
          <cell r="C502">
            <v>0</v>
          </cell>
          <cell r="D502">
            <v>0</v>
          </cell>
          <cell r="E502">
            <v>0</v>
          </cell>
          <cell r="F502">
            <v>0</v>
          </cell>
          <cell r="G502">
            <v>0</v>
          </cell>
          <cell r="H502">
            <v>0</v>
          </cell>
          <cell r="I502">
            <v>0</v>
          </cell>
          <cell r="J502">
            <v>0</v>
          </cell>
          <cell r="K502">
            <v>0</v>
          </cell>
          <cell r="L502">
            <v>0</v>
          </cell>
          <cell r="M502">
            <v>0</v>
          </cell>
        </row>
        <row r="503">
          <cell r="A503" t="str">
            <v>MY-PUHM001-R0-10</v>
          </cell>
          <cell r="B503">
            <v>0</v>
          </cell>
          <cell r="C503">
            <v>0</v>
          </cell>
          <cell r="D503">
            <v>0</v>
          </cell>
          <cell r="E503">
            <v>0</v>
          </cell>
          <cell r="F503">
            <v>0</v>
          </cell>
          <cell r="G503">
            <v>0</v>
          </cell>
          <cell r="H503">
            <v>0</v>
          </cell>
          <cell r="I503">
            <v>0</v>
          </cell>
          <cell r="J503">
            <v>0</v>
          </cell>
          <cell r="K503">
            <v>0</v>
          </cell>
          <cell r="L503">
            <v>0</v>
          </cell>
          <cell r="M503">
            <v>0</v>
          </cell>
        </row>
        <row r="504">
          <cell r="A504" t="str">
            <v>MY-PUHM001-R0-12</v>
          </cell>
          <cell r="B504">
            <v>0</v>
          </cell>
          <cell r="C504">
            <v>0</v>
          </cell>
          <cell r="D504">
            <v>0</v>
          </cell>
          <cell r="E504">
            <v>0</v>
          </cell>
          <cell r="F504">
            <v>0</v>
          </cell>
          <cell r="G504">
            <v>0</v>
          </cell>
          <cell r="H504">
            <v>0</v>
          </cell>
          <cell r="I504">
            <v>0</v>
          </cell>
          <cell r="J504">
            <v>0</v>
          </cell>
          <cell r="K504">
            <v>0</v>
          </cell>
          <cell r="L504">
            <v>0</v>
          </cell>
          <cell r="M504">
            <v>0</v>
          </cell>
        </row>
        <row r="505">
          <cell r="A505" t="str">
            <v>MY-PUHM001-R0-14</v>
          </cell>
          <cell r="B505">
            <v>0</v>
          </cell>
          <cell r="C505">
            <v>0</v>
          </cell>
          <cell r="D505">
            <v>0</v>
          </cell>
          <cell r="E505">
            <v>0</v>
          </cell>
          <cell r="F505">
            <v>0</v>
          </cell>
          <cell r="G505">
            <v>0</v>
          </cell>
          <cell r="H505">
            <v>0</v>
          </cell>
          <cell r="I505">
            <v>0</v>
          </cell>
          <cell r="J505">
            <v>0</v>
          </cell>
          <cell r="K505">
            <v>0</v>
          </cell>
          <cell r="L505">
            <v>0</v>
          </cell>
          <cell r="M505">
            <v>0</v>
          </cell>
        </row>
        <row r="506">
          <cell r="A506" t="str">
            <v>MY-PUHM001-R0-16</v>
          </cell>
          <cell r="B506">
            <v>0</v>
          </cell>
          <cell r="C506">
            <v>0</v>
          </cell>
          <cell r="D506">
            <v>0</v>
          </cell>
          <cell r="E506">
            <v>0</v>
          </cell>
          <cell r="F506">
            <v>0</v>
          </cell>
          <cell r="G506">
            <v>0</v>
          </cell>
          <cell r="H506">
            <v>0</v>
          </cell>
          <cell r="I506">
            <v>0</v>
          </cell>
          <cell r="J506">
            <v>0</v>
          </cell>
          <cell r="K506">
            <v>0</v>
          </cell>
          <cell r="L506">
            <v>0</v>
          </cell>
          <cell r="M506">
            <v>0</v>
          </cell>
        </row>
        <row r="507">
          <cell r="A507" t="str">
            <v>MY-PUHM001-R0-20</v>
          </cell>
          <cell r="B507">
            <v>0</v>
          </cell>
          <cell r="C507">
            <v>0</v>
          </cell>
          <cell r="D507">
            <v>0</v>
          </cell>
          <cell r="E507">
            <v>0</v>
          </cell>
          <cell r="F507">
            <v>0</v>
          </cell>
          <cell r="G507">
            <v>0</v>
          </cell>
          <cell r="H507">
            <v>0</v>
          </cell>
          <cell r="I507">
            <v>0</v>
          </cell>
          <cell r="J507">
            <v>0</v>
          </cell>
          <cell r="K507">
            <v>0</v>
          </cell>
          <cell r="L507">
            <v>0</v>
          </cell>
          <cell r="M507">
            <v>0</v>
          </cell>
        </row>
        <row r="508">
          <cell r="A508" t="str">
            <v>MY-PUHM001-R0-24</v>
          </cell>
          <cell r="B508">
            <v>0</v>
          </cell>
          <cell r="C508">
            <v>0</v>
          </cell>
          <cell r="D508">
            <v>0</v>
          </cell>
          <cell r="E508">
            <v>0</v>
          </cell>
          <cell r="F508">
            <v>0</v>
          </cell>
          <cell r="G508">
            <v>0</v>
          </cell>
          <cell r="H508">
            <v>0</v>
          </cell>
          <cell r="I508">
            <v>0</v>
          </cell>
          <cell r="J508">
            <v>0</v>
          </cell>
          <cell r="K508">
            <v>0</v>
          </cell>
          <cell r="L508">
            <v>0</v>
          </cell>
          <cell r="M508">
            <v>0</v>
          </cell>
        </row>
        <row r="509">
          <cell r="A509" t="str">
            <v>MY-PUHM001-R0-28</v>
          </cell>
          <cell r="B509">
            <v>0</v>
          </cell>
          <cell r="C509">
            <v>0</v>
          </cell>
          <cell r="D509">
            <v>0</v>
          </cell>
          <cell r="E509">
            <v>0</v>
          </cell>
          <cell r="F509">
            <v>0</v>
          </cell>
          <cell r="G509">
            <v>0</v>
          </cell>
          <cell r="H509">
            <v>0</v>
          </cell>
          <cell r="I509">
            <v>0</v>
          </cell>
          <cell r="J509">
            <v>0</v>
          </cell>
          <cell r="K509">
            <v>0</v>
          </cell>
          <cell r="L509">
            <v>0</v>
          </cell>
          <cell r="M509">
            <v>0</v>
          </cell>
        </row>
        <row r="510">
          <cell r="A510" t="str">
            <v>MY-PUHM001-R0-8</v>
          </cell>
          <cell r="B510">
            <v>0</v>
          </cell>
          <cell r="C510">
            <v>0</v>
          </cell>
          <cell r="D510">
            <v>0</v>
          </cell>
          <cell r="E510">
            <v>0</v>
          </cell>
          <cell r="F510">
            <v>0</v>
          </cell>
          <cell r="G510">
            <v>0</v>
          </cell>
          <cell r="H510">
            <v>0</v>
          </cell>
          <cell r="I510">
            <v>0</v>
          </cell>
          <cell r="J510">
            <v>0</v>
          </cell>
          <cell r="K510">
            <v>0</v>
          </cell>
          <cell r="L510">
            <v>0</v>
          </cell>
          <cell r="M510">
            <v>0</v>
          </cell>
        </row>
        <row r="511">
          <cell r="A511" t="str">
            <v>MY-PUHM001-ZL-10</v>
          </cell>
          <cell r="B511">
            <v>0</v>
          </cell>
          <cell r="C511">
            <v>0</v>
          </cell>
          <cell r="D511">
            <v>0</v>
          </cell>
          <cell r="E511">
            <v>0</v>
          </cell>
          <cell r="F511">
            <v>0</v>
          </cell>
          <cell r="G511">
            <v>0</v>
          </cell>
          <cell r="H511">
            <v>0</v>
          </cell>
          <cell r="I511">
            <v>0</v>
          </cell>
          <cell r="J511">
            <v>0</v>
          </cell>
          <cell r="K511">
            <v>0</v>
          </cell>
          <cell r="L511">
            <v>0</v>
          </cell>
          <cell r="M511">
            <v>0</v>
          </cell>
        </row>
        <row r="512">
          <cell r="A512" t="str">
            <v>MY-PUHM001-ZL-12</v>
          </cell>
          <cell r="B512">
            <v>0</v>
          </cell>
          <cell r="C512">
            <v>0</v>
          </cell>
          <cell r="D512">
            <v>0</v>
          </cell>
          <cell r="E512">
            <v>0</v>
          </cell>
          <cell r="F512">
            <v>0</v>
          </cell>
          <cell r="G512">
            <v>0</v>
          </cell>
          <cell r="H512">
            <v>0</v>
          </cell>
          <cell r="I512">
            <v>0</v>
          </cell>
          <cell r="J512">
            <v>0</v>
          </cell>
          <cell r="K512">
            <v>0</v>
          </cell>
          <cell r="L512">
            <v>0</v>
          </cell>
          <cell r="M512">
            <v>0</v>
          </cell>
        </row>
        <row r="513">
          <cell r="A513" t="str">
            <v>MY-PUHM001-ZL-14</v>
          </cell>
          <cell r="B513">
            <v>0</v>
          </cell>
          <cell r="C513">
            <v>0</v>
          </cell>
          <cell r="D513">
            <v>0</v>
          </cell>
          <cell r="E513">
            <v>0</v>
          </cell>
          <cell r="F513">
            <v>0</v>
          </cell>
          <cell r="G513">
            <v>0</v>
          </cell>
          <cell r="H513">
            <v>0</v>
          </cell>
          <cell r="I513">
            <v>0</v>
          </cell>
          <cell r="J513">
            <v>0</v>
          </cell>
          <cell r="K513">
            <v>0</v>
          </cell>
          <cell r="L513">
            <v>0</v>
          </cell>
          <cell r="M513">
            <v>0</v>
          </cell>
        </row>
        <row r="514">
          <cell r="A514" t="str">
            <v>MY-PUHM001-ZL-16</v>
          </cell>
          <cell r="B514">
            <v>0</v>
          </cell>
          <cell r="C514">
            <v>0</v>
          </cell>
          <cell r="D514">
            <v>0</v>
          </cell>
          <cell r="E514">
            <v>0</v>
          </cell>
          <cell r="F514">
            <v>0</v>
          </cell>
          <cell r="G514">
            <v>0</v>
          </cell>
          <cell r="H514">
            <v>0</v>
          </cell>
          <cell r="I514">
            <v>0</v>
          </cell>
          <cell r="J514">
            <v>0</v>
          </cell>
          <cell r="K514">
            <v>0</v>
          </cell>
          <cell r="L514">
            <v>0</v>
          </cell>
          <cell r="M514">
            <v>0</v>
          </cell>
        </row>
        <row r="515">
          <cell r="A515" t="str">
            <v>MY-PUHM001-ZL-20</v>
          </cell>
          <cell r="B515">
            <v>0</v>
          </cell>
          <cell r="C515">
            <v>0</v>
          </cell>
          <cell r="D515">
            <v>0</v>
          </cell>
          <cell r="E515">
            <v>0</v>
          </cell>
          <cell r="F515">
            <v>0</v>
          </cell>
          <cell r="G515">
            <v>0</v>
          </cell>
          <cell r="H515">
            <v>0</v>
          </cell>
          <cell r="I515">
            <v>0</v>
          </cell>
          <cell r="J515">
            <v>0</v>
          </cell>
          <cell r="K515">
            <v>0</v>
          </cell>
          <cell r="L515">
            <v>0</v>
          </cell>
          <cell r="M515">
            <v>0</v>
          </cell>
        </row>
        <row r="516">
          <cell r="A516" t="str">
            <v>MY-PUHM001-ZL-24</v>
          </cell>
          <cell r="B516">
            <v>0</v>
          </cell>
          <cell r="C516">
            <v>0</v>
          </cell>
          <cell r="D516">
            <v>0</v>
          </cell>
          <cell r="E516">
            <v>0</v>
          </cell>
          <cell r="F516">
            <v>0</v>
          </cell>
          <cell r="G516">
            <v>0</v>
          </cell>
          <cell r="H516">
            <v>0</v>
          </cell>
          <cell r="I516">
            <v>0</v>
          </cell>
          <cell r="J516">
            <v>0</v>
          </cell>
          <cell r="K516">
            <v>0</v>
          </cell>
          <cell r="L516">
            <v>0</v>
          </cell>
          <cell r="M516">
            <v>0</v>
          </cell>
        </row>
        <row r="517">
          <cell r="A517" t="str">
            <v>MY-PUHM001-ZL-28</v>
          </cell>
          <cell r="B517">
            <v>0</v>
          </cell>
          <cell r="C517">
            <v>0</v>
          </cell>
          <cell r="D517">
            <v>0</v>
          </cell>
          <cell r="E517">
            <v>0</v>
          </cell>
          <cell r="F517">
            <v>0</v>
          </cell>
          <cell r="G517">
            <v>0</v>
          </cell>
          <cell r="H517">
            <v>0</v>
          </cell>
          <cell r="I517">
            <v>0</v>
          </cell>
          <cell r="J517">
            <v>0</v>
          </cell>
          <cell r="K517">
            <v>0</v>
          </cell>
          <cell r="L517">
            <v>0</v>
          </cell>
          <cell r="M517">
            <v>0</v>
          </cell>
        </row>
        <row r="518">
          <cell r="A518" t="str">
            <v>MY-PUHM001-ZL-8</v>
          </cell>
          <cell r="B518">
            <v>0</v>
          </cell>
          <cell r="C518">
            <v>0</v>
          </cell>
          <cell r="D518">
            <v>0</v>
          </cell>
          <cell r="E518">
            <v>0</v>
          </cell>
          <cell r="F518">
            <v>0</v>
          </cell>
          <cell r="G518">
            <v>0</v>
          </cell>
          <cell r="H518">
            <v>0</v>
          </cell>
          <cell r="I518">
            <v>0</v>
          </cell>
          <cell r="J518">
            <v>0</v>
          </cell>
          <cell r="K518">
            <v>0</v>
          </cell>
          <cell r="L518">
            <v>0</v>
          </cell>
          <cell r="M518">
            <v>0</v>
          </cell>
        </row>
        <row r="519">
          <cell r="A519" t="str">
            <v>MY-PUHM035-R0-L</v>
          </cell>
          <cell r="B519">
            <v>0</v>
          </cell>
          <cell r="C519">
            <v>0</v>
          </cell>
          <cell r="D519">
            <v>0</v>
          </cell>
          <cell r="E519">
            <v>0</v>
          </cell>
          <cell r="F519">
            <v>0</v>
          </cell>
          <cell r="G519">
            <v>0</v>
          </cell>
          <cell r="H519">
            <v>0</v>
          </cell>
          <cell r="I519">
            <v>0</v>
          </cell>
          <cell r="J519">
            <v>0</v>
          </cell>
          <cell r="K519">
            <v>0</v>
          </cell>
          <cell r="L519">
            <v>0</v>
          </cell>
          <cell r="M519">
            <v>0</v>
          </cell>
        </row>
        <row r="520">
          <cell r="A520" t="str">
            <v>MY-PUHM035-R0-M</v>
          </cell>
          <cell r="B520">
            <v>0</v>
          </cell>
          <cell r="C520">
            <v>0</v>
          </cell>
          <cell r="D520">
            <v>0</v>
          </cell>
          <cell r="E520">
            <v>0</v>
          </cell>
          <cell r="F520">
            <v>0</v>
          </cell>
          <cell r="G520">
            <v>0</v>
          </cell>
          <cell r="H520">
            <v>0</v>
          </cell>
          <cell r="I520">
            <v>0</v>
          </cell>
          <cell r="J520">
            <v>0</v>
          </cell>
          <cell r="K520">
            <v>0</v>
          </cell>
          <cell r="L520">
            <v>0</v>
          </cell>
          <cell r="M520">
            <v>0</v>
          </cell>
        </row>
        <row r="521">
          <cell r="A521" t="str">
            <v>MY-PUHM035-R0-S</v>
          </cell>
          <cell r="B521">
            <v>0</v>
          </cell>
          <cell r="C521">
            <v>0</v>
          </cell>
          <cell r="D521">
            <v>0</v>
          </cell>
          <cell r="E521">
            <v>0</v>
          </cell>
          <cell r="F521">
            <v>0</v>
          </cell>
          <cell r="G521">
            <v>0</v>
          </cell>
          <cell r="H521">
            <v>0</v>
          </cell>
          <cell r="I521">
            <v>0</v>
          </cell>
          <cell r="J521">
            <v>0</v>
          </cell>
          <cell r="K521">
            <v>0</v>
          </cell>
          <cell r="L521">
            <v>0</v>
          </cell>
          <cell r="M521">
            <v>0</v>
          </cell>
        </row>
        <row r="522">
          <cell r="A522" t="str">
            <v>MY-PUHM035-R0-XL</v>
          </cell>
          <cell r="B522">
            <v>0</v>
          </cell>
          <cell r="C522">
            <v>0</v>
          </cell>
          <cell r="D522">
            <v>0</v>
          </cell>
          <cell r="E522">
            <v>0</v>
          </cell>
          <cell r="F522">
            <v>0</v>
          </cell>
          <cell r="G522">
            <v>0</v>
          </cell>
          <cell r="H522">
            <v>0</v>
          </cell>
          <cell r="I522">
            <v>0</v>
          </cell>
          <cell r="J522">
            <v>0</v>
          </cell>
          <cell r="K522">
            <v>0</v>
          </cell>
          <cell r="L522">
            <v>0</v>
          </cell>
          <cell r="M522">
            <v>0</v>
          </cell>
        </row>
        <row r="523">
          <cell r="A523" t="str">
            <v>MY-PUHM035-R0-XXL</v>
          </cell>
          <cell r="B523">
            <v>0</v>
          </cell>
          <cell r="C523">
            <v>0</v>
          </cell>
          <cell r="D523">
            <v>0</v>
          </cell>
          <cell r="E523">
            <v>0</v>
          </cell>
          <cell r="F523">
            <v>0</v>
          </cell>
          <cell r="G523">
            <v>0</v>
          </cell>
          <cell r="H523">
            <v>0</v>
          </cell>
          <cell r="I523">
            <v>0</v>
          </cell>
          <cell r="J523">
            <v>0</v>
          </cell>
          <cell r="K523">
            <v>0</v>
          </cell>
          <cell r="L523">
            <v>0</v>
          </cell>
          <cell r="M523">
            <v>0</v>
          </cell>
        </row>
        <row r="524">
          <cell r="A524" t="str">
            <v>MY-PUHM036-B0-L</v>
          </cell>
          <cell r="B524">
            <v>0</v>
          </cell>
          <cell r="C524">
            <v>0</v>
          </cell>
          <cell r="D524">
            <v>0</v>
          </cell>
          <cell r="E524">
            <v>0</v>
          </cell>
          <cell r="F524">
            <v>0</v>
          </cell>
          <cell r="G524">
            <v>0</v>
          </cell>
          <cell r="H524">
            <v>0</v>
          </cell>
          <cell r="I524">
            <v>0</v>
          </cell>
          <cell r="J524">
            <v>0</v>
          </cell>
          <cell r="K524">
            <v>0</v>
          </cell>
          <cell r="L524">
            <v>0</v>
          </cell>
          <cell r="M524">
            <v>0</v>
          </cell>
        </row>
        <row r="525">
          <cell r="A525" t="str">
            <v>MY-PUHM036-B0-M</v>
          </cell>
          <cell r="B525">
            <v>0</v>
          </cell>
          <cell r="C525">
            <v>0</v>
          </cell>
          <cell r="D525">
            <v>0</v>
          </cell>
          <cell r="E525">
            <v>0</v>
          </cell>
          <cell r="F525">
            <v>0</v>
          </cell>
          <cell r="G525">
            <v>0</v>
          </cell>
          <cell r="H525">
            <v>0</v>
          </cell>
          <cell r="I525">
            <v>0</v>
          </cell>
          <cell r="J525">
            <v>0</v>
          </cell>
          <cell r="K525">
            <v>0</v>
          </cell>
          <cell r="L525">
            <v>0</v>
          </cell>
          <cell r="M525">
            <v>0</v>
          </cell>
        </row>
        <row r="526">
          <cell r="A526" t="str">
            <v>MY-PUHM036-B0-S</v>
          </cell>
          <cell r="B526">
            <v>0</v>
          </cell>
          <cell r="C526">
            <v>0</v>
          </cell>
          <cell r="D526">
            <v>0</v>
          </cell>
          <cell r="E526">
            <v>0</v>
          </cell>
          <cell r="F526">
            <v>0</v>
          </cell>
          <cell r="G526">
            <v>0</v>
          </cell>
          <cell r="H526">
            <v>0</v>
          </cell>
          <cell r="I526">
            <v>0</v>
          </cell>
          <cell r="J526">
            <v>0</v>
          </cell>
          <cell r="K526">
            <v>0</v>
          </cell>
          <cell r="L526">
            <v>0</v>
          </cell>
          <cell r="M526">
            <v>0</v>
          </cell>
        </row>
        <row r="527">
          <cell r="A527" t="str">
            <v>MY-PUHM036-B0-XL</v>
          </cell>
          <cell r="B527">
            <v>0</v>
          </cell>
          <cell r="C527">
            <v>0</v>
          </cell>
          <cell r="D527">
            <v>0</v>
          </cell>
          <cell r="E527">
            <v>0</v>
          </cell>
          <cell r="F527">
            <v>0</v>
          </cell>
          <cell r="G527">
            <v>0</v>
          </cell>
          <cell r="H527">
            <v>0</v>
          </cell>
          <cell r="I527">
            <v>0</v>
          </cell>
          <cell r="J527">
            <v>0</v>
          </cell>
          <cell r="K527">
            <v>0</v>
          </cell>
          <cell r="L527">
            <v>0</v>
          </cell>
          <cell r="M527">
            <v>0</v>
          </cell>
        </row>
        <row r="528">
          <cell r="A528" t="str">
            <v>MY-PUHM036-B0-XXL</v>
          </cell>
          <cell r="B528">
            <v>0</v>
          </cell>
          <cell r="C528">
            <v>0</v>
          </cell>
          <cell r="D528">
            <v>0</v>
          </cell>
          <cell r="E528">
            <v>0</v>
          </cell>
          <cell r="F528">
            <v>0</v>
          </cell>
          <cell r="G528">
            <v>0</v>
          </cell>
          <cell r="H528">
            <v>0</v>
          </cell>
          <cell r="I528">
            <v>0</v>
          </cell>
          <cell r="J528">
            <v>0</v>
          </cell>
          <cell r="K528">
            <v>0</v>
          </cell>
          <cell r="L528">
            <v>0</v>
          </cell>
          <cell r="M528">
            <v>0</v>
          </cell>
        </row>
        <row r="529">
          <cell r="A529" t="str">
            <v>MY-PUHM582-B0-L</v>
          </cell>
          <cell r="B529">
            <v>0</v>
          </cell>
          <cell r="C529">
            <v>0</v>
          </cell>
          <cell r="D529">
            <v>0</v>
          </cell>
          <cell r="E529">
            <v>0</v>
          </cell>
          <cell r="F529">
            <v>0</v>
          </cell>
          <cell r="G529">
            <v>0</v>
          </cell>
          <cell r="H529">
            <v>0</v>
          </cell>
          <cell r="I529">
            <v>0</v>
          </cell>
          <cell r="J529">
            <v>0</v>
          </cell>
          <cell r="K529">
            <v>0</v>
          </cell>
          <cell r="L529">
            <v>0</v>
          </cell>
          <cell r="M529">
            <v>0</v>
          </cell>
        </row>
        <row r="530">
          <cell r="A530" t="str">
            <v>MY-PUHM582-B0-M</v>
          </cell>
          <cell r="B530">
            <v>0</v>
          </cell>
          <cell r="C530">
            <v>0</v>
          </cell>
          <cell r="D530">
            <v>0</v>
          </cell>
          <cell r="E530">
            <v>0</v>
          </cell>
          <cell r="F530">
            <v>0</v>
          </cell>
          <cell r="G530">
            <v>0</v>
          </cell>
          <cell r="H530">
            <v>0</v>
          </cell>
          <cell r="I530">
            <v>0</v>
          </cell>
          <cell r="J530">
            <v>0</v>
          </cell>
          <cell r="K530">
            <v>0</v>
          </cell>
          <cell r="L530">
            <v>0</v>
          </cell>
          <cell r="M530">
            <v>0</v>
          </cell>
        </row>
        <row r="531">
          <cell r="A531" t="str">
            <v>MY-PUHM582-B0-S</v>
          </cell>
          <cell r="B531">
            <v>0</v>
          </cell>
          <cell r="C531">
            <v>0</v>
          </cell>
          <cell r="D531">
            <v>0</v>
          </cell>
          <cell r="E531">
            <v>0</v>
          </cell>
          <cell r="F531">
            <v>0</v>
          </cell>
          <cell r="G531">
            <v>0</v>
          </cell>
          <cell r="H531">
            <v>0</v>
          </cell>
          <cell r="I531">
            <v>0</v>
          </cell>
          <cell r="J531">
            <v>0</v>
          </cell>
          <cell r="K531">
            <v>0</v>
          </cell>
          <cell r="L531">
            <v>0</v>
          </cell>
          <cell r="M531">
            <v>0</v>
          </cell>
        </row>
        <row r="532">
          <cell r="A532" t="str">
            <v>MY-PUHM582-B0-XL</v>
          </cell>
          <cell r="B532">
            <v>0</v>
          </cell>
          <cell r="C532">
            <v>0</v>
          </cell>
          <cell r="D532">
            <v>0</v>
          </cell>
          <cell r="E532">
            <v>0</v>
          </cell>
          <cell r="F532">
            <v>0</v>
          </cell>
          <cell r="G532">
            <v>0</v>
          </cell>
          <cell r="H532">
            <v>0</v>
          </cell>
          <cell r="I532">
            <v>0</v>
          </cell>
          <cell r="J532">
            <v>0</v>
          </cell>
          <cell r="K532">
            <v>0</v>
          </cell>
          <cell r="L532">
            <v>0</v>
          </cell>
          <cell r="M532">
            <v>0</v>
          </cell>
        </row>
        <row r="533">
          <cell r="A533" t="str">
            <v>MY-PUHM582-B0-XS</v>
          </cell>
          <cell r="B533">
            <v>0</v>
          </cell>
          <cell r="C533">
            <v>0</v>
          </cell>
          <cell r="D533">
            <v>0</v>
          </cell>
          <cell r="E533">
            <v>0</v>
          </cell>
          <cell r="F533">
            <v>0</v>
          </cell>
          <cell r="G533">
            <v>0</v>
          </cell>
          <cell r="H533">
            <v>0</v>
          </cell>
          <cell r="I533">
            <v>0</v>
          </cell>
          <cell r="J533">
            <v>0</v>
          </cell>
          <cell r="K533">
            <v>0</v>
          </cell>
          <cell r="L533">
            <v>0</v>
          </cell>
          <cell r="M533">
            <v>0</v>
          </cell>
        </row>
        <row r="534">
          <cell r="A534" t="str">
            <v>MY-PUHM582-R0-L</v>
          </cell>
          <cell r="B534">
            <v>0</v>
          </cell>
          <cell r="C534">
            <v>0</v>
          </cell>
          <cell r="D534">
            <v>0</v>
          </cell>
          <cell r="E534">
            <v>0</v>
          </cell>
          <cell r="F534">
            <v>0</v>
          </cell>
          <cell r="G534">
            <v>0</v>
          </cell>
          <cell r="H534">
            <v>0</v>
          </cell>
          <cell r="I534">
            <v>0</v>
          </cell>
          <cell r="J534">
            <v>0</v>
          </cell>
          <cell r="K534">
            <v>0</v>
          </cell>
          <cell r="L534">
            <v>0</v>
          </cell>
          <cell r="M534">
            <v>0</v>
          </cell>
        </row>
        <row r="535">
          <cell r="A535" t="str">
            <v>MY-PUHM582-R0-M</v>
          </cell>
          <cell r="B535">
            <v>0</v>
          </cell>
          <cell r="C535">
            <v>0</v>
          </cell>
          <cell r="D535">
            <v>0</v>
          </cell>
          <cell r="E535">
            <v>0</v>
          </cell>
          <cell r="F535">
            <v>0</v>
          </cell>
          <cell r="G535">
            <v>0</v>
          </cell>
          <cell r="H535">
            <v>0</v>
          </cell>
          <cell r="I535">
            <v>0</v>
          </cell>
          <cell r="J535">
            <v>0</v>
          </cell>
          <cell r="K535">
            <v>0</v>
          </cell>
          <cell r="L535">
            <v>0</v>
          </cell>
          <cell r="M535">
            <v>0</v>
          </cell>
        </row>
        <row r="536">
          <cell r="A536" t="str">
            <v>MY-PUHM582-R0-S</v>
          </cell>
          <cell r="B536">
            <v>0</v>
          </cell>
          <cell r="C536">
            <v>0</v>
          </cell>
          <cell r="D536">
            <v>0</v>
          </cell>
          <cell r="E536">
            <v>0</v>
          </cell>
          <cell r="F536">
            <v>0</v>
          </cell>
          <cell r="G536">
            <v>0</v>
          </cell>
          <cell r="H536">
            <v>0</v>
          </cell>
          <cell r="I536">
            <v>0</v>
          </cell>
          <cell r="J536">
            <v>0</v>
          </cell>
          <cell r="K536">
            <v>0</v>
          </cell>
          <cell r="L536">
            <v>0</v>
          </cell>
          <cell r="M536">
            <v>0</v>
          </cell>
        </row>
        <row r="537">
          <cell r="A537" t="str">
            <v>MY-PUHM582-R0-XL</v>
          </cell>
          <cell r="B537">
            <v>0</v>
          </cell>
          <cell r="C537">
            <v>0</v>
          </cell>
          <cell r="D537">
            <v>0</v>
          </cell>
          <cell r="E537">
            <v>0</v>
          </cell>
          <cell r="F537">
            <v>0</v>
          </cell>
          <cell r="G537">
            <v>0</v>
          </cell>
          <cell r="H537">
            <v>0</v>
          </cell>
          <cell r="I537">
            <v>0</v>
          </cell>
          <cell r="J537">
            <v>0</v>
          </cell>
          <cell r="K537">
            <v>0</v>
          </cell>
          <cell r="L537">
            <v>0</v>
          </cell>
          <cell r="M537">
            <v>0</v>
          </cell>
        </row>
        <row r="538">
          <cell r="A538" t="str">
            <v>MY-PUHM582-R0-XS</v>
          </cell>
          <cell r="B538">
            <v>0</v>
          </cell>
          <cell r="C538">
            <v>0</v>
          </cell>
          <cell r="D538">
            <v>0</v>
          </cell>
          <cell r="E538">
            <v>0</v>
          </cell>
          <cell r="F538">
            <v>0</v>
          </cell>
          <cell r="G538">
            <v>0</v>
          </cell>
          <cell r="H538">
            <v>0</v>
          </cell>
          <cell r="I538">
            <v>0</v>
          </cell>
          <cell r="J538">
            <v>0</v>
          </cell>
          <cell r="K538">
            <v>0</v>
          </cell>
          <cell r="L538">
            <v>0</v>
          </cell>
          <cell r="M538">
            <v>0</v>
          </cell>
        </row>
        <row r="539">
          <cell r="A539" t="str">
            <v>Pajamas-sb001-GR-L</v>
          </cell>
          <cell r="B539">
            <v>0</v>
          </cell>
          <cell r="C539">
            <v>2</v>
          </cell>
          <cell r="D539">
            <v>0</v>
          </cell>
          <cell r="E539">
            <v>0</v>
          </cell>
          <cell r="F539">
            <v>0</v>
          </cell>
          <cell r="G539">
            <v>0</v>
          </cell>
          <cell r="H539">
            <v>0</v>
          </cell>
          <cell r="I539">
            <v>0</v>
          </cell>
          <cell r="J539">
            <v>0</v>
          </cell>
          <cell r="K539">
            <v>0</v>
          </cell>
          <cell r="L539">
            <v>0</v>
          </cell>
          <cell r="M539">
            <v>0</v>
          </cell>
        </row>
        <row r="540">
          <cell r="A540" t="str">
            <v>Pajamas-sb001-GR-M</v>
          </cell>
          <cell r="B540">
            <v>0</v>
          </cell>
          <cell r="C540">
            <v>0</v>
          </cell>
          <cell r="D540">
            <v>0</v>
          </cell>
          <cell r="E540">
            <v>0</v>
          </cell>
          <cell r="F540">
            <v>0</v>
          </cell>
          <cell r="G540">
            <v>0</v>
          </cell>
          <cell r="H540">
            <v>0</v>
          </cell>
          <cell r="I540">
            <v>0</v>
          </cell>
          <cell r="J540">
            <v>0</v>
          </cell>
          <cell r="K540">
            <v>0</v>
          </cell>
          <cell r="L540">
            <v>0</v>
          </cell>
          <cell r="M540">
            <v>0</v>
          </cell>
        </row>
        <row r="541">
          <cell r="A541" t="str">
            <v>Pajamas-sb001-GR-XL</v>
          </cell>
          <cell r="B541">
            <v>0</v>
          </cell>
          <cell r="C541">
            <v>0</v>
          </cell>
          <cell r="D541">
            <v>0</v>
          </cell>
          <cell r="E541">
            <v>0</v>
          </cell>
          <cell r="F541">
            <v>0</v>
          </cell>
          <cell r="G541">
            <v>0</v>
          </cell>
          <cell r="H541">
            <v>0</v>
          </cell>
          <cell r="I541">
            <v>0</v>
          </cell>
          <cell r="J541">
            <v>0</v>
          </cell>
          <cell r="K541">
            <v>0</v>
          </cell>
          <cell r="L541">
            <v>0</v>
          </cell>
          <cell r="M541">
            <v>0</v>
          </cell>
        </row>
        <row r="542">
          <cell r="A542" t="str">
            <v>Pajamas-sb001-KK-L</v>
          </cell>
          <cell r="B542">
            <v>0</v>
          </cell>
          <cell r="C542">
            <v>1</v>
          </cell>
          <cell r="D542">
            <v>0</v>
          </cell>
          <cell r="E542">
            <v>0</v>
          </cell>
          <cell r="F542">
            <v>0</v>
          </cell>
          <cell r="G542">
            <v>0</v>
          </cell>
          <cell r="H542">
            <v>0</v>
          </cell>
          <cell r="I542">
            <v>0</v>
          </cell>
          <cell r="J542">
            <v>0</v>
          </cell>
          <cell r="K542">
            <v>0</v>
          </cell>
          <cell r="L542">
            <v>0</v>
          </cell>
          <cell r="M542">
            <v>0</v>
          </cell>
        </row>
        <row r="543">
          <cell r="A543" t="str">
            <v>Pajamas-sb001-KK-M</v>
          </cell>
          <cell r="B543">
            <v>0</v>
          </cell>
          <cell r="C543">
            <v>0</v>
          </cell>
          <cell r="D543">
            <v>0</v>
          </cell>
          <cell r="E543">
            <v>0</v>
          </cell>
          <cell r="F543">
            <v>0</v>
          </cell>
          <cell r="G543">
            <v>0</v>
          </cell>
          <cell r="H543">
            <v>0</v>
          </cell>
          <cell r="I543">
            <v>0</v>
          </cell>
          <cell r="J543">
            <v>0</v>
          </cell>
          <cell r="K543">
            <v>0</v>
          </cell>
          <cell r="L543">
            <v>0</v>
          </cell>
          <cell r="M543">
            <v>0</v>
          </cell>
        </row>
        <row r="544">
          <cell r="A544" t="str">
            <v>Pajamas-sb001-KK-XL</v>
          </cell>
          <cell r="B544">
            <v>0</v>
          </cell>
          <cell r="C544">
            <v>0</v>
          </cell>
          <cell r="D544">
            <v>0</v>
          </cell>
          <cell r="E544">
            <v>0</v>
          </cell>
          <cell r="F544">
            <v>0</v>
          </cell>
          <cell r="G544">
            <v>0</v>
          </cell>
          <cell r="H544">
            <v>0</v>
          </cell>
          <cell r="I544">
            <v>0</v>
          </cell>
          <cell r="J544">
            <v>0</v>
          </cell>
          <cell r="K544">
            <v>0</v>
          </cell>
          <cell r="L544">
            <v>0</v>
          </cell>
          <cell r="M544">
            <v>0</v>
          </cell>
        </row>
        <row r="545">
          <cell r="A545" t="str">
            <v>Pajamas-sb001-NY-M</v>
          </cell>
          <cell r="B545">
            <v>0</v>
          </cell>
          <cell r="C545">
            <v>0</v>
          </cell>
          <cell r="D545">
            <v>0</v>
          </cell>
          <cell r="E545">
            <v>0</v>
          </cell>
          <cell r="F545">
            <v>0</v>
          </cell>
          <cell r="G545">
            <v>0</v>
          </cell>
          <cell r="H545">
            <v>0</v>
          </cell>
          <cell r="I545">
            <v>0</v>
          </cell>
          <cell r="J545">
            <v>0</v>
          </cell>
          <cell r="K545">
            <v>0</v>
          </cell>
          <cell r="L545">
            <v>0</v>
          </cell>
          <cell r="M545">
            <v>0</v>
          </cell>
        </row>
        <row r="546">
          <cell r="A546" t="str">
            <v>Pajamas-sb001-WT-M</v>
          </cell>
          <cell r="B546">
            <v>0</v>
          </cell>
          <cell r="C546">
            <v>0</v>
          </cell>
          <cell r="D546">
            <v>0</v>
          </cell>
          <cell r="E546">
            <v>0</v>
          </cell>
          <cell r="F546">
            <v>0</v>
          </cell>
          <cell r="G546">
            <v>0</v>
          </cell>
          <cell r="H546">
            <v>0</v>
          </cell>
          <cell r="I546">
            <v>0</v>
          </cell>
          <cell r="J546">
            <v>0</v>
          </cell>
          <cell r="K546">
            <v>0</v>
          </cell>
          <cell r="L546">
            <v>0</v>
          </cell>
          <cell r="M546">
            <v>0</v>
          </cell>
        </row>
        <row r="547">
          <cell r="A547" t="str">
            <v>Pajamas-sb001-WT-XL</v>
          </cell>
          <cell r="B547">
            <v>0</v>
          </cell>
          <cell r="C547">
            <v>2</v>
          </cell>
          <cell r="D547">
            <v>0</v>
          </cell>
          <cell r="E547">
            <v>0</v>
          </cell>
          <cell r="F547">
            <v>0</v>
          </cell>
          <cell r="G547">
            <v>0</v>
          </cell>
          <cell r="H547">
            <v>0</v>
          </cell>
          <cell r="I547">
            <v>0</v>
          </cell>
          <cell r="J547">
            <v>0</v>
          </cell>
          <cell r="K547">
            <v>0</v>
          </cell>
          <cell r="L547">
            <v>0</v>
          </cell>
          <cell r="M547">
            <v>0</v>
          </cell>
        </row>
        <row r="548">
          <cell r="A548" t="str">
            <v>RY-PUHM716-B0-L</v>
          </cell>
          <cell r="B548">
            <v>0</v>
          </cell>
          <cell r="C548">
            <v>0</v>
          </cell>
          <cell r="D548">
            <v>0</v>
          </cell>
          <cell r="E548">
            <v>0</v>
          </cell>
          <cell r="F548">
            <v>0</v>
          </cell>
          <cell r="G548">
            <v>0</v>
          </cell>
          <cell r="H548">
            <v>0</v>
          </cell>
          <cell r="I548">
            <v>0</v>
          </cell>
          <cell r="J548">
            <v>0</v>
          </cell>
          <cell r="K548">
            <v>0</v>
          </cell>
          <cell r="L548">
            <v>0</v>
          </cell>
          <cell r="M548">
            <v>0</v>
          </cell>
        </row>
        <row r="549">
          <cell r="A549" t="str">
            <v>RY-PUHM716-B0-M</v>
          </cell>
          <cell r="B549">
            <v>0</v>
          </cell>
          <cell r="C549">
            <v>0</v>
          </cell>
          <cell r="D549">
            <v>0</v>
          </cell>
          <cell r="E549">
            <v>0</v>
          </cell>
          <cell r="F549">
            <v>0</v>
          </cell>
          <cell r="G549">
            <v>0</v>
          </cell>
          <cell r="H549">
            <v>0</v>
          </cell>
          <cell r="I549">
            <v>0</v>
          </cell>
          <cell r="J549">
            <v>0</v>
          </cell>
          <cell r="K549">
            <v>0</v>
          </cell>
          <cell r="L549">
            <v>0</v>
          </cell>
          <cell r="M549">
            <v>0</v>
          </cell>
        </row>
        <row r="550">
          <cell r="A550" t="str">
            <v>RY-PUHM716-B0-S</v>
          </cell>
          <cell r="B550">
            <v>0</v>
          </cell>
          <cell r="C550">
            <v>0</v>
          </cell>
          <cell r="D550">
            <v>0</v>
          </cell>
          <cell r="E550">
            <v>0</v>
          </cell>
          <cell r="F550">
            <v>0</v>
          </cell>
          <cell r="G550">
            <v>0</v>
          </cell>
          <cell r="H550">
            <v>0</v>
          </cell>
          <cell r="I550">
            <v>0</v>
          </cell>
          <cell r="J550">
            <v>0</v>
          </cell>
          <cell r="K550">
            <v>0</v>
          </cell>
          <cell r="L550">
            <v>0</v>
          </cell>
          <cell r="M550">
            <v>0</v>
          </cell>
        </row>
        <row r="551">
          <cell r="A551" t="str">
            <v>RY-PUHM716-B0-XL</v>
          </cell>
          <cell r="B551">
            <v>0</v>
          </cell>
          <cell r="C551">
            <v>0</v>
          </cell>
          <cell r="D551">
            <v>0</v>
          </cell>
          <cell r="E551">
            <v>0</v>
          </cell>
          <cell r="F551">
            <v>0</v>
          </cell>
          <cell r="G551">
            <v>0</v>
          </cell>
          <cell r="H551">
            <v>0</v>
          </cell>
          <cell r="I551">
            <v>0</v>
          </cell>
          <cell r="J551">
            <v>0</v>
          </cell>
          <cell r="K551">
            <v>0</v>
          </cell>
          <cell r="L551">
            <v>0</v>
          </cell>
          <cell r="M551">
            <v>0</v>
          </cell>
        </row>
        <row r="552">
          <cell r="A552" t="str">
            <v>RY-PUHM716-B0-XXL</v>
          </cell>
          <cell r="B552">
            <v>0</v>
          </cell>
          <cell r="C552">
            <v>0</v>
          </cell>
          <cell r="D552">
            <v>0</v>
          </cell>
          <cell r="E552">
            <v>0</v>
          </cell>
          <cell r="F552">
            <v>0</v>
          </cell>
          <cell r="G552">
            <v>0</v>
          </cell>
          <cell r="H552">
            <v>0</v>
          </cell>
          <cell r="I552">
            <v>0</v>
          </cell>
          <cell r="J552">
            <v>0</v>
          </cell>
          <cell r="K552">
            <v>0</v>
          </cell>
          <cell r="L552">
            <v>0</v>
          </cell>
          <cell r="M552">
            <v>0</v>
          </cell>
        </row>
        <row r="553">
          <cell r="A553" t="str">
            <v>RY-PUHM716-KQ-L</v>
          </cell>
          <cell r="B553">
            <v>0</v>
          </cell>
          <cell r="C553">
            <v>0</v>
          </cell>
          <cell r="D553">
            <v>0</v>
          </cell>
          <cell r="E553">
            <v>0</v>
          </cell>
          <cell r="F553">
            <v>0</v>
          </cell>
          <cell r="G553">
            <v>0</v>
          </cell>
          <cell r="H553">
            <v>0</v>
          </cell>
          <cell r="I553">
            <v>0</v>
          </cell>
          <cell r="J553">
            <v>0</v>
          </cell>
          <cell r="K553">
            <v>0</v>
          </cell>
          <cell r="L553">
            <v>0</v>
          </cell>
          <cell r="M553">
            <v>0</v>
          </cell>
        </row>
        <row r="554">
          <cell r="A554" t="str">
            <v>RY-PUHM716-KQ-M</v>
          </cell>
          <cell r="B554">
            <v>0</v>
          </cell>
          <cell r="C554">
            <v>0</v>
          </cell>
          <cell r="D554">
            <v>0</v>
          </cell>
          <cell r="E554">
            <v>0</v>
          </cell>
          <cell r="F554">
            <v>0</v>
          </cell>
          <cell r="G554">
            <v>0</v>
          </cell>
          <cell r="H554">
            <v>0</v>
          </cell>
          <cell r="I554">
            <v>0</v>
          </cell>
          <cell r="J554">
            <v>0</v>
          </cell>
          <cell r="K554">
            <v>0</v>
          </cell>
          <cell r="L554">
            <v>0</v>
          </cell>
          <cell r="M554">
            <v>0</v>
          </cell>
        </row>
        <row r="555">
          <cell r="A555" t="str">
            <v>RY-PUHM716-KQ-S</v>
          </cell>
          <cell r="B555">
            <v>0</v>
          </cell>
          <cell r="C555">
            <v>0</v>
          </cell>
          <cell r="D555">
            <v>0</v>
          </cell>
          <cell r="E555">
            <v>0</v>
          </cell>
          <cell r="F555">
            <v>0</v>
          </cell>
          <cell r="G555">
            <v>0</v>
          </cell>
          <cell r="H555">
            <v>0</v>
          </cell>
          <cell r="I555">
            <v>0</v>
          </cell>
          <cell r="J555">
            <v>0</v>
          </cell>
          <cell r="K555">
            <v>0</v>
          </cell>
          <cell r="L555">
            <v>0</v>
          </cell>
          <cell r="M555">
            <v>0</v>
          </cell>
        </row>
        <row r="556">
          <cell r="A556" t="str">
            <v>RY-PUHM716-KQ-XL</v>
          </cell>
          <cell r="B556">
            <v>0</v>
          </cell>
          <cell r="C556">
            <v>0</v>
          </cell>
          <cell r="D556">
            <v>0</v>
          </cell>
          <cell r="E556">
            <v>0</v>
          </cell>
          <cell r="F556">
            <v>0</v>
          </cell>
          <cell r="G556">
            <v>0</v>
          </cell>
          <cell r="H556">
            <v>0</v>
          </cell>
          <cell r="I556">
            <v>0</v>
          </cell>
          <cell r="J556">
            <v>0</v>
          </cell>
          <cell r="K556">
            <v>0</v>
          </cell>
          <cell r="L556">
            <v>0</v>
          </cell>
          <cell r="M556">
            <v>0</v>
          </cell>
        </row>
        <row r="557">
          <cell r="A557" t="str">
            <v>RY-PUHM716-KQ-XXL</v>
          </cell>
          <cell r="B557">
            <v>0</v>
          </cell>
          <cell r="C557">
            <v>0</v>
          </cell>
          <cell r="D557">
            <v>0</v>
          </cell>
          <cell r="E557">
            <v>0</v>
          </cell>
          <cell r="F557">
            <v>0</v>
          </cell>
          <cell r="G557">
            <v>0</v>
          </cell>
          <cell r="H557">
            <v>0</v>
          </cell>
          <cell r="I557">
            <v>0</v>
          </cell>
          <cell r="J557">
            <v>0</v>
          </cell>
          <cell r="K557">
            <v>0</v>
          </cell>
          <cell r="L557">
            <v>0</v>
          </cell>
          <cell r="M557">
            <v>0</v>
          </cell>
        </row>
        <row r="558">
          <cell r="A558" t="str">
            <v>RY-PUHM716-PI-L</v>
          </cell>
          <cell r="B558">
            <v>0</v>
          </cell>
          <cell r="C558">
            <v>0</v>
          </cell>
          <cell r="D558">
            <v>0</v>
          </cell>
          <cell r="E558">
            <v>0</v>
          </cell>
          <cell r="F558">
            <v>0</v>
          </cell>
          <cell r="G558">
            <v>0</v>
          </cell>
          <cell r="H558">
            <v>0</v>
          </cell>
          <cell r="I558">
            <v>0</v>
          </cell>
          <cell r="J558">
            <v>0</v>
          </cell>
          <cell r="K558">
            <v>0</v>
          </cell>
          <cell r="L558">
            <v>0</v>
          </cell>
          <cell r="M558">
            <v>0</v>
          </cell>
        </row>
        <row r="559">
          <cell r="A559" t="str">
            <v>RY-PUHM716-PI-M</v>
          </cell>
          <cell r="B559">
            <v>0</v>
          </cell>
          <cell r="C559">
            <v>0</v>
          </cell>
          <cell r="D559">
            <v>0</v>
          </cell>
          <cell r="E559">
            <v>0</v>
          </cell>
          <cell r="F559">
            <v>0</v>
          </cell>
          <cell r="G559">
            <v>0</v>
          </cell>
          <cell r="H559">
            <v>0</v>
          </cell>
          <cell r="I559">
            <v>0</v>
          </cell>
          <cell r="J559">
            <v>0</v>
          </cell>
          <cell r="K559">
            <v>0</v>
          </cell>
          <cell r="L559">
            <v>0</v>
          </cell>
          <cell r="M559">
            <v>0</v>
          </cell>
        </row>
        <row r="560">
          <cell r="A560" t="str">
            <v>RY-PUHM716-PI-S</v>
          </cell>
          <cell r="B560">
            <v>0</v>
          </cell>
          <cell r="C560">
            <v>0</v>
          </cell>
          <cell r="D560">
            <v>0</v>
          </cell>
          <cell r="E560">
            <v>0</v>
          </cell>
          <cell r="F560">
            <v>0</v>
          </cell>
          <cell r="G560">
            <v>0</v>
          </cell>
          <cell r="H560">
            <v>0</v>
          </cell>
          <cell r="I560">
            <v>0</v>
          </cell>
          <cell r="J560">
            <v>0</v>
          </cell>
          <cell r="K560">
            <v>0</v>
          </cell>
          <cell r="L560">
            <v>0</v>
          </cell>
          <cell r="M560">
            <v>0</v>
          </cell>
        </row>
        <row r="561">
          <cell r="A561" t="str">
            <v>RY-PUHM716-PI-XL</v>
          </cell>
          <cell r="B561">
            <v>0</v>
          </cell>
          <cell r="C561">
            <v>0</v>
          </cell>
          <cell r="D561">
            <v>0</v>
          </cell>
          <cell r="E561">
            <v>0</v>
          </cell>
          <cell r="F561">
            <v>0</v>
          </cell>
          <cell r="G561">
            <v>0</v>
          </cell>
          <cell r="H561">
            <v>0</v>
          </cell>
          <cell r="I561">
            <v>0</v>
          </cell>
          <cell r="J561">
            <v>0</v>
          </cell>
          <cell r="K561">
            <v>0</v>
          </cell>
          <cell r="L561">
            <v>0</v>
          </cell>
          <cell r="M561">
            <v>0</v>
          </cell>
        </row>
        <row r="562">
          <cell r="A562" t="str">
            <v>RY-PUHM716-PI-XXL</v>
          </cell>
          <cell r="B562">
            <v>0</v>
          </cell>
          <cell r="C562">
            <v>0</v>
          </cell>
          <cell r="D562">
            <v>0</v>
          </cell>
          <cell r="E562">
            <v>0</v>
          </cell>
          <cell r="F562">
            <v>0</v>
          </cell>
          <cell r="G562">
            <v>0</v>
          </cell>
          <cell r="H562">
            <v>0</v>
          </cell>
          <cell r="I562">
            <v>0</v>
          </cell>
          <cell r="J562">
            <v>0</v>
          </cell>
          <cell r="K562">
            <v>0</v>
          </cell>
          <cell r="L562">
            <v>0</v>
          </cell>
          <cell r="M562">
            <v>0</v>
          </cell>
        </row>
        <row r="563">
          <cell r="A563" t="str">
            <v>SCF-A01-007</v>
          </cell>
          <cell r="B563">
            <v>0</v>
          </cell>
          <cell r="C563">
            <v>0</v>
          </cell>
          <cell r="D563">
            <v>0</v>
          </cell>
          <cell r="E563">
            <v>0</v>
          </cell>
          <cell r="F563">
            <v>0</v>
          </cell>
          <cell r="G563">
            <v>0</v>
          </cell>
          <cell r="H563">
            <v>0</v>
          </cell>
          <cell r="I563">
            <v>0</v>
          </cell>
          <cell r="J563">
            <v>0</v>
          </cell>
          <cell r="K563">
            <v>0</v>
          </cell>
          <cell r="L563">
            <v>0</v>
          </cell>
          <cell r="M563">
            <v>0</v>
          </cell>
        </row>
        <row r="564">
          <cell r="A564" t="str">
            <v>SCF-A01-008</v>
          </cell>
          <cell r="B564">
            <v>0</v>
          </cell>
          <cell r="C564">
            <v>0</v>
          </cell>
          <cell r="D564">
            <v>0</v>
          </cell>
          <cell r="E564">
            <v>0</v>
          </cell>
          <cell r="F564">
            <v>0</v>
          </cell>
          <cell r="G564">
            <v>0</v>
          </cell>
          <cell r="H564">
            <v>0</v>
          </cell>
          <cell r="I564">
            <v>0</v>
          </cell>
          <cell r="J564">
            <v>0</v>
          </cell>
          <cell r="K564">
            <v>0</v>
          </cell>
          <cell r="L564">
            <v>0</v>
          </cell>
          <cell r="M564">
            <v>0</v>
          </cell>
        </row>
        <row r="565">
          <cell r="A565" t="str">
            <v>SCF-C01-006</v>
          </cell>
          <cell r="B565">
            <v>0</v>
          </cell>
          <cell r="C565">
            <v>0</v>
          </cell>
          <cell r="D565">
            <v>0</v>
          </cell>
          <cell r="E565">
            <v>0</v>
          </cell>
          <cell r="F565">
            <v>0</v>
          </cell>
          <cell r="G565">
            <v>0</v>
          </cell>
          <cell r="H565">
            <v>0</v>
          </cell>
          <cell r="I565">
            <v>0</v>
          </cell>
          <cell r="J565">
            <v>0</v>
          </cell>
          <cell r="K565">
            <v>0</v>
          </cell>
          <cell r="L565">
            <v>0</v>
          </cell>
          <cell r="M565">
            <v>0</v>
          </cell>
        </row>
        <row r="566">
          <cell r="A566" t="str">
            <v>SCF-D01-011</v>
          </cell>
          <cell r="B566">
            <v>0</v>
          </cell>
          <cell r="C566">
            <v>0</v>
          </cell>
          <cell r="D566">
            <v>0</v>
          </cell>
          <cell r="E566">
            <v>0</v>
          </cell>
          <cell r="F566">
            <v>0</v>
          </cell>
          <cell r="G566">
            <v>0</v>
          </cell>
          <cell r="H566">
            <v>0</v>
          </cell>
          <cell r="I566">
            <v>0</v>
          </cell>
          <cell r="J566">
            <v>0</v>
          </cell>
          <cell r="K566">
            <v>0</v>
          </cell>
          <cell r="L566">
            <v>0</v>
          </cell>
          <cell r="M566">
            <v>0</v>
          </cell>
        </row>
        <row r="567">
          <cell r="A567" t="str">
            <v>SCF-D01-012</v>
          </cell>
          <cell r="B567">
            <v>0</v>
          </cell>
          <cell r="C567">
            <v>0</v>
          </cell>
          <cell r="D567">
            <v>0</v>
          </cell>
          <cell r="E567">
            <v>0</v>
          </cell>
          <cell r="F567">
            <v>0</v>
          </cell>
          <cell r="G567">
            <v>0</v>
          </cell>
          <cell r="H567">
            <v>0</v>
          </cell>
          <cell r="I567">
            <v>0</v>
          </cell>
          <cell r="J567">
            <v>0</v>
          </cell>
          <cell r="K567">
            <v>0</v>
          </cell>
          <cell r="L567">
            <v>0</v>
          </cell>
          <cell r="M567">
            <v>0</v>
          </cell>
        </row>
        <row r="568">
          <cell r="A568" t="str">
            <v>SCF-D01-015</v>
          </cell>
          <cell r="B568">
            <v>0</v>
          </cell>
          <cell r="C568">
            <v>0</v>
          </cell>
          <cell r="D568">
            <v>0</v>
          </cell>
          <cell r="E568">
            <v>0</v>
          </cell>
          <cell r="F568">
            <v>0</v>
          </cell>
          <cell r="G568">
            <v>0</v>
          </cell>
          <cell r="H568">
            <v>0</v>
          </cell>
          <cell r="I568">
            <v>0</v>
          </cell>
          <cell r="J568">
            <v>0</v>
          </cell>
          <cell r="K568">
            <v>0</v>
          </cell>
          <cell r="L568">
            <v>0</v>
          </cell>
          <cell r="M568">
            <v>0</v>
          </cell>
        </row>
        <row r="569">
          <cell r="A569" t="str">
            <v>SCF-D01-017</v>
          </cell>
          <cell r="B569">
            <v>0</v>
          </cell>
          <cell r="C569">
            <v>0</v>
          </cell>
          <cell r="D569">
            <v>0</v>
          </cell>
          <cell r="E569">
            <v>0</v>
          </cell>
          <cell r="F569">
            <v>0</v>
          </cell>
          <cell r="G569">
            <v>0</v>
          </cell>
          <cell r="H569">
            <v>0</v>
          </cell>
          <cell r="I569">
            <v>0</v>
          </cell>
          <cell r="J569">
            <v>0</v>
          </cell>
          <cell r="K569">
            <v>0</v>
          </cell>
          <cell r="L569">
            <v>0</v>
          </cell>
          <cell r="M569">
            <v>0</v>
          </cell>
        </row>
        <row r="570">
          <cell r="A570" t="str">
            <v>SCF-SJ006-Puzzle-OS</v>
          </cell>
          <cell r="B570">
            <v>0</v>
          </cell>
          <cell r="C570">
            <v>0</v>
          </cell>
          <cell r="D570">
            <v>0</v>
          </cell>
          <cell r="E570">
            <v>0</v>
          </cell>
          <cell r="F570">
            <v>0</v>
          </cell>
          <cell r="G570">
            <v>0</v>
          </cell>
          <cell r="H570">
            <v>0</v>
          </cell>
          <cell r="I570">
            <v>0</v>
          </cell>
          <cell r="J570">
            <v>0</v>
          </cell>
          <cell r="K570">
            <v>0</v>
          </cell>
          <cell r="L570">
            <v>0</v>
          </cell>
          <cell r="M570">
            <v>0</v>
          </cell>
        </row>
        <row r="571">
          <cell r="A571" t="str">
            <v>ST-K157-B0-32</v>
          </cell>
          <cell r="B571">
            <v>0</v>
          </cell>
          <cell r="C571">
            <v>0</v>
          </cell>
          <cell r="D571">
            <v>0</v>
          </cell>
          <cell r="E571">
            <v>0</v>
          </cell>
          <cell r="F571">
            <v>0</v>
          </cell>
          <cell r="G571">
            <v>0</v>
          </cell>
          <cell r="H571">
            <v>0</v>
          </cell>
          <cell r="I571">
            <v>0</v>
          </cell>
          <cell r="J571">
            <v>0</v>
          </cell>
          <cell r="K571">
            <v>0</v>
          </cell>
          <cell r="L571">
            <v>0</v>
          </cell>
          <cell r="M571">
            <v>0</v>
          </cell>
        </row>
        <row r="572">
          <cell r="A572" t="str">
            <v>ST-K157-KQ-32</v>
          </cell>
          <cell r="B572">
            <v>0</v>
          </cell>
          <cell r="C572">
            <v>0</v>
          </cell>
          <cell r="D572">
            <v>0</v>
          </cell>
          <cell r="E572">
            <v>0</v>
          </cell>
          <cell r="F572">
            <v>0</v>
          </cell>
          <cell r="G572">
            <v>0</v>
          </cell>
          <cell r="H572">
            <v>0</v>
          </cell>
          <cell r="I572">
            <v>0</v>
          </cell>
          <cell r="J572">
            <v>0</v>
          </cell>
          <cell r="K572">
            <v>0</v>
          </cell>
          <cell r="L572">
            <v>0</v>
          </cell>
          <cell r="M572">
            <v>0</v>
          </cell>
        </row>
        <row r="573">
          <cell r="A573" t="str">
            <v>ST-K559-OR-32</v>
          </cell>
          <cell r="B573">
            <v>0</v>
          </cell>
          <cell r="C573">
            <v>0</v>
          </cell>
          <cell r="D573">
            <v>0</v>
          </cell>
          <cell r="E573">
            <v>0</v>
          </cell>
          <cell r="F573">
            <v>0</v>
          </cell>
          <cell r="G573">
            <v>0</v>
          </cell>
          <cell r="H573">
            <v>0</v>
          </cell>
          <cell r="I573">
            <v>0</v>
          </cell>
          <cell r="J573">
            <v>0</v>
          </cell>
          <cell r="K573">
            <v>0</v>
          </cell>
          <cell r="L573">
            <v>0</v>
          </cell>
          <cell r="M573">
            <v>0</v>
          </cell>
        </row>
        <row r="574">
          <cell r="A574" t="str">
            <v>ST005-BL1-L</v>
          </cell>
          <cell r="B574">
            <v>0</v>
          </cell>
          <cell r="C574">
            <v>0</v>
          </cell>
          <cell r="D574">
            <v>0</v>
          </cell>
          <cell r="E574">
            <v>0</v>
          </cell>
          <cell r="F574">
            <v>0</v>
          </cell>
          <cell r="G574">
            <v>0</v>
          </cell>
          <cell r="H574">
            <v>0</v>
          </cell>
          <cell r="I574">
            <v>0</v>
          </cell>
          <cell r="J574">
            <v>0</v>
          </cell>
          <cell r="K574">
            <v>0</v>
          </cell>
          <cell r="L574">
            <v>0</v>
          </cell>
          <cell r="M574">
            <v>0</v>
          </cell>
        </row>
        <row r="575">
          <cell r="A575" t="str">
            <v>ST005-GN-S</v>
          </cell>
          <cell r="B575">
            <v>0</v>
          </cell>
          <cell r="C575">
            <v>0</v>
          </cell>
          <cell r="D575">
            <v>0</v>
          </cell>
          <cell r="E575">
            <v>0</v>
          </cell>
          <cell r="F575">
            <v>0</v>
          </cell>
          <cell r="G575">
            <v>0</v>
          </cell>
          <cell r="H575">
            <v>0</v>
          </cell>
          <cell r="I575">
            <v>0</v>
          </cell>
          <cell r="J575">
            <v>0</v>
          </cell>
          <cell r="K575">
            <v>0</v>
          </cell>
          <cell r="L575">
            <v>0</v>
          </cell>
          <cell r="M575">
            <v>0</v>
          </cell>
        </row>
        <row r="576">
          <cell r="A576" t="str">
            <v>ST005-RD-S</v>
          </cell>
          <cell r="B576">
            <v>0</v>
          </cell>
          <cell r="C576">
            <v>0</v>
          </cell>
          <cell r="D576">
            <v>0</v>
          </cell>
          <cell r="E576">
            <v>0</v>
          </cell>
          <cell r="F576">
            <v>0</v>
          </cell>
          <cell r="G576">
            <v>0</v>
          </cell>
          <cell r="H576">
            <v>0</v>
          </cell>
          <cell r="I576">
            <v>0</v>
          </cell>
          <cell r="J576">
            <v>0</v>
          </cell>
          <cell r="K576">
            <v>0</v>
          </cell>
          <cell r="L576">
            <v>0</v>
          </cell>
          <cell r="M576">
            <v>0</v>
          </cell>
        </row>
        <row r="577">
          <cell r="A577" t="str">
            <v>ST005-RD1-S</v>
          </cell>
          <cell r="B577">
            <v>0</v>
          </cell>
          <cell r="C577">
            <v>0</v>
          </cell>
          <cell r="D577">
            <v>0</v>
          </cell>
          <cell r="E577">
            <v>0</v>
          </cell>
          <cell r="F577">
            <v>0</v>
          </cell>
          <cell r="G577">
            <v>0</v>
          </cell>
          <cell r="H577">
            <v>0</v>
          </cell>
          <cell r="I577">
            <v>0</v>
          </cell>
          <cell r="J577">
            <v>0</v>
          </cell>
          <cell r="K577">
            <v>0</v>
          </cell>
          <cell r="L577">
            <v>0</v>
          </cell>
          <cell r="M577">
            <v>0</v>
          </cell>
        </row>
        <row r="578">
          <cell r="A578" t="str">
            <v>ST006-BK-XL</v>
          </cell>
          <cell r="B578">
            <v>0</v>
          </cell>
          <cell r="C578">
            <v>0</v>
          </cell>
          <cell r="D578">
            <v>0</v>
          </cell>
          <cell r="E578">
            <v>0</v>
          </cell>
          <cell r="F578">
            <v>0</v>
          </cell>
          <cell r="G578">
            <v>0</v>
          </cell>
          <cell r="H578">
            <v>0</v>
          </cell>
          <cell r="I578">
            <v>0</v>
          </cell>
          <cell r="J578">
            <v>0</v>
          </cell>
          <cell r="K578">
            <v>0</v>
          </cell>
          <cell r="L578">
            <v>0</v>
          </cell>
          <cell r="M578">
            <v>0</v>
          </cell>
        </row>
        <row r="579">
          <cell r="A579" t="str">
            <v>ST006-CF-M</v>
          </cell>
          <cell r="B579">
            <v>0</v>
          </cell>
          <cell r="C579">
            <v>0</v>
          </cell>
          <cell r="D579">
            <v>0</v>
          </cell>
          <cell r="E579">
            <v>0</v>
          </cell>
          <cell r="F579">
            <v>0</v>
          </cell>
          <cell r="G579">
            <v>0</v>
          </cell>
          <cell r="H579">
            <v>0</v>
          </cell>
          <cell r="I579">
            <v>0</v>
          </cell>
          <cell r="J579">
            <v>0</v>
          </cell>
          <cell r="K579">
            <v>0</v>
          </cell>
          <cell r="L579">
            <v>0</v>
          </cell>
          <cell r="M579">
            <v>0</v>
          </cell>
        </row>
        <row r="580">
          <cell r="A580" t="str">
            <v>ST006-GN-M</v>
          </cell>
          <cell r="B580">
            <v>0</v>
          </cell>
          <cell r="C580">
            <v>0</v>
          </cell>
          <cell r="D580">
            <v>0</v>
          </cell>
          <cell r="E580">
            <v>0</v>
          </cell>
          <cell r="F580">
            <v>0</v>
          </cell>
          <cell r="G580">
            <v>0</v>
          </cell>
          <cell r="H580">
            <v>0</v>
          </cell>
          <cell r="I580">
            <v>0</v>
          </cell>
          <cell r="J580">
            <v>0</v>
          </cell>
          <cell r="K580">
            <v>0</v>
          </cell>
          <cell r="L580">
            <v>0</v>
          </cell>
          <cell r="M580">
            <v>0</v>
          </cell>
        </row>
        <row r="581">
          <cell r="A581" t="str">
            <v>ST006-RD1-S</v>
          </cell>
          <cell r="B581">
            <v>0</v>
          </cell>
          <cell r="C581">
            <v>0</v>
          </cell>
          <cell r="D581">
            <v>0</v>
          </cell>
          <cell r="E581">
            <v>0</v>
          </cell>
          <cell r="F581">
            <v>0</v>
          </cell>
          <cell r="G581">
            <v>0</v>
          </cell>
          <cell r="H581">
            <v>0</v>
          </cell>
          <cell r="I581">
            <v>0</v>
          </cell>
          <cell r="J581">
            <v>0</v>
          </cell>
          <cell r="K581">
            <v>0</v>
          </cell>
          <cell r="L581">
            <v>0</v>
          </cell>
          <cell r="M581">
            <v>0</v>
          </cell>
        </row>
        <row r="582">
          <cell r="A582" t="str">
            <v>ST006-RD2-XL</v>
          </cell>
          <cell r="B582">
            <v>0</v>
          </cell>
          <cell r="C582">
            <v>0</v>
          </cell>
          <cell r="D582">
            <v>0</v>
          </cell>
          <cell r="E582">
            <v>0</v>
          </cell>
          <cell r="F582">
            <v>0</v>
          </cell>
          <cell r="G582">
            <v>0</v>
          </cell>
          <cell r="H582">
            <v>0</v>
          </cell>
          <cell r="I582">
            <v>0</v>
          </cell>
          <cell r="J582">
            <v>0</v>
          </cell>
          <cell r="K582">
            <v>0</v>
          </cell>
          <cell r="L582">
            <v>0</v>
          </cell>
          <cell r="M582">
            <v>0</v>
          </cell>
        </row>
        <row r="583">
          <cell r="A583" t="str">
            <v>ST084-H15-S</v>
          </cell>
          <cell r="B583">
            <v>0</v>
          </cell>
          <cell r="C583">
            <v>0</v>
          </cell>
          <cell r="D583">
            <v>0</v>
          </cell>
          <cell r="E583">
            <v>0</v>
          </cell>
          <cell r="F583">
            <v>0</v>
          </cell>
          <cell r="G583">
            <v>0</v>
          </cell>
          <cell r="H583">
            <v>0</v>
          </cell>
          <cell r="I583">
            <v>0</v>
          </cell>
          <cell r="J583">
            <v>0</v>
          </cell>
          <cell r="K583">
            <v>0</v>
          </cell>
          <cell r="L583">
            <v>0</v>
          </cell>
          <cell r="M583">
            <v>0</v>
          </cell>
        </row>
        <row r="584">
          <cell r="A584" t="str">
            <v>ST084-H15-XXL</v>
          </cell>
          <cell r="B584">
            <v>0</v>
          </cell>
          <cell r="C584">
            <v>0</v>
          </cell>
          <cell r="D584">
            <v>0</v>
          </cell>
          <cell r="E584">
            <v>0</v>
          </cell>
          <cell r="F584">
            <v>0</v>
          </cell>
          <cell r="G584">
            <v>0</v>
          </cell>
          <cell r="H584">
            <v>0</v>
          </cell>
          <cell r="I584">
            <v>0</v>
          </cell>
          <cell r="J584">
            <v>0</v>
          </cell>
          <cell r="K584">
            <v>0</v>
          </cell>
          <cell r="L584">
            <v>0</v>
          </cell>
          <cell r="M584">
            <v>0</v>
          </cell>
        </row>
        <row r="585">
          <cell r="A585" t="str">
            <v>ST085-LB916-M</v>
          </cell>
          <cell r="B585">
            <v>0</v>
          </cell>
          <cell r="C585">
            <v>0</v>
          </cell>
          <cell r="D585">
            <v>0</v>
          </cell>
          <cell r="E585">
            <v>0</v>
          </cell>
          <cell r="F585">
            <v>0</v>
          </cell>
          <cell r="G585">
            <v>0</v>
          </cell>
          <cell r="H585">
            <v>0</v>
          </cell>
          <cell r="I585">
            <v>0</v>
          </cell>
          <cell r="J585">
            <v>0</v>
          </cell>
          <cell r="K585">
            <v>0</v>
          </cell>
          <cell r="L585">
            <v>0</v>
          </cell>
          <cell r="M585">
            <v>0</v>
          </cell>
        </row>
        <row r="586">
          <cell r="A586" t="str">
            <v>ST085-LB916-S</v>
          </cell>
          <cell r="B586">
            <v>0</v>
          </cell>
          <cell r="C586">
            <v>0</v>
          </cell>
          <cell r="D586">
            <v>0</v>
          </cell>
          <cell r="E586">
            <v>0</v>
          </cell>
          <cell r="F586">
            <v>0</v>
          </cell>
          <cell r="G586">
            <v>0</v>
          </cell>
          <cell r="H586">
            <v>0</v>
          </cell>
          <cell r="I586">
            <v>0</v>
          </cell>
          <cell r="J586">
            <v>0</v>
          </cell>
          <cell r="K586">
            <v>0</v>
          </cell>
          <cell r="L586">
            <v>0</v>
          </cell>
          <cell r="M586">
            <v>0</v>
          </cell>
        </row>
        <row r="587">
          <cell r="A587" t="str">
            <v>ST122-WR-S</v>
          </cell>
          <cell r="B587">
            <v>0</v>
          </cell>
          <cell r="C587">
            <v>0</v>
          </cell>
          <cell r="D587">
            <v>0</v>
          </cell>
          <cell r="E587">
            <v>0</v>
          </cell>
          <cell r="F587">
            <v>0</v>
          </cell>
          <cell r="G587">
            <v>0</v>
          </cell>
          <cell r="H587">
            <v>0</v>
          </cell>
          <cell r="I587">
            <v>0</v>
          </cell>
          <cell r="J587">
            <v>0</v>
          </cell>
          <cell r="K587">
            <v>0</v>
          </cell>
          <cell r="L587">
            <v>0</v>
          </cell>
          <cell r="M587">
            <v>0</v>
          </cell>
        </row>
        <row r="588">
          <cell r="A588" t="str">
            <v>ST155-AG-38</v>
          </cell>
          <cell r="B588">
            <v>0</v>
          </cell>
          <cell r="C588">
            <v>0</v>
          </cell>
          <cell r="D588">
            <v>0</v>
          </cell>
          <cell r="E588">
            <v>0</v>
          </cell>
          <cell r="F588">
            <v>0</v>
          </cell>
          <cell r="G588">
            <v>0</v>
          </cell>
          <cell r="H588">
            <v>0</v>
          </cell>
          <cell r="I588">
            <v>0</v>
          </cell>
          <cell r="J588">
            <v>0</v>
          </cell>
          <cell r="K588">
            <v>0</v>
          </cell>
          <cell r="L588">
            <v>0</v>
          </cell>
          <cell r="M588">
            <v>0</v>
          </cell>
        </row>
        <row r="589">
          <cell r="A589" t="str">
            <v>ST166-B28-4-L</v>
          </cell>
          <cell r="B589">
            <v>0</v>
          </cell>
          <cell r="C589">
            <v>0</v>
          </cell>
          <cell r="D589">
            <v>0</v>
          </cell>
          <cell r="E589">
            <v>0</v>
          </cell>
          <cell r="F589">
            <v>0</v>
          </cell>
          <cell r="G589">
            <v>0</v>
          </cell>
          <cell r="H589">
            <v>0</v>
          </cell>
          <cell r="I589">
            <v>0</v>
          </cell>
          <cell r="J589">
            <v>0</v>
          </cell>
          <cell r="K589">
            <v>0</v>
          </cell>
          <cell r="L589">
            <v>0</v>
          </cell>
          <cell r="M589">
            <v>0</v>
          </cell>
        </row>
        <row r="590">
          <cell r="A590" t="str">
            <v>ST166-B28-4-S</v>
          </cell>
          <cell r="B590">
            <v>0</v>
          </cell>
          <cell r="C590">
            <v>0</v>
          </cell>
          <cell r="D590">
            <v>0</v>
          </cell>
          <cell r="E590">
            <v>0</v>
          </cell>
          <cell r="F590">
            <v>0</v>
          </cell>
          <cell r="G590">
            <v>0</v>
          </cell>
          <cell r="H590">
            <v>0</v>
          </cell>
          <cell r="I590">
            <v>0</v>
          </cell>
          <cell r="J590">
            <v>0</v>
          </cell>
          <cell r="K590">
            <v>0</v>
          </cell>
          <cell r="L590">
            <v>0</v>
          </cell>
          <cell r="M590">
            <v>0</v>
          </cell>
        </row>
        <row r="591">
          <cell r="A591" t="str">
            <v>ST166-B28-4-XXL</v>
          </cell>
          <cell r="B591">
            <v>0</v>
          </cell>
          <cell r="C591">
            <v>0</v>
          </cell>
          <cell r="D591">
            <v>0</v>
          </cell>
          <cell r="E591">
            <v>0</v>
          </cell>
          <cell r="F591">
            <v>0</v>
          </cell>
          <cell r="G591">
            <v>0</v>
          </cell>
          <cell r="H591">
            <v>0</v>
          </cell>
          <cell r="I591">
            <v>0</v>
          </cell>
          <cell r="J591">
            <v>0</v>
          </cell>
          <cell r="K591">
            <v>0</v>
          </cell>
          <cell r="L591">
            <v>0</v>
          </cell>
          <cell r="M591">
            <v>0</v>
          </cell>
        </row>
        <row r="592">
          <cell r="A592" t="str">
            <v>ST166-K33-1-S</v>
          </cell>
          <cell r="B592">
            <v>0</v>
          </cell>
          <cell r="C592">
            <v>0</v>
          </cell>
          <cell r="D592">
            <v>0</v>
          </cell>
          <cell r="E592">
            <v>0</v>
          </cell>
          <cell r="F592">
            <v>0</v>
          </cell>
          <cell r="G592">
            <v>0</v>
          </cell>
          <cell r="H592">
            <v>0</v>
          </cell>
          <cell r="I592">
            <v>0</v>
          </cell>
          <cell r="J592">
            <v>0</v>
          </cell>
          <cell r="K592">
            <v>0</v>
          </cell>
          <cell r="L592">
            <v>0</v>
          </cell>
          <cell r="M592">
            <v>0</v>
          </cell>
        </row>
        <row r="593">
          <cell r="A593" t="str">
            <v>ST166-K33-1-XL</v>
          </cell>
          <cell r="B593">
            <v>0</v>
          </cell>
          <cell r="C593">
            <v>0</v>
          </cell>
          <cell r="D593">
            <v>0</v>
          </cell>
          <cell r="E593">
            <v>0</v>
          </cell>
          <cell r="F593">
            <v>0</v>
          </cell>
          <cell r="G593">
            <v>0</v>
          </cell>
          <cell r="H593">
            <v>0</v>
          </cell>
          <cell r="I593">
            <v>0</v>
          </cell>
          <cell r="J593">
            <v>0</v>
          </cell>
          <cell r="K593">
            <v>0</v>
          </cell>
          <cell r="L593">
            <v>0</v>
          </cell>
          <cell r="M593">
            <v>0</v>
          </cell>
        </row>
        <row r="594">
          <cell r="A594" t="str">
            <v>ST166-K33-1-XXL</v>
          </cell>
          <cell r="B594">
            <v>0</v>
          </cell>
          <cell r="C594">
            <v>0</v>
          </cell>
          <cell r="D594">
            <v>0</v>
          </cell>
          <cell r="E594">
            <v>0</v>
          </cell>
          <cell r="F594">
            <v>0</v>
          </cell>
          <cell r="G594">
            <v>0</v>
          </cell>
          <cell r="H594">
            <v>0</v>
          </cell>
          <cell r="I594">
            <v>0</v>
          </cell>
          <cell r="J594">
            <v>0</v>
          </cell>
          <cell r="K594">
            <v>0</v>
          </cell>
          <cell r="L594">
            <v>0</v>
          </cell>
          <cell r="M594">
            <v>0</v>
          </cell>
        </row>
        <row r="595">
          <cell r="A595" t="str">
            <v>ST166-K33-4-M</v>
          </cell>
          <cell r="B595">
            <v>0</v>
          </cell>
          <cell r="C595">
            <v>0</v>
          </cell>
          <cell r="D595">
            <v>0</v>
          </cell>
          <cell r="E595">
            <v>0</v>
          </cell>
          <cell r="F595">
            <v>0</v>
          </cell>
          <cell r="G595">
            <v>0</v>
          </cell>
          <cell r="H595">
            <v>0</v>
          </cell>
          <cell r="I595">
            <v>0</v>
          </cell>
          <cell r="J595">
            <v>0</v>
          </cell>
          <cell r="K595">
            <v>0</v>
          </cell>
          <cell r="L595">
            <v>0</v>
          </cell>
          <cell r="M595">
            <v>0</v>
          </cell>
        </row>
        <row r="596">
          <cell r="A596" t="str">
            <v>ST167-BK-XXL</v>
          </cell>
          <cell r="B596">
            <v>0</v>
          </cell>
          <cell r="C596">
            <v>0</v>
          </cell>
          <cell r="D596">
            <v>0</v>
          </cell>
          <cell r="E596">
            <v>0</v>
          </cell>
          <cell r="F596">
            <v>0</v>
          </cell>
          <cell r="G596">
            <v>0</v>
          </cell>
          <cell r="H596">
            <v>0</v>
          </cell>
          <cell r="I596">
            <v>0</v>
          </cell>
          <cell r="J596">
            <v>0</v>
          </cell>
          <cell r="K596">
            <v>0</v>
          </cell>
          <cell r="L596">
            <v>0</v>
          </cell>
          <cell r="M596">
            <v>0</v>
          </cell>
        </row>
        <row r="597">
          <cell r="A597" t="str">
            <v>ST167-K0-XXL</v>
          </cell>
          <cell r="B597">
            <v>0</v>
          </cell>
          <cell r="C597">
            <v>0</v>
          </cell>
          <cell r="D597">
            <v>0</v>
          </cell>
          <cell r="E597">
            <v>0</v>
          </cell>
          <cell r="F597">
            <v>0</v>
          </cell>
          <cell r="G597">
            <v>0</v>
          </cell>
          <cell r="H597">
            <v>0</v>
          </cell>
          <cell r="I597">
            <v>0</v>
          </cell>
          <cell r="J597">
            <v>0</v>
          </cell>
          <cell r="K597">
            <v>0</v>
          </cell>
          <cell r="L597">
            <v>0</v>
          </cell>
          <cell r="M597">
            <v>0</v>
          </cell>
        </row>
        <row r="598">
          <cell r="A598" t="str">
            <v>ST170-LB-L</v>
          </cell>
          <cell r="B598">
            <v>0</v>
          </cell>
          <cell r="C598">
            <v>0</v>
          </cell>
          <cell r="D598">
            <v>0</v>
          </cell>
          <cell r="E598">
            <v>0</v>
          </cell>
          <cell r="F598">
            <v>0</v>
          </cell>
          <cell r="G598">
            <v>0</v>
          </cell>
          <cell r="H598">
            <v>0</v>
          </cell>
          <cell r="I598">
            <v>0</v>
          </cell>
          <cell r="J598">
            <v>0</v>
          </cell>
          <cell r="K598">
            <v>0</v>
          </cell>
          <cell r="L598">
            <v>0</v>
          </cell>
          <cell r="M598">
            <v>0</v>
          </cell>
        </row>
        <row r="599">
          <cell r="A599" t="str">
            <v>ST170-LB-M</v>
          </cell>
          <cell r="B599">
            <v>0</v>
          </cell>
          <cell r="C599">
            <v>0</v>
          </cell>
          <cell r="D599">
            <v>0</v>
          </cell>
          <cell r="E599">
            <v>0</v>
          </cell>
          <cell r="F599">
            <v>0</v>
          </cell>
          <cell r="G599">
            <v>0</v>
          </cell>
          <cell r="H599">
            <v>0</v>
          </cell>
          <cell r="I599">
            <v>0</v>
          </cell>
          <cell r="J599">
            <v>0</v>
          </cell>
          <cell r="K599">
            <v>0</v>
          </cell>
          <cell r="L599">
            <v>0</v>
          </cell>
          <cell r="M599">
            <v>0</v>
          </cell>
        </row>
        <row r="600">
          <cell r="A600" t="str">
            <v>ST170-LB-S</v>
          </cell>
          <cell r="B600">
            <v>0</v>
          </cell>
          <cell r="C600">
            <v>0</v>
          </cell>
          <cell r="D600">
            <v>0</v>
          </cell>
          <cell r="E600">
            <v>0</v>
          </cell>
          <cell r="F600">
            <v>0</v>
          </cell>
          <cell r="G600">
            <v>0</v>
          </cell>
          <cell r="H600">
            <v>0</v>
          </cell>
          <cell r="I600">
            <v>0</v>
          </cell>
          <cell r="J600">
            <v>0</v>
          </cell>
          <cell r="K600">
            <v>0</v>
          </cell>
          <cell r="L600">
            <v>0</v>
          </cell>
          <cell r="M600">
            <v>0</v>
          </cell>
        </row>
        <row r="601">
          <cell r="A601" t="str">
            <v>ST170-LB-XL</v>
          </cell>
          <cell r="B601">
            <v>0</v>
          </cell>
          <cell r="C601">
            <v>0</v>
          </cell>
          <cell r="D601">
            <v>0</v>
          </cell>
          <cell r="E601">
            <v>0</v>
          </cell>
          <cell r="F601">
            <v>0</v>
          </cell>
          <cell r="G601">
            <v>0</v>
          </cell>
          <cell r="H601">
            <v>0</v>
          </cell>
          <cell r="I601">
            <v>0</v>
          </cell>
          <cell r="J601">
            <v>0</v>
          </cell>
          <cell r="K601">
            <v>0</v>
          </cell>
          <cell r="L601">
            <v>0</v>
          </cell>
          <cell r="M601">
            <v>0</v>
          </cell>
        </row>
        <row r="602">
          <cell r="A602" t="str">
            <v>ST170-LB-XXL</v>
          </cell>
          <cell r="B602">
            <v>0</v>
          </cell>
          <cell r="C602">
            <v>0</v>
          </cell>
          <cell r="D602">
            <v>0</v>
          </cell>
          <cell r="E602">
            <v>0</v>
          </cell>
          <cell r="F602">
            <v>0</v>
          </cell>
          <cell r="G602">
            <v>0</v>
          </cell>
          <cell r="H602">
            <v>0</v>
          </cell>
          <cell r="I602">
            <v>0</v>
          </cell>
          <cell r="J602">
            <v>0</v>
          </cell>
          <cell r="K602">
            <v>0</v>
          </cell>
          <cell r="L602">
            <v>0</v>
          </cell>
          <cell r="M602">
            <v>0</v>
          </cell>
        </row>
        <row r="603">
          <cell r="A603" t="str">
            <v>ST170-LG-L</v>
          </cell>
          <cell r="B603">
            <v>0</v>
          </cell>
          <cell r="C603">
            <v>0</v>
          </cell>
          <cell r="D603">
            <v>0</v>
          </cell>
          <cell r="E603">
            <v>0</v>
          </cell>
          <cell r="F603">
            <v>0</v>
          </cell>
          <cell r="G603">
            <v>0</v>
          </cell>
          <cell r="H603">
            <v>0</v>
          </cell>
          <cell r="I603">
            <v>0</v>
          </cell>
          <cell r="J603">
            <v>0</v>
          </cell>
          <cell r="K603">
            <v>0</v>
          </cell>
          <cell r="L603">
            <v>0</v>
          </cell>
          <cell r="M603">
            <v>0</v>
          </cell>
        </row>
        <row r="604">
          <cell r="A604" t="str">
            <v>ST170-LG-M</v>
          </cell>
          <cell r="B604">
            <v>0</v>
          </cell>
          <cell r="C604">
            <v>0</v>
          </cell>
          <cell r="D604">
            <v>0</v>
          </cell>
          <cell r="E604">
            <v>0</v>
          </cell>
          <cell r="F604">
            <v>0</v>
          </cell>
          <cell r="G604">
            <v>0</v>
          </cell>
          <cell r="H604">
            <v>0</v>
          </cell>
          <cell r="I604">
            <v>0</v>
          </cell>
          <cell r="J604">
            <v>0</v>
          </cell>
          <cell r="K604">
            <v>0</v>
          </cell>
          <cell r="L604">
            <v>0</v>
          </cell>
          <cell r="M604">
            <v>0</v>
          </cell>
        </row>
        <row r="605">
          <cell r="A605" t="str">
            <v>ST170-LG-S</v>
          </cell>
          <cell r="B605">
            <v>0</v>
          </cell>
          <cell r="C605">
            <v>0</v>
          </cell>
          <cell r="D605">
            <v>0</v>
          </cell>
          <cell r="E605">
            <v>0</v>
          </cell>
          <cell r="F605">
            <v>0</v>
          </cell>
          <cell r="G605">
            <v>0</v>
          </cell>
          <cell r="H605">
            <v>0</v>
          </cell>
          <cell r="I605">
            <v>0</v>
          </cell>
          <cell r="J605">
            <v>0</v>
          </cell>
          <cell r="K605">
            <v>0</v>
          </cell>
          <cell r="L605">
            <v>0</v>
          </cell>
          <cell r="M605">
            <v>0</v>
          </cell>
        </row>
        <row r="606">
          <cell r="A606" t="str">
            <v>ST170-LG-XXL</v>
          </cell>
          <cell r="B606">
            <v>0</v>
          </cell>
          <cell r="C606">
            <v>0</v>
          </cell>
          <cell r="D606">
            <v>0</v>
          </cell>
          <cell r="E606">
            <v>0</v>
          </cell>
          <cell r="F606">
            <v>0</v>
          </cell>
          <cell r="G606">
            <v>0</v>
          </cell>
          <cell r="H606">
            <v>0</v>
          </cell>
          <cell r="I606">
            <v>0</v>
          </cell>
          <cell r="J606">
            <v>0</v>
          </cell>
          <cell r="K606">
            <v>0</v>
          </cell>
          <cell r="L606">
            <v>0</v>
          </cell>
          <cell r="M606">
            <v>0</v>
          </cell>
        </row>
        <row r="607">
          <cell r="A607" t="str">
            <v>ST170-PK-M</v>
          </cell>
          <cell r="B607">
            <v>0</v>
          </cell>
          <cell r="C607">
            <v>0</v>
          </cell>
          <cell r="D607">
            <v>0</v>
          </cell>
          <cell r="E607">
            <v>0</v>
          </cell>
          <cell r="F607">
            <v>0</v>
          </cell>
          <cell r="G607">
            <v>0</v>
          </cell>
          <cell r="H607">
            <v>0</v>
          </cell>
          <cell r="I607">
            <v>0</v>
          </cell>
          <cell r="J607">
            <v>0</v>
          </cell>
          <cell r="K607">
            <v>0</v>
          </cell>
          <cell r="L607">
            <v>0</v>
          </cell>
          <cell r="M607">
            <v>0</v>
          </cell>
        </row>
        <row r="608">
          <cell r="A608" t="str">
            <v>ST170-PK-XXL</v>
          </cell>
          <cell r="B608">
            <v>0</v>
          </cell>
          <cell r="C608">
            <v>0</v>
          </cell>
          <cell r="D608">
            <v>0</v>
          </cell>
          <cell r="E608">
            <v>0</v>
          </cell>
          <cell r="F608">
            <v>0</v>
          </cell>
          <cell r="G608">
            <v>0</v>
          </cell>
          <cell r="H608">
            <v>0</v>
          </cell>
          <cell r="I608">
            <v>0</v>
          </cell>
          <cell r="J608">
            <v>0</v>
          </cell>
          <cell r="K608">
            <v>0</v>
          </cell>
          <cell r="L608">
            <v>0</v>
          </cell>
          <cell r="M608">
            <v>0</v>
          </cell>
        </row>
        <row r="609">
          <cell r="A609" t="str">
            <v>ST170-SA-M</v>
          </cell>
          <cell r="B609">
            <v>0</v>
          </cell>
          <cell r="C609">
            <v>0</v>
          </cell>
          <cell r="D609">
            <v>0</v>
          </cell>
          <cell r="E609">
            <v>0</v>
          </cell>
          <cell r="F609">
            <v>0</v>
          </cell>
          <cell r="G609">
            <v>0</v>
          </cell>
          <cell r="H609">
            <v>0</v>
          </cell>
          <cell r="I609">
            <v>0</v>
          </cell>
          <cell r="J609">
            <v>0</v>
          </cell>
          <cell r="K609">
            <v>0</v>
          </cell>
          <cell r="L609">
            <v>0</v>
          </cell>
          <cell r="M609">
            <v>0</v>
          </cell>
        </row>
        <row r="610">
          <cell r="A610" t="str">
            <v>ST170-SA-S</v>
          </cell>
          <cell r="B610">
            <v>0</v>
          </cell>
          <cell r="C610">
            <v>0</v>
          </cell>
          <cell r="D610">
            <v>0</v>
          </cell>
          <cell r="E610">
            <v>0</v>
          </cell>
          <cell r="F610">
            <v>0</v>
          </cell>
          <cell r="G610">
            <v>0</v>
          </cell>
          <cell r="H610">
            <v>0</v>
          </cell>
          <cell r="I610">
            <v>0</v>
          </cell>
          <cell r="J610">
            <v>0</v>
          </cell>
          <cell r="K610">
            <v>0</v>
          </cell>
          <cell r="L610">
            <v>0</v>
          </cell>
          <cell r="M610">
            <v>0</v>
          </cell>
        </row>
        <row r="611">
          <cell r="A611" t="str">
            <v>ST170-SA-XXL</v>
          </cell>
          <cell r="B611">
            <v>0</v>
          </cell>
          <cell r="C611">
            <v>0</v>
          </cell>
          <cell r="D611">
            <v>0</v>
          </cell>
          <cell r="E611">
            <v>0</v>
          </cell>
          <cell r="F611">
            <v>0</v>
          </cell>
          <cell r="G611">
            <v>0</v>
          </cell>
          <cell r="H611">
            <v>0</v>
          </cell>
          <cell r="I611">
            <v>0</v>
          </cell>
          <cell r="J611">
            <v>0</v>
          </cell>
          <cell r="K611">
            <v>0</v>
          </cell>
          <cell r="L611">
            <v>0</v>
          </cell>
          <cell r="M611">
            <v>0</v>
          </cell>
        </row>
        <row r="612">
          <cell r="A612" t="str">
            <v>ST170-WR-L</v>
          </cell>
          <cell r="B612">
            <v>0</v>
          </cell>
          <cell r="C612">
            <v>0</v>
          </cell>
          <cell r="D612">
            <v>0</v>
          </cell>
          <cell r="E612">
            <v>0</v>
          </cell>
          <cell r="F612">
            <v>0</v>
          </cell>
          <cell r="G612">
            <v>0</v>
          </cell>
          <cell r="H612">
            <v>0</v>
          </cell>
          <cell r="I612">
            <v>0</v>
          </cell>
          <cell r="J612">
            <v>0</v>
          </cell>
          <cell r="K612">
            <v>0</v>
          </cell>
          <cell r="L612">
            <v>0</v>
          </cell>
          <cell r="M612">
            <v>0</v>
          </cell>
        </row>
        <row r="613">
          <cell r="A613" t="str">
            <v>ST170-WR-S</v>
          </cell>
          <cell r="B613">
            <v>0</v>
          </cell>
          <cell r="C613">
            <v>0</v>
          </cell>
          <cell r="D613">
            <v>0</v>
          </cell>
          <cell r="E613">
            <v>0</v>
          </cell>
          <cell r="F613">
            <v>0</v>
          </cell>
          <cell r="G613">
            <v>0</v>
          </cell>
          <cell r="H613">
            <v>0</v>
          </cell>
          <cell r="I613">
            <v>0</v>
          </cell>
          <cell r="J613">
            <v>0</v>
          </cell>
          <cell r="K613">
            <v>0</v>
          </cell>
          <cell r="L613">
            <v>0</v>
          </cell>
          <cell r="M613">
            <v>0</v>
          </cell>
        </row>
        <row r="614">
          <cell r="A614" t="str">
            <v>ST170-WR-XL</v>
          </cell>
          <cell r="B614">
            <v>0</v>
          </cell>
          <cell r="C614">
            <v>0</v>
          </cell>
          <cell r="D614">
            <v>0</v>
          </cell>
          <cell r="E614">
            <v>0</v>
          </cell>
          <cell r="F614">
            <v>0</v>
          </cell>
          <cell r="G614">
            <v>0</v>
          </cell>
          <cell r="H614">
            <v>0</v>
          </cell>
          <cell r="I614">
            <v>0</v>
          </cell>
          <cell r="J614">
            <v>0</v>
          </cell>
          <cell r="K614">
            <v>0</v>
          </cell>
          <cell r="L614">
            <v>0</v>
          </cell>
          <cell r="M614">
            <v>0</v>
          </cell>
        </row>
        <row r="615">
          <cell r="A615" t="str">
            <v>ST170-WT-M</v>
          </cell>
          <cell r="B615">
            <v>0</v>
          </cell>
          <cell r="C615">
            <v>0</v>
          </cell>
          <cell r="D615">
            <v>0</v>
          </cell>
          <cell r="E615">
            <v>0</v>
          </cell>
          <cell r="F615">
            <v>0</v>
          </cell>
          <cell r="G615">
            <v>0</v>
          </cell>
          <cell r="H615">
            <v>0</v>
          </cell>
          <cell r="I615">
            <v>0</v>
          </cell>
          <cell r="J615">
            <v>0</v>
          </cell>
          <cell r="K615">
            <v>0</v>
          </cell>
          <cell r="L615">
            <v>0</v>
          </cell>
          <cell r="M615">
            <v>0</v>
          </cell>
        </row>
        <row r="616">
          <cell r="A616" t="str">
            <v>ST170-ZL-L</v>
          </cell>
          <cell r="B616">
            <v>0</v>
          </cell>
          <cell r="C616">
            <v>0</v>
          </cell>
          <cell r="D616">
            <v>0</v>
          </cell>
          <cell r="E616">
            <v>0</v>
          </cell>
          <cell r="F616">
            <v>0</v>
          </cell>
          <cell r="G616">
            <v>0</v>
          </cell>
          <cell r="H616">
            <v>0</v>
          </cell>
          <cell r="I616">
            <v>0</v>
          </cell>
          <cell r="J616">
            <v>0</v>
          </cell>
          <cell r="K616">
            <v>0</v>
          </cell>
          <cell r="L616">
            <v>0</v>
          </cell>
          <cell r="M616">
            <v>0</v>
          </cell>
        </row>
        <row r="617">
          <cell r="A617" t="str">
            <v>ST170-ZL-M</v>
          </cell>
          <cell r="B617">
            <v>0</v>
          </cell>
          <cell r="C617">
            <v>0</v>
          </cell>
          <cell r="D617">
            <v>0</v>
          </cell>
          <cell r="E617">
            <v>0</v>
          </cell>
          <cell r="F617">
            <v>0</v>
          </cell>
          <cell r="G617">
            <v>0</v>
          </cell>
          <cell r="H617">
            <v>0</v>
          </cell>
          <cell r="I617">
            <v>0</v>
          </cell>
          <cell r="J617">
            <v>0</v>
          </cell>
          <cell r="K617">
            <v>0</v>
          </cell>
          <cell r="L617">
            <v>0</v>
          </cell>
          <cell r="M617">
            <v>0</v>
          </cell>
        </row>
        <row r="618">
          <cell r="A618" t="str">
            <v>ST170-ZL-S</v>
          </cell>
          <cell r="B618">
            <v>0</v>
          </cell>
          <cell r="C618">
            <v>0</v>
          </cell>
          <cell r="D618">
            <v>0</v>
          </cell>
          <cell r="E618">
            <v>0</v>
          </cell>
          <cell r="F618">
            <v>0</v>
          </cell>
          <cell r="G618">
            <v>0</v>
          </cell>
          <cell r="H618">
            <v>0</v>
          </cell>
          <cell r="I618">
            <v>0</v>
          </cell>
          <cell r="J618">
            <v>0</v>
          </cell>
          <cell r="K618">
            <v>0</v>
          </cell>
          <cell r="L618">
            <v>0</v>
          </cell>
          <cell r="M618">
            <v>0</v>
          </cell>
        </row>
        <row r="619">
          <cell r="A619" t="str">
            <v>ST170-ZL-XL</v>
          </cell>
          <cell r="B619">
            <v>0</v>
          </cell>
          <cell r="C619">
            <v>0</v>
          </cell>
          <cell r="D619">
            <v>0</v>
          </cell>
          <cell r="E619">
            <v>0</v>
          </cell>
          <cell r="F619">
            <v>0</v>
          </cell>
          <cell r="G619">
            <v>0</v>
          </cell>
          <cell r="H619">
            <v>0</v>
          </cell>
          <cell r="I619">
            <v>0</v>
          </cell>
          <cell r="J619">
            <v>0</v>
          </cell>
          <cell r="K619">
            <v>0</v>
          </cell>
          <cell r="L619">
            <v>0</v>
          </cell>
          <cell r="M619">
            <v>0</v>
          </cell>
        </row>
        <row r="620">
          <cell r="A620" t="str">
            <v>ST171-LB916-M</v>
          </cell>
          <cell r="B620">
            <v>0</v>
          </cell>
          <cell r="C620">
            <v>0</v>
          </cell>
          <cell r="D620">
            <v>0</v>
          </cell>
          <cell r="E620">
            <v>0</v>
          </cell>
          <cell r="F620">
            <v>0</v>
          </cell>
          <cell r="G620">
            <v>0</v>
          </cell>
          <cell r="H620">
            <v>0</v>
          </cell>
          <cell r="I620">
            <v>0</v>
          </cell>
          <cell r="J620">
            <v>0</v>
          </cell>
          <cell r="K620">
            <v>0</v>
          </cell>
          <cell r="L620">
            <v>0</v>
          </cell>
          <cell r="M620">
            <v>0</v>
          </cell>
        </row>
        <row r="621">
          <cell r="A621" t="str">
            <v>ST171-LB916-XXL</v>
          </cell>
          <cell r="B621">
            <v>0</v>
          </cell>
          <cell r="C621">
            <v>0</v>
          </cell>
          <cell r="D621">
            <v>0</v>
          </cell>
          <cell r="E621">
            <v>0</v>
          </cell>
          <cell r="F621">
            <v>0</v>
          </cell>
          <cell r="G621">
            <v>0</v>
          </cell>
          <cell r="H621">
            <v>0</v>
          </cell>
          <cell r="I621">
            <v>0</v>
          </cell>
          <cell r="J621">
            <v>0</v>
          </cell>
          <cell r="K621">
            <v>0</v>
          </cell>
          <cell r="L621">
            <v>0</v>
          </cell>
          <cell r="M621">
            <v>0</v>
          </cell>
        </row>
        <row r="622">
          <cell r="A622" t="str">
            <v>ST171-Sa911-L</v>
          </cell>
          <cell r="B622">
            <v>0</v>
          </cell>
          <cell r="C622">
            <v>0</v>
          </cell>
          <cell r="D622">
            <v>0</v>
          </cell>
          <cell r="E622">
            <v>0</v>
          </cell>
          <cell r="F622">
            <v>0</v>
          </cell>
          <cell r="G622">
            <v>0</v>
          </cell>
          <cell r="H622">
            <v>0</v>
          </cell>
          <cell r="I622">
            <v>0</v>
          </cell>
          <cell r="J622">
            <v>0</v>
          </cell>
          <cell r="K622">
            <v>0</v>
          </cell>
          <cell r="L622">
            <v>0</v>
          </cell>
          <cell r="M622">
            <v>0</v>
          </cell>
        </row>
        <row r="623">
          <cell r="A623" t="str">
            <v>ST171-Sa911-M</v>
          </cell>
          <cell r="B623">
            <v>0</v>
          </cell>
          <cell r="C623">
            <v>0</v>
          </cell>
          <cell r="D623">
            <v>0</v>
          </cell>
          <cell r="E623">
            <v>0</v>
          </cell>
          <cell r="F623">
            <v>0</v>
          </cell>
          <cell r="G623">
            <v>0</v>
          </cell>
          <cell r="H623">
            <v>0</v>
          </cell>
          <cell r="I623">
            <v>0</v>
          </cell>
          <cell r="J623">
            <v>0</v>
          </cell>
          <cell r="K623">
            <v>0</v>
          </cell>
          <cell r="L623">
            <v>0</v>
          </cell>
          <cell r="M623">
            <v>0</v>
          </cell>
        </row>
        <row r="624">
          <cell r="A624" t="str">
            <v>ST171-Sa911-XL</v>
          </cell>
          <cell r="B624">
            <v>0</v>
          </cell>
          <cell r="C624">
            <v>0</v>
          </cell>
          <cell r="D624">
            <v>0</v>
          </cell>
          <cell r="E624">
            <v>0</v>
          </cell>
          <cell r="F624">
            <v>0</v>
          </cell>
          <cell r="G624">
            <v>0</v>
          </cell>
          <cell r="H624">
            <v>0</v>
          </cell>
          <cell r="I624">
            <v>0</v>
          </cell>
          <cell r="J624">
            <v>0</v>
          </cell>
          <cell r="K624">
            <v>0</v>
          </cell>
          <cell r="L624">
            <v>0</v>
          </cell>
          <cell r="M624">
            <v>0</v>
          </cell>
        </row>
        <row r="625">
          <cell r="A625" t="str">
            <v>ST171-W902-M</v>
          </cell>
          <cell r="B625">
            <v>0</v>
          </cell>
          <cell r="C625">
            <v>0</v>
          </cell>
          <cell r="D625">
            <v>0</v>
          </cell>
          <cell r="E625">
            <v>0</v>
          </cell>
          <cell r="F625">
            <v>0</v>
          </cell>
          <cell r="G625">
            <v>0</v>
          </cell>
          <cell r="H625">
            <v>0</v>
          </cell>
          <cell r="I625">
            <v>0</v>
          </cell>
          <cell r="J625">
            <v>0</v>
          </cell>
          <cell r="K625">
            <v>0</v>
          </cell>
          <cell r="L625">
            <v>0</v>
          </cell>
          <cell r="M625">
            <v>0</v>
          </cell>
        </row>
        <row r="626">
          <cell r="A626" t="str">
            <v>ST171-W902-XL</v>
          </cell>
          <cell r="B626">
            <v>0</v>
          </cell>
          <cell r="C626">
            <v>0</v>
          </cell>
          <cell r="D626">
            <v>0</v>
          </cell>
          <cell r="E626">
            <v>0</v>
          </cell>
          <cell r="F626">
            <v>0</v>
          </cell>
          <cell r="G626">
            <v>0</v>
          </cell>
          <cell r="H626">
            <v>0</v>
          </cell>
          <cell r="I626">
            <v>0</v>
          </cell>
          <cell r="J626">
            <v>0</v>
          </cell>
          <cell r="K626">
            <v>0</v>
          </cell>
          <cell r="L626">
            <v>0</v>
          </cell>
          <cell r="M626">
            <v>0</v>
          </cell>
        </row>
        <row r="627">
          <cell r="A627" t="str">
            <v>ST172-BK-L</v>
          </cell>
          <cell r="B627">
            <v>0</v>
          </cell>
          <cell r="C627">
            <v>0</v>
          </cell>
          <cell r="D627">
            <v>0</v>
          </cell>
          <cell r="E627">
            <v>0</v>
          </cell>
          <cell r="F627">
            <v>0</v>
          </cell>
          <cell r="G627">
            <v>0</v>
          </cell>
          <cell r="H627">
            <v>0</v>
          </cell>
          <cell r="I627">
            <v>0</v>
          </cell>
          <cell r="J627">
            <v>0</v>
          </cell>
          <cell r="K627">
            <v>0</v>
          </cell>
          <cell r="L627">
            <v>0</v>
          </cell>
          <cell r="M627">
            <v>0</v>
          </cell>
        </row>
        <row r="628">
          <cell r="A628" t="str">
            <v>ST172-BK-XL</v>
          </cell>
          <cell r="B628">
            <v>0</v>
          </cell>
          <cell r="C628">
            <v>0</v>
          </cell>
          <cell r="D628">
            <v>0</v>
          </cell>
          <cell r="E628">
            <v>0</v>
          </cell>
          <cell r="F628">
            <v>0</v>
          </cell>
          <cell r="G628">
            <v>0</v>
          </cell>
          <cell r="H628">
            <v>0</v>
          </cell>
          <cell r="I628">
            <v>0</v>
          </cell>
          <cell r="J628">
            <v>0</v>
          </cell>
          <cell r="K628">
            <v>0</v>
          </cell>
          <cell r="L628">
            <v>0</v>
          </cell>
          <cell r="M628">
            <v>0</v>
          </cell>
        </row>
        <row r="629">
          <cell r="A629" t="str">
            <v>ST172-WT2-M</v>
          </cell>
          <cell r="B629">
            <v>0</v>
          </cell>
          <cell r="C629">
            <v>0</v>
          </cell>
          <cell r="D629">
            <v>0</v>
          </cell>
          <cell r="E629">
            <v>0</v>
          </cell>
          <cell r="F629">
            <v>0</v>
          </cell>
          <cell r="G629">
            <v>0</v>
          </cell>
          <cell r="H629">
            <v>0</v>
          </cell>
          <cell r="I629">
            <v>0</v>
          </cell>
          <cell r="J629">
            <v>0</v>
          </cell>
          <cell r="K629">
            <v>0</v>
          </cell>
          <cell r="L629">
            <v>0</v>
          </cell>
          <cell r="M629">
            <v>0</v>
          </cell>
        </row>
        <row r="630">
          <cell r="A630" t="str">
            <v>ST173-BK-S</v>
          </cell>
          <cell r="B630">
            <v>0</v>
          </cell>
          <cell r="C630">
            <v>0</v>
          </cell>
          <cell r="D630">
            <v>0</v>
          </cell>
          <cell r="E630">
            <v>0</v>
          </cell>
          <cell r="F630">
            <v>0</v>
          </cell>
          <cell r="G630">
            <v>0</v>
          </cell>
          <cell r="H630">
            <v>0</v>
          </cell>
          <cell r="I630">
            <v>0</v>
          </cell>
          <cell r="J630">
            <v>0</v>
          </cell>
          <cell r="K630">
            <v>0</v>
          </cell>
          <cell r="L630">
            <v>0</v>
          </cell>
          <cell r="M630">
            <v>0</v>
          </cell>
        </row>
        <row r="631">
          <cell r="A631" t="str">
            <v>ST173-BK-XL</v>
          </cell>
          <cell r="B631">
            <v>0</v>
          </cell>
          <cell r="C631">
            <v>0</v>
          </cell>
          <cell r="D631">
            <v>0</v>
          </cell>
          <cell r="E631">
            <v>0</v>
          </cell>
          <cell r="F631">
            <v>0</v>
          </cell>
          <cell r="G631">
            <v>0</v>
          </cell>
          <cell r="H631">
            <v>0</v>
          </cell>
          <cell r="I631">
            <v>0</v>
          </cell>
          <cell r="J631">
            <v>0</v>
          </cell>
          <cell r="K631">
            <v>0</v>
          </cell>
          <cell r="L631">
            <v>0</v>
          </cell>
          <cell r="M631">
            <v>0</v>
          </cell>
        </row>
        <row r="632">
          <cell r="A632" t="str">
            <v>ST173-BK-XXL</v>
          </cell>
          <cell r="B632">
            <v>0</v>
          </cell>
          <cell r="C632">
            <v>0</v>
          </cell>
          <cell r="D632">
            <v>0</v>
          </cell>
          <cell r="E632">
            <v>0</v>
          </cell>
          <cell r="F632">
            <v>0</v>
          </cell>
          <cell r="G632">
            <v>0</v>
          </cell>
          <cell r="H632">
            <v>0</v>
          </cell>
          <cell r="I632">
            <v>0</v>
          </cell>
          <cell r="J632">
            <v>0</v>
          </cell>
          <cell r="K632">
            <v>0</v>
          </cell>
          <cell r="L632">
            <v>0</v>
          </cell>
          <cell r="M632">
            <v>0</v>
          </cell>
        </row>
        <row r="633">
          <cell r="A633" t="str">
            <v>ST173-BL-L</v>
          </cell>
          <cell r="B633">
            <v>0</v>
          </cell>
          <cell r="C633">
            <v>0</v>
          </cell>
          <cell r="D633">
            <v>0</v>
          </cell>
          <cell r="E633">
            <v>0</v>
          </cell>
          <cell r="F633">
            <v>0</v>
          </cell>
          <cell r="G633">
            <v>0</v>
          </cell>
          <cell r="H633">
            <v>0</v>
          </cell>
          <cell r="I633">
            <v>0</v>
          </cell>
          <cell r="J633">
            <v>0</v>
          </cell>
          <cell r="K633">
            <v>0</v>
          </cell>
          <cell r="L633">
            <v>0</v>
          </cell>
          <cell r="M633">
            <v>0</v>
          </cell>
        </row>
        <row r="634">
          <cell r="A634" t="str">
            <v>ST173-BL-M</v>
          </cell>
          <cell r="B634">
            <v>0</v>
          </cell>
          <cell r="C634">
            <v>0</v>
          </cell>
          <cell r="D634">
            <v>0</v>
          </cell>
          <cell r="E634">
            <v>0</v>
          </cell>
          <cell r="F634">
            <v>0</v>
          </cell>
          <cell r="G634">
            <v>0</v>
          </cell>
          <cell r="H634">
            <v>0</v>
          </cell>
          <cell r="I634">
            <v>0</v>
          </cell>
          <cell r="J634">
            <v>0</v>
          </cell>
          <cell r="K634">
            <v>0</v>
          </cell>
          <cell r="L634">
            <v>0</v>
          </cell>
          <cell r="M634">
            <v>0</v>
          </cell>
        </row>
        <row r="635">
          <cell r="A635" t="str">
            <v>ST173-BL-XXL</v>
          </cell>
          <cell r="B635">
            <v>0</v>
          </cell>
          <cell r="C635">
            <v>0</v>
          </cell>
          <cell r="D635">
            <v>0</v>
          </cell>
          <cell r="E635">
            <v>0</v>
          </cell>
          <cell r="F635">
            <v>0</v>
          </cell>
          <cell r="G635">
            <v>0</v>
          </cell>
          <cell r="H635">
            <v>0</v>
          </cell>
          <cell r="I635">
            <v>0</v>
          </cell>
          <cell r="J635">
            <v>0</v>
          </cell>
          <cell r="K635">
            <v>0</v>
          </cell>
          <cell r="L635">
            <v>0</v>
          </cell>
          <cell r="M635">
            <v>0</v>
          </cell>
        </row>
        <row r="636">
          <cell r="A636" t="str">
            <v>ST173-GR-L</v>
          </cell>
          <cell r="B636">
            <v>0</v>
          </cell>
          <cell r="C636">
            <v>0</v>
          </cell>
          <cell r="D636">
            <v>0</v>
          </cell>
          <cell r="E636">
            <v>0</v>
          </cell>
          <cell r="F636">
            <v>0</v>
          </cell>
          <cell r="G636">
            <v>0</v>
          </cell>
          <cell r="H636">
            <v>0</v>
          </cell>
          <cell r="I636">
            <v>0</v>
          </cell>
          <cell r="J636">
            <v>0</v>
          </cell>
          <cell r="K636">
            <v>0</v>
          </cell>
          <cell r="L636">
            <v>0</v>
          </cell>
          <cell r="M636">
            <v>0</v>
          </cell>
        </row>
        <row r="637">
          <cell r="A637" t="str">
            <v>ST173-GR-M</v>
          </cell>
          <cell r="B637">
            <v>0</v>
          </cell>
          <cell r="C637">
            <v>0</v>
          </cell>
          <cell r="D637">
            <v>0</v>
          </cell>
          <cell r="E637">
            <v>0</v>
          </cell>
          <cell r="F637">
            <v>0</v>
          </cell>
          <cell r="G637">
            <v>0</v>
          </cell>
          <cell r="H637">
            <v>0</v>
          </cell>
          <cell r="I637">
            <v>0</v>
          </cell>
          <cell r="J637">
            <v>0</v>
          </cell>
          <cell r="K637">
            <v>0</v>
          </cell>
          <cell r="L637">
            <v>0</v>
          </cell>
          <cell r="M637">
            <v>0</v>
          </cell>
        </row>
        <row r="638">
          <cell r="A638" t="str">
            <v>ST173-GR-XL</v>
          </cell>
          <cell r="B638">
            <v>0</v>
          </cell>
          <cell r="C638">
            <v>0</v>
          </cell>
          <cell r="D638">
            <v>0</v>
          </cell>
          <cell r="E638">
            <v>0</v>
          </cell>
          <cell r="F638">
            <v>0</v>
          </cell>
          <cell r="G638">
            <v>0</v>
          </cell>
          <cell r="H638">
            <v>0</v>
          </cell>
          <cell r="I638">
            <v>0</v>
          </cell>
          <cell r="J638">
            <v>0</v>
          </cell>
          <cell r="K638">
            <v>0</v>
          </cell>
          <cell r="L638">
            <v>0</v>
          </cell>
          <cell r="M638">
            <v>0</v>
          </cell>
        </row>
        <row r="639">
          <cell r="A639" t="str">
            <v>ST173-GR-XXL</v>
          </cell>
          <cell r="B639">
            <v>0</v>
          </cell>
          <cell r="C639">
            <v>0</v>
          </cell>
          <cell r="D639">
            <v>0</v>
          </cell>
          <cell r="E639">
            <v>0</v>
          </cell>
          <cell r="F639">
            <v>0</v>
          </cell>
          <cell r="G639">
            <v>0</v>
          </cell>
          <cell r="H639">
            <v>0</v>
          </cell>
          <cell r="I639">
            <v>0</v>
          </cell>
          <cell r="J639">
            <v>0</v>
          </cell>
          <cell r="K639">
            <v>0</v>
          </cell>
          <cell r="L639">
            <v>0</v>
          </cell>
          <cell r="M639">
            <v>0</v>
          </cell>
        </row>
        <row r="640">
          <cell r="A640" t="str">
            <v>ST173-NY-L</v>
          </cell>
          <cell r="B640">
            <v>0</v>
          </cell>
          <cell r="C640">
            <v>0</v>
          </cell>
          <cell r="D640">
            <v>0</v>
          </cell>
          <cell r="E640">
            <v>0</v>
          </cell>
          <cell r="F640">
            <v>0</v>
          </cell>
          <cell r="G640">
            <v>0</v>
          </cell>
          <cell r="H640">
            <v>0</v>
          </cell>
          <cell r="I640">
            <v>0</v>
          </cell>
          <cell r="J640">
            <v>0</v>
          </cell>
          <cell r="K640">
            <v>0</v>
          </cell>
          <cell r="L640">
            <v>0</v>
          </cell>
          <cell r="M640">
            <v>0</v>
          </cell>
        </row>
        <row r="641">
          <cell r="A641" t="str">
            <v>ST173-NY-M</v>
          </cell>
          <cell r="B641">
            <v>0</v>
          </cell>
          <cell r="C641">
            <v>0</v>
          </cell>
          <cell r="D641">
            <v>0</v>
          </cell>
          <cell r="E641">
            <v>0</v>
          </cell>
          <cell r="F641">
            <v>0</v>
          </cell>
          <cell r="G641">
            <v>0</v>
          </cell>
          <cell r="H641">
            <v>0</v>
          </cell>
          <cell r="I641">
            <v>0</v>
          </cell>
          <cell r="J641">
            <v>0</v>
          </cell>
          <cell r="K641">
            <v>0</v>
          </cell>
          <cell r="L641">
            <v>0</v>
          </cell>
          <cell r="M641">
            <v>0</v>
          </cell>
        </row>
        <row r="642">
          <cell r="A642" t="str">
            <v>ST173-NY-XL</v>
          </cell>
          <cell r="B642">
            <v>0</v>
          </cell>
          <cell r="C642">
            <v>0</v>
          </cell>
          <cell r="D642">
            <v>0</v>
          </cell>
          <cell r="E642">
            <v>0</v>
          </cell>
          <cell r="F642">
            <v>0</v>
          </cell>
          <cell r="G642">
            <v>0</v>
          </cell>
          <cell r="H642">
            <v>0</v>
          </cell>
          <cell r="I642">
            <v>0</v>
          </cell>
          <cell r="J642">
            <v>0</v>
          </cell>
          <cell r="K642">
            <v>0</v>
          </cell>
          <cell r="L642">
            <v>0</v>
          </cell>
          <cell r="M642">
            <v>0</v>
          </cell>
        </row>
        <row r="643">
          <cell r="A643" t="str">
            <v>ST173-NY-XXL</v>
          </cell>
          <cell r="B643">
            <v>0</v>
          </cell>
          <cell r="C643">
            <v>0</v>
          </cell>
          <cell r="D643">
            <v>0</v>
          </cell>
          <cell r="E643">
            <v>0</v>
          </cell>
          <cell r="F643">
            <v>0</v>
          </cell>
          <cell r="G643">
            <v>0</v>
          </cell>
          <cell r="H643">
            <v>0</v>
          </cell>
          <cell r="I643">
            <v>0</v>
          </cell>
          <cell r="J643">
            <v>0</v>
          </cell>
          <cell r="K643">
            <v>0</v>
          </cell>
          <cell r="L643">
            <v>0</v>
          </cell>
          <cell r="M643">
            <v>0</v>
          </cell>
        </row>
        <row r="644">
          <cell r="A644" t="str">
            <v>ST173-PK-M</v>
          </cell>
          <cell r="B644">
            <v>0</v>
          </cell>
          <cell r="C644">
            <v>0</v>
          </cell>
          <cell r="D644">
            <v>0</v>
          </cell>
          <cell r="E644">
            <v>0</v>
          </cell>
          <cell r="F644">
            <v>0</v>
          </cell>
          <cell r="G644">
            <v>0</v>
          </cell>
          <cell r="H644">
            <v>0</v>
          </cell>
          <cell r="I644">
            <v>0</v>
          </cell>
          <cell r="J644">
            <v>0</v>
          </cell>
          <cell r="K644">
            <v>0</v>
          </cell>
          <cell r="L644">
            <v>0</v>
          </cell>
          <cell r="M644">
            <v>0</v>
          </cell>
        </row>
        <row r="645">
          <cell r="A645" t="str">
            <v>ST173-PK-S</v>
          </cell>
          <cell r="B645">
            <v>0</v>
          </cell>
          <cell r="C645">
            <v>0</v>
          </cell>
          <cell r="D645">
            <v>0</v>
          </cell>
          <cell r="E645">
            <v>0</v>
          </cell>
          <cell r="F645">
            <v>0</v>
          </cell>
          <cell r="G645">
            <v>0</v>
          </cell>
          <cell r="H645">
            <v>0</v>
          </cell>
          <cell r="I645">
            <v>0</v>
          </cell>
          <cell r="J645">
            <v>0</v>
          </cell>
          <cell r="K645">
            <v>0</v>
          </cell>
          <cell r="L645">
            <v>0</v>
          </cell>
          <cell r="M645">
            <v>0</v>
          </cell>
        </row>
        <row r="646">
          <cell r="A646" t="str">
            <v>ST173-PP-S</v>
          </cell>
          <cell r="B646">
            <v>0</v>
          </cell>
          <cell r="C646">
            <v>0</v>
          </cell>
          <cell r="D646">
            <v>0</v>
          </cell>
          <cell r="E646">
            <v>0</v>
          </cell>
          <cell r="F646">
            <v>0</v>
          </cell>
          <cell r="G646">
            <v>0</v>
          </cell>
          <cell r="H646">
            <v>0</v>
          </cell>
          <cell r="I646">
            <v>0</v>
          </cell>
          <cell r="J646">
            <v>0</v>
          </cell>
          <cell r="K646">
            <v>0</v>
          </cell>
          <cell r="L646">
            <v>0</v>
          </cell>
          <cell r="M646">
            <v>0</v>
          </cell>
        </row>
        <row r="647">
          <cell r="A647" t="str">
            <v>ST173-WR-XL</v>
          </cell>
          <cell r="B647">
            <v>0</v>
          </cell>
          <cell r="C647">
            <v>0</v>
          </cell>
          <cell r="D647">
            <v>0</v>
          </cell>
          <cell r="E647">
            <v>0</v>
          </cell>
          <cell r="F647">
            <v>0</v>
          </cell>
          <cell r="G647">
            <v>0</v>
          </cell>
          <cell r="H647">
            <v>0</v>
          </cell>
          <cell r="I647">
            <v>0</v>
          </cell>
          <cell r="J647">
            <v>0</v>
          </cell>
          <cell r="K647">
            <v>0</v>
          </cell>
          <cell r="L647">
            <v>0</v>
          </cell>
          <cell r="M647">
            <v>0</v>
          </cell>
        </row>
        <row r="648">
          <cell r="A648" t="str">
            <v>ST173-WR-XXL</v>
          </cell>
          <cell r="B648">
            <v>0</v>
          </cell>
          <cell r="C648">
            <v>0</v>
          </cell>
          <cell r="D648">
            <v>0</v>
          </cell>
          <cell r="E648">
            <v>0</v>
          </cell>
          <cell r="F648">
            <v>0</v>
          </cell>
          <cell r="G648">
            <v>0</v>
          </cell>
          <cell r="H648">
            <v>0</v>
          </cell>
          <cell r="I648">
            <v>0</v>
          </cell>
          <cell r="J648">
            <v>0</v>
          </cell>
          <cell r="K648">
            <v>0</v>
          </cell>
          <cell r="L648">
            <v>0</v>
          </cell>
          <cell r="M648">
            <v>0</v>
          </cell>
        </row>
        <row r="649">
          <cell r="A649" t="str">
            <v>ST173-WT1-L</v>
          </cell>
          <cell r="B649">
            <v>0</v>
          </cell>
          <cell r="C649">
            <v>0</v>
          </cell>
          <cell r="D649">
            <v>0</v>
          </cell>
          <cell r="E649">
            <v>0</v>
          </cell>
          <cell r="F649">
            <v>0</v>
          </cell>
          <cell r="G649">
            <v>0</v>
          </cell>
          <cell r="H649">
            <v>0</v>
          </cell>
          <cell r="I649">
            <v>0</v>
          </cell>
          <cell r="J649">
            <v>0</v>
          </cell>
          <cell r="K649">
            <v>0</v>
          </cell>
          <cell r="L649">
            <v>0</v>
          </cell>
          <cell r="M649">
            <v>0</v>
          </cell>
        </row>
        <row r="650">
          <cell r="A650" t="str">
            <v>ST173-WT1-S</v>
          </cell>
          <cell r="B650">
            <v>0</v>
          </cell>
          <cell r="C650">
            <v>0</v>
          </cell>
          <cell r="D650">
            <v>0</v>
          </cell>
          <cell r="E650">
            <v>0</v>
          </cell>
          <cell r="F650">
            <v>0</v>
          </cell>
          <cell r="G650">
            <v>0</v>
          </cell>
          <cell r="H650">
            <v>0</v>
          </cell>
          <cell r="I650">
            <v>0</v>
          </cell>
          <cell r="J650">
            <v>0</v>
          </cell>
          <cell r="K650">
            <v>0</v>
          </cell>
          <cell r="L650">
            <v>0</v>
          </cell>
          <cell r="M650">
            <v>0</v>
          </cell>
        </row>
        <row r="651">
          <cell r="A651" t="str">
            <v>ST173-WT2-S</v>
          </cell>
          <cell r="B651">
            <v>0</v>
          </cell>
          <cell r="C651">
            <v>0</v>
          </cell>
          <cell r="D651">
            <v>0</v>
          </cell>
          <cell r="E651">
            <v>0</v>
          </cell>
          <cell r="F651">
            <v>0</v>
          </cell>
          <cell r="G651">
            <v>0</v>
          </cell>
          <cell r="H651">
            <v>0</v>
          </cell>
          <cell r="I651">
            <v>0</v>
          </cell>
          <cell r="J651">
            <v>0</v>
          </cell>
          <cell r="K651">
            <v>0</v>
          </cell>
          <cell r="L651">
            <v>0</v>
          </cell>
          <cell r="M651">
            <v>0</v>
          </cell>
        </row>
        <row r="652">
          <cell r="A652" t="str">
            <v>TZ-CAHM240-BEAR-L</v>
          </cell>
          <cell r="B652">
            <v>0</v>
          </cell>
          <cell r="C652">
            <v>0</v>
          </cell>
          <cell r="D652">
            <v>0</v>
          </cell>
          <cell r="E652">
            <v>0</v>
          </cell>
          <cell r="F652">
            <v>0</v>
          </cell>
          <cell r="G652">
            <v>0</v>
          </cell>
          <cell r="H652">
            <v>0</v>
          </cell>
          <cell r="I652">
            <v>0</v>
          </cell>
          <cell r="J652">
            <v>0</v>
          </cell>
          <cell r="K652">
            <v>0</v>
          </cell>
          <cell r="L652">
            <v>0</v>
          </cell>
          <cell r="M652">
            <v>0</v>
          </cell>
        </row>
        <row r="653">
          <cell r="A653" t="str">
            <v>TZ-CAHM240-BEAR-M</v>
          </cell>
          <cell r="B653">
            <v>0</v>
          </cell>
          <cell r="C653">
            <v>0</v>
          </cell>
          <cell r="D653">
            <v>0</v>
          </cell>
          <cell r="E653">
            <v>0</v>
          </cell>
          <cell r="F653">
            <v>0</v>
          </cell>
          <cell r="G653">
            <v>0</v>
          </cell>
          <cell r="H653">
            <v>0</v>
          </cell>
          <cell r="I653">
            <v>0</v>
          </cell>
          <cell r="J653">
            <v>0</v>
          </cell>
          <cell r="K653">
            <v>0</v>
          </cell>
          <cell r="L653">
            <v>0</v>
          </cell>
          <cell r="M653">
            <v>0</v>
          </cell>
        </row>
        <row r="654">
          <cell r="A654" t="str">
            <v>TZ-CAHM240-BEAR-S</v>
          </cell>
          <cell r="B654">
            <v>0</v>
          </cell>
          <cell r="C654">
            <v>0</v>
          </cell>
          <cell r="D654">
            <v>0</v>
          </cell>
          <cell r="E654">
            <v>0</v>
          </cell>
          <cell r="F654">
            <v>0</v>
          </cell>
          <cell r="G654">
            <v>0</v>
          </cell>
          <cell r="H654">
            <v>0</v>
          </cell>
          <cell r="I654">
            <v>0</v>
          </cell>
          <cell r="J654">
            <v>0</v>
          </cell>
          <cell r="K654">
            <v>0</v>
          </cell>
          <cell r="L654">
            <v>0</v>
          </cell>
          <cell r="M654">
            <v>0</v>
          </cell>
        </row>
        <row r="655">
          <cell r="A655" t="str">
            <v>TZ-CAHM240-BONE-L</v>
          </cell>
          <cell r="B655">
            <v>0</v>
          </cell>
          <cell r="C655">
            <v>0</v>
          </cell>
          <cell r="D655">
            <v>0</v>
          </cell>
          <cell r="E655">
            <v>0</v>
          </cell>
          <cell r="F655">
            <v>0</v>
          </cell>
          <cell r="G655">
            <v>0</v>
          </cell>
          <cell r="H655">
            <v>0</v>
          </cell>
          <cell r="I655">
            <v>0</v>
          </cell>
          <cell r="J655">
            <v>0</v>
          </cell>
          <cell r="K655">
            <v>0</v>
          </cell>
          <cell r="L655">
            <v>0</v>
          </cell>
          <cell r="M655">
            <v>0</v>
          </cell>
        </row>
        <row r="656">
          <cell r="A656" t="str">
            <v>TZ-CAHM240-BONE-M</v>
          </cell>
          <cell r="B656">
            <v>0</v>
          </cell>
          <cell r="C656">
            <v>0</v>
          </cell>
          <cell r="D656">
            <v>0</v>
          </cell>
          <cell r="E656">
            <v>0</v>
          </cell>
          <cell r="F656">
            <v>0</v>
          </cell>
          <cell r="G656">
            <v>0</v>
          </cell>
          <cell r="H656">
            <v>0</v>
          </cell>
          <cell r="I656">
            <v>0</v>
          </cell>
          <cell r="J656">
            <v>0</v>
          </cell>
          <cell r="K656">
            <v>0</v>
          </cell>
          <cell r="L656">
            <v>0</v>
          </cell>
          <cell r="M656">
            <v>0</v>
          </cell>
        </row>
        <row r="657">
          <cell r="A657" t="str">
            <v>TZ-CAHM240-BONE-S</v>
          </cell>
          <cell r="B657">
            <v>0</v>
          </cell>
          <cell r="C657">
            <v>0</v>
          </cell>
          <cell r="D657">
            <v>0</v>
          </cell>
          <cell r="E657">
            <v>0</v>
          </cell>
          <cell r="F657">
            <v>0</v>
          </cell>
          <cell r="G657">
            <v>0</v>
          </cell>
          <cell r="H657">
            <v>0</v>
          </cell>
          <cell r="I657">
            <v>0</v>
          </cell>
          <cell r="J657">
            <v>0</v>
          </cell>
          <cell r="K657">
            <v>0</v>
          </cell>
          <cell r="L657">
            <v>0</v>
          </cell>
          <cell r="M657">
            <v>0</v>
          </cell>
        </row>
        <row r="658">
          <cell r="A658" t="str">
            <v>TZ-CAHM240-CHRISMAS-L</v>
          </cell>
          <cell r="B658">
            <v>0</v>
          </cell>
          <cell r="C658">
            <v>0</v>
          </cell>
          <cell r="D658">
            <v>0</v>
          </cell>
          <cell r="E658">
            <v>0</v>
          </cell>
          <cell r="F658">
            <v>0</v>
          </cell>
          <cell r="G658">
            <v>0</v>
          </cell>
          <cell r="H658">
            <v>0</v>
          </cell>
          <cell r="I658">
            <v>0</v>
          </cell>
          <cell r="J658">
            <v>0</v>
          </cell>
          <cell r="K658">
            <v>0</v>
          </cell>
          <cell r="L658">
            <v>0</v>
          </cell>
          <cell r="M658">
            <v>0</v>
          </cell>
        </row>
        <row r="659">
          <cell r="A659" t="str">
            <v>TZ-CAHM240-CHRISMAS-M</v>
          </cell>
          <cell r="B659">
            <v>0</v>
          </cell>
          <cell r="C659">
            <v>0</v>
          </cell>
          <cell r="D659">
            <v>0</v>
          </cell>
          <cell r="E659">
            <v>0</v>
          </cell>
          <cell r="F659">
            <v>0</v>
          </cell>
          <cell r="G659">
            <v>0</v>
          </cell>
          <cell r="H659">
            <v>0</v>
          </cell>
          <cell r="I659">
            <v>0</v>
          </cell>
          <cell r="J659">
            <v>0</v>
          </cell>
          <cell r="K659">
            <v>0</v>
          </cell>
          <cell r="L659">
            <v>0</v>
          </cell>
          <cell r="M659">
            <v>0</v>
          </cell>
        </row>
        <row r="660">
          <cell r="A660" t="str">
            <v>TZ-CAHM240-CHRISMAS-S</v>
          </cell>
          <cell r="B660">
            <v>0</v>
          </cell>
          <cell r="C660">
            <v>0</v>
          </cell>
          <cell r="D660">
            <v>0</v>
          </cell>
          <cell r="E660">
            <v>0</v>
          </cell>
          <cell r="F660">
            <v>0</v>
          </cell>
          <cell r="G660">
            <v>0</v>
          </cell>
          <cell r="H660">
            <v>0</v>
          </cell>
          <cell r="I660">
            <v>0</v>
          </cell>
          <cell r="J660">
            <v>0</v>
          </cell>
          <cell r="K660">
            <v>0</v>
          </cell>
          <cell r="L660">
            <v>0</v>
          </cell>
          <cell r="M660">
            <v>0</v>
          </cell>
        </row>
        <row r="661">
          <cell r="A661" t="str">
            <v>TZ-CAHM240-DOT-L</v>
          </cell>
          <cell r="B661">
            <v>0</v>
          </cell>
          <cell r="C661">
            <v>0</v>
          </cell>
          <cell r="D661">
            <v>0</v>
          </cell>
          <cell r="E661">
            <v>0</v>
          </cell>
          <cell r="F661">
            <v>0</v>
          </cell>
          <cell r="G661">
            <v>0</v>
          </cell>
          <cell r="H661">
            <v>0</v>
          </cell>
          <cell r="I661">
            <v>0</v>
          </cell>
          <cell r="J661">
            <v>0</v>
          </cell>
          <cell r="K661">
            <v>0</v>
          </cell>
          <cell r="L661">
            <v>0</v>
          </cell>
          <cell r="M661">
            <v>0</v>
          </cell>
        </row>
        <row r="662">
          <cell r="A662" t="str">
            <v>TZ-CAHM240-DOT-M</v>
          </cell>
          <cell r="B662">
            <v>0</v>
          </cell>
          <cell r="C662">
            <v>0</v>
          </cell>
          <cell r="D662">
            <v>0</v>
          </cell>
          <cell r="E662">
            <v>0</v>
          </cell>
          <cell r="F662">
            <v>0</v>
          </cell>
          <cell r="G662">
            <v>0</v>
          </cell>
          <cell r="H662">
            <v>0</v>
          </cell>
          <cell r="I662">
            <v>0</v>
          </cell>
          <cell r="J662">
            <v>0</v>
          </cell>
          <cell r="K662">
            <v>0</v>
          </cell>
          <cell r="L662">
            <v>0</v>
          </cell>
          <cell r="M662">
            <v>0</v>
          </cell>
        </row>
        <row r="663">
          <cell r="A663" t="str">
            <v>TZ-CAHM240-DOT-S</v>
          </cell>
          <cell r="B663">
            <v>0</v>
          </cell>
          <cell r="C663">
            <v>0</v>
          </cell>
          <cell r="D663">
            <v>0</v>
          </cell>
          <cell r="E663">
            <v>0</v>
          </cell>
          <cell r="F663">
            <v>0</v>
          </cell>
          <cell r="G663">
            <v>0</v>
          </cell>
          <cell r="H663">
            <v>0</v>
          </cell>
          <cell r="I663">
            <v>0</v>
          </cell>
          <cell r="J663">
            <v>0</v>
          </cell>
          <cell r="K663">
            <v>0</v>
          </cell>
          <cell r="L663">
            <v>0</v>
          </cell>
          <cell r="M663">
            <v>0</v>
          </cell>
        </row>
        <row r="664">
          <cell r="A664" t="str">
            <v>TZ-CAHM240-DOT2-L</v>
          </cell>
          <cell r="B664">
            <v>0</v>
          </cell>
          <cell r="C664">
            <v>0</v>
          </cell>
          <cell r="D664">
            <v>0</v>
          </cell>
          <cell r="E664">
            <v>0</v>
          </cell>
          <cell r="F664">
            <v>0</v>
          </cell>
          <cell r="G664">
            <v>0</v>
          </cell>
          <cell r="H664">
            <v>0</v>
          </cell>
          <cell r="I664">
            <v>0</v>
          </cell>
          <cell r="J664">
            <v>0</v>
          </cell>
          <cell r="K664">
            <v>0</v>
          </cell>
          <cell r="L664">
            <v>0</v>
          </cell>
          <cell r="M664">
            <v>0</v>
          </cell>
        </row>
        <row r="665">
          <cell r="A665" t="str">
            <v>TZ-CAHM240-DOT2-M</v>
          </cell>
          <cell r="B665">
            <v>0</v>
          </cell>
          <cell r="C665">
            <v>0</v>
          </cell>
          <cell r="D665">
            <v>0</v>
          </cell>
          <cell r="E665">
            <v>0</v>
          </cell>
          <cell r="F665">
            <v>0</v>
          </cell>
          <cell r="G665">
            <v>0</v>
          </cell>
          <cell r="H665">
            <v>0</v>
          </cell>
          <cell r="I665">
            <v>0</v>
          </cell>
          <cell r="J665">
            <v>0</v>
          </cell>
          <cell r="K665">
            <v>0</v>
          </cell>
          <cell r="L665">
            <v>0</v>
          </cell>
          <cell r="M665">
            <v>0</v>
          </cell>
        </row>
        <row r="666">
          <cell r="A666" t="str">
            <v>TZ-CAHM240-DOT2-S</v>
          </cell>
          <cell r="B666">
            <v>0</v>
          </cell>
          <cell r="C666">
            <v>0</v>
          </cell>
          <cell r="D666">
            <v>0</v>
          </cell>
          <cell r="E666">
            <v>0</v>
          </cell>
          <cell r="F666">
            <v>0</v>
          </cell>
          <cell r="G666">
            <v>0</v>
          </cell>
          <cell r="H666">
            <v>0</v>
          </cell>
          <cell r="I666">
            <v>0</v>
          </cell>
          <cell r="J666">
            <v>0</v>
          </cell>
          <cell r="K666">
            <v>0</v>
          </cell>
          <cell r="L666">
            <v>0</v>
          </cell>
          <cell r="M666">
            <v>0</v>
          </cell>
        </row>
        <row r="667">
          <cell r="A667" t="str">
            <v>TZ-CAHM240-ELPH-L</v>
          </cell>
          <cell r="B667">
            <v>0</v>
          </cell>
          <cell r="C667">
            <v>0</v>
          </cell>
          <cell r="D667">
            <v>0</v>
          </cell>
          <cell r="E667">
            <v>0</v>
          </cell>
          <cell r="F667">
            <v>0</v>
          </cell>
          <cell r="G667">
            <v>0</v>
          </cell>
          <cell r="H667">
            <v>0</v>
          </cell>
          <cell r="I667">
            <v>0</v>
          </cell>
          <cell r="J667">
            <v>0</v>
          </cell>
          <cell r="K667">
            <v>0</v>
          </cell>
          <cell r="L667">
            <v>0</v>
          </cell>
          <cell r="M667">
            <v>0</v>
          </cell>
        </row>
        <row r="668">
          <cell r="A668" t="str">
            <v>TZ-CAHM240-ELPH-M</v>
          </cell>
          <cell r="B668">
            <v>0</v>
          </cell>
          <cell r="C668">
            <v>0</v>
          </cell>
          <cell r="D668">
            <v>0</v>
          </cell>
          <cell r="E668">
            <v>0</v>
          </cell>
          <cell r="F668">
            <v>0</v>
          </cell>
          <cell r="G668">
            <v>0</v>
          </cell>
          <cell r="H668">
            <v>0</v>
          </cell>
          <cell r="I668">
            <v>0</v>
          </cell>
          <cell r="J668">
            <v>0</v>
          </cell>
          <cell r="K668">
            <v>0</v>
          </cell>
          <cell r="L668">
            <v>0</v>
          </cell>
          <cell r="M668">
            <v>0</v>
          </cell>
        </row>
        <row r="669">
          <cell r="A669" t="str">
            <v>TZ-CAHM240-ELPH-S</v>
          </cell>
          <cell r="B669">
            <v>0</v>
          </cell>
          <cell r="C669">
            <v>0</v>
          </cell>
          <cell r="D669">
            <v>0</v>
          </cell>
          <cell r="E669">
            <v>0</v>
          </cell>
          <cell r="F669">
            <v>0</v>
          </cell>
          <cell r="G669">
            <v>0</v>
          </cell>
          <cell r="H669">
            <v>0</v>
          </cell>
          <cell r="I669">
            <v>0</v>
          </cell>
          <cell r="J669">
            <v>0</v>
          </cell>
          <cell r="K669">
            <v>0</v>
          </cell>
          <cell r="L669">
            <v>0</v>
          </cell>
          <cell r="M669">
            <v>0</v>
          </cell>
        </row>
        <row r="670">
          <cell r="A670" t="str">
            <v>TZ-CAHM240-LOVE-L</v>
          </cell>
          <cell r="B670">
            <v>0</v>
          </cell>
          <cell r="C670">
            <v>0</v>
          </cell>
          <cell r="D670">
            <v>0</v>
          </cell>
          <cell r="E670">
            <v>0</v>
          </cell>
          <cell r="F670">
            <v>0</v>
          </cell>
          <cell r="G670">
            <v>0</v>
          </cell>
          <cell r="H670">
            <v>0</v>
          </cell>
          <cell r="I670">
            <v>0</v>
          </cell>
          <cell r="J670">
            <v>0</v>
          </cell>
          <cell r="K670">
            <v>0</v>
          </cell>
          <cell r="L670">
            <v>0</v>
          </cell>
          <cell r="M670">
            <v>0</v>
          </cell>
        </row>
        <row r="671">
          <cell r="A671" t="str">
            <v>TZ-CAHM240-LOVE-M</v>
          </cell>
          <cell r="B671">
            <v>0</v>
          </cell>
          <cell r="C671">
            <v>0</v>
          </cell>
          <cell r="D671">
            <v>0</v>
          </cell>
          <cell r="E671">
            <v>0</v>
          </cell>
          <cell r="F671">
            <v>0</v>
          </cell>
          <cell r="G671">
            <v>0</v>
          </cell>
          <cell r="H671">
            <v>0</v>
          </cell>
          <cell r="I671">
            <v>0</v>
          </cell>
          <cell r="J671">
            <v>0</v>
          </cell>
          <cell r="K671">
            <v>0</v>
          </cell>
          <cell r="L671">
            <v>0</v>
          </cell>
          <cell r="M671">
            <v>0</v>
          </cell>
        </row>
        <row r="672">
          <cell r="A672" t="str">
            <v>TZ-CAHM240-LOVE-S</v>
          </cell>
          <cell r="B672">
            <v>0</v>
          </cell>
          <cell r="C672">
            <v>0</v>
          </cell>
          <cell r="D672">
            <v>0</v>
          </cell>
          <cell r="E672">
            <v>0</v>
          </cell>
          <cell r="F672">
            <v>0</v>
          </cell>
          <cell r="G672">
            <v>0</v>
          </cell>
          <cell r="H672">
            <v>0</v>
          </cell>
          <cell r="I672">
            <v>0</v>
          </cell>
          <cell r="J672">
            <v>0</v>
          </cell>
          <cell r="K672">
            <v>0</v>
          </cell>
          <cell r="L672">
            <v>0</v>
          </cell>
          <cell r="M672">
            <v>0</v>
          </cell>
        </row>
        <row r="673">
          <cell r="A673" t="str">
            <v>TZ-CAHM240-PAW-L</v>
          </cell>
          <cell r="B673">
            <v>0</v>
          </cell>
          <cell r="C673">
            <v>0</v>
          </cell>
          <cell r="D673">
            <v>0</v>
          </cell>
          <cell r="E673">
            <v>0</v>
          </cell>
          <cell r="F673">
            <v>0</v>
          </cell>
          <cell r="G673">
            <v>0</v>
          </cell>
          <cell r="H673">
            <v>0</v>
          </cell>
          <cell r="I673">
            <v>0</v>
          </cell>
          <cell r="J673">
            <v>0</v>
          </cell>
          <cell r="K673">
            <v>0</v>
          </cell>
          <cell r="L673">
            <v>0</v>
          </cell>
          <cell r="M673">
            <v>0</v>
          </cell>
        </row>
        <row r="674">
          <cell r="A674" t="str">
            <v>TZ-CAHM240-PAW-M</v>
          </cell>
          <cell r="B674">
            <v>0</v>
          </cell>
          <cell r="C674">
            <v>0</v>
          </cell>
          <cell r="D674">
            <v>0</v>
          </cell>
          <cell r="E674">
            <v>0</v>
          </cell>
          <cell r="F674">
            <v>0</v>
          </cell>
          <cell r="G674">
            <v>0</v>
          </cell>
          <cell r="H674">
            <v>0</v>
          </cell>
          <cell r="I674">
            <v>0</v>
          </cell>
          <cell r="J674">
            <v>0</v>
          </cell>
          <cell r="K674">
            <v>0</v>
          </cell>
          <cell r="L674">
            <v>0</v>
          </cell>
          <cell r="M674">
            <v>0</v>
          </cell>
        </row>
        <row r="675">
          <cell r="A675" t="str">
            <v>TZ-CAHM240-PAW-S</v>
          </cell>
          <cell r="B675">
            <v>0</v>
          </cell>
          <cell r="C675">
            <v>0</v>
          </cell>
          <cell r="D675">
            <v>0</v>
          </cell>
          <cell r="E675">
            <v>0</v>
          </cell>
          <cell r="F675">
            <v>0</v>
          </cell>
          <cell r="G675">
            <v>0</v>
          </cell>
          <cell r="H675">
            <v>0</v>
          </cell>
          <cell r="I675">
            <v>0</v>
          </cell>
          <cell r="J675">
            <v>0</v>
          </cell>
          <cell r="K675">
            <v>0</v>
          </cell>
          <cell r="L675">
            <v>0</v>
          </cell>
          <cell r="M675">
            <v>0</v>
          </cell>
        </row>
        <row r="676">
          <cell r="A676" t="str">
            <v>TZ-CAHM240-RABBIT-L</v>
          </cell>
          <cell r="B676">
            <v>0</v>
          </cell>
          <cell r="C676">
            <v>0</v>
          </cell>
          <cell r="D676">
            <v>0</v>
          </cell>
          <cell r="E676">
            <v>0</v>
          </cell>
          <cell r="F676">
            <v>0</v>
          </cell>
          <cell r="G676">
            <v>0</v>
          </cell>
          <cell r="H676">
            <v>0</v>
          </cell>
          <cell r="I676">
            <v>0</v>
          </cell>
          <cell r="J676">
            <v>0</v>
          </cell>
          <cell r="K676">
            <v>0</v>
          </cell>
          <cell r="L676">
            <v>0</v>
          </cell>
          <cell r="M676">
            <v>0</v>
          </cell>
        </row>
        <row r="677">
          <cell r="A677" t="str">
            <v>TZ-CAHM240-RABBIT-M</v>
          </cell>
          <cell r="B677">
            <v>0</v>
          </cell>
          <cell r="C677">
            <v>0</v>
          </cell>
          <cell r="D677">
            <v>0</v>
          </cell>
          <cell r="E677">
            <v>0</v>
          </cell>
          <cell r="F677">
            <v>0</v>
          </cell>
          <cell r="G677">
            <v>0</v>
          </cell>
          <cell r="H677">
            <v>0</v>
          </cell>
          <cell r="I677">
            <v>0</v>
          </cell>
          <cell r="J677">
            <v>0</v>
          </cell>
          <cell r="K677">
            <v>0</v>
          </cell>
          <cell r="L677">
            <v>0</v>
          </cell>
          <cell r="M677">
            <v>0</v>
          </cell>
        </row>
        <row r="678">
          <cell r="A678" t="str">
            <v>TZ-CAHM240-RABBIT-S</v>
          </cell>
          <cell r="B678">
            <v>0</v>
          </cell>
          <cell r="C678">
            <v>0</v>
          </cell>
          <cell r="D678">
            <v>0</v>
          </cell>
          <cell r="E678">
            <v>0</v>
          </cell>
          <cell r="F678">
            <v>0</v>
          </cell>
          <cell r="G678">
            <v>0</v>
          </cell>
          <cell r="H678">
            <v>0</v>
          </cell>
          <cell r="I678">
            <v>0</v>
          </cell>
          <cell r="J678">
            <v>0</v>
          </cell>
          <cell r="K678">
            <v>0</v>
          </cell>
          <cell r="L678">
            <v>0</v>
          </cell>
          <cell r="M678">
            <v>0</v>
          </cell>
        </row>
        <row r="679">
          <cell r="A679" t="str">
            <v>TZ-CAHM240-STAR-L</v>
          </cell>
          <cell r="B679">
            <v>0</v>
          </cell>
          <cell r="C679">
            <v>0</v>
          </cell>
          <cell r="D679">
            <v>0</v>
          </cell>
          <cell r="E679">
            <v>0</v>
          </cell>
          <cell r="F679">
            <v>0</v>
          </cell>
          <cell r="G679">
            <v>0</v>
          </cell>
          <cell r="H679">
            <v>0</v>
          </cell>
          <cell r="I679">
            <v>0</v>
          </cell>
          <cell r="J679">
            <v>0</v>
          </cell>
          <cell r="K679">
            <v>0</v>
          </cell>
          <cell r="L679">
            <v>0</v>
          </cell>
          <cell r="M679">
            <v>0</v>
          </cell>
        </row>
        <row r="680">
          <cell r="A680" t="str">
            <v>TZ-CAHM240-STAR-M</v>
          </cell>
          <cell r="B680">
            <v>0</v>
          </cell>
          <cell r="C680">
            <v>0</v>
          </cell>
          <cell r="D680">
            <v>0</v>
          </cell>
          <cell r="E680">
            <v>0</v>
          </cell>
          <cell r="F680">
            <v>0</v>
          </cell>
          <cell r="G680">
            <v>0</v>
          </cell>
          <cell r="H680">
            <v>0</v>
          </cell>
          <cell r="I680">
            <v>0</v>
          </cell>
          <cell r="J680">
            <v>0</v>
          </cell>
          <cell r="K680">
            <v>0</v>
          </cell>
          <cell r="L680">
            <v>0</v>
          </cell>
          <cell r="M680">
            <v>0</v>
          </cell>
        </row>
        <row r="681">
          <cell r="A681" t="str">
            <v>TZ-CAHM240-STAR-S</v>
          </cell>
          <cell r="B681">
            <v>0</v>
          </cell>
          <cell r="C681">
            <v>0</v>
          </cell>
          <cell r="D681">
            <v>0</v>
          </cell>
          <cell r="E681">
            <v>0</v>
          </cell>
          <cell r="F681">
            <v>0</v>
          </cell>
          <cell r="G681">
            <v>0</v>
          </cell>
          <cell r="H681">
            <v>0</v>
          </cell>
          <cell r="I681">
            <v>0</v>
          </cell>
          <cell r="J681">
            <v>0</v>
          </cell>
          <cell r="K681">
            <v>0</v>
          </cell>
          <cell r="L681">
            <v>0</v>
          </cell>
          <cell r="M681">
            <v>0</v>
          </cell>
        </row>
        <row r="682">
          <cell r="A682" t="str">
            <v>TZ-CAHM240-STRAWBERRY-L</v>
          </cell>
          <cell r="B682">
            <v>0</v>
          </cell>
          <cell r="C682">
            <v>0</v>
          </cell>
          <cell r="D682">
            <v>0</v>
          </cell>
          <cell r="E682">
            <v>0</v>
          </cell>
          <cell r="F682">
            <v>0</v>
          </cell>
          <cell r="G682">
            <v>0</v>
          </cell>
          <cell r="H682">
            <v>0</v>
          </cell>
          <cell r="I682">
            <v>0</v>
          </cell>
          <cell r="J682">
            <v>0</v>
          </cell>
          <cell r="K682">
            <v>0</v>
          </cell>
          <cell r="L682">
            <v>0</v>
          </cell>
          <cell r="M682">
            <v>0</v>
          </cell>
        </row>
        <row r="683">
          <cell r="A683" t="str">
            <v>TZ-CAHM240-STRAWBERRY-M</v>
          </cell>
          <cell r="B683">
            <v>0</v>
          </cell>
          <cell r="C683">
            <v>0</v>
          </cell>
          <cell r="D683">
            <v>0</v>
          </cell>
          <cell r="E683">
            <v>0</v>
          </cell>
          <cell r="F683">
            <v>0</v>
          </cell>
          <cell r="G683">
            <v>0</v>
          </cell>
          <cell r="H683">
            <v>0</v>
          </cell>
          <cell r="I683">
            <v>0</v>
          </cell>
          <cell r="J683">
            <v>0</v>
          </cell>
          <cell r="K683">
            <v>0</v>
          </cell>
          <cell r="L683">
            <v>0</v>
          </cell>
          <cell r="M683">
            <v>0</v>
          </cell>
        </row>
        <row r="684">
          <cell r="A684" t="str">
            <v>TZ-CAHM240-STRAWBERRY-S</v>
          </cell>
          <cell r="B684">
            <v>0</v>
          </cell>
          <cell r="C684">
            <v>0</v>
          </cell>
          <cell r="D684">
            <v>0</v>
          </cell>
          <cell r="E684">
            <v>0</v>
          </cell>
          <cell r="F684">
            <v>0</v>
          </cell>
          <cell r="G684">
            <v>0</v>
          </cell>
          <cell r="H684">
            <v>0</v>
          </cell>
          <cell r="I684">
            <v>0</v>
          </cell>
          <cell r="J684">
            <v>0</v>
          </cell>
          <cell r="K684">
            <v>0</v>
          </cell>
          <cell r="L684">
            <v>0</v>
          </cell>
          <cell r="M684">
            <v>0</v>
          </cell>
        </row>
        <row r="685">
          <cell r="A685" t="str">
            <v>TZ-IUYL240-BONE-L</v>
          </cell>
          <cell r="B685">
            <v>0</v>
          </cell>
          <cell r="C685">
            <v>0</v>
          </cell>
          <cell r="D685">
            <v>0</v>
          </cell>
          <cell r="E685">
            <v>0</v>
          </cell>
          <cell r="F685">
            <v>0</v>
          </cell>
          <cell r="G685">
            <v>0</v>
          </cell>
          <cell r="H685">
            <v>0</v>
          </cell>
          <cell r="I685">
            <v>0</v>
          </cell>
          <cell r="J685">
            <v>0</v>
          </cell>
          <cell r="K685">
            <v>0</v>
          </cell>
          <cell r="L685">
            <v>0</v>
          </cell>
          <cell r="M685">
            <v>0</v>
          </cell>
        </row>
        <row r="686">
          <cell r="A686" t="str">
            <v>TZ-IUYL240-BONE-M</v>
          </cell>
          <cell r="B686">
            <v>0</v>
          </cell>
          <cell r="C686">
            <v>0</v>
          </cell>
          <cell r="D686">
            <v>0</v>
          </cell>
          <cell r="E686">
            <v>0</v>
          </cell>
          <cell r="F686">
            <v>0</v>
          </cell>
          <cell r="G686">
            <v>0</v>
          </cell>
          <cell r="H686">
            <v>0</v>
          </cell>
          <cell r="I686">
            <v>0</v>
          </cell>
          <cell r="J686">
            <v>0</v>
          </cell>
          <cell r="K686">
            <v>0</v>
          </cell>
          <cell r="L686">
            <v>0</v>
          </cell>
          <cell r="M686">
            <v>0</v>
          </cell>
        </row>
        <row r="687">
          <cell r="A687" t="str">
            <v>TZ-IUYL240-BONE-S</v>
          </cell>
          <cell r="B687">
            <v>0</v>
          </cell>
          <cell r="C687">
            <v>1</v>
          </cell>
          <cell r="D687">
            <v>0</v>
          </cell>
          <cell r="E687">
            <v>0</v>
          </cell>
          <cell r="F687">
            <v>0</v>
          </cell>
          <cell r="G687">
            <v>0</v>
          </cell>
          <cell r="H687">
            <v>0</v>
          </cell>
          <cell r="I687">
            <v>0</v>
          </cell>
          <cell r="J687">
            <v>0</v>
          </cell>
          <cell r="K687">
            <v>0</v>
          </cell>
          <cell r="L687">
            <v>0</v>
          </cell>
          <cell r="M687">
            <v>0</v>
          </cell>
        </row>
        <row r="688">
          <cell r="A688" t="str">
            <v>TZ-IUYL240-CHRISMAS-L</v>
          </cell>
          <cell r="B688">
            <v>0</v>
          </cell>
          <cell r="C688">
            <v>0</v>
          </cell>
          <cell r="D688">
            <v>0</v>
          </cell>
          <cell r="E688">
            <v>0</v>
          </cell>
          <cell r="F688">
            <v>0</v>
          </cell>
          <cell r="G688">
            <v>0</v>
          </cell>
          <cell r="H688">
            <v>0</v>
          </cell>
          <cell r="I688">
            <v>0</v>
          </cell>
          <cell r="J688">
            <v>0</v>
          </cell>
          <cell r="K688">
            <v>0</v>
          </cell>
          <cell r="L688">
            <v>0</v>
          </cell>
          <cell r="M688">
            <v>0</v>
          </cell>
        </row>
        <row r="689">
          <cell r="A689" t="str">
            <v>TZ-IUYL240-CHRISMAS-M</v>
          </cell>
          <cell r="B689">
            <v>0</v>
          </cell>
          <cell r="C689">
            <v>0</v>
          </cell>
          <cell r="D689">
            <v>0</v>
          </cell>
          <cell r="E689">
            <v>0</v>
          </cell>
          <cell r="F689">
            <v>0</v>
          </cell>
          <cell r="G689">
            <v>0</v>
          </cell>
          <cell r="H689">
            <v>0</v>
          </cell>
          <cell r="I689">
            <v>0</v>
          </cell>
          <cell r="J689">
            <v>0</v>
          </cell>
          <cell r="K689">
            <v>0</v>
          </cell>
          <cell r="L689">
            <v>0</v>
          </cell>
          <cell r="M689">
            <v>0</v>
          </cell>
        </row>
        <row r="690">
          <cell r="A690" t="str">
            <v>TZ-IUYL240-CHRISMAS-S</v>
          </cell>
          <cell r="B690">
            <v>0</v>
          </cell>
          <cell r="C690">
            <v>0</v>
          </cell>
          <cell r="D690">
            <v>0</v>
          </cell>
          <cell r="E690">
            <v>0</v>
          </cell>
          <cell r="F690">
            <v>0</v>
          </cell>
          <cell r="G690">
            <v>0</v>
          </cell>
          <cell r="H690">
            <v>0</v>
          </cell>
          <cell r="I690">
            <v>0</v>
          </cell>
          <cell r="J690">
            <v>0</v>
          </cell>
          <cell r="K690">
            <v>0</v>
          </cell>
          <cell r="L690">
            <v>0</v>
          </cell>
          <cell r="M690">
            <v>0</v>
          </cell>
        </row>
        <row r="691">
          <cell r="A691" t="str">
            <v>TZ-IUYL240-DOT-L</v>
          </cell>
          <cell r="B691">
            <v>0</v>
          </cell>
          <cell r="C691">
            <v>0</v>
          </cell>
          <cell r="D691">
            <v>0</v>
          </cell>
          <cell r="E691">
            <v>0</v>
          </cell>
          <cell r="F691">
            <v>0</v>
          </cell>
          <cell r="G691">
            <v>0</v>
          </cell>
          <cell r="H691">
            <v>0</v>
          </cell>
          <cell r="I691">
            <v>0</v>
          </cell>
          <cell r="J691">
            <v>0</v>
          </cell>
          <cell r="K691">
            <v>0</v>
          </cell>
          <cell r="L691">
            <v>0</v>
          </cell>
          <cell r="M691">
            <v>0</v>
          </cell>
        </row>
        <row r="692">
          <cell r="A692" t="str">
            <v>TZ-IUYL240-DOT-M</v>
          </cell>
          <cell r="B692">
            <v>0</v>
          </cell>
          <cell r="C692">
            <v>1</v>
          </cell>
          <cell r="D692">
            <v>0</v>
          </cell>
          <cell r="E692">
            <v>0</v>
          </cell>
          <cell r="F692">
            <v>0</v>
          </cell>
          <cell r="G692">
            <v>0</v>
          </cell>
          <cell r="H692">
            <v>0</v>
          </cell>
          <cell r="I692">
            <v>0</v>
          </cell>
          <cell r="J692">
            <v>0</v>
          </cell>
          <cell r="K692">
            <v>0</v>
          </cell>
          <cell r="L692">
            <v>0</v>
          </cell>
          <cell r="M692">
            <v>0</v>
          </cell>
        </row>
        <row r="693">
          <cell r="A693" t="str">
            <v>TZ-IUYL240-DOT-S</v>
          </cell>
          <cell r="B693">
            <v>0</v>
          </cell>
          <cell r="C693">
            <v>0</v>
          </cell>
          <cell r="D693">
            <v>0</v>
          </cell>
          <cell r="E693">
            <v>0</v>
          </cell>
          <cell r="F693">
            <v>0</v>
          </cell>
          <cell r="G693">
            <v>0</v>
          </cell>
          <cell r="H693">
            <v>0</v>
          </cell>
          <cell r="I693">
            <v>0</v>
          </cell>
          <cell r="J693">
            <v>0</v>
          </cell>
          <cell r="K693">
            <v>0</v>
          </cell>
          <cell r="L693">
            <v>0</v>
          </cell>
          <cell r="M693">
            <v>0</v>
          </cell>
        </row>
        <row r="694">
          <cell r="A694" t="str">
            <v>TZ-IUYL240-ELPH-L</v>
          </cell>
          <cell r="B694">
            <v>0</v>
          </cell>
          <cell r="C694">
            <v>0</v>
          </cell>
          <cell r="D694">
            <v>0</v>
          </cell>
          <cell r="E694">
            <v>0</v>
          </cell>
          <cell r="F694">
            <v>0</v>
          </cell>
          <cell r="G694">
            <v>0</v>
          </cell>
          <cell r="H694">
            <v>0</v>
          </cell>
          <cell r="I694">
            <v>0</v>
          </cell>
          <cell r="J694">
            <v>0</v>
          </cell>
          <cell r="K694">
            <v>0</v>
          </cell>
          <cell r="L694">
            <v>0</v>
          </cell>
          <cell r="M694">
            <v>0</v>
          </cell>
        </row>
        <row r="695">
          <cell r="A695" t="str">
            <v>TZ-IUYL240-ELPH-M</v>
          </cell>
          <cell r="B695">
            <v>0</v>
          </cell>
          <cell r="C695">
            <v>0</v>
          </cell>
          <cell r="D695">
            <v>0</v>
          </cell>
          <cell r="E695">
            <v>0</v>
          </cell>
          <cell r="F695">
            <v>0</v>
          </cell>
          <cell r="G695">
            <v>0</v>
          </cell>
          <cell r="H695">
            <v>0</v>
          </cell>
          <cell r="I695">
            <v>0</v>
          </cell>
          <cell r="J695">
            <v>0</v>
          </cell>
          <cell r="K695">
            <v>0</v>
          </cell>
          <cell r="L695">
            <v>0</v>
          </cell>
          <cell r="M695">
            <v>0</v>
          </cell>
        </row>
        <row r="696">
          <cell r="A696" t="str">
            <v>TZ-IUYL240-ELPH-S</v>
          </cell>
          <cell r="B696">
            <v>0</v>
          </cell>
          <cell r="C696">
            <v>0</v>
          </cell>
          <cell r="D696">
            <v>0</v>
          </cell>
          <cell r="E696">
            <v>0</v>
          </cell>
          <cell r="F696">
            <v>0</v>
          </cell>
          <cell r="G696">
            <v>0</v>
          </cell>
          <cell r="H696">
            <v>0</v>
          </cell>
          <cell r="I696">
            <v>0</v>
          </cell>
          <cell r="J696">
            <v>0</v>
          </cell>
          <cell r="K696">
            <v>0</v>
          </cell>
          <cell r="L696">
            <v>0</v>
          </cell>
          <cell r="M696">
            <v>0</v>
          </cell>
        </row>
        <row r="697">
          <cell r="A697" t="str">
            <v>TZ-IUYL240-PAW-L</v>
          </cell>
          <cell r="B697">
            <v>0</v>
          </cell>
          <cell r="C697">
            <v>1</v>
          </cell>
          <cell r="D697">
            <v>0</v>
          </cell>
          <cell r="E697">
            <v>0</v>
          </cell>
          <cell r="F697">
            <v>0</v>
          </cell>
          <cell r="G697">
            <v>0</v>
          </cell>
          <cell r="H697">
            <v>0</v>
          </cell>
          <cell r="I697">
            <v>0</v>
          </cell>
          <cell r="J697">
            <v>0</v>
          </cell>
          <cell r="K697">
            <v>0</v>
          </cell>
          <cell r="L697">
            <v>0</v>
          </cell>
          <cell r="M697">
            <v>0</v>
          </cell>
        </row>
        <row r="698">
          <cell r="A698" t="str">
            <v>TZ-IUYL240-PAW-M</v>
          </cell>
          <cell r="B698">
            <v>0</v>
          </cell>
          <cell r="C698">
            <v>0</v>
          </cell>
          <cell r="D698">
            <v>0</v>
          </cell>
          <cell r="E698">
            <v>0</v>
          </cell>
          <cell r="F698">
            <v>0</v>
          </cell>
          <cell r="G698">
            <v>0</v>
          </cell>
          <cell r="H698">
            <v>0</v>
          </cell>
          <cell r="I698">
            <v>0</v>
          </cell>
          <cell r="J698">
            <v>0</v>
          </cell>
          <cell r="K698">
            <v>0</v>
          </cell>
          <cell r="L698">
            <v>0</v>
          </cell>
          <cell r="M698">
            <v>0</v>
          </cell>
        </row>
        <row r="699">
          <cell r="A699" t="str">
            <v>TZ-IUYL240-PAW-S</v>
          </cell>
          <cell r="B699">
            <v>0</v>
          </cell>
          <cell r="C699">
            <v>0</v>
          </cell>
          <cell r="D699">
            <v>0</v>
          </cell>
          <cell r="E699">
            <v>0</v>
          </cell>
          <cell r="F699">
            <v>0</v>
          </cell>
          <cell r="G699">
            <v>0</v>
          </cell>
          <cell r="H699">
            <v>0</v>
          </cell>
          <cell r="I699">
            <v>0</v>
          </cell>
          <cell r="J699">
            <v>0</v>
          </cell>
          <cell r="K699">
            <v>0</v>
          </cell>
          <cell r="L699">
            <v>0</v>
          </cell>
          <cell r="M699">
            <v>0</v>
          </cell>
        </row>
        <row r="700">
          <cell r="A700" t="str">
            <v>TZ-IUYL240-STRAWBERRY-S</v>
          </cell>
          <cell r="B700">
            <v>0</v>
          </cell>
          <cell r="C700">
            <v>0</v>
          </cell>
          <cell r="D700">
            <v>0</v>
          </cell>
          <cell r="E700">
            <v>0</v>
          </cell>
          <cell r="F700">
            <v>0</v>
          </cell>
          <cell r="G700">
            <v>0</v>
          </cell>
          <cell r="H700">
            <v>0</v>
          </cell>
          <cell r="I700">
            <v>0</v>
          </cell>
          <cell r="J700">
            <v>0</v>
          </cell>
          <cell r="K700">
            <v>0</v>
          </cell>
          <cell r="L700">
            <v>0</v>
          </cell>
          <cell r="M700">
            <v>0</v>
          </cell>
        </row>
        <row r="701">
          <cell r="A701" t="str">
            <v>TZ-SY240-BONE-S</v>
          </cell>
          <cell r="B701">
            <v>0</v>
          </cell>
          <cell r="C701">
            <v>0</v>
          </cell>
          <cell r="D701">
            <v>0</v>
          </cell>
          <cell r="E701">
            <v>0</v>
          </cell>
          <cell r="F701">
            <v>0</v>
          </cell>
          <cell r="G701">
            <v>0</v>
          </cell>
          <cell r="H701">
            <v>0</v>
          </cell>
          <cell r="I701">
            <v>0</v>
          </cell>
          <cell r="J701">
            <v>0</v>
          </cell>
          <cell r="K701">
            <v>0</v>
          </cell>
          <cell r="L701">
            <v>0</v>
          </cell>
          <cell r="M701">
            <v>0</v>
          </cell>
        </row>
        <row r="702">
          <cell r="A702" t="str">
            <v>TZ-SY240-ELPH-S</v>
          </cell>
          <cell r="B702">
            <v>0</v>
          </cell>
          <cell r="C702">
            <v>0</v>
          </cell>
          <cell r="D702">
            <v>0</v>
          </cell>
          <cell r="E702">
            <v>0</v>
          </cell>
          <cell r="F702">
            <v>0</v>
          </cell>
          <cell r="G702">
            <v>0</v>
          </cell>
          <cell r="H702">
            <v>0</v>
          </cell>
          <cell r="I702">
            <v>0</v>
          </cell>
          <cell r="J702">
            <v>0</v>
          </cell>
          <cell r="K702">
            <v>0</v>
          </cell>
          <cell r="L702">
            <v>0</v>
          </cell>
          <cell r="M702">
            <v>0</v>
          </cell>
        </row>
        <row r="703">
          <cell r="A703" t="str">
            <v>TZ-SY240-STRAWBERRY-S</v>
          </cell>
          <cell r="B703">
            <v>0</v>
          </cell>
          <cell r="C703">
            <v>0</v>
          </cell>
          <cell r="D703">
            <v>0</v>
          </cell>
          <cell r="E703">
            <v>0</v>
          </cell>
          <cell r="F703">
            <v>0</v>
          </cell>
          <cell r="G703">
            <v>0</v>
          </cell>
          <cell r="H703">
            <v>0</v>
          </cell>
          <cell r="I703">
            <v>0</v>
          </cell>
          <cell r="J703">
            <v>0</v>
          </cell>
          <cell r="K703">
            <v>0</v>
          </cell>
          <cell r="L703">
            <v>0</v>
          </cell>
          <cell r="M703">
            <v>0</v>
          </cell>
        </row>
        <row r="704">
          <cell r="A704" t="str">
            <v>XQ-IUYL260-BK-M</v>
          </cell>
          <cell r="B704">
            <v>0</v>
          </cell>
          <cell r="C704">
            <v>0</v>
          </cell>
          <cell r="D704">
            <v>0</v>
          </cell>
          <cell r="E704">
            <v>0</v>
          </cell>
          <cell r="F704">
            <v>0</v>
          </cell>
          <cell r="G704">
            <v>0</v>
          </cell>
          <cell r="H704">
            <v>0</v>
          </cell>
          <cell r="I704">
            <v>0</v>
          </cell>
          <cell r="J704">
            <v>0</v>
          </cell>
          <cell r="K704">
            <v>0</v>
          </cell>
          <cell r="L704">
            <v>0</v>
          </cell>
          <cell r="M704">
            <v>0</v>
          </cell>
        </row>
        <row r="705">
          <cell r="A705" t="str">
            <v>XQ-IUYL260-RD-S</v>
          </cell>
          <cell r="B705">
            <v>0</v>
          </cell>
          <cell r="C705">
            <v>0</v>
          </cell>
          <cell r="D705">
            <v>0</v>
          </cell>
          <cell r="E705">
            <v>0</v>
          </cell>
          <cell r="F705">
            <v>0</v>
          </cell>
          <cell r="G705">
            <v>0</v>
          </cell>
          <cell r="H705">
            <v>0</v>
          </cell>
          <cell r="I705">
            <v>0</v>
          </cell>
          <cell r="J705">
            <v>0</v>
          </cell>
          <cell r="K705">
            <v>0</v>
          </cell>
          <cell r="L705">
            <v>0</v>
          </cell>
          <cell r="M705">
            <v>0</v>
          </cell>
        </row>
        <row r="706">
          <cell r="A706" t="str">
            <v>scarf-0001-Blue</v>
          </cell>
          <cell r="B706">
            <v>0</v>
          </cell>
          <cell r="C706">
            <v>0</v>
          </cell>
          <cell r="D706">
            <v>0</v>
          </cell>
          <cell r="E706">
            <v>0</v>
          </cell>
          <cell r="F706">
            <v>0</v>
          </cell>
          <cell r="G706">
            <v>0</v>
          </cell>
          <cell r="H706">
            <v>0</v>
          </cell>
          <cell r="I706">
            <v>0</v>
          </cell>
          <cell r="J706">
            <v>0</v>
          </cell>
          <cell r="K706">
            <v>0</v>
          </cell>
          <cell r="L706">
            <v>0</v>
          </cell>
          <cell r="M706">
            <v>0</v>
          </cell>
        </row>
        <row r="707">
          <cell r="F707">
            <v>0</v>
          </cell>
          <cell r="G707">
            <v>0</v>
          </cell>
          <cell r="H707">
            <v>0</v>
          </cell>
          <cell r="I707">
            <v>0</v>
          </cell>
          <cell r="J707">
            <v>0</v>
          </cell>
          <cell r="K707">
            <v>0</v>
          </cell>
          <cell r="L707">
            <v>0</v>
          </cell>
          <cell r="M707">
            <v>0</v>
          </cell>
        </row>
        <row r="708">
          <cell r="F708">
            <v>0</v>
          </cell>
          <cell r="G708">
            <v>0</v>
          </cell>
          <cell r="H708">
            <v>0</v>
          </cell>
          <cell r="I708">
            <v>0</v>
          </cell>
          <cell r="J708">
            <v>0</v>
          </cell>
          <cell r="K708">
            <v>0</v>
          </cell>
          <cell r="L708">
            <v>0</v>
          </cell>
          <cell r="M708">
            <v>0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allorders"/>
      <sheetName val="数据处理(仓储使用)"/>
      <sheetName val="库存报告使用数据处理"/>
      <sheetName val="日期"/>
      <sheetName val="父sku-单价"/>
    </sheetNames>
    <sheetDataSet>
      <sheetData sheetId="0"/>
      <sheetData sheetId="1"/>
      <sheetData sheetId="2">
        <row r="1">
          <cell r="A1" t="str">
            <v>sku</v>
          </cell>
          <cell r="B1" t="str">
            <v>父sku</v>
          </cell>
          <cell r="C1" t="str">
            <v>一周销量</v>
          </cell>
          <cell r="D1" t="str">
            <v>二周销量</v>
          </cell>
          <cell r="E1" t="str">
            <v>三周销量</v>
          </cell>
          <cell r="F1" t="str">
            <v>四周销量</v>
          </cell>
        </row>
        <row r="2">
          <cell r="A2" t="str">
            <v>合计</v>
          </cell>
        </row>
        <row r="2">
          <cell r="C2">
            <v>534</v>
          </cell>
          <cell r="D2">
            <v>381</v>
          </cell>
          <cell r="E2">
            <v>1357</v>
          </cell>
          <cell r="F2">
            <v>442</v>
          </cell>
        </row>
        <row r="3">
          <cell r="A3" t="str">
            <v>ST006-GN-S</v>
          </cell>
          <cell r="B3" t="str">
            <v>ST006</v>
          </cell>
          <cell r="C3">
            <v>1</v>
          </cell>
          <cell r="D3">
            <v>0</v>
          </cell>
          <cell r="E3">
            <v>1</v>
          </cell>
          <cell r="F3">
            <v>1</v>
          </cell>
        </row>
        <row r="4">
          <cell r="A4" t="str">
            <v>TZ-IUYL240LHY-STRAWBERRY-S</v>
          </cell>
          <cell r="B4" t="str">
            <v>TZ-IUYL240</v>
          </cell>
          <cell r="C4">
            <v>7</v>
          </cell>
          <cell r="D4">
            <v>4</v>
          </cell>
          <cell r="E4">
            <v>26</v>
          </cell>
          <cell r="F4">
            <v>8</v>
          </cell>
        </row>
        <row r="5">
          <cell r="A5" t="str">
            <v>TZ-IUYL240LHY-STAR-L</v>
          </cell>
          <cell r="B5" t="str">
            <v>TZ-IUYL240</v>
          </cell>
          <cell r="C5">
            <v>1</v>
          </cell>
          <cell r="D5">
            <v>1</v>
          </cell>
          <cell r="E5">
            <v>33</v>
          </cell>
          <cell r="F5">
            <v>5</v>
          </cell>
        </row>
        <row r="6">
          <cell r="A6" t="str">
            <v>SCF-B01-011</v>
          </cell>
          <cell r="B6" t="str">
            <v>SCF-B01</v>
          </cell>
          <cell r="C6">
            <v>0</v>
          </cell>
          <cell r="D6">
            <v>0</v>
          </cell>
          <cell r="E6">
            <v>0</v>
          </cell>
          <cell r="F6">
            <v>1</v>
          </cell>
        </row>
        <row r="7">
          <cell r="A7" t="str">
            <v>BBBD-1605A-BL</v>
          </cell>
          <cell r="B7" t="str">
            <v>BBBD-1605A</v>
          </cell>
          <cell r="C7">
            <v>0</v>
          </cell>
          <cell r="D7">
            <v>0</v>
          </cell>
          <cell r="E7">
            <v>0</v>
          </cell>
          <cell r="F7">
            <v>1</v>
          </cell>
        </row>
        <row r="8">
          <cell r="A8" t="str">
            <v>TZ-IUYL240LHY-ELPH-S</v>
          </cell>
          <cell r="B8" t="str">
            <v>TZ-IUYL240</v>
          </cell>
          <cell r="C8">
            <v>42</v>
          </cell>
          <cell r="D8">
            <v>35</v>
          </cell>
          <cell r="E8">
            <v>127</v>
          </cell>
          <cell r="F8">
            <v>41</v>
          </cell>
        </row>
        <row r="9">
          <cell r="A9" t="str">
            <v>TZ-IUYL240LHY-BONE-M</v>
          </cell>
          <cell r="B9" t="str">
            <v>TZ-IUYL240</v>
          </cell>
          <cell r="C9">
            <v>22</v>
          </cell>
          <cell r="D9">
            <v>28</v>
          </cell>
          <cell r="E9">
            <v>125</v>
          </cell>
          <cell r="F9">
            <v>40</v>
          </cell>
        </row>
        <row r="10">
          <cell r="A10" t="str">
            <v>TZ-IUYL240LHY-ELPH-L</v>
          </cell>
          <cell r="B10" t="str">
            <v>TZ-IUYL240</v>
          </cell>
          <cell r="C10">
            <v>17</v>
          </cell>
          <cell r="D10">
            <v>8</v>
          </cell>
          <cell r="E10">
            <v>80</v>
          </cell>
          <cell r="F10">
            <v>21</v>
          </cell>
        </row>
        <row r="11">
          <cell r="A11" t="str">
            <v>DZ-IUYL200-GR</v>
          </cell>
          <cell r="B11" t="str">
            <v>DZ-IUYL200</v>
          </cell>
          <cell r="C11">
            <v>0</v>
          </cell>
          <cell r="D11">
            <v>0</v>
          </cell>
          <cell r="E11">
            <v>0</v>
          </cell>
          <cell r="F11">
            <v>1</v>
          </cell>
        </row>
        <row r="12">
          <cell r="A12" t="str">
            <v>TZ-IUYL240LHY-ELPH-M</v>
          </cell>
          <cell r="B12" t="str">
            <v>TZ-IUYL240</v>
          </cell>
          <cell r="C12">
            <v>30</v>
          </cell>
          <cell r="D12">
            <v>24</v>
          </cell>
          <cell r="E12">
            <v>102</v>
          </cell>
          <cell r="F12">
            <v>25</v>
          </cell>
        </row>
        <row r="13">
          <cell r="A13" t="str">
            <v>TZ-IUYL240LHY-PAW-M</v>
          </cell>
          <cell r="B13" t="str">
            <v>TZ-IUYL240</v>
          </cell>
          <cell r="C13">
            <v>35</v>
          </cell>
          <cell r="D13">
            <v>36</v>
          </cell>
          <cell r="E13">
            <v>68</v>
          </cell>
          <cell r="F13">
            <v>37</v>
          </cell>
        </row>
        <row r="14">
          <cell r="A14" t="str">
            <v>XQ-IUYL260-PK-M</v>
          </cell>
          <cell r="B14" t="str">
            <v>XQ-IUYL260</v>
          </cell>
          <cell r="C14">
            <v>2</v>
          </cell>
          <cell r="D14">
            <v>0</v>
          </cell>
          <cell r="E14">
            <v>1</v>
          </cell>
          <cell r="F14">
            <v>1</v>
          </cell>
        </row>
        <row r="15">
          <cell r="A15" t="str">
            <v>TZ-IUYL240LHY-PAW-S</v>
          </cell>
          <cell r="B15" t="str">
            <v>TZ-IUYL240</v>
          </cell>
          <cell r="C15">
            <v>46</v>
          </cell>
          <cell r="D15">
            <v>30</v>
          </cell>
          <cell r="E15">
            <v>139</v>
          </cell>
          <cell r="F15">
            <v>36</v>
          </cell>
        </row>
        <row r="16">
          <cell r="A16" t="str">
            <v>TZ-IUYL240-BEAR-S</v>
          </cell>
          <cell r="B16" t="str">
            <v>TZ-IUYL240</v>
          </cell>
          <cell r="C16">
            <v>26</v>
          </cell>
          <cell r="D16">
            <v>18</v>
          </cell>
          <cell r="E16">
            <v>4</v>
          </cell>
          <cell r="F16">
            <v>4</v>
          </cell>
        </row>
        <row r="17">
          <cell r="A17" t="str">
            <v>BBBD-BUSB1605B-PK</v>
          </cell>
          <cell r="B17" t="str">
            <v>BBBD-BUSB1605</v>
          </cell>
          <cell r="C17">
            <v>0</v>
          </cell>
          <cell r="D17">
            <v>0</v>
          </cell>
          <cell r="E17">
            <v>0</v>
          </cell>
          <cell r="F17">
            <v>1</v>
          </cell>
        </row>
        <row r="18">
          <cell r="A18" t="str">
            <v>ST172-WT1-S</v>
          </cell>
          <cell r="B18" t="str">
            <v>ST172</v>
          </cell>
          <cell r="C18">
            <v>0</v>
          </cell>
          <cell r="D18">
            <v>0</v>
          </cell>
          <cell r="E18">
            <v>0</v>
          </cell>
          <cell r="F18">
            <v>1</v>
          </cell>
        </row>
        <row r="19">
          <cell r="A19" t="str">
            <v>ST173-PK-M</v>
          </cell>
          <cell r="B19" t="str">
            <v>ST173</v>
          </cell>
          <cell r="C19">
            <v>0</v>
          </cell>
          <cell r="D19">
            <v>0</v>
          </cell>
          <cell r="E19">
            <v>0</v>
          </cell>
          <cell r="F19">
            <v>1</v>
          </cell>
        </row>
        <row r="20">
          <cell r="A20" t="str">
            <v>ST173-BL-M</v>
          </cell>
          <cell r="B20" t="str">
            <v>ST173</v>
          </cell>
          <cell r="C20">
            <v>1</v>
          </cell>
          <cell r="D20">
            <v>1</v>
          </cell>
          <cell r="E20">
            <v>0</v>
          </cell>
          <cell r="F20">
            <v>1</v>
          </cell>
        </row>
        <row r="21">
          <cell r="A21" t="str">
            <v>ST173-WT2-S</v>
          </cell>
          <cell r="B21" t="str">
            <v>ST173</v>
          </cell>
          <cell r="C21">
            <v>0</v>
          </cell>
          <cell r="D21">
            <v>0</v>
          </cell>
          <cell r="E21">
            <v>0</v>
          </cell>
          <cell r="F21">
            <v>2</v>
          </cell>
        </row>
        <row r="22">
          <cell r="A22" t="str">
            <v>TZ-IUYL240LHY-DOT-S</v>
          </cell>
          <cell r="B22" t="str">
            <v>TZ-IUYL240</v>
          </cell>
          <cell r="C22">
            <v>31</v>
          </cell>
          <cell r="D22">
            <v>13</v>
          </cell>
          <cell r="E22">
            <v>64</v>
          </cell>
          <cell r="F22">
            <v>27</v>
          </cell>
        </row>
        <row r="23">
          <cell r="A23" t="str">
            <v>TZ-IUYL240-BEAR-M</v>
          </cell>
          <cell r="B23" t="str">
            <v>TZ-IUYL240</v>
          </cell>
          <cell r="C23">
            <v>8</v>
          </cell>
          <cell r="D23">
            <v>9</v>
          </cell>
          <cell r="E23">
            <v>4</v>
          </cell>
          <cell r="F23">
            <v>5</v>
          </cell>
        </row>
        <row r="24">
          <cell r="A24" t="str">
            <v>ST173-BL-S</v>
          </cell>
          <cell r="B24" t="str">
            <v>ST173</v>
          </cell>
          <cell r="C24">
            <v>1</v>
          </cell>
          <cell r="D24">
            <v>0</v>
          </cell>
          <cell r="E24">
            <v>0</v>
          </cell>
          <cell r="F24">
            <v>1</v>
          </cell>
        </row>
        <row r="25">
          <cell r="A25" t="str">
            <v>XQ-IUYL260-BL1-M</v>
          </cell>
          <cell r="B25" t="str">
            <v>XQ-IUYL260</v>
          </cell>
          <cell r="C25">
            <v>0</v>
          </cell>
          <cell r="D25">
            <v>0</v>
          </cell>
          <cell r="E25">
            <v>1</v>
          </cell>
          <cell r="F25">
            <v>2</v>
          </cell>
        </row>
        <row r="26">
          <cell r="A26" t="str">
            <v>TZ-IUYL240LHY-BONE-L</v>
          </cell>
          <cell r="B26" t="str">
            <v>TZ-IUYL240</v>
          </cell>
          <cell r="C26">
            <v>12</v>
          </cell>
          <cell r="D26">
            <v>14</v>
          </cell>
          <cell r="E26">
            <v>44</v>
          </cell>
          <cell r="F26">
            <v>9</v>
          </cell>
        </row>
        <row r="27">
          <cell r="A27" t="str">
            <v>TZ-IUYL240-RABBIT-S</v>
          </cell>
          <cell r="B27" t="str">
            <v>TZ-IUYL240</v>
          </cell>
          <cell r="C27">
            <v>7</v>
          </cell>
          <cell r="D27">
            <v>5</v>
          </cell>
          <cell r="E27">
            <v>8</v>
          </cell>
          <cell r="F27">
            <v>11</v>
          </cell>
        </row>
        <row r="28">
          <cell r="A28" t="str">
            <v>TZ-IUYL240LHY-PAW-L</v>
          </cell>
          <cell r="B28" t="str">
            <v>TZ-IUYL240</v>
          </cell>
          <cell r="C28">
            <v>32</v>
          </cell>
          <cell r="D28">
            <v>15</v>
          </cell>
          <cell r="E28">
            <v>68</v>
          </cell>
          <cell r="F28">
            <v>22</v>
          </cell>
        </row>
        <row r="29">
          <cell r="A29" t="str">
            <v>TZ-IUYL240-DOT2-L</v>
          </cell>
          <cell r="B29" t="str">
            <v>TZ-IUYL240</v>
          </cell>
          <cell r="C29">
            <v>5</v>
          </cell>
          <cell r="D29">
            <v>4</v>
          </cell>
          <cell r="E29">
            <v>3</v>
          </cell>
          <cell r="F29">
            <v>4</v>
          </cell>
        </row>
        <row r="30">
          <cell r="A30" t="str">
            <v>TZ-IUYL240LHY-BONE-S</v>
          </cell>
          <cell r="B30" t="str">
            <v>TZ-IUYL240</v>
          </cell>
          <cell r="C30">
            <v>40</v>
          </cell>
          <cell r="D30">
            <v>25</v>
          </cell>
          <cell r="E30">
            <v>92</v>
          </cell>
          <cell r="F30">
            <v>17</v>
          </cell>
        </row>
        <row r="31">
          <cell r="A31" t="str">
            <v>ST172-WT2-XL</v>
          </cell>
          <cell r="B31" t="str">
            <v>ST172</v>
          </cell>
          <cell r="C31">
            <v>0</v>
          </cell>
          <cell r="D31">
            <v>0</v>
          </cell>
          <cell r="E31">
            <v>0</v>
          </cell>
          <cell r="F31">
            <v>1</v>
          </cell>
        </row>
        <row r="32">
          <cell r="A32" t="str">
            <v>TZ-IUYL240LHY-DOT-M</v>
          </cell>
          <cell r="B32" t="str">
            <v>TZ-IUYL240</v>
          </cell>
          <cell r="C32">
            <v>7</v>
          </cell>
          <cell r="D32">
            <v>9</v>
          </cell>
          <cell r="E32">
            <v>74</v>
          </cell>
          <cell r="F32">
            <v>11</v>
          </cell>
        </row>
        <row r="33">
          <cell r="A33" t="str">
            <v>TZ-IUYL240LHY-STRAWBERRY-L</v>
          </cell>
          <cell r="B33" t="str">
            <v>TZ-IUYL240</v>
          </cell>
          <cell r="C33">
            <v>0</v>
          </cell>
          <cell r="D33">
            <v>0</v>
          </cell>
          <cell r="E33">
            <v>12</v>
          </cell>
          <cell r="F33">
            <v>1</v>
          </cell>
        </row>
        <row r="34">
          <cell r="A34" t="str">
            <v>TZ-IUYL240-DOT2-M</v>
          </cell>
          <cell r="B34" t="str">
            <v>TZ-IUYL240</v>
          </cell>
          <cell r="C34">
            <v>13</v>
          </cell>
          <cell r="D34">
            <v>13</v>
          </cell>
          <cell r="E34">
            <v>2</v>
          </cell>
          <cell r="F34">
            <v>11</v>
          </cell>
        </row>
        <row r="35">
          <cell r="A35" t="str">
            <v>TZ-IUYL240-RABBIT-M</v>
          </cell>
          <cell r="B35" t="str">
            <v>TZ-IUYL240</v>
          </cell>
          <cell r="C35">
            <v>3</v>
          </cell>
          <cell r="D35">
            <v>1</v>
          </cell>
          <cell r="E35">
            <v>5</v>
          </cell>
          <cell r="F35">
            <v>5</v>
          </cell>
        </row>
        <row r="36">
          <cell r="A36" t="str">
            <v>LGQ-IUYL100-RD</v>
          </cell>
          <cell r="B36" t="str">
            <v>LGQ-IUYL100</v>
          </cell>
          <cell r="C36">
            <v>1</v>
          </cell>
          <cell r="D36">
            <v>1</v>
          </cell>
          <cell r="E36">
            <v>2</v>
          </cell>
          <cell r="F36">
            <v>6</v>
          </cell>
        </row>
        <row r="37">
          <cell r="A37" t="str">
            <v>TZ-IUYL240-DOT2-S</v>
          </cell>
          <cell r="B37" t="str">
            <v>TZ-IUYL240</v>
          </cell>
          <cell r="C37">
            <v>26</v>
          </cell>
          <cell r="D37">
            <v>14</v>
          </cell>
          <cell r="E37">
            <v>32</v>
          </cell>
          <cell r="F37">
            <v>7</v>
          </cell>
        </row>
        <row r="38">
          <cell r="A38" t="str">
            <v>ST173-BL-L</v>
          </cell>
          <cell r="B38" t="str">
            <v>ST173</v>
          </cell>
          <cell r="C38">
            <v>0</v>
          </cell>
          <cell r="D38">
            <v>0</v>
          </cell>
          <cell r="E38">
            <v>3</v>
          </cell>
          <cell r="F38">
            <v>3</v>
          </cell>
        </row>
        <row r="39">
          <cell r="A39" t="str">
            <v>ST173-WR-L</v>
          </cell>
          <cell r="B39" t="str">
            <v>ST173</v>
          </cell>
          <cell r="C39">
            <v>1</v>
          </cell>
          <cell r="D39">
            <v>0</v>
          </cell>
          <cell r="E39">
            <v>0</v>
          </cell>
          <cell r="F39">
            <v>1</v>
          </cell>
        </row>
        <row r="40">
          <cell r="A40" t="str">
            <v>TZ-IUYL240-LOVE-S</v>
          </cell>
          <cell r="B40" t="str">
            <v>TZ-IUYL240</v>
          </cell>
          <cell r="C40">
            <v>7</v>
          </cell>
          <cell r="D40">
            <v>4</v>
          </cell>
          <cell r="E40">
            <v>4</v>
          </cell>
          <cell r="F40">
            <v>4</v>
          </cell>
        </row>
        <row r="41">
          <cell r="A41" t="str">
            <v>XQ-IUYL260-BK-S</v>
          </cell>
          <cell r="B41" t="str">
            <v>XQ-IUYL260</v>
          </cell>
          <cell r="C41">
            <v>1</v>
          </cell>
          <cell r="D41">
            <v>0</v>
          </cell>
          <cell r="E41">
            <v>0</v>
          </cell>
          <cell r="F41">
            <v>3</v>
          </cell>
        </row>
        <row r="42">
          <cell r="A42" t="str">
            <v>LGQ-IUYL100-BL</v>
          </cell>
          <cell r="B42" t="str">
            <v>LGQ-IUYL100</v>
          </cell>
          <cell r="C42">
            <v>0</v>
          </cell>
          <cell r="D42">
            <v>0</v>
          </cell>
          <cell r="E42">
            <v>0</v>
          </cell>
          <cell r="F42">
            <v>1</v>
          </cell>
        </row>
        <row r="43">
          <cell r="A43" t="str">
            <v>ST171-LB916-S</v>
          </cell>
          <cell r="B43" t="str">
            <v>ST171</v>
          </cell>
          <cell r="C43">
            <v>0</v>
          </cell>
          <cell r="D43">
            <v>0</v>
          </cell>
          <cell r="E43">
            <v>1</v>
          </cell>
          <cell r="F43">
            <v>1</v>
          </cell>
        </row>
        <row r="44">
          <cell r="A44" t="str">
            <v>KZ-LY021-GY-32</v>
          </cell>
          <cell r="B44" t="str">
            <v>KZ-LY021</v>
          </cell>
          <cell r="C44">
            <v>0</v>
          </cell>
          <cell r="D44">
            <v>0</v>
          </cell>
          <cell r="E44">
            <v>0</v>
          </cell>
          <cell r="F44">
            <v>1</v>
          </cell>
        </row>
        <row r="45">
          <cell r="A45" t="str">
            <v>ST172-WR-M</v>
          </cell>
          <cell r="B45" t="str">
            <v>ST172</v>
          </cell>
          <cell r="C45">
            <v>0</v>
          </cell>
          <cell r="D45">
            <v>0</v>
          </cell>
          <cell r="E45">
            <v>0</v>
          </cell>
          <cell r="F45">
            <v>4</v>
          </cell>
        </row>
        <row r="46">
          <cell r="A46" t="str">
            <v>ST172-WR-L</v>
          </cell>
          <cell r="B46" t="str">
            <v>ST172</v>
          </cell>
          <cell r="C46">
            <v>0</v>
          </cell>
          <cell r="D46">
            <v>2</v>
          </cell>
          <cell r="E46">
            <v>0</v>
          </cell>
          <cell r="F46">
            <v>1</v>
          </cell>
        </row>
        <row r="47">
          <cell r="A47" t="str">
            <v>ST172-WR-S</v>
          </cell>
          <cell r="B47" t="str">
            <v>ST172</v>
          </cell>
          <cell r="C47">
            <v>1</v>
          </cell>
          <cell r="D47">
            <v>0</v>
          </cell>
          <cell r="E47">
            <v>0</v>
          </cell>
          <cell r="F47">
            <v>3</v>
          </cell>
        </row>
        <row r="48">
          <cell r="A48" t="str">
            <v>ST173-PK-S</v>
          </cell>
          <cell r="B48" t="str">
            <v>ST173</v>
          </cell>
          <cell r="C48">
            <v>4</v>
          </cell>
          <cell r="D48">
            <v>1</v>
          </cell>
          <cell r="E48">
            <v>2</v>
          </cell>
          <cell r="F48">
            <v>3</v>
          </cell>
        </row>
        <row r="49">
          <cell r="A49" t="str">
            <v>LGQ-IUYL100-PK</v>
          </cell>
          <cell r="B49" t="str">
            <v>LGQ-IUYL100</v>
          </cell>
          <cell r="C49">
            <v>3</v>
          </cell>
          <cell r="D49">
            <v>1</v>
          </cell>
          <cell r="E49">
            <v>0</v>
          </cell>
          <cell r="F49">
            <v>3</v>
          </cell>
        </row>
        <row r="50">
          <cell r="A50" t="str">
            <v>TZ-IUYL240-RABBIT-L</v>
          </cell>
          <cell r="B50" t="str">
            <v>TZ-IUYL240</v>
          </cell>
          <cell r="C50">
            <v>3</v>
          </cell>
          <cell r="D50">
            <v>3</v>
          </cell>
          <cell r="E50">
            <v>4</v>
          </cell>
          <cell r="F50">
            <v>2</v>
          </cell>
        </row>
        <row r="51">
          <cell r="A51" t="str">
            <v>HZB-QJTZ-IUYL300310</v>
          </cell>
          <cell r="B51" t="str">
            <v>HZB-QJTZ-IUYL300310</v>
          </cell>
          <cell r="C51">
            <v>3</v>
          </cell>
          <cell r="D51">
            <v>2</v>
          </cell>
          <cell r="E51">
            <v>5</v>
          </cell>
          <cell r="F51">
            <v>3</v>
          </cell>
        </row>
        <row r="52">
          <cell r="A52" t="str">
            <v>GW-LULHY-4.5</v>
          </cell>
          <cell r="B52" t="str">
            <v>GW-LULHY</v>
          </cell>
          <cell r="C52">
            <v>3</v>
          </cell>
          <cell r="D52">
            <v>0</v>
          </cell>
          <cell r="E52">
            <v>3</v>
          </cell>
          <cell r="F52">
            <v>2</v>
          </cell>
        </row>
        <row r="53">
          <cell r="A53" t="str">
            <v>SCF-D01-015</v>
          </cell>
          <cell r="B53" t="str">
            <v>SCF-D01</v>
          </cell>
          <cell r="C53">
            <v>0</v>
          </cell>
          <cell r="D53">
            <v>0</v>
          </cell>
          <cell r="E53">
            <v>1</v>
          </cell>
          <cell r="F53">
            <v>1</v>
          </cell>
        </row>
        <row r="54">
          <cell r="A54" t="str">
            <v>SCF-D01-012</v>
          </cell>
          <cell r="B54" t="str">
            <v>SCF-D01</v>
          </cell>
          <cell r="C54">
            <v>0</v>
          </cell>
          <cell r="D54">
            <v>0</v>
          </cell>
          <cell r="E54">
            <v>0</v>
          </cell>
          <cell r="F54">
            <v>1</v>
          </cell>
        </row>
        <row r="55">
          <cell r="A55" t="str">
            <v>ST173-PK-L</v>
          </cell>
          <cell r="B55" t="str">
            <v>ST173</v>
          </cell>
          <cell r="C55">
            <v>2</v>
          </cell>
          <cell r="D55">
            <v>0</v>
          </cell>
          <cell r="E55">
            <v>3</v>
          </cell>
          <cell r="F55">
            <v>2</v>
          </cell>
        </row>
        <row r="56">
          <cell r="A56" t="str">
            <v>XQ-IUYL260-PP-M</v>
          </cell>
          <cell r="B56" t="str">
            <v>XQ-IUYL260</v>
          </cell>
          <cell r="C56">
            <v>0</v>
          </cell>
          <cell r="D56">
            <v>0</v>
          </cell>
          <cell r="E56">
            <v>0</v>
          </cell>
          <cell r="F56">
            <v>1</v>
          </cell>
        </row>
        <row r="57">
          <cell r="A57" t="str">
            <v>TZ-IUYL240LHY-DOT-L</v>
          </cell>
          <cell r="B57" t="str">
            <v>TZ-IUYL240</v>
          </cell>
          <cell r="C57">
            <v>4</v>
          </cell>
          <cell r="D57">
            <v>2</v>
          </cell>
          <cell r="E57">
            <v>49</v>
          </cell>
          <cell r="F57">
            <v>2</v>
          </cell>
        </row>
        <row r="58">
          <cell r="A58" t="str">
            <v>TZ-IUYL240-BEAR-L</v>
          </cell>
          <cell r="B58" t="str">
            <v>TZ-IUYL240</v>
          </cell>
          <cell r="C58">
            <v>6</v>
          </cell>
          <cell r="D58">
            <v>3</v>
          </cell>
          <cell r="E58">
            <v>5</v>
          </cell>
          <cell r="F58">
            <v>4</v>
          </cell>
        </row>
        <row r="59">
          <cell r="A59" t="str">
            <v>ST170-LB-S</v>
          </cell>
          <cell r="B59" t="str">
            <v>ST170</v>
          </cell>
          <cell r="C59">
            <v>0</v>
          </cell>
          <cell r="D59">
            <v>0</v>
          </cell>
          <cell r="E59">
            <v>0</v>
          </cell>
          <cell r="F59">
            <v>2</v>
          </cell>
        </row>
        <row r="60">
          <cell r="A60" t="str">
            <v>ST085-LB916-S</v>
          </cell>
          <cell r="B60" t="str">
            <v>ST085</v>
          </cell>
          <cell r="C60">
            <v>0</v>
          </cell>
          <cell r="D60">
            <v>0</v>
          </cell>
          <cell r="E60">
            <v>1</v>
          </cell>
          <cell r="F60">
            <v>1</v>
          </cell>
        </row>
        <row r="61">
          <cell r="A61" t="str">
            <v>TZ-IUYL240LHY-STRAWBERRY-M</v>
          </cell>
          <cell r="B61" t="str">
            <v>TZ-IUYL240</v>
          </cell>
          <cell r="C61">
            <v>0</v>
          </cell>
          <cell r="D61">
            <v>2</v>
          </cell>
          <cell r="E61">
            <v>30</v>
          </cell>
          <cell r="F61">
            <v>3</v>
          </cell>
        </row>
        <row r="62">
          <cell r="A62" t="str">
            <v>ST173-PK-XXL</v>
          </cell>
          <cell r="B62" t="str">
            <v>ST173</v>
          </cell>
          <cell r="C62">
            <v>2</v>
          </cell>
          <cell r="D62">
            <v>0</v>
          </cell>
          <cell r="E62">
            <v>1</v>
          </cell>
          <cell r="F62">
            <v>1</v>
          </cell>
        </row>
        <row r="63">
          <cell r="A63" t="str">
            <v>TZ-IUYL240LHY-STAR-S</v>
          </cell>
          <cell r="B63" t="str">
            <v>TZ-IUYL240</v>
          </cell>
          <cell r="C63">
            <v>2</v>
          </cell>
          <cell r="D63">
            <v>6</v>
          </cell>
          <cell r="E63">
            <v>26</v>
          </cell>
          <cell r="F63">
            <v>1</v>
          </cell>
        </row>
        <row r="64">
          <cell r="A64" t="str">
            <v>ST173-BL-XXL</v>
          </cell>
          <cell r="B64" t="str">
            <v>ST173</v>
          </cell>
          <cell r="C64">
            <v>1</v>
          </cell>
          <cell r="D64">
            <v>0</v>
          </cell>
          <cell r="E64">
            <v>0</v>
          </cell>
          <cell r="F64">
            <v>1</v>
          </cell>
        </row>
        <row r="65">
          <cell r="A65" t="str">
            <v>ST006-BL2-S</v>
          </cell>
          <cell r="B65" t="str">
            <v>ST006</v>
          </cell>
          <cell r="C65">
            <v>0</v>
          </cell>
          <cell r="D65">
            <v>0</v>
          </cell>
          <cell r="E65">
            <v>1</v>
          </cell>
          <cell r="F65">
            <v>1</v>
          </cell>
        </row>
        <row r="66">
          <cell r="A66" t="str">
            <v>GW-LULHY-7.6</v>
          </cell>
          <cell r="B66" t="str">
            <v>GW-LULHY</v>
          </cell>
          <cell r="C66">
            <v>0</v>
          </cell>
          <cell r="D66">
            <v>0</v>
          </cell>
          <cell r="E66">
            <v>0</v>
          </cell>
          <cell r="F66">
            <v>4</v>
          </cell>
        </row>
        <row r="67">
          <cell r="A67" t="str">
            <v>DZ-IUYL210-BK</v>
          </cell>
          <cell r="B67" t="str">
            <v>DZ-IUYL210</v>
          </cell>
          <cell r="C67">
            <v>0</v>
          </cell>
          <cell r="D67">
            <v>0</v>
          </cell>
          <cell r="E67">
            <v>0</v>
          </cell>
          <cell r="F67">
            <v>1</v>
          </cell>
        </row>
        <row r="68">
          <cell r="A68" t="str">
            <v>GS-IUYL280-1</v>
          </cell>
          <cell r="B68" t="str">
            <v>GS-IUYL280</v>
          </cell>
          <cell r="C68">
            <v>0</v>
          </cell>
          <cell r="D68">
            <v>0</v>
          </cell>
          <cell r="E68">
            <v>0</v>
          </cell>
          <cell r="F68">
            <v>0</v>
          </cell>
        </row>
        <row r="69">
          <cell r="A69" t="str">
            <v>XQ-IUYL260-YL-M</v>
          </cell>
          <cell r="B69" t="str">
            <v>XQ-IUYL260</v>
          </cell>
          <cell r="C69">
            <v>3</v>
          </cell>
          <cell r="D69">
            <v>0</v>
          </cell>
          <cell r="E69">
            <v>0</v>
          </cell>
          <cell r="F69">
            <v>1</v>
          </cell>
        </row>
        <row r="70">
          <cell r="A70" t="str">
            <v>SZ-IUYL002</v>
          </cell>
          <cell r="B70" t="str">
            <v>SZ-IUYL002</v>
          </cell>
          <cell r="C70">
            <v>0</v>
          </cell>
          <cell r="D70">
            <v>0</v>
          </cell>
          <cell r="E70">
            <v>0</v>
          </cell>
          <cell r="F70">
            <v>1</v>
          </cell>
        </row>
        <row r="71">
          <cell r="A71" t="str">
            <v>TZ-IUYL240LHY-STAR-M</v>
          </cell>
          <cell r="B71" t="str">
            <v>TZ-IUYL240</v>
          </cell>
          <cell r="C71">
            <v>2</v>
          </cell>
          <cell r="D71">
            <v>1</v>
          </cell>
          <cell r="E71">
            <v>38</v>
          </cell>
          <cell r="F71">
            <v>1</v>
          </cell>
        </row>
        <row r="72">
          <cell r="A72" t="str">
            <v>XQ-IUYL260-YL-S</v>
          </cell>
          <cell r="B72" t="str">
            <v>XQ-IUYL260</v>
          </cell>
          <cell r="C72">
            <v>0</v>
          </cell>
          <cell r="D72">
            <v>0</v>
          </cell>
          <cell r="E72">
            <v>0</v>
          </cell>
          <cell r="F72">
            <v>2</v>
          </cell>
        </row>
        <row r="73">
          <cell r="A73" t="str">
            <v>TZ-IUYL240-PAW-L</v>
          </cell>
          <cell r="B73" t="str">
            <v>TZ-IUYL240</v>
          </cell>
          <cell r="C73">
            <v>0</v>
          </cell>
          <cell r="D73">
            <v>0</v>
          </cell>
          <cell r="E73">
            <v>14</v>
          </cell>
          <cell r="F73">
            <v>1</v>
          </cell>
        </row>
        <row r="74">
          <cell r="A74" t="str">
            <v>LGQ-IUYL100-WT</v>
          </cell>
          <cell r="B74" t="str">
            <v>LGQ-IUYL100</v>
          </cell>
          <cell r="C74">
            <v>3</v>
          </cell>
          <cell r="D74">
            <v>1</v>
          </cell>
          <cell r="E74">
            <v>0</v>
          </cell>
          <cell r="F74">
            <v>1</v>
          </cell>
        </row>
        <row r="75">
          <cell r="A75" t="str">
            <v>XQ-IUYL260-RD-S</v>
          </cell>
          <cell r="B75" t="str">
            <v>XQ-IUYL260</v>
          </cell>
          <cell r="C75">
            <v>0</v>
          </cell>
          <cell r="D75">
            <v>1</v>
          </cell>
          <cell r="E75">
            <v>1</v>
          </cell>
          <cell r="F75">
            <v>1</v>
          </cell>
        </row>
        <row r="76">
          <cell r="A76" t="str">
            <v>ST172-NY-L</v>
          </cell>
          <cell r="B76" t="str">
            <v>ST172</v>
          </cell>
          <cell r="C76">
            <v>0</v>
          </cell>
          <cell r="D76">
            <v>0</v>
          </cell>
          <cell r="E76">
            <v>0</v>
          </cell>
          <cell r="F76">
            <v>2</v>
          </cell>
        </row>
        <row r="77">
          <cell r="A77" t="str">
            <v>XQ-IUYL260-RD-M</v>
          </cell>
          <cell r="B77" t="str">
            <v>XQ-IUYL260</v>
          </cell>
          <cell r="C77">
            <v>0</v>
          </cell>
          <cell r="D77">
            <v>0</v>
          </cell>
          <cell r="E77">
            <v>0</v>
          </cell>
          <cell r="F77">
            <v>1</v>
          </cell>
        </row>
        <row r="78">
          <cell r="A78" t="str">
            <v>XQ-IUYL260-PK-S</v>
          </cell>
          <cell r="B78" t="str">
            <v>XQ-IUYL260</v>
          </cell>
          <cell r="C78">
            <v>0</v>
          </cell>
          <cell r="D78">
            <v>0</v>
          </cell>
          <cell r="E78">
            <v>1</v>
          </cell>
          <cell r="F78">
            <v>1</v>
          </cell>
        </row>
        <row r="79">
          <cell r="A79" t="str">
            <v>TZ-IUYL240-LOVE-M</v>
          </cell>
          <cell r="B79" t="str">
            <v>TZ-IUYL240</v>
          </cell>
          <cell r="C79">
            <v>1</v>
          </cell>
          <cell r="D79">
            <v>3</v>
          </cell>
          <cell r="E79">
            <v>6</v>
          </cell>
          <cell r="F79">
            <v>1</v>
          </cell>
        </row>
        <row r="80">
          <cell r="A80" t="str">
            <v>ST170-LG-S</v>
          </cell>
          <cell r="B80" t="str">
            <v>ST170</v>
          </cell>
          <cell r="C80">
            <v>0</v>
          </cell>
          <cell r="D80">
            <v>0</v>
          </cell>
          <cell r="E80">
            <v>1</v>
          </cell>
          <cell r="F80">
            <v>0</v>
          </cell>
        </row>
        <row r="81">
          <cell r="A81" t="str">
            <v>BD-LUHM010</v>
          </cell>
          <cell r="B81" t="str">
            <v>BD-LUHM010</v>
          </cell>
          <cell r="C81">
            <v>0</v>
          </cell>
          <cell r="D81">
            <v>0</v>
          </cell>
          <cell r="E81">
            <v>1</v>
          </cell>
          <cell r="F81">
            <v>0</v>
          </cell>
        </row>
        <row r="82">
          <cell r="A82" t="str">
            <v>TZ-IUYL240-LOVE-L</v>
          </cell>
          <cell r="B82" t="str">
            <v>TZ-IUYL240</v>
          </cell>
          <cell r="C82">
            <v>3</v>
          </cell>
          <cell r="D82">
            <v>3</v>
          </cell>
          <cell r="E82">
            <v>5</v>
          </cell>
          <cell r="F82">
            <v>0</v>
          </cell>
        </row>
        <row r="83">
          <cell r="A83" t="str">
            <v>LYQ-WF7125-PO-XS</v>
          </cell>
          <cell r="B83" t="str">
            <v>WF7125</v>
          </cell>
          <cell r="C83">
            <v>0</v>
          </cell>
          <cell r="D83">
            <v>1</v>
          </cell>
          <cell r="E83">
            <v>1</v>
          </cell>
          <cell r="F83">
            <v>0</v>
          </cell>
        </row>
        <row r="84">
          <cell r="A84" t="str">
            <v>XQ-IUYL260-BK-M</v>
          </cell>
          <cell r="B84" t="str">
            <v>XQ-IUYL260</v>
          </cell>
          <cell r="C84">
            <v>0</v>
          </cell>
          <cell r="D84">
            <v>1</v>
          </cell>
          <cell r="E84">
            <v>2</v>
          </cell>
          <cell r="F84">
            <v>0</v>
          </cell>
        </row>
        <row r="85">
          <cell r="A85" t="str">
            <v>ST173-PK-XL</v>
          </cell>
          <cell r="B85" t="str">
            <v>ST173</v>
          </cell>
          <cell r="C85">
            <v>2</v>
          </cell>
          <cell r="D85">
            <v>2</v>
          </cell>
          <cell r="E85">
            <v>2</v>
          </cell>
          <cell r="F85">
            <v>0</v>
          </cell>
        </row>
        <row r="86">
          <cell r="A86" t="str">
            <v>XQ-IUYL320-PK-L</v>
          </cell>
          <cell r="B86" t="str">
            <v>XQ-IUYL320</v>
          </cell>
          <cell r="C86">
            <v>0</v>
          </cell>
          <cell r="D86">
            <v>0</v>
          </cell>
          <cell r="E86">
            <v>1</v>
          </cell>
          <cell r="F86">
            <v>0</v>
          </cell>
        </row>
        <row r="87">
          <cell r="A87" t="str">
            <v>ST006-CF-S</v>
          </cell>
          <cell r="B87" t="str">
            <v>ST006</v>
          </cell>
          <cell r="C87">
            <v>1</v>
          </cell>
          <cell r="D87">
            <v>1</v>
          </cell>
          <cell r="E87">
            <v>1</v>
          </cell>
          <cell r="F87">
            <v>0</v>
          </cell>
        </row>
        <row r="88">
          <cell r="A88" t="str">
            <v>TZ-IUYL240-STRAWBERRY-M</v>
          </cell>
          <cell r="B88" t="str">
            <v>TZ-IUYL240</v>
          </cell>
          <cell r="C88">
            <v>5</v>
          </cell>
          <cell r="D88">
            <v>1</v>
          </cell>
          <cell r="E88">
            <v>5</v>
          </cell>
          <cell r="F88">
            <v>0</v>
          </cell>
        </row>
        <row r="89">
          <cell r="A89" t="str">
            <v>TZ-IUYL240-STAR-M</v>
          </cell>
          <cell r="B89" t="str">
            <v>TZ-IUYL240</v>
          </cell>
          <cell r="C89">
            <v>1</v>
          </cell>
          <cell r="D89">
            <v>2</v>
          </cell>
          <cell r="E89">
            <v>5</v>
          </cell>
          <cell r="F89">
            <v>0</v>
          </cell>
        </row>
        <row r="90">
          <cell r="A90" t="str">
            <v>LYQ-WF7125-WO-XS</v>
          </cell>
          <cell r="B90" t="str">
            <v>WF7125</v>
          </cell>
          <cell r="C90">
            <v>1</v>
          </cell>
          <cell r="D90">
            <v>0</v>
          </cell>
          <cell r="E90">
            <v>1</v>
          </cell>
          <cell r="F90">
            <v>0</v>
          </cell>
        </row>
        <row r="91">
          <cell r="A91" t="str">
            <v>MJ-IUYL230-PK-L</v>
          </cell>
          <cell r="B91" t="str">
            <v>MJ-IUYL230</v>
          </cell>
          <cell r="C91">
            <v>0</v>
          </cell>
          <cell r="D91">
            <v>0</v>
          </cell>
          <cell r="E91">
            <v>2</v>
          </cell>
          <cell r="F91">
            <v>0</v>
          </cell>
        </row>
        <row r="92">
          <cell r="A92" t="str">
            <v>scarf-0001-Blue</v>
          </cell>
          <cell r="B92" t="str">
            <v>scarf-0001</v>
          </cell>
          <cell r="C92">
            <v>0</v>
          </cell>
          <cell r="D92">
            <v>0</v>
          </cell>
          <cell r="E92">
            <v>2</v>
          </cell>
          <cell r="F92">
            <v>0</v>
          </cell>
        </row>
        <row r="93">
          <cell r="A93" t="str">
            <v>SCF-D01-007</v>
          </cell>
          <cell r="B93" t="str">
            <v>SCF-D01</v>
          </cell>
          <cell r="C93">
            <v>0</v>
          </cell>
          <cell r="D93">
            <v>0</v>
          </cell>
          <cell r="E93">
            <v>1</v>
          </cell>
          <cell r="F93">
            <v>0</v>
          </cell>
        </row>
        <row r="94">
          <cell r="A94" t="str">
            <v>SCF-D01-009</v>
          </cell>
          <cell r="B94" t="str">
            <v>SCF-D01</v>
          </cell>
          <cell r="C94">
            <v>0</v>
          </cell>
          <cell r="D94">
            <v>0</v>
          </cell>
          <cell r="E94">
            <v>2</v>
          </cell>
          <cell r="F94">
            <v>0</v>
          </cell>
        </row>
        <row r="95">
          <cell r="A95" t="str">
            <v>GW-LULHY-8.8</v>
          </cell>
          <cell r="B95" t="str">
            <v>GW-LULHY</v>
          </cell>
          <cell r="C95">
            <v>0</v>
          </cell>
          <cell r="D95">
            <v>0</v>
          </cell>
          <cell r="E95">
            <v>1</v>
          </cell>
          <cell r="F95">
            <v>0</v>
          </cell>
        </row>
        <row r="96">
          <cell r="A96" t="str">
            <v>LYQ-WF7125-PO-M</v>
          </cell>
          <cell r="B96" t="str">
            <v>WF7125</v>
          </cell>
          <cell r="C96">
            <v>0</v>
          </cell>
          <cell r="D96">
            <v>0</v>
          </cell>
          <cell r="E96">
            <v>1</v>
          </cell>
          <cell r="F96">
            <v>0</v>
          </cell>
        </row>
        <row r="97">
          <cell r="A97" t="str">
            <v>KZ-LY021-KK-32</v>
          </cell>
          <cell r="B97" t="str">
            <v>KZ-LY021</v>
          </cell>
          <cell r="C97">
            <v>0</v>
          </cell>
          <cell r="D97">
            <v>0</v>
          </cell>
          <cell r="E97">
            <v>1</v>
          </cell>
          <cell r="F97">
            <v>0</v>
          </cell>
        </row>
        <row r="98">
          <cell r="A98" t="str">
            <v>KZ-LY021-NY-32</v>
          </cell>
          <cell r="B98" t="str">
            <v>KZ-LY021</v>
          </cell>
          <cell r="C98">
            <v>0</v>
          </cell>
          <cell r="D98">
            <v>1</v>
          </cell>
          <cell r="E98">
            <v>1</v>
          </cell>
          <cell r="F98">
            <v>0</v>
          </cell>
        </row>
        <row r="99">
          <cell r="A99" t="str">
            <v>DZ-IUYL200-BK</v>
          </cell>
          <cell r="B99" t="str">
            <v>DZ-IUYL200</v>
          </cell>
          <cell r="C99">
            <v>0</v>
          </cell>
          <cell r="D99">
            <v>0</v>
          </cell>
          <cell r="E99">
            <v>1</v>
          </cell>
          <cell r="F99">
            <v>0</v>
          </cell>
        </row>
        <row r="100">
          <cell r="A100" t="str">
            <v>MJ-IUYL230-BL-S</v>
          </cell>
          <cell r="B100" t="str">
            <v>MJ-IUYL230</v>
          </cell>
          <cell r="C100">
            <v>0</v>
          </cell>
          <cell r="D100">
            <v>1</v>
          </cell>
          <cell r="E100">
            <v>1</v>
          </cell>
          <cell r="F100">
            <v>0</v>
          </cell>
        </row>
        <row r="101">
          <cell r="A101" t="str">
            <v>XQ-IUYL260-PP-S</v>
          </cell>
          <cell r="B101" t="str">
            <v>XQ-IUYL260</v>
          </cell>
          <cell r="C101">
            <v>0</v>
          </cell>
          <cell r="D101">
            <v>0</v>
          </cell>
          <cell r="E101">
            <v>1</v>
          </cell>
          <cell r="F101">
            <v>0</v>
          </cell>
        </row>
        <row r="102">
          <cell r="A102" t="str">
            <v>AQD-IUYL330-BK</v>
          </cell>
          <cell r="B102" t="str">
            <v>AQD-IUYL330</v>
          </cell>
          <cell r="C102">
            <v>0</v>
          </cell>
          <cell r="D102">
            <v>0</v>
          </cell>
          <cell r="E102">
            <v>1</v>
          </cell>
          <cell r="F102">
            <v>0</v>
          </cell>
        </row>
        <row r="103">
          <cell r="A103" t="str">
            <v>MMDC-IUHM100-BK</v>
          </cell>
          <cell r="B103" t="str">
            <v>MMDC-IUHM100</v>
          </cell>
          <cell r="C103">
            <v>2</v>
          </cell>
          <cell r="D103">
            <v>1</v>
          </cell>
          <cell r="E103">
            <v>1</v>
          </cell>
          <cell r="F103">
            <v>0</v>
          </cell>
        </row>
        <row r="104">
          <cell r="A104" t="str">
            <v>MJ-IUYL230-PK-S</v>
          </cell>
          <cell r="B104" t="str">
            <v>MJ-IUYL230</v>
          </cell>
          <cell r="C104">
            <v>0</v>
          </cell>
          <cell r="D104">
            <v>1</v>
          </cell>
          <cell r="E104">
            <v>0</v>
          </cell>
          <cell r="F104">
            <v>0</v>
          </cell>
        </row>
        <row r="105">
          <cell r="A105" t="str">
            <v>ST173-WR-S</v>
          </cell>
          <cell r="B105" t="str">
            <v>ST173</v>
          </cell>
          <cell r="C105">
            <v>0</v>
          </cell>
          <cell r="D105">
            <v>2</v>
          </cell>
          <cell r="E105">
            <v>0</v>
          </cell>
          <cell r="F105">
            <v>0</v>
          </cell>
        </row>
        <row r="106">
          <cell r="A106" t="str">
            <v>ST173-WT1-S</v>
          </cell>
          <cell r="B106" t="str">
            <v>ST173</v>
          </cell>
          <cell r="C106">
            <v>4</v>
          </cell>
          <cell r="D106">
            <v>3</v>
          </cell>
          <cell r="E106">
            <v>0</v>
          </cell>
          <cell r="F106">
            <v>0</v>
          </cell>
        </row>
        <row r="107">
          <cell r="A107" t="str">
            <v>ST173-BK-S</v>
          </cell>
          <cell r="B107" t="str">
            <v>ST173</v>
          </cell>
          <cell r="C107">
            <v>0</v>
          </cell>
          <cell r="D107">
            <v>2</v>
          </cell>
          <cell r="E107">
            <v>0</v>
          </cell>
          <cell r="F107">
            <v>0</v>
          </cell>
        </row>
        <row r="108">
          <cell r="A108" t="str">
            <v>ST173-NY-S</v>
          </cell>
          <cell r="B108" t="str">
            <v>ST173</v>
          </cell>
          <cell r="C108">
            <v>0</v>
          </cell>
          <cell r="D108">
            <v>1</v>
          </cell>
          <cell r="E108">
            <v>0</v>
          </cell>
          <cell r="F108">
            <v>0</v>
          </cell>
        </row>
        <row r="109">
          <cell r="A109" t="str">
            <v>KZ-LY021-KK-40</v>
          </cell>
          <cell r="B109" t="str">
            <v>KZ-LY021</v>
          </cell>
          <cell r="C109">
            <v>0</v>
          </cell>
          <cell r="D109">
            <v>1</v>
          </cell>
          <cell r="E109">
            <v>0</v>
          </cell>
          <cell r="F109">
            <v>0</v>
          </cell>
        </row>
        <row r="110">
          <cell r="A110" t="str">
            <v>KZ-LY021-NY-40</v>
          </cell>
          <cell r="B110" t="str">
            <v>KZ-LY021</v>
          </cell>
          <cell r="C110">
            <v>0</v>
          </cell>
          <cell r="D110">
            <v>1</v>
          </cell>
          <cell r="E110">
            <v>0</v>
          </cell>
          <cell r="F110">
            <v>0</v>
          </cell>
        </row>
        <row r="111">
          <cell r="A111" t="str">
            <v>SCF-D01-017</v>
          </cell>
          <cell r="B111" t="str">
            <v>SCF-D01</v>
          </cell>
          <cell r="C111">
            <v>0</v>
          </cell>
          <cell r="D111">
            <v>1</v>
          </cell>
          <cell r="E111">
            <v>0</v>
          </cell>
          <cell r="F111">
            <v>0</v>
          </cell>
        </row>
        <row r="112">
          <cell r="A112" t="str">
            <v>GW-LULHY-5.1</v>
          </cell>
          <cell r="B112" t="str">
            <v>GW-LULHY</v>
          </cell>
          <cell r="C112">
            <v>0</v>
          </cell>
          <cell r="D112">
            <v>2</v>
          </cell>
          <cell r="E112">
            <v>0</v>
          </cell>
          <cell r="F112">
            <v>0</v>
          </cell>
        </row>
        <row r="113">
          <cell r="A113" t="str">
            <v>ST171-LB916-XXL</v>
          </cell>
          <cell r="B113" t="str">
            <v>ST171</v>
          </cell>
          <cell r="C113">
            <v>0</v>
          </cell>
          <cell r="D113">
            <v>3</v>
          </cell>
          <cell r="E113">
            <v>0</v>
          </cell>
          <cell r="F113">
            <v>0</v>
          </cell>
        </row>
        <row r="114">
          <cell r="A114" t="str">
            <v>ST172-GR-XL</v>
          </cell>
          <cell r="B114" t="str">
            <v>ST172</v>
          </cell>
          <cell r="C114">
            <v>0</v>
          </cell>
          <cell r="D114">
            <v>1</v>
          </cell>
          <cell r="E114">
            <v>0</v>
          </cell>
          <cell r="F114">
            <v>0</v>
          </cell>
        </row>
        <row r="115">
          <cell r="A115" t="str">
            <v>MJ-IUYL230-BL-L</v>
          </cell>
          <cell r="B115" t="str">
            <v>MJ-IUYL230</v>
          </cell>
          <cell r="C115">
            <v>0</v>
          </cell>
          <cell r="D115">
            <v>1</v>
          </cell>
          <cell r="E115">
            <v>0</v>
          </cell>
          <cell r="F115">
            <v>0</v>
          </cell>
        </row>
        <row r="116">
          <cell r="A116" t="str">
            <v>TZ-IUYL240-STAR-L</v>
          </cell>
          <cell r="B116" t="str">
            <v>TZ-IUYL240</v>
          </cell>
          <cell r="C116">
            <v>1</v>
          </cell>
          <cell r="D116">
            <v>3</v>
          </cell>
          <cell r="E116">
            <v>0</v>
          </cell>
          <cell r="F116">
            <v>0</v>
          </cell>
        </row>
        <row r="117">
          <cell r="A117" t="str">
            <v>KZ-LY021-NY-38</v>
          </cell>
          <cell r="B117" t="str">
            <v>KZ-LY021</v>
          </cell>
          <cell r="C117">
            <v>0</v>
          </cell>
          <cell r="D117">
            <v>2</v>
          </cell>
          <cell r="E117">
            <v>0</v>
          </cell>
          <cell r="F117">
            <v>0</v>
          </cell>
        </row>
        <row r="118">
          <cell r="A118" t="str">
            <v>MJ-IUYL230-CF-L</v>
          </cell>
          <cell r="B118" t="str">
            <v>MJ-IUYL230</v>
          </cell>
          <cell r="C118">
            <v>11</v>
          </cell>
          <cell r="D118">
            <v>1</v>
          </cell>
          <cell r="E118">
            <v>0</v>
          </cell>
          <cell r="F118">
            <v>0</v>
          </cell>
        </row>
        <row r="119">
          <cell r="A119" t="str">
            <v>ST006-BL-S</v>
          </cell>
          <cell r="B119" t="str">
            <v>ST006</v>
          </cell>
          <cell r="C119">
            <v>1</v>
          </cell>
          <cell r="D119">
            <v>1</v>
          </cell>
          <cell r="E119">
            <v>0</v>
          </cell>
          <cell r="F119">
            <v>0</v>
          </cell>
        </row>
        <row r="120">
          <cell r="A120" t="str">
            <v>AQD-IUYL330-GR</v>
          </cell>
          <cell r="B120" t="str">
            <v>AQD-IUYL330</v>
          </cell>
          <cell r="C120">
            <v>0</v>
          </cell>
          <cell r="D120">
            <v>1</v>
          </cell>
          <cell r="E120">
            <v>0</v>
          </cell>
          <cell r="F120">
            <v>0</v>
          </cell>
        </row>
        <row r="121">
          <cell r="A121" t="str">
            <v>ST172-WT2-M</v>
          </cell>
          <cell r="B121" t="str">
            <v>ST172</v>
          </cell>
          <cell r="C121">
            <v>3</v>
          </cell>
          <cell r="D121">
            <v>0</v>
          </cell>
          <cell r="E121">
            <v>0</v>
          </cell>
          <cell r="F121">
            <v>0</v>
          </cell>
        </row>
        <row r="122">
          <cell r="A122" t="str">
            <v>LYQ-WF7125-NO-2L</v>
          </cell>
          <cell r="B122" t="str">
            <v>WF7125</v>
          </cell>
          <cell r="C122">
            <v>1</v>
          </cell>
          <cell r="D122">
            <v>0</v>
          </cell>
          <cell r="E122">
            <v>0</v>
          </cell>
          <cell r="F122">
            <v>0</v>
          </cell>
        </row>
        <row r="123">
          <cell r="A123" t="str">
            <v>LYQ-WF7125-PO-2L</v>
          </cell>
          <cell r="B123" t="str">
            <v>WF7125</v>
          </cell>
          <cell r="C123">
            <v>1</v>
          </cell>
          <cell r="D123">
            <v>0</v>
          </cell>
          <cell r="E123">
            <v>0</v>
          </cell>
          <cell r="F123">
            <v>0</v>
          </cell>
        </row>
        <row r="124">
          <cell r="A124" t="str">
            <v>MMDC-IUHM100-BL</v>
          </cell>
          <cell r="B124" t="str">
            <v>MMDC-IUHM100</v>
          </cell>
          <cell r="C124">
            <v>2</v>
          </cell>
          <cell r="D124">
            <v>0</v>
          </cell>
          <cell r="E124">
            <v>0</v>
          </cell>
          <cell r="F124">
            <v>0</v>
          </cell>
        </row>
        <row r="125">
          <cell r="A125" t="str">
            <v>GW-LULHY-6.2</v>
          </cell>
          <cell r="B125" t="str">
            <v>GW-LULHY</v>
          </cell>
          <cell r="C125">
            <v>1</v>
          </cell>
          <cell r="D125">
            <v>0</v>
          </cell>
          <cell r="E125">
            <v>0</v>
          </cell>
          <cell r="F125">
            <v>0</v>
          </cell>
        </row>
        <row r="126">
          <cell r="A126" t="str">
            <v>ST173-GR-S</v>
          </cell>
          <cell r="B126" t="str">
            <v>ST173</v>
          </cell>
          <cell r="C126">
            <v>1</v>
          </cell>
          <cell r="D126">
            <v>0</v>
          </cell>
          <cell r="E126">
            <v>0</v>
          </cell>
          <cell r="F126">
            <v>0</v>
          </cell>
        </row>
        <row r="127">
          <cell r="A127" t="str">
            <v>ST172-BL-S</v>
          </cell>
          <cell r="B127" t="str">
            <v>ST172</v>
          </cell>
          <cell r="C127">
            <v>3</v>
          </cell>
          <cell r="D127">
            <v>0</v>
          </cell>
          <cell r="E127">
            <v>0</v>
          </cell>
          <cell r="F127">
            <v>0</v>
          </cell>
        </row>
        <row r="128">
          <cell r="A128" t="str">
            <v>ST172-BL-XXL</v>
          </cell>
          <cell r="B128" t="str">
            <v>ST172</v>
          </cell>
          <cell r="C128">
            <v>1</v>
          </cell>
          <cell r="D128">
            <v>0</v>
          </cell>
          <cell r="E128">
            <v>0</v>
          </cell>
          <cell r="F128">
            <v>0</v>
          </cell>
        </row>
        <row r="129">
          <cell r="A129" t="str">
            <v>ST172-BL-L</v>
          </cell>
          <cell r="B129" t="str">
            <v>ST172</v>
          </cell>
          <cell r="C129">
            <v>2</v>
          </cell>
          <cell r="D129">
            <v>0</v>
          </cell>
          <cell r="E129">
            <v>0</v>
          </cell>
          <cell r="F129">
            <v>0</v>
          </cell>
        </row>
        <row r="130">
          <cell r="A130" t="str">
            <v>KZ-LY021-KK-34</v>
          </cell>
          <cell r="B130" t="str">
            <v>KZ-LY021</v>
          </cell>
          <cell r="C130">
            <v>1</v>
          </cell>
          <cell r="D130">
            <v>0</v>
          </cell>
          <cell r="E130">
            <v>0</v>
          </cell>
          <cell r="F130">
            <v>0</v>
          </cell>
        </row>
        <row r="131">
          <cell r="A131" t="str">
            <v>ST173-WR-M</v>
          </cell>
          <cell r="B131" t="str">
            <v>ST173</v>
          </cell>
          <cell r="C131">
            <v>2</v>
          </cell>
          <cell r="D131">
            <v>0</v>
          </cell>
          <cell r="E131">
            <v>0</v>
          </cell>
          <cell r="F131">
            <v>0</v>
          </cell>
        </row>
        <row r="132">
          <cell r="A132" t="str">
            <v>KZ-LY021-NY-34</v>
          </cell>
          <cell r="B132" t="str">
            <v>KZ-LY021</v>
          </cell>
          <cell r="C132">
            <v>2</v>
          </cell>
          <cell r="D132">
            <v>0</v>
          </cell>
          <cell r="E132">
            <v>0</v>
          </cell>
          <cell r="F132">
            <v>0</v>
          </cell>
        </row>
        <row r="133">
          <cell r="A133" t="str">
            <v>LYQ-WF7125-BO-L</v>
          </cell>
          <cell r="B133" t="str">
            <v>WF7125</v>
          </cell>
          <cell r="C133">
            <v>1</v>
          </cell>
          <cell r="D133">
            <v>0</v>
          </cell>
          <cell r="E133">
            <v>0</v>
          </cell>
          <cell r="F133">
            <v>0</v>
          </cell>
        </row>
        <row r="134">
          <cell r="A134" t="str">
            <v>LYQ-WF7125-NO-XL</v>
          </cell>
          <cell r="B134" t="str">
            <v>WF7125</v>
          </cell>
          <cell r="C134">
            <v>1</v>
          </cell>
          <cell r="D134">
            <v>0</v>
          </cell>
          <cell r="E134">
            <v>0</v>
          </cell>
          <cell r="F134">
            <v>0</v>
          </cell>
        </row>
        <row r="135">
          <cell r="A135" t="str">
            <v>MMDC-IUHM100-PK</v>
          </cell>
          <cell r="B135" t="str">
            <v>MMDC-IUHM100</v>
          </cell>
          <cell r="C135">
            <v>2</v>
          </cell>
          <cell r="D135">
            <v>0</v>
          </cell>
          <cell r="E135">
            <v>0</v>
          </cell>
          <cell r="F135">
            <v>0</v>
          </cell>
        </row>
        <row r="136">
          <cell r="A136" t="str">
            <v>ST172-PP-XL</v>
          </cell>
          <cell r="B136" t="str">
            <v>ST172</v>
          </cell>
          <cell r="C136">
            <v>1</v>
          </cell>
          <cell r="D136">
            <v>0</v>
          </cell>
          <cell r="E136">
            <v>0</v>
          </cell>
          <cell r="F136">
            <v>0</v>
          </cell>
        </row>
        <row r="137">
          <cell r="A137" t="str">
            <v>TZ-IUYL240-DOT-M</v>
          </cell>
          <cell r="B137" t="str">
            <v>TZ-IUYL240</v>
          </cell>
          <cell r="C137">
            <v>2</v>
          </cell>
          <cell r="D137">
            <v>0</v>
          </cell>
          <cell r="E137">
            <v>0</v>
          </cell>
          <cell r="F137">
            <v>0</v>
          </cell>
        </row>
        <row r="138">
          <cell r="A138" t="str">
            <v>TZ-IUYL240-STRAWBERRY-L</v>
          </cell>
          <cell r="B138" t="str">
            <v>TZ-IUYL240</v>
          </cell>
          <cell r="C138">
            <v>3</v>
          </cell>
          <cell r="D138">
            <v>0</v>
          </cell>
          <cell r="E138">
            <v>0</v>
          </cell>
          <cell r="F138">
            <v>0</v>
          </cell>
        </row>
        <row r="139">
          <cell r="A139" t="str">
            <v>TZ-IUYL240-STAR-S</v>
          </cell>
          <cell r="B139" t="str">
            <v>TZ-IUYL240</v>
          </cell>
          <cell r="C139">
            <v>1</v>
          </cell>
          <cell r="D139">
            <v>0</v>
          </cell>
          <cell r="E139">
            <v>0</v>
          </cell>
          <cell r="F139">
            <v>0</v>
          </cell>
        </row>
        <row r="140">
          <cell r="A140" t="str">
            <v>XQ-IUYL260-GN-S</v>
          </cell>
          <cell r="B140" t="str">
            <v>XQ-IUYL260</v>
          </cell>
          <cell r="C140">
            <v>1</v>
          </cell>
          <cell r="D140">
            <v>0</v>
          </cell>
          <cell r="E140">
            <v>0</v>
          </cell>
          <cell r="F140">
            <v>0</v>
          </cell>
        </row>
        <row r="141">
          <cell r="A141" t="str">
            <v>ST172-GR-S</v>
          </cell>
          <cell r="B141" t="str">
            <v>ST172</v>
          </cell>
          <cell r="C141">
            <v>1</v>
          </cell>
          <cell r="D141">
            <v>0</v>
          </cell>
          <cell r="E141">
            <v>0</v>
          </cell>
          <cell r="F141">
            <v>0</v>
          </cell>
        </row>
        <row r="142">
          <cell r="A142" t="str">
            <v>MJ-IUYL230-CF-S</v>
          </cell>
          <cell r="B142" t="str">
            <v>MJ-IUYL230</v>
          </cell>
          <cell r="C142">
            <v>0</v>
          </cell>
          <cell r="D142">
            <v>0</v>
          </cell>
          <cell r="E142">
            <v>0</v>
          </cell>
          <cell r="F142">
            <v>0</v>
          </cell>
        </row>
        <row r="143">
          <cell r="A143" t="str">
            <v>XQ-IUYL260-BL1-S</v>
          </cell>
          <cell r="B143" t="str">
            <v>XQ-IUYL260</v>
          </cell>
          <cell r="C143">
            <v>1</v>
          </cell>
          <cell r="D143">
            <v>0</v>
          </cell>
          <cell r="E143">
            <v>0</v>
          </cell>
          <cell r="F143">
            <v>0</v>
          </cell>
        </row>
        <row r="2686">
          <cell r="A2686" t="str">
            <v>LGQ-IUYL100-WT</v>
          </cell>
        </row>
      </sheetData>
      <sheetData sheetId="3"/>
      <sheetData sheetId="4">
        <row r="1">
          <cell r="A1" t="str">
            <v>父sku</v>
          </cell>
          <cell r="B1" t="str">
            <v>单价</v>
          </cell>
        </row>
        <row r="2">
          <cell r="A2" t="str">
            <v>ST006</v>
          </cell>
          <cell r="B2">
            <v>16.48</v>
          </cell>
        </row>
        <row r="3">
          <cell r="A3" t="str">
            <v>TZ-IUYL240</v>
          </cell>
          <cell r="B3">
            <v>18.1099837332248</v>
          </cell>
        </row>
        <row r="4">
          <cell r="A4" t="str">
            <v>SCF-B01</v>
          </cell>
          <cell r="B4">
            <v>20</v>
          </cell>
        </row>
        <row r="5">
          <cell r="A5" t="str">
            <v>BBBD-1605A</v>
          </cell>
          <cell r="B5">
            <v>35.99</v>
          </cell>
        </row>
        <row r="6">
          <cell r="A6" t="str">
            <v>DZ-IUYL200</v>
          </cell>
          <cell r="B6">
            <v>20.99</v>
          </cell>
        </row>
        <row r="7">
          <cell r="A7" t="str">
            <v>XQ-IUYL260</v>
          </cell>
          <cell r="B7">
            <v>9.93</v>
          </cell>
        </row>
        <row r="8">
          <cell r="A8" t="str">
            <v>BBBD-BUSB1605</v>
          </cell>
          <cell r="B8">
            <v>29.99</v>
          </cell>
        </row>
        <row r="9">
          <cell r="A9" t="str">
            <v>ST172</v>
          </cell>
          <cell r="B9">
            <v>14.4614814814815</v>
          </cell>
        </row>
        <row r="10">
          <cell r="A10" t="str">
            <v>ST173</v>
          </cell>
          <cell r="B10">
            <v>10.7741666666667</v>
          </cell>
        </row>
        <row r="11">
          <cell r="A11" t="str">
            <v>LGQ-IUYL100</v>
          </cell>
          <cell r="B11">
            <v>18.1486956521739</v>
          </cell>
        </row>
        <row r="12">
          <cell r="A12" t="str">
            <v>ST171</v>
          </cell>
          <cell r="B12">
            <v>12.38</v>
          </cell>
        </row>
        <row r="13">
          <cell r="A13" t="str">
            <v>KZ-LY021</v>
          </cell>
          <cell r="B13">
            <v>12</v>
          </cell>
        </row>
        <row r="14">
          <cell r="A14" t="str">
            <v>HZB-QJTZ-IUYL300310</v>
          </cell>
          <cell r="B14">
            <v>30.2207692307692</v>
          </cell>
        </row>
        <row r="15">
          <cell r="A15" t="str">
            <v>GW-LULHY</v>
          </cell>
          <cell r="B15">
            <v>9.309375</v>
          </cell>
        </row>
        <row r="16">
          <cell r="A16" t="str">
            <v>SCF-D01</v>
          </cell>
          <cell r="B16">
            <v>10</v>
          </cell>
        </row>
        <row r="17">
          <cell r="A17" t="str">
            <v>ST170</v>
          </cell>
          <cell r="B17">
            <v>16.98</v>
          </cell>
        </row>
        <row r="18">
          <cell r="A18" t="str">
            <v>ST085</v>
          </cell>
          <cell r="B18">
            <v>10</v>
          </cell>
        </row>
        <row r="19">
          <cell r="A19" t="str">
            <v>DZ-IUYL210</v>
          </cell>
          <cell r="B19">
            <v>25.99</v>
          </cell>
        </row>
        <row r="20">
          <cell r="A20" t="str">
            <v>GS-IUYL280</v>
          </cell>
          <cell r="B20" t="e">
            <v>#DIV/0!</v>
          </cell>
        </row>
        <row r="21">
          <cell r="A21" t="str">
            <v>SZ-IUYL002</v>
          </cell>
          <cell r="B21">
            <v>10.99</v>
          </cell>
        </row>
        <row r="22">
          <cell r="A22" t="str">
            <v>BD-LUHM010</v>
          </cell>
          <cell r="B22">
            <v>40.99</v>
          </cell>
        </row>
        <row r="23">
          <cell r="A23" t="str">
            <v>WF7125</v>
          </cell>
          <cell r="B23">
            <v>12</v>
          </cell>
        </row>
        <row r="24">
          <cell r="A24" t="str">
            <v>XQ-IUYL320</v>
          </cell>
          <cell r="B24">
            <v>9.5</v>
          </cell>
        </row>
        <row r="25">
          <cell r="A25" t="str">
            <v>MJ-IUYL230</v>
          </cell>
          <cell r="B25">
            <v>12.1022222222222</v>
          </cell>
        </row>
        <row r="26">
          <cell r="A26" t="str">
            <v>scarf-0001</v>
          </cell>
          <cell r="B26">
            <v>10</v>
          </cell>
        </row>
        <row r="27">
          <cell r="A27" t="str">
            <v>AQD-IUYL330</v>
          </cell>
          <cell r="B27">
            <v>9.495</v>
          </cell>
        </row>
        <row r="28">
          <cell r="A28" t="str">
            <v>MMDC-IUHM100</v>
          </cell>
          <cell r="B28">
            <v>10.99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广告周报表"/>
      <sheetName val="库存使用数据"/>
      <sheetName val="time"/>
    </sheetNames>
    <sheetDataSet>
      <sheetData sheetId="0"/>
      <sheetData sheetId="1">
        <row r="1">
          <cell r="B1" t="str">
            <v>一周</v>
          </cell>
        </row>
        <row r="1">
          <cell r="E1" t="str">
            <v>二周</v>
          </cell>
        </row>
        <row r="1">
          <cell r="H1" t="str">
            <v>三周</v>
          </cell>
        </row>
        <row r="1">
          <cell r="K1" t="str">
            <v>四周</v>
          </cell>
        </row>
        <row r="2">
          <cell r="A2" t="str">
            <v>广告ASIN</v>
          </cell>
          <cell r="B2" t="str">
            <v>曝光量</v>
          </cell>
          <cell r="C2" t="str">
            <v>点击量</v>
          </cell>
          <cell r="D2" t="str">
            <v>广告费</v>
          </cell>
          <cell r="E2" t="str">
            <v>曝光量</v>
          </cell>
          <cell r="F2" t="str">
            <v>点击量</v>
          </cell>
          <cell r="G2" t="str">
            <v>广告费</v>
          </cell>
          <cell r="H2" t="str">
            <v>曝光量</v>
          </cell>
          <cell r="I2" t="str">
            <v>点击量</v>
          </cell>
          <cell r="J2" t="str">
            <v>广告费</v>
          </cell>
          <cell r="K2" t="str">
            <v>曝光量</v>
          </cell>
          <cell r="L2" t="str">
            <v>点击量</v>
          </cell>
          <cell r="M2" t="str">
            <v>广告费</v>
          </cell>
        </row>
        <row r="3">
          <cell r="A3" t="str">
            <v>合计</v>
          </cell>
        </row>
        <row r="3">
          <cell r="D3">
            <v>1777.24</v>
          </cell>
        </row>
        <row r="3">
          <cell r="G3">
            <v>837.08</v>
          </cell>
        </row>
        <row r="3">
          <cell r="J3">
            <v>884.14</v>
          </cell>
        </row>
        <row r="3">
          <cell r="M3">
            <v>537.12</v>
          </cell>
        </row>
        <row r="4">
          <cell r="A4" t="str">
            <v>MJ-IUYL230-BL-S</v>
          </cell>
          <cell r="B4">
            <v>1147</v>
          </cell>
          <cell r="C4">
            <v>10</v>
          </cell>
          <cell r="D4">
            <v>7.83</v>
          </cell>
          <cell r="E4">
            <v>2029</v>
          </cell>
          <cell r="F4">
            <v>20</v>
          </cell>
          <cell r="G4">
            <v>24.07</v>
          </cell>
          <cell r="H4">
            <v>1309</v>
          </cell>
          <cell r="I4">
            <v>21</v>
          </cell>
          <cell r="J4">
            <v>27.48</v>
          </cell>
          <cell r="K4">
            <v>20</v>
          </cell>
          <cell r="L4">
            <v>0</v>
          </cell>
          <cell r="M4">
            <v>0</v>
          </cell>
        </row>
        <row r="5">
          <cell r="A5" t="str">
            <v>MJ-IUYL230-CF-S</v>
          </cell>
          <cell r="B5">
            <v>3009</v>
          </cell>
          <cell r="C5">
            <v>13</v>
          </cell>
          <cell r="D5">
            <v>15.2</v>
          </cell>
          <cell r="E5">
            <v>2271</v>
          </cell>
          <cell r="F5">
            <v>12</v>
          </cell>
          <cell r="G5">
            <v>15.12</v>
          </cell>
          <cell r="H5">
            <v>508</v>
          </cell>
          <cell r="I5">
            <v>8</v>
          </cell>
          <cell r="J5">
            <v>7.15</v>
          </cell>
          <cell r="K5">
            <v>114</v>
          </cell>
          <cell r="L5">
            <v>0</v>
          </cell>
          <cell r="M5">
            <v>0</v>
          </cell>
        </row>
        <row r="6">
          <cell r="A6" t="str">
            <v>MJ-IUYL230-PK-S</v>
          </cell>
          <cell r="B6">
            <v>41</v>
          </cell>
          <cell r="C6">
            <v>0</v>
          </cell>
          <cell r="D6">
            <v>0</v>
          </cell>
          <cell r="E6">
            <v>1934</v>
          </cell>
          <cell r="F6">
            <v>5</v>
          </cell>
          <cell r="G6">
            <v>7.17</v>
          </cell>
          <cell r="H6">
            <v>1893</v>
          </cell>
          <cell r="I6">
            <v>7</v>
          </cell>
          <cell r="J6">
            <v>5.7</v>
          </cell>
          <cell r="K6">
            <v>132</v>
          </cell>
          <cell r="L6">
            <v>0</v>
          </cell>
          <cell r="M6">
            <v>0</v>
          </cell>
        </row>
        <row r="7">
          <cell r="A7" t="str">
            <v>SCF-B01-004</v>
          </cell>
          <cell r="B7">
            <v>1849</v>
          </cell>
          <cell r="C7">
            <v>2</v>
          </cell>
          <cell r="D7">
            <v>0.92</v>
          </cell>
          <cell r="E7">
            <v>488</v>
          </cell>
          <cell r="F7">
            <v>3</v>
          </cell>
          <cell r="G7">
            <v>0.64</v>
          </cell>
          <cell r="H7">
            <v>239</v>
          </cell>
          <cell r="I7">
            <v>2</v>
          </cell>
          <cell r="J7">
            <v>0.62</v>
          </cell>
          <cell r="K7">
            <v>257</v>
          </cell>
          <cell r="L7">
            <v>0</v>
          </cell>
          <cell r="M7">
            <v>0</v>
          </cell>
        </row>
        <row r="8">
          <cell r="A8" t="str">
            <v>ST172-BL-L</v>
          </cell>
          <cell r="B8">
            <v>257</v>
          </cell>
          <cell r="C8">
            <v>0</v>
          </cell>
          <cell r="D8">
            <v>0</v>
          </cell>
          <cell r="E8">
            <v>749</v>
          </cell>
          <cell r="F8">
            <v>2</v>
          </cell>
          <cell r="G8">
            <v>0.31</v>
          </cell>
          <cell r="H8">
            <v>608</v>
          </cell>
          <cell r="I8">
            <v>1</v>
          </cell>
          <cell r="J8">
            <v>0.35</v>
          </cell>
          <cell r="K8">
            <v>246</v>
          </cell>
          <cell r="L8">
            <v>0</v>
          </cell>
          <cell r="M8">
            <v>0</v>
          </cell>
        </row>
        <row r="9">
          <cell r="A9" t="str">
            <v>ST172-WR-L</v>
          </cell>
          <cell r="B9">
            <v>80366</v>
          </cell>
          <cell r="C9">
            <v>78</v>
          </cell>
          <cell r="D9">
            <v>32.91</v>
          </cell>
          <cell r="E9">
            <v>5069</v>
          </cell>
          <cell r="F9">
            <v>13</v>
          </cell>
          <cell r="G9">
            <v>3.18</v>
          </cell>
          <cell r="H9">
            <v>1578</v>
          </cell>
          <cell r="I9">
            <v>2</v>
          </cell>
          <cell r="J9">
            <v>0.52</v>
          </cell>
          <cell r="K9">
            <v>778</v>
          </cell>
          <cell r="L9">
            <v>2</v>
          </cell>
          <cell r="M9">
            <v>0.61</v>
          </cell>
        </row>
        <row r="10">
          <cell r="A10" t="str">
            <v>ST172-WT2-M</v>
          </cell>
          <cell r="B10">
            <v>338</v>
          </cell>
          <cell r="C10">
            <v>0</v>
          </cell>
          <cell r="D10">
            <v>0</v>
          </cell>
          <cell r="E10">
            <v>459</v>
          </cell>
          <cell r="F10">
            <v>1</v>
          </cell>
          <cell r="G10">
            <v>0.21</v>
          </cell>
          <cell r="H10">
            <v>170</v>
          </cell>
          <cell r="I10">
            <v>0</v>
          </cell>
          <cell r="J10">
            <v>0</v>
          </cell>
          <cell r="K10">
            <v>55</v>
          </cell>
          <cell r="L10">
            <v>0</v>
          </cell>
          <cell r="M10">
            <v>0</v>
          </cell>
        </row>
        <row r="11">
          <cell r="A11" t="str">
            <v>AQD-IUYL330-BK</v>
          </cell>
          <cell r="B11">
            <v>0</v>
          </cell>
          <cell r="C11">
            <v>0</v>
          </cell>
          <cell r="D11">
            <v>0</v>
          </cell>
          <cell r="E11">
            <v>0</v>
          </cell>
          <cell r="F11">
            <v>0</v>
          </cell>
          <cell r="G11">
            <v>0</v>
          </cell>
          <cell r="H11">
            <v>156</v>
          </cell>
          <cell r="I11">
            <v>1</v>
          </cell>
          <cell r="J11">
            <v>0.43</v>
          </cell>
          <cell r="K11">
            <v>118</v>
          </cell>
          <cell r="L11">
            <v>0</v>
          </cell>
          <cell r="M11">
            <v>0</v>
          </cell>
        </row>
        <row r="12">
          <cell r="A12" t="str">
            <v>AQD-IUYL330-PP</v>
          </cell>
          <cell r="B12">
            <v>0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145</v>
          </cell>
          <cell r="L12">
            <v>2</v>
          </cell>
          <cell r="M12">
            <v>0.48</v>
          </cell>
        </row>
        <row r="13">
          <cell r="A13" t="str">
            <v>AQD-IUYL330-RD</v>
          </cell>
          <cell r="B13">
            <v>278</v>
          </cell>
          <cell r="C13">
            <v>0</v>
          </cell>
          <cell r="D13">
            <v>0</v>
          </cell>
          <cell r="E13">
            <v>216</v>
          </cell>
          <cell r="F13">
            <v>0</v>
          </cell>
          <cell r="G13">
            <v>0</v>
          </cell>
          <cell r="H13">
            <v>111</v>
          </cell>
          <cell r="I13">
            <v>2</v>
          </cell>
          <cell r="J13">
            <v>0.72</v>
          </cell>
          <cell r="K13">
            <v>90</v>
          </cell>
          <cell r="L13">
            <v>0</v>
          </cell>
          <cell r="M13">
            <v>0</v>
          </cell>
        </row>
        <row r="14">
          <cell r="A14" t="str">
            <v>AQD-IUYL330-YL</v>
          </cell>
          <cell r="B14">
            <v>366</v>
          </cell>
          <cell r="C14">
            <v>1</v>
          </cell>
          <cell r="D14">
            <v>0.39</v>
          </cell>
          <cell r="E14">
            <v>271</v>
          </cell>
          <cell r="F14">
            <v>3</v>
          </cell>
          <cell r="G14">
            <v>0.58</v>
          </cell>
          <cell r="H14">
            <v>157</v>
          </cell>
          <cell r="I14">
            <v>0</v>
          </cell>
          <cell r="J14">
            <v>0</v>
          </cell>
          <cell r="K14">
            <v>91</v>
          </cell>
          <cell r="L14">
            <v>0</v>
          </cell>
          <cell r="M14">
            <v>0</v>
          </cell>
        </row>
        <row r="15">
          <cell r="A15" t="str">
            <v>LGQ-IUYL100-PK</v>
          </cell>
          <cell r="B15">
            <v>0</v>
          </cell>
          <cell r="C15">
            <v>0</v>
          </cell>
          <cell r="D15">
            <v>0</v>
          </cell>
          <cell r="E15">
            <v>0</v>
          </cell>
          <cell r="F15">
            <v>0</v>
          </cell>
          <cell r="G15">
            <v>0</v>
          </cell>
          <cell r="H15">
            <v>0</v>
          </cell>
          <cell r="I15">
            <v>0</v>
          </cell>
          <cell r="J15">
            <v>0</v>
          </cell>
          <cell r="K15">
            <v>1511</v>
          </cell>
          <cell r="L15">
            <v>0</v>
          </cell>
          <cell r="M15">
            <v>0</v>
          </cell>
        </row>
        <row r="16">
          <cell r="A16" t="str">
            <v>LGQ-IUYL100-BL</v>
          </cell>
          <cell r="B16">
            <v>77</v>
          </cell>
          <cell r="C16">
            <v>0</v>
          </cell>
          <cell r="D16">
            <v>0</v>
          </cell>
          <cell r="E16">
            <v>137</v>
          </cell>
          <cell r="F16">
            <v>1</v>
          </cell>
          <cell r="G16">
            <v>0.4</v>
          </cell>
          <cell r="H16">
            <v>0</v>
          </cell>
          <cell r="I16">
            <v>0</v>
          </cell>
          <cell r="J16">
            <v>0</v>
          </cell>
          <cell r="K16">
            <v>45</v>
          </cell>
          <cell r="L16">
            <v>0</v>
          </cell>
          <cell r="M16">
            <v>0</v>
          </cell>
        </row>
        <row r="17">
          <cell r="A17" t="str">
            <v>LGQ-IUYL100-RD</v>
          </cell>
          <cell r="B17">
            <v>9791</v>
          </cell>
          <cell r="C17">
            <v>30</v>
          </cell>
          <cell r="D17">
            <v>21.47</v>
          </cell>
          <cell r="E17">
            <v>6067</v>
          </cell>
          <cell r="F17">
            <v>19</v>
          </cell>
          <cell r="G17">
            <v>13.83</v>
          </cell>
          <cell r="H17">
            <v>11024</v>
          </cell>
          <cell r="I17">
            <v>39</v>
          </cell>
          <cell r="J17">
            <v>30.2</v>
          </cell>
          <cell r="K17">
            <v>24200</v>
          </cell>
          <cell r="L17">
            <v>22</v>
          </cell>
          <cell r="M17">
            <v>16.07</v>
          </cell>
        </row>
        <row r="18">
          <cell r="A18" t="str">
            <v>SCF-B01-020</v>
          </cell>
          <cell r="B18">
            <v>381</v>
          </cell>
          <cell r="C18">
            <v>0</v>
          </cell>
          <cell r="D18">
            <v>0</v>
          </cell>
          <cell r="E18">
            <v>356</v>
          </cell>
          <cell r="F18">
            <v>3</v>
          </cell>
          <cell r="G18">
            <v>1.14</v>
          </cell>
          <cell r="H18">
            <v>122</v>
          </cell>
          <cell r="I18">
            <v>1</v>
          </cell>
          <cell r="J18">
            <v>0.49</v>
          </cell>
          <cell r="K18">
            <v>148</v>
          </cell>
          <cell r="L18">
            <v>1</v>
          </cell>
          <cell r="M18">
            <v>0.5</v>
          </cell>
        </row>
        <row r="19">
          <cell r="A19" t="str">
            <v>SCF-C01-012</v>
          </cell>
          <cell r="B19">
            <v>1627</v>
          </cell>
          <cell r="C19">
            <v>5</v>
          </cell>
          <cell r="D19">
            <v>0.87</v>
          </cell>
          <cell r="E19">
            <v>1388</v>
          </cell>
          <cell r="F19">
            <v>7</v>
          </cell>
          <cell r="G19">
            <v>2.33</v>
          </cell>
          <cell r="H19">
            <v>851</v>
          </cell>
          <cell r="I19">
            <v>6</v>
          </cell>
          <cell r="J19">
            <v>1.61</v>
          </cell>
          <cell r="K19">
            <v>1085</v>
          </cell>
          <cell r="L19">
            <v>3</v>
          </cell>
          <cell r="M19">
            <v>0.82</v>
          </cell>
        </row>
        <row r="20">
          <cell r="A20" t="str">
            <v>SCF-B01-011</v>
          </cell>
          <cell r="B20">
            <v>688</v>
          </cell>
          <cell r="C20">
            <v>3</v>
          </cell>
          <cell r="D20">
            <v>0.83</v>
          </cell>
          <cell r="E20">
            <v>552</v>
          </cell>
          <cell r="F20">
            <v>1</v>
          </cell>
          <cell r="G20">
            <v>0.24</v>
          </cell>
          <cell r="H20">
            <v>277</v>
          </cell>
          <cell r="I20">
            <v>0</v>
          </cell>
          <cell r="J20">
            <v>0</v>
          </cell>
          <cell r="K20">
            <v>119</v>
          </cell>
          <cell r="L20">
            <v>0</v>
          </cell>
          <cell r="M20">
            <v>0</v>
          </cell>
        </row>
        <row r="21">
          <cell r="A21" t="str">
            <v>ST173-BL-XXL</v>
          </cell>
          <cell r="B21">
            <v>0</v>
          </cell>
          <cell r="C21">
            <v>0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  <cell r="I21">
            <v>0</v>
          </cell>
          <cell r="J21">
            <v>0</v>
          </cell>
          <cell r="K21">
            <v>394</v>
          </cell>
          <cell r="L21">
            <v>7</v>
          </cell>
          <cell r="M21">
            <v>4.58</v>
          </cell>
        </row>
        <row r="22">
          <cell r="A22" t="str">
            <v>XQ-IUYL260-RD-S</v>
          </cell>
          <cell r="B22">
            <v>0</v>
          </cell>
          <cell r="C22">
            <v>0</v>
          </cell>
          <cell r="D22">
            <v>0</v>
          </cell>
          <cell r="E22">
            <v>0</v>
          </cell>
          <cell r="F22">
            <v>0</v>
          </cell>
          <cell r="G22">
            <v>0</v>
          </cell>
          <cell r="H22">
            <v>5419</v>
          </cell>
          <cell r="I22">
            <v>22</v>
          </cell>
          <cell r="J22">
            <v>10.64</v>
          </cell>
          <cell r="K22">
            <v>4628</v>
          </cell>
          <cell r="L22">
            <v>25</v>
          </cell>
          <cell r="M22">
            <v>12.16</v>
          </cell>
        </row>
        <row r="23">
          <cell r="A23" t="str">
            <v>TZ-IUYL240-BEAR-S</v>
          </cell>
          <cell r="B23">
            <v>3173</v>
          </cell>
          <cell r="C23">
            <v>68</v>
          </cell>
          <cell r="D23">
            <v>43.09</v>
          </cell>
          <cell r="E23">
            <v>1007</v>
          </cell>
          <cell r="F23">
            <v>14</v>
          </cell>
          <cell r="G23">
            <v>10.08</v>
          </cell>
          <cell r="H23">
            <v>0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</row>
        <row r="24">
          <cell r="A24" t="str">
            <v>TZ-IUYL240LHY-ELPH-S</v>
          </cell>
          <cell r="B24">
            <v>194803</v>
          </cell>
          <cell r="C24">
            <v>1289</v>
          </cell>
          <cell r="D24">
            <v>1088.88</v>
          </cell>
          <cell r="E24">
            <v>124968</v>
          </cell>
          <cell r="F24">
            <v>710</v>
          </cell>
          <cell r="G24">
            <v>519.73</v>
          </cell>
          <cell r="H24">
            <v>153924</v>
          </cell>
          <cell r="I24">
            <v>911</v>
          </cell>
          <cell r="J24">
            <v>650.69</v>
          </cell>
          <cell r="K24">
            <v>93339</v>
          </cell>
          <cell r="L24">
            <v>596</v>
          </cell>
          <cell r="M24">
            <v>433.06</v>
          </cell>
        </row>
        <row r="25">
          <cell r="A25" t="str">
            <v>BBBD-BUSB1605B-RD</v>
          </cell>
          <cell r="B25">
            <v>0</v>
          </cell>
          <cell r="C25">
            <v>0</v>
          </cell>
          <cell r="D25">
            <v>0</v>
          </cell>
          <cell r="E25">
            <v>0</v>
          </cell>
          <cell r="F25">
            <v>0</v>
          </cell>
          <cell r="G25">
            <v>0</v>
          </cell>
          <cell r="H25">
            <v>0</v>
          </cell>
          <cell r="I25">
            <v>0</v>
          </cell>
          <cell r="J25">
            <v>0</v>
          </cell>
          <cell r="K25">
            <v>1977</v>
          </cell>
          <cell r="L25">
            <v>7</v>
          </cell>
          <cell r="M25">
            <v>2.2</v>
          </cell>
        </row>
        <row r="26">
          <cell r="A26" t="str">
            <v>GW-LULHY-6.2</v>
          </cell>
          <cell r="B26">
            <v>0</v>
          </cell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0</v>
          </cell>
          <cell r="I26">
            <v>0</v>
          </cell>
          <cell r="J26">
            <v>0</v>
          </cell>
          <cell r="K26">
            <v>169</v>
          </cell>
          <cell r="L26">
            <v>2</v>
          </cell>
          <cell r="M26">
            <v>0.69</v>
          </cell>
        </row>
        <row r="27">
          <cell r="A27" t="str">
            <v>BBBD-1605A-BL</v>
          </cell>
          <cell r="B27">
            <v>25304</v>
          </cell>
          <cell r="C27">
            <v>45</v>
          </cell>
          <cell r="D27">
            <v>14.99</v>
          </cell>
          <cell r="E27">
            <v>114557</v>
          </cell>
          <cell r="F27">
            <v>95</v>
          </cell>
          <cell r="G27">
            <v>31.96</v>
          </cell>
          <cell r="H27">
            <v>31957</v>
          </cell>
          <cell r="I27">
            <v>53</v>
          </cell>
          <cell r="J27">
            <v>16.63</v>
          </cell>
          <cell r="K27">
            <v>12559</v>
          </cell>
          <cell r="L27">
            <v>44</v>
          </cell>
          <cell r="M27">
            <v>19.34</v>
          </cell>
        </row>
        <row r="28">
          <cell r="A28" t="str">
            <v>TZ-IUYL240LHY-DOT-S</v>
          </cell>
          <cell r="B28">
            <v>4230</v>
          </cell>
          <cell r="C28">
            <v>32</v>
          </cell>
          <cell r="D28">
            <v>18.02</v>
          </cell>
          <cell r="E28">
            <v>1801</v>
          </cell>
          <cell r="F28">
            <v>5</v>
          </cell>
          <cell r="G28">
            <v>2.35</v>
          </cell>
          <cell r="H28">
            <v>0</v>
          </cell>
          <cell r="I28">
            <v>0</v>
          </cell>
          <cell r="J28">
            <v>0</v>
          </cell>
          <cell r="K28">
            <v>1362</v>
          </cell>
          <cell r="L28">
            <v>15</v>
          </cell>
          <cell r="M28">
            <v>9.39</v>
          </cell>
        </row>
        <row r="29">
          <cell r="A29" t="str">
            <v>TZ-IUYL240LHY-PAW-M</v>
          </cell>
          <cell r="B29">
            <v>82</v>
          </cell>
          <cell r="C29">
            <v>2</v>
          </cell>
          <cell r="D29">
            <v>0.93</v>
          </cell>
          <cell r="E29">
            <v>0</v>
          </cell>
          <cell r="F29">
            <v>0</v>
          </cell>
          <cell r="G29">
            <v>0</v>
          </cell>
          <cell r="H29">
            <v>0</v>
          </cell>
          <cell r="I29">
            <v>0</v>
          </cell>
          <cell r="J29">
            <v>0</v>
          </cell>
          <cell r="K29">
            <v>509</v>
          </cell>
          <cell r="L29">
            <v>6</v>
          </cell>
          <cell r="M29">
            <v>5.19</v>
          </cell>
        </row>
        <row r="30">
          <cell r="A30" t="str">
            <v>scarf-0001-Peony</v>
          </cell>
          <cell r="B30">
            <v>252</v>
          </cell>
          <cell r="C30">
            <v>3</v>
          </cell>
          <cell r="D30">
            <v>1.24</v>
          </cell>
          <cell r="E30">
            <v>151</v>
          </cell>
          <cell r="F30">
            <v>2</v>
          </cell>
          <cell r="G30">
            <v>0.37</v>
          </cell>
          <cell r="H30">
            <v>86</v>
          </cell>
          <cell r="I30">
            <v>1</v>
          </cell>
          <cell r="J30">
            <v>0.09</v>
          </cell>
          <cell r="K30">
            <v>79</v>
          </cell>
          <cell r="L30">
            <v>2</v>
          </cell>
          <cell r="M30">
            <v>0.17</v>
          </cell>
        </row>
        <row r="31">
          <cell r="A31" t="str">
            <v>BBBD-1605A-RD</v>
          </cell>
          <cell r="B31">
            <v>0</v>
          </cell>
          <cell r="C31">
            <v>0</v>
          </cell>
          <cell r="D31">
            <v>0</v>
          </cell>
          <cell r="E31">
            <v>0</v>
          </cell>
          <cell r="F31">
            <v>0</v>
          </cell>
          <cell r="G31">
            <v>0</v>
          </cell>
          <cell r="H31">
            <v>0</v>
          </cell>
          <cell r="I31">
            <v>0</v>
          </cell>
          <cell r="J31">
            <v>0</v>
          </cell>
          <cell r="K31">
            <v>1236</v>
          </cell>
          <cell r="L31">
            <v>4</v>
          </cell>
          <cell r="M31">
            <v>1.74</v>
          </cell>
        </row>
        <row r="32">
          <cell r="A32" t="str">
            <v>TZ-IUYL240LHY-PAW-S</v>
          </cell>
          <cell r="B32">
            <v>25605</v>
          </cell>
          <cell r="C32">
            <v>186</v>
          </cell>
          <cell r="D32">
            <v>152.95</v>
          </cell>
          <cell r="E32">
            <v>4078</v>
          </cell>
          <cell r="F32">
            <v>33</v>
          </cell>
          <cell r="G32">
            <v>26.4</v>
          </cell>
          <cell r="H32">
            <v>1010</v>
          </cell>
          <cell r="I32">
            <v>48</v>
          </cell>
          <cell r="J32">
            <v>27.58</v>
          </cell>
          <cell r="K32">
            <v>1279</v>
          </cell>
          <cell r="L32">
            <v>14</v>
          </cell>
          <cell r="M32">
            <v>9.66</v>
          </cell>
        </row>
        <row r="33">
          <cell r="A33" t="str">
            <v>BD-LUHM010</v>
          </cell>
          <cell r="B33">
            <v>789</v>
          </cell>
          <cell r="C33">
            <v>2</v>
          </cell>
          <cell r="D33">
            <v>0.6</v>
          </cell>
          <cell r="E33">
            <v>1453</v>
          </cell>
          <cell r="F33">
            <v>4</v>
          </cell>
          <cell r="G33">
            <v>1.2</v>
          </cell>
          <cell r="H33">
            <v>1050</v>
          </cell>
          <cell r="I33">
            <v>2</v>
          </cell>
          <cell r="J33">
            <v>0.75</v>
          </cell>
          <cell r="K33">
            <v>4858</v>
          </cell>
          <cell r="L33">
            <v>15</v>
          </cell>
          <cell r="M33">
            <v>15.28</v>
          </cell>
        </row>
        <row r="34">
          <cell r="A34" t="str">
            <v>BBBD-BUSB1605B-PK</v>
          </cell>
          <cell r="B34">
            <v>0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>
            <v>3078</v>
          </cell>
          <cell r="L34">
            <v>10</v>
          </cell>
          <cell r="M34">
            <v>5.18</v>
          </cell>
        </row>
        <row r="35">
          <cell r="A35" t="str">
            <v>ST173-PK-XXL</v>
          </cell>
          <cell r="B35">
            <v>1120</v>
          </cell>
          <cell r="C35">
            <v>25</v>
          </cell>
          <cell r="D35">
            <v>16.09</v>
          </cell>
          <cell r="E35">
            <v>2566</v>
          </cell>
          <cell r="F35">
            <v>36</v>
          </cell>
          <cell r="G35">
            <v>27.89</v>
          </cell>
          <cell r="H35">
            <v>1193</v>
          </cell>
          <cell r="I35">
            <v>25</v>
          </cell>
          <cell r="J35">
            <v>17.02</v>
          </cell>
          <cell r="K35">
            <v>0</v>
          </cell>
          <cell r="L35">
            <v>0</v>
          </cell>
          <cell r="M35">
            <v>0</v>
          </cell>
        </row>
        <row r="36">
          <cell r="A36" t="str">
            <v>TZ-IUYL240-DOT2-S</v>
          </cell>
          <cell r="B36">
            <v>43678</v>
          </cell>
          <cell r="C36">
            <v>346</v>
          </cell>
          <cell r="D36">
            <v>268.12</v>
          </cell>
          <cell r="E36">
            <v>8106</v>
          </cell>
          <cell r="F36">
            <v>58</v>
          </cell>
          <cell r="G36">
            <v>45.19</v>
          </cell>
          <cell r="H36">
            <v>0</v>
          </cell>
          <cell r="I36">
            <v>0</v>
          </cell>
          <cell r="J36">
            <v>0</v>
          </cell>
          <cell r="K36">
            <v>0</v>
          </cell>
          <cell r="L36">
            <v>0</v>
          </cell>
          <cell r="M36">
            <v>0</v>
          </cell>
        </row>
        <row r="37">
          <cell r="A37" t="str">
            <v>HZB-QJTZ-IUYL300310</v>
          </cell>
          <cell r="B37">
            <v>526</v>
          </cell>
          <cell r="C37">
            <v>2</v>
          </cell>
          <cell r="D37">
            <v>1.37</v>
          </cell>
          <cell r="E37">
            <v>1409</v>
          </cell>
          <cell r="F37">
            <v>5</v>
          </cell>
          <cell r="G37">
            <v>4.67</v>
          </cell>
          <cell r="H37">
            <v>36597</v>
          </cell>
          <cell r="I37">
            <v>27</v>
          </cell>
          <cell r="J37">
            <v>28.86</v>
          </cell>
          <cell r="K37">
            <v>0</v>
          </cell>
          <cell r="L37">
            <v>0</v>
          </cell>
          <cell r="M37">
            <v>0</v>
          </cell>
        </row>
        <row r="38">
          <cell r="A38" t="str">
            <v>GW-LULHY-4.5</v>
          </cell>
          <cell r="B38">
            <v>3189</v>
          </cell>
          <cell r="C38">
            <v>35</v>
          </cell>
          <cell r="D38">
            <v>30.82</v>
          </cell>
          <cell r="E38">
            <v>1697</v>
          </cell>
          <cell r="F38">
            <v>15</v>
          </cell>
          <cell r="G38">
            <v>11.43</v>
          </cell>
          <cell r="H38">
            <v>950</v>
          </cell>
          <cell r="I38">
            <v>10</v>
          </cell>
          <cell r="J38">
            <v>10.97</v>
          </cell>
          <cell r="K38">
            <v>0</v>
          </cell>
          <cell r="L38">
            <v>0</v>
          </cell>
          <cell r="M38">
            <v>0</v>
          </cell>
        </row>
        <row r="39">
          <cell r="A39" t="str">
            <v>XQ-IUYL260-GN-M</v>
          </cell>
          <cell r="B39">
            <v>2808</v>
          </cell>
          <cell r="C39">
            <v>8</v>
          </cell>
          <cell r="D39">
            <v>3.61</v>
          </cell>
          <cell r="E39">
            <v>2246</v>
          </cell>
          <cell r="F39">
            <v>11</v>
          </cell>
          <cell r="G39">
            <v>5.84</v>
          </cell>
          <cell r="H39">
            <v>239</v>
          </cell>
          <cell r="I39">
            <v>3</v>
          </cell>
          <cell r="J39">
            <v>0.85</v>
          </cell>
          <cell r="K39">
            <v>0</v>
          </cell>
          <cell r="L39">
            <v>0</v>
          </cell>
          <cell r="M39">
            <v>0</v>
          </cell>
        </row>
        <row r="40">
          <cell r="A40" t="str">
            <v>MMDC-IUHM100-BK</v>
          </cell>
          <cell r="B40">
            <v>2101</v>
          </cell>
          <cell r="C40">
            <v>25</v>
          </cell>
          <cell r="D40">
            <v>21.07</v>
          </cell>
          <cell r="E40">
            <v>3911</v>
          </cell>
          <cell r="F40">
            <v>37</v>
          </cell>
          <cell r="G40">
            <v>34.35</v>
          </cell>
          <cell r="H40">
            <v>2016</v>
          </cell>
          <cell r="I40">
            <v>13</v>
          </cell>
          <cell r="J40">
            <v>15.08</v>
          </cell>
          <cell r="K40">
            <v>0</v>
          </cell>
          <cell r="L40">
            <v>0</v>
          </cell>
          <cell r="M40">
            <v>0</v>
          </cell>
        </row>
        <row r="41">
          <cell r="A41" t="str">
            <v>MMDC-IUHM100-PK</v>
          </cell>
          <cell r="B41">
            <v>128</v>
          </cell>
          <cell r="C41">
            <v>4</v>
          </cell>
          <cell r="D41">
            <v>1.07</v>
          </cell>
          <cell r="E41">
            <v>2320</v>
          </cell>
          <cell r="F41">
            <v>6</v>
          </cell>
          <cell r="G41">
            <v>6.66</v>
          </cell>
          <cell r="H41">
            <v>2396</v>
          </cell>
          <cell r="I41">
            <v>14</v>
          </cell>
          <cell r="J41">
            <v>17.98</v>
          </cell>
          <cell r="K41">
            <v>0</v>
          </cell>
          <cell r="L41">
            <v>0</v>
          </cell>
          <cell r="M41">
            <v>0</v>
          </cell>
        </row>
        <row r="42">
          <cell r="A42" t="str">
            <v>MMDC-IUHM100-BL</v>
          </cell>
          <cell r="B42">
            <v>112</v>
          </cell>
          <cell r="C42">
            <v>3</v>
          </cell>
          <cell r="D42">
            <v>2.14</v>
          </cell>
          <cell r="E42">
            <v>1868</v>
          </cell>
          <cell r="F42">
            <v>12</v>
          </cell>
          <cell r="G42">
            <v>12.39</v>
          </cell>
          <cell r="H42">
            <v>1790</v>
          </cell>
          <cell r="I42">
            <v>10</v>
          </cell>
          <cell r="J42">
            <v>11.73</v>
          </cell>
          <cell r="K42">
            <v>0</v>
          </cell>
          <cell r="L42">
            <v>0</v>
          </cell>
          <cell r="M42">
            <v>0</v>
          </cell>
        </row>
        <row r="43">
          <cell r="A43" t="str">
            <v>TZ-IUYL240-STAR-M</v>
          </cell>
          <cell r="B43">
            <v>21</v>
          </cell>
          <cell r="C43">
            <v>0</v>
          </cell>
          <cell r="D43">
            <v>0</v>
          </cell>
          <cell r="E43">
            <v>13</v>
          </cell>
          <cell r="F43">
            <v>0</v>
          </cell>
          <cell r="G43">
            <v>0</v>
          </cell>
          <cell r="H43">
            <v>0</v>
          </cell>
          <cell r="I43">
            <v>0</v>
          </cell>
          <cell r="J43">
            <v>0</v>
          </cell>
          <cell r="K43">
            <v>0</v>
          </cell>
          <cell r="L43">
            <v>0</v>
          </cell>
          <cell r="M43">
            <v>0</v>
          </cell>
        </row>
        <row r="44">
          <cell r="A44" t="str">
            <v>TZ-IUYL240-STRAWBERRY-M</v>
          </cell>
          <cell r="B44">
            <v>53</v>
          </cell>
          <cell r="C44">
            <v>0</v>
          </cell>
          <cell r="D44">
            <v>0</v>
          </cell>
          <cell r="E44">
            <v>23</v>
          </cell>
          <cell r="F44">
            <v>0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  <cell r="K44">
            <v>0</v>
          </cell>
          <cell r="L44">
            <v>0</v>
          </cell>
          <cell r="M44">
            <v>0</v>
          </cell>
        </row>
        <row r="45">
          <cell r="A45" t="str">
            <v>TZ-IUYL240-RABBIT-S</v>
          </cell>
          <cell r="B45">
            <v>3243</v>
          </cell>
          <cell r="C45">
            <v>24</v>
          </cell>
          <cell r="D45">
            <v>15.29</v>
          </cell>
          <cell r="E45">
            <v>979</v>
          </cell>
          <cell r="F45">
            <v>4</v>
          </cell>
          <cell r="G45">
            <v>2.64</v>
          </cell>
          <cell r="H45">
            <v>0</v>
          </cell>
          <cell r="I45">
            <v>0</v>
          </cell>
          <cell r="J45">
            <v>0</v>
          </cell>
          <cell r="K45">
            <v>0</v>
          </cell>
          <cell r="L45">
            <v>0</v>
          </cell>
          <cell r="M45">
            <v>0</v>
          </cell>
        </row>
        <row r="46">
          <cell r="A46" t="str">
            <v>XQ-IUYL320-PK-XL</v>
          </cell>
          <cell r="B46">
            <v>285</v>
          </cell>
          <cell r="C46">
            <v>0</v>
          </cell>
          <cell r="D46">
            <v>0</v>
          </cell>
          <cell r="E46">
            <v>59</v>
          </cell>
          <cell r="F46">
            <v>0</v>
          </cell>
          <cell r="G46">
            <v>0</v>
          </cell>
          <cell r="H46">
            <v>0</v>
          </cell>
          <cell r="I46">
            <v>0</v>
          </cell>
          <cell r="J46">
            <v>0</v>
          </cell>
          <cell r="K46">
            <v>0</v>
          </cell>
          <cell r="L46">
            <v>0</v>
          </cell>
          <cell r="M46">
            <v>0</v>
          </cell>
        </row>
        <row r="47">
          <cell r="A47" t="str">
            <v>TZ-IUYL240LHY-STRAWBERRY-S</v>
          </cell>
          <cell r="B47">
            <v>2139</v>
          </cell>
          <cell r="C47">
            <v>22</v>
          </cell>
          <cell r="D47">
            <v>15.85</v>
          </cell>
          <cell r="E47">
            <v>4900</v>
          </cell>
          <cell r="F47">
            <v>23</v>
          </cell>
          <cell r="G47">
            <v>22.42</v>
          </cell>
          <cell r="H47">
            <v>0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</row>
        <row r="48">
          <cell r="A48" t="str">
            <v>TZ-IUYL240LHY-BONE-S</v>
          </cell>
          <cell r="B48">
            <v>49</v>
          </cell>
          <cell r="C48">
            <v>1</v>
          </cell>
          <cell r="D48">
            <v>0.69</v>
          </cell>
          <cell r="E48">
            <v>678</v>
          </cell>
          <cell r="F48">
            <v>3</v>
          </cell>
          <cell r="G48">
            <v>2.29</v>
          </cell>
          <cell r="H48">
            <v>0</v>
          </cell>
          <cell r="I48">
            <v>0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</row>
      </sheetData>
      <sheetData sheetId="2"/>
    </sheetDataSet>
  </externalBook>
</externalLink>
</file>

<file path=xl/externalLinks/externalLink5.xml><?xml version="1.0" encoding="utf-8"?>
<externalLink xmlns="http://schemas.openxmlformats.org/spreadsheetml/2006/main">
  <externalBook xmlns:r="http://schemas.openxmlformats.org/officeDocument/2006/relationships" r:id="rId1">
    <sheetNames>
      <sheetName val="子商品流量"/>
      <sheetName val="库存报告使用数据"/>
      <sheetName val="日期"/>
    </sheetNames>
    <sheetDataSet>
      <sheetData sheetId="0"/>
      <sheetData sheetId="1">
        <row r="1">
          <cell r="A1" t="str">
            <v>子asin</v>
          </cell>
          <cell r="B1" t="str">
            <v>第一周页面浏览次数</v>
          </cell>
          <cell r="C1" t="str">
            <v>第二周页面浏览次数</v>
          </cell>
          <cell r="D1" t="str">
            <v>第三周页面浏览次数</v>
          </cell>
          <cell r="E1" t="str">
            <v>第四周页面浏览次数</v>
          </cell>
        </row>
        <row r="2">
          <cell r="A2" t="str">
            <v>B079HPCGB9</v>
          </cell>
          <cell r="B2">
            <v>110</v>
          </cell>
          <cell r="C2">
            <v>87</v>
          </cell>
          <cell r="D2">
            <v>2284</v>
          </cell>
          <cell r="E2">
            <v>114</v>
          </cell>
        </row>
        <row r="3">
          <cell r="A3" t="str">
            <v>B07BGWTSX6</v>
          </cell>
          <cell r="B3">
            <v>648</v>
          </cell>
          <cell r="C3">
            <v>607</v>
          </cell>
          <cell r="D3">
            <v>1083</v>
          </cell>
          <cell r="E3">
            <v>551</v>
          </cell>
        </row>
        <row r="4">
          <cell r="A4" t="str">
            <v>B019V6P53K</v>
          </cell>
          <cell r="B4">
            <v>9</v>
          </cell>
          <cell r="C4">
            <v>17</v>
          </cell>
          <cell r="D4">
            <v>16</v>
          </cell>
          <cell r="E4">
            <v>3</v>
          </cell>
        </row>
        <row r="5">
          <cell r="A5" t="str">
            <v>B019V6RKPQ</v>
          </cell>
          <cell r="B5">
            <v>10</v>
          </cell>
          <cell r="C5">
            <v>12</v>
          </cell>
          <cell r="D5">
            <v>0</v>
          </cell>
          <cell r="E5">
            <v>3</v>
          </cell>
        </row>
        <row r="6">
          <cell r="A6" t="str">
            <v>B01M3R3CVA</v>
          </cell>
          <cell r="B6">
            <v>23</v>
          </cell>
          <cell r="C6">
            <v>15</v>
          </cell>
          <cell r="D6">
            <v>15</v>
          </cell>
          <cell r="E6">
            <v>6</v>
          </cell>
        </row>
        <row r="7">
          <cell r="A7" t="str">
            <v>B06XYZF3QP</v>
          </cell>
          <cell r="B7">
            <v>0</v>
          </cell>
          <cell r="C7">
            <v>0</v>
          </cell>
          <cell r="D7">
            <v>2</v>
          </cell>
          <cell r="E7">
            <v>22</v>
          </cell>
        </row>
        <row r="8">
          <cell r="A8" t="str">
            <v>B07173Q2FN</v>
          </cell>
          <cell r="B8">
            <v>7</v>
          </cell>
          <cell r="C8">
            <v>11</v>
          </cell>
          <cell r="D8">
            <v>8</v>
          </cell>
          <cell r="E8">
            <v>5</v>
          </cell>
        </row>
        <row r="9">
          <cell r="A9" t="str">
            <v>B071JXZVZV</v>
          </cell>
          <cell r="B9">
            <v>3</v>
          </cell>
          <cell r="C9">
            <v>3</v>
          </cell>
          <cell r="D9">
            <v>4</v>
          </cell>
          <cell r="E9">
            <v>1</v>
          </cell>
        </row>
        <row r="10">
          <cell r="A10" t="str">
            <v>B071JY11V7</v>
          </cell>
          <cell r="B10">
            <v>10</v>
          </cell>
          <cell r="C10">
            <v>1</v>
          </cell>
          <cell r="D10">
            <v>12</v>
          </cell>
          <cell r="E10">
            <v>2</v>
          </cell>
        </row>
        <row r="11">
          <cell r="A11" t="str">
            <v>B071WW2SX5</v>
          </cell>
          <cell r="B11">
            <v>4</v>
          </cell>
          <cell r="C11">
            <v>2</v>
          </cell>
          <cell r="D11">
            <v>4</v>
          </cell>
          <cell r="E11">
            <v>4</v>
          </cell>
        </row>
        <row r="12">
          <cell r="A12" t="str">
            <v>B073GX87XH</v>
          </cell>
          <cell r="B12">
            <v>12</v>
          </cell>
          <cell r="C12">
            <v>3</v>
          </cell>
          <cell r="D12">
            <v>3</v>
          </cell>
          <cell r="E12">
            <v>1</v>
          </cell>
        </row>
        <row r="13">
          <cell r="A13" t="str">
            <v>B073GXT1YF</v>
          </cell>
          <cell r="B13">
            <v>5</v>
          </cell>
          <cell r="C13">
            <v>2</v>
          </cell>
          <cell r="D13">
            <v>4</v>
          </cell>
          <cell r="E13">
            <v>3</v>
          </cell>
        </row>
        <row r="14">
          <cell r="A14" t="str">
            <v>B073GY4FL6</v>
          </cell>
          <cell r="B14">
            <v>0</v>
          </cell>
          <cell r="C14">
            <v>0</v>
          </cell>
          <cell r="D14">
            <v>2</v>
          </cell>
          <cell r="E14">
            <v>1</v>
          </cell>
        </row>
        <row r="15">
          <cell r="A15" t="str">
            <v>B073PPFLNM</v>
          </cell>
          <cell r="B15">
            <v>0</v>
          </cell>
          <cell r="C15">
            <v>22</v>
          </cell>
          <cell r="D15">
            <v>15</v>
          </cell>
          <cell r="E15">
            <v>8</v>
          </cell>
        </row>
        <row r="16">
          <cell r="A16" t="str">
            <v>B073PPS7FM</v>
          </cell>
          <cell r="B16">
            <v>0</v>
          </cell>
          <cell r="C16">
            <v>0</v>
          </cell>
          <cell r="D16">
            <v>0</v>
          </cell>
          <cell r="E16">
            <v>88</v>
          </cell>
        </row>
        <row r="17">
          <cell r="A17" t="str">
            <v>B073PPSG6W</v>
          </cell>
          <cell r="B17">
            <v>0</v>
          </cell>
          <cell r="C17">
            <v>0</v>
          </cell>
          <cell r="D17">
            <v>14</v>
          </cell>
          <cell r="E17">
            <v>28</v>
          </cell>
        </row>
        <row r="18">
          <cell r="A18" t="str">
            <v>B073PQ6BZ4</v>
          </cell>
          <cell r="B18">
            <v>13</v>
          </cell>
          <cell r="C18">
            <v>4</v>
          </cell>
          <cell r="D18">
            <v>2</v>
          </cell>
          <cell r="E18">
            <v>14</v>
          </cell>
        </row>
        <row r="19">
          <cell r="A19" t="str">
            <v>B073PQXDQX</v>
          </cell>
          <cell r="B19">
            <v>8</v>
          </cell>
          <cell r="C19">
            <v>8</v>
          </cell>
          <cell r="D19">
            <v>12</v>
          </cell>
          <cell r="E19">
            <v>5</v>
          </cell>
        </row>
        <row r="20">
          <cell r="A20" t="str">
            <v>B073QH2KWY</v>
          </cell>
          <cell r="B20">
            <v>7</v>
          </cell>
          <cell r="C20">
            <v>5</v>
          </cell>
          <cell r="D20">
            <v>8</v>
          </cell>
          <cell r="E20">
            <v>7</v>
          </cell>
        </row>
        <row r="21">
          <cell r="A21" t="str">
            <v>B073ZYMTGH</v>
          </cell>
          <cell r="B21">
            <v>6</v>
          </cell>
          <cell r="C21">
            <v>9</v>
          </cell>
          <cell r="D21">
            <v>5</v>
          </cell>
          <cell r="E21">
            <v>2</v>
          </cell>
        </row>
        <row r="22">
          <cell r="A22" t="str">
            <v>B0747MN5MG</v>
          </cell>
          <cell r="B22">
            <v>0</v>
          </cell>
          <cell r="C22">
            <v>0</v>
          </cell>
          <cell r="D22">
            <v>0</v>
          </cell>
          <cell r="E22">
            <v>2</v>
          </cell>
        </row>
        <row r="23">
          <cell r="A23" t="str">
            <v>B074NQZMVQ</v>
          </cell>
          <cell r="B23">
            <v>16</v>
          </cell>
          <cell r="C23">
            <v>4</v>
          </cell>
          <cell r="D23">
            <v>13</v>
          </cell>
          <cell r="E23">
            <v>7</v>
          </cell>
        </row>
        <row r="24">
          <cell r="A24" t="str">
            <v>B074NVH8G2</v>
          </cell>
          <cell r="B24">
            <v>8</v>
          </cell>
          <cell r="C24">
            <v>9</v>
          </cell>
          <cell r="D24">
            <v>8</v>
          </cell>
          <cell r="E24">
            <v>8</v>
          </cell>
        </row>
        <row r="25">
          <cell r="A25" t="str">
            <v>B074P1LKV2</v>
          </cell>
          <cell r="B25">
            <v>17</v>
          </cell>
          <cell r="C25">
            <v>6</v>
          </cell>
          <cell r="D25">
            <v>11</v>
          </cell>
          <cell r="E25">
            <v>15</v>
          </cell>
        </row>
        <row r="26">
          <cell r="A26" t="str">
            <v>B074P2B6M8</v>
          </cell>
          <cell r="B26">
            <v>7</v>
          </cell>
          <cell r="C26">
            <v>7</v>
          </cell>
          <cell r="D26">
            <v>9</v>
          </cell>
          <cell r="E26">
            <v>6</v>
          </cell>
        </row>
        <row r="27">
          <cell r="A27" t="str">
            <v>B074P3WK1B</v>
          </cell>
          <cell r="B27">
            <v>19</v>
          </cell>
          <cell r="C27">
            <v>16</v>
          </cell>
          <cell r="D27">
            <v>10</v>
          </cell>
          <cell r="E27">
            <v>9</v>
          </cell>
        </row>
        <row r="28">
          <cell r="A28" t="str">
            <v>B074P5N47H</v>
          </cell>
          <cell r="B28">
            <v>7</v>
          </cell>
          <cell r="C28">
            <v>11</v>
          </cell>
          <cell r="D28">
            <v>8</v>
          </cell>
          <cell r="E28">
            <v>4</v>
          </cell>
        </row>
        <row r="29">
          <cell r="A29" t="str">
            <v>B074SK47ZJ</v>
          </cell>
          <cell r="B29">
            <v>16</v>
          </cell>
          <cell r="C29">
            <v>5</v>
          </cell>
          <cell r="D29">
            <v>4</v>
          </cell>
          <cell r="E29">
            <v>3</v>
          </cell>
        </row>
        <row r="30">
          <cell r="A30" t="str">
            <v>B074SKGH3S</v>
          </cell>
          <cell r="B30">
            <v>0</v>
          </cell>
          <cell r="C30">
            <v>0</v>
          </cell>
          <cell r="D30">
            <v>0</v>
          </cell>
          <cell r="E30">
            <v>0</v>
          </cell>
        </row>
        <row r="31">
          <cell r="A31" t="str">
            <v>B074SKGP6T</v>
          </cell>
          <cell r="B31">
            <v>1</v>
          </cell>
          <cell r="C31">
            <v>4</v>
          </cell>
          <cell r="D31">
            <v>3</v>
          </cell>
          <cell r="E31">
            <v>1</v>
          </cell>
        </row>
        <row r="32">
          <cell r="A32" t="str">
            <v>B074SKM7WZ</v>
          </cell>
          <cell r="B32">
            <v>2</v>
          </cell>
          <cell r="C32">
            <v>1</v>
          </cell>
          <cell r="D32">
            <v>2</v>
          </cell>
          <cell r="E32">
            <v>1</v>
          </cell>
        </row>
        <row r="33">
          <cell r="A33" t="str">
            <v>B074SL2P7T</v>
          </cell>
          <cell r="B33">
            <v>4</v>
          </cell>
          <cell r="C33">
            <v>3</v>
          </cell>
          <cell r="D33">
            <v>4</v>
          </cell>
          <cell r="E33">
            <v>0</v>
          </cell>
        </row>
        <row r="34">
          <cell r="A34" t="str">
            <v>B074SL7P58</v>
          </cell>
          <cell r="B34">
            <v>3</v>
          </cell>
          <cell r="C34">
            <v>1</v>
          </cell>
          <cell r="D34">
            <v>4</v>
          </cell>
          <cell r="E34">
            <v>2</v>
          </cell>
        </row>
        <row r="35">
          <cell r="A35" t="str">
            <v>B074SL9T1Y</v>
          </cell>
          <cell r="B35">
            <v>12</v>
          </cell>
          <cell r="C35">
            <v>10</v>
          </cell>
          <cell r="D35">
            <v>18</v>
          </cell>
          <cell r="E35">
            <v>5</v>
          </cell>
        </row>
        <row r="36">
          <cell r="A36" t="str">
            <v>B074SLMBT9</v>
          </cell>
          <cell r="B36">
            <v>12</v>
          </cell>
          <cell r="C36">
            <v>12</v>
          </cell>
          <cell r="D36">
            <v>10</v>
          </cell>
          <cell r="E36">
            <v>7</v>
          </cell>
        </row>
        <row r="37">
          <cell r="A37" t="str">
            <v>B074SLPFD9</v>
          </cell>
          <cell r="B37">
            <v>3</v>
          </cell>
          <cell r="C37">
            <v>4</v>
          </cell>
          <cell r="D37">
            <v>3</v>
          </cell>
          <cell r="E37">
            <v>3</v>
          </cell>
        </row>
        <row r="38">
          <cell r="A38" t="str">
            <v>B074SM144J</v>
          </cell>
          <cell r="B38">
            <v>6</v>
          </cell>
          <cell r="C38">
            <v>3</v>
          </cell>
          <cell r="D38">
            <v>5</v>
          </cell>
          <cell r="E38">
            <v>2</v>
          </cell>
        </row>
        <row r="39">
          <cell r="A39" t="str">
            <v>B074SM3B1W</v>
          </cell>
          <cell r="B39">
            <v>48</v>
          </cell>
          <cell r="C39">
            <v>6</v>
          </cell>
          <cell r="D39">
            <v>4</v>
          </cell>
          <cell r="E39">
            <v>0</v>
          </cell>
        </row>
        <row r="40">
          <cell r="A40" t="str">
            <v>B074SM5RZS</v>
          </cell>
          <cell r="B40">
            <v>0</v>
          </cell>
          <cell r="C40">
            <v>1</v>
          </cell>
          <cell r="D40">
            <v>5</v>
          </cell>
          <cell r="E40">
            <v>4</v>
          </cell>
        </row>
        <row r="41">
          <cell r="A41" t="str">
            <v>B074SMS5NT</v>
          </cell>
          <cell r="B41">
            <v>6</v>
          </cell>
          <cell r="C41">
            <v>1</v>
          </cell>
          <cell r="D41">
            <v>1</v>
          </cell>
          <cell r="E41">
            <v>1</v>
          </cell>
        </row>
        <row r="42">
          <cell r="A42" t="str">
            <v>B074SN3YQT</v>
          </cell>
          <cell r="B42">
            <v>9</v>
          </cell>
          <cell r="C42">
            <v>4</v>
          </cell>
          <cell r="D42">
            <v>2</v>
          </cell>
          <cell r="E42">
            <v>3</v>
          </cell>
        </row>
        <row r="43">
          <cell r="A43" t="str">
            <v>B074SN4V6M</v>
          </cell>
          <cell r="B43">
            <v>3</v>
          </cell>
          <cell r="C43">
            <v>0</v>
          </cell>
          <cell r="D43">
            <v>2</v>
          </cell>
          <cell r="E43">
            <v>1</v>
          </cell>
        </row>
        <row r="44">
          <cell r="A44" t="str">
            <v>B074SNF6PC</v>
          </cell>
          <cell r="B44">
            <v>6</v>
          </cell>
          <cell r="C44">
            <v>4</v>
          </cell>
          <cell r="D44">
            <v>10</v>
          </cell>
          <cell r="E44">
            <v>1</v>
          </cell>
        </row>
        <row r="45">
          <cell r="A45" t="str">
            <v>B074SNMHQJ</v>
          </cell>
          <cell r="B45">
            <v>7</v>
          </cell>
          <cell r="C45">
            <v>0</v>
          </cell>
          <cell r="D45">
            <v>2</v>
          </cell>
          <cell r="E45">
            <v>3</v>
          </cell>
        </row>
        <row r="46">
          <cell r="A46" t="str">
            <v>B074SNMJJ9</v>
          </cell>
          <cell r="B46">
            <v>4</v>
          </cell>
          <cell r="C46">
            <v>0</v>
          </cell>
          <cell r="D46">
            <v>1</v>
          </cell>
          <cell r="E46">
            <v>3</v>
          </cell>
        </row>
        <row r="47">
          <cell r="A47" t="str">
            <v>B074SNVWHH</v>
          </cell>
          <cell r="B47">
            <v>5</v>
          </cell>
          <cell r="C47">
            <v>1</v>
          </cell>
          <cell r="D47">
            <v>2</v>
          </cell>
          <cell r="E47">
            <v>1</v>
          </cell>
        </row>
        <row r="48">
          <cell r="A48" t="str">
            <v>B074SPF7P1</v>
          </cell>
          <cell r="B48">
            <v>6</v>
          </cell>
          <cell r="C48">
            <v>8</v>
          </cell>
          <cell r="D48">
            <v>8</v>
          </cell>
          <cell r="E48">
            <v>6</v>
          </cell>
        </row>
        <row r="49">
          <cell r="A49" t="str">
            <v>B074SPWGPS</v>
          </cell>
          <cell r="B49">
            <v>2</v>
          </cell>
          <cell r="C49">
            <v>4</v>
          </cell>
          <cell r="D49">
            <v>2</v>
          </cell>
          <cell r="E49">
            <v>3</v>
          </cell>
        </row>
        <row r="50">
          <cell r="A50" t="str">
            <v>B074SQ1FJK</v>
          </cell>
          <cell r="B50">
            <v>8</v>
          </cell>
          <cell r="C50">
            <v>3</v>
          </cell>
          <cell r="D50">
            <v>1</v>
          </cell>
          <cell r="E50">
            <v>4</v>
          </cell>
        </row>
        <row r="51">
          <cell r="A51" t="str">
            <v>B074SQ5NX1</v>
          </cell>
          <cell r="B51">
            <v>4</v>
          </cell>
          <cell r="C51">
            <v>4</v>
          </cell>
          <cell r="D51">
            <v>0</v>
          </cell>
          <cell r="E51">
            <v>2</v>
          </cell>
        </row>
        <row r="52">
          <cell r="A52" t="str">
            <v>B074SQ5PJS</v>
          </cell>
          <cell r="B52">
            <v>4</v>
          </cell>
          <cell r="C52">
            <v>2</v>
          </cell>
          <cell r="D52">
            <v>1</v>
          </cell>
          <cell r="E52">
            <v>3</v>
          </cell>
        </row>
        <row r="53">
          <cell r="A53" t="str">
            <v>B074SQ5R3F</v>
          </cell>
          <cell r="B53">
            <v>6</v>
          </cell>
          <cell r="C53">
            <v>4</v>
          </cell>
          <cell r="D53">
            <v>1</v>
          </cell>
          <cell r="E53">
            <v>2</v>
          </cell>
        </row>
        <row r="54">
          <cell r="A54" t="str">
            <v>B074ST3T2H</v>
          </cell>
          <cell r="B54">
            <v>3</v>
          </cell>
          <cell r="C54">
            <v>0</v>
          </cell>
          <cell r="D54">
            <v>0</v>
          </cell>
          <cell r="E54">
            <v>4</v>
          </cell>
        </row>
        <row r="55">
          <cell r="A55" t="str">
            <v>B074SVP22M</v>
          </cell>
          <cell r="B55">
            <v>22</v>
          </cell>
          <cell r="C55">
            <v>25</v>
          </cell>
          <cell r="D55">
            <v>26</v>
          </cell>
          <cell r="E55">
            <v>12</v>
          </cell>
        </row>
        <row r="56">
          <cell r="A56" t="str">
            <v>B074SVYFJC</v>
          </cell>
          <cell r="B56">
            <v>8</v>
          </cell>
          <cell r="C56">
            <v>6</v>
          </cell>
          <cell r="D56">
            <v>2</v>
          </cell>
          <cell r="E56">
            <v>2</v>
          </cell>
        </row>
        <row r="57">
          <cell r="A57" t="str">
            <v>B074SWFPBG</v>
          </cell>
          <cell r="B57">
            <v>2</v>
          </cell>
          <cell r="C57">
            <v>2</v>
          </cell>
          <cell r="D57">
            <v>3</v>
          </cell>
          <cell r="E57">
            <v>2</v>
          </cell>
        </row>
        <row r="58">
          <cell r="A58" t="str">
            <v>B074SWPTKB</v>
          </cell>
          <cell r="B58">
            <v>2</v>
          </cell>
          <cell r="C58">
            <v>0</v>
          </cell>
          <cell r="D58">
            <v>1</v>
          </cell>
          <cell r="E58">
            <v>1</v>
          </cell>
        </row>
        <row r="59">
          <cell r="A59" t="str">
            <v>B074SWQY9F</v>
          </cell>
          <cell r="B59">
            <v>0</v>
          </cell>
          <cell r="C59">
            <v>0</v>
          </cell>
          <cell r="D59">
            <v>5</v>
          </cell>
          <cell r="E59">
            <v>8</v>
          </cell>
        </row>
        <row r="60">
          <cell r="A60" t="str">
            <v>B074SXQ5MY</v>
          </cell>
          <cell r="B60">
            <v>2</v>
          </cell>
          <cell r="C60">
            <v>0</v>
          </cell>
          <cell r="D60">
            <v>1</v>
          </cell>
          <cell r="E60">
            <v>3</v>
          </cell>
        </row>
        <row r="61">
          <cell r="A61" t="str">
            <v>B074SXQT5Z</v>
          </cell>
          <cell r="B61">
            <v>2</v>
          </cell>
          <cell r="C61">
            <v>0</v>
          </cell>
          <cell r="D61">
            <v>3</v>
          </cell>
          <cell r="E61">
            <v>2</v>
          </cell>
        </row>
        <row r="62">
          <cell r="A62" t="str">
            <v>B074SXT27T</v>
          </cell>
          <cell r="B62">
            <v>0</v>
          </cell>
          <cell r="C62">
            <v>6</v>
          </cell>
          <cell r="D62">
            <v>4</v>
          </cell>
          <cell r="E62">
            <v>4</v>
          </cell>
        </row>
        <row r="63">
          <cell r="A63" t="str">
            <v>B074SXT853</v>
          </cell>
          <cell r="B63">
            <v>1</v>
          </cell>
          <cell r="C63">
            <v>1</v>
          </cell>
          <cell r="D63">
            <v>8</v>
          </cell>
          <cell r="E63">
            <v>3</v>
          </cell>
        </row>
        <row r="64">
          <cell r="A64" t="str">
            <v>B074SXT999</v>
          </cell>
          <cell r="B64">
            <v>3</v>
          </cell>
          <cell r="C64">
            <v>1</v>
          </cell>
          <cell r="D64">
            <v>3</v>
          </cell>
          <cell r="E64">
            <v>2</v>
          </cell>
        </row>
        <row r="65">
          <cell r="A65" t="str">
            <v>B074SY2NWC</v>
          </cell>
          <cell r="B65">
            <v>3</v>
          </cell>
          <cell r="C65">
            <v>2</v>
          </cell>
          <cell r="D65">
            <v>2</v>
          </cell>
          <cell r="E65">
            <v>3</v>
          </cell>
        </row>
        <row r="66">
          <cell r="A66" t="str">
            <v>B074SYX9RW</v>
          </cell>
          <cell r="B66">
            <v>5</v>
          </cell>
          <cell r="C66">
            <v>1</v>
          </cell>
          <cell r="D66">
            <v>0</v>
          </cell>
          <cell r="E66">
            <v>7</v>
          </cell>
        </row>
        <row r="67">
          <cell r="A67" t="str">
            <v>B074SYXBT8</v>
          </cell>
          <cell r="B67">
            <v>3</v>
          </cell>
          <cell r="C67">
            <v>0</v>
          </cell>
          <cell r="D67">
            <v>0</v>
          </cell>
          <cell r="E67">
            <v>3</v>
          </cell>
        </row>
        <row r="68">
          <cell r="A68" t="str">
            <v>B074SYY7Q7</v>
          </cell>
          <cell r="B68">
            <v>3</v>
          </cell>
          <cell r="C68">
            <v>1</v>
          </cell>
          <cell r="D68">
            <v>1</v>
          </cell>
          <cell r="E68">
            <v>3</v>
          </cell>
        </row>
        <row r="69">
          <cell r="A69" t="str">
            <v>B074SZ4SDW</v>
          </cell>
          <cell r="B69">
            <v>3</v>
          </cell>
          <cell r="C69">
            <v>2</v>
          </cell>
          <cell r="D69">
            <v>3</v>
          </cell>
          <cell r="E69">
            <v>3</v>
          </cell>
        </row>
        <row r="70">
          <cell r="A70" t="str">
            <v>B074SZ6CL6</v>
          </cell>
          <cell r="B70">
            <v>4</v>
          </cell>
          <cell r="C70">
            <v>2</v>
          </cell>
          <cell r="D70">
            <v>2</v>
          </cell>
          <cell r="E70">
            <v>4</v>
          </cell>
        </row>
        <row r="71">
          <cell r="A71" t="str">
            <v>B074SZCMCP</v>
          </cell>
          <cell r="B71">
            <v>2</v>
          </cell>
          <cell r="C71">
            <v>1</v>
          </cell>
          <cell r="D71">
            <v>5</v>
          </cell>
          <cell r="E71">
            <v>5</v>
          </cell>
        </row>
        <row r="72">
          <cell r="A72" t="str">
            <v>B074SZCXH9</v>
          </cell>
          <cell r="B72">
            <v>2</v>
          </cell>
          <cell r="C72">
            <v>13</v>
          </cell>
          <cell r="D72">
            <v>5</v>
          </cell>
          <cell r="E72">
            <v>1</v>
          </cell>
        </row>
        <row r="73">
          <cell r="A73" t="str">
            <v>B074SZD1GM</v>
          </cell>
          <cell r="B73">
            <v>4</v>
          </cell>
          <cell r="C73">
            <v>7</v>
          </cell>
          <cell r="D73">
            <v>14</v>
          </cell>
          <cell r="E73">
            <v>5</v>
          </cell>
        </row>
        <row r="74">
          <cell r="A74" t="str">
            <v>B074SZJPSD</v>
          </cell>
          <cell r="B74">
            <v>1</v>
          </cell>
          <cell r="C74">
            <v>2</v>
          </cell>
          <cell r="D74">
            <v>2</v>
          </cell>
          <cell r="E74">
            <v>1</v>
          </cell>
        </row>
        <row r="75">
          <cell r="A75" t="str">
            <v>B074SZJYJJ</v>
          </cell>
          <cell r="B75">
            <v>5</v>
          </cell>
          <cell r="C75">
            <v>4</v>
          </cell>
          <cell r="D75">
            <v>3</v>
          </cell>
          <cell r="E75">
            <v>6</v>
          </cell>
        </row>
        <row r="76">
          <cell r="A76" t="str">
            <v>B074SZKQMT</v>
          </cell>
          <cell r="B76">
            <v>0</v>
          </cell>
          <cell r="C76">
            <v>1</v>
          </cell>
          <cell r="D76">
            <v>3</v>
          </cell>
          <cell r="E76">
            <v>1</v>
          </cell>
        </row>
        <row r="77">
          <cell r="A77" t="str">
            <v>B074SZQ1LP</v>
          </cell>
          <cell r="B77">
            <v>0</v>
          </cell>
          <cell r="C77">
            <v>0</v>
          </cell>
          <cell r="D77">
            <v>2</v>
          </cell>
          <cell r="E77">
            <v>1</v>
          </cell>
        </row>
        <row r="78">
          <cell r="A78" t="str">
            <v>B074SZQ3FG</v>
          </cell>
          <cell r="B78">
            <v>0</v>
          </cell>
          <cell r="C78">
            <v>0</v>
          </cell>
          <cell r="D78">
            <v>0</v>
          </cell>
          <cell r="E78">
            <v>0</v>
          </cell>
        </row>
        <row r="79">
          <cell r="A79" t="str">
            <v>B074T17WTF</v>
          </cell>
          <cell r="B79">
            <v>1</v>
          </cell>
          <cell r="C79">
            <v>3</v>
          </cell>
          <cell r="D79">
            <v>3</v>
          </cell>
          <cell r="E79">
            <v>2</v>
          </cell>
        </row>
        <row r="80">
          <cell r="A80" t="str">
            <v>B074T24DYN</v>
          </cell>
          <cell r="B80">
            <v>0</v>
          </cell>
          <cell r="C80">
            <v>1</v>
          </cell>
          <cell r="D80">
            <v>3</v>
          </cell>
          <cell r="E80">
            <v>3</v>
          </cell>
        </row>
        <row r="81">
          <cell r="A81" t="str">
            <v>B074T25JWG</v>
          </cell>
          <cell r="B81">
            <v>1</v>
          </cell>
          <cell r="C81">
            <v>2</v>
          </cell>
          <cell r="D81">
            <v>4</v>
          </cell>
          <cell r="E81">
            <v>1</v>
          </cell>
        </row>
        <row r="82">
          <cell r="A82" t="str">
            <v>B074T74SF7</v>
          </cell>
          <cell r="B82">
            <v>6</v>
          </cell>
          <cell r="C82">
            <v>4</v>
          </cell>
          <cell r="D82">
            <v>6</v>
          </cell>
          <cell r="E82">
            <v>5</v>
          </cell>
        </row>
        <row r="83">
          <cell r="A83" t="str">
            <v>B075WNZJSF</v>
          </cell>
          <cell r="B83">
            <v>3</v>
          </cell>
          <cell r="C83">
            <v>2</v>
          </cell>
          <cell r="D83">
            <v>2</v>
          </cell>
          <cell r="E83">
            <v>2</v>
          </cell>
        </row>
        <row r="84">
          <cell r="A84" t="str">
            <v>B075WPHHKW</v>
          </cell>
          <cell r="B84">
            <v>3</v>
          </cell>
          <cell r="C84">
            <v>2</v>
          </cell>
          <cell r="D84">
            <v>2</v>
          </cell>
          <cell r="E84">
            <v>5</v>
          </cell>
        </row>
        <row r="85">
          <cell r="A85" t="str">
            <v>B075WPSRD1</v>
          </cell>
          <cell r="B85">
            <v>0</v>
          </cell>
          <cell r="C85">
            <v>0</v>
          </cell>
          <cell r="D85">
            <v>0</v>
          </cell>
          <cell r="E85">
            <v>2</v>
          </cell>
        </row>
        <row r="86">
          <cell r="A86" t="str">
            <v>B075WPX32B</v>
          </cell>
          <cell r="B86">
            <v>4</v>
          </cell>
          <cell r="C86">
            <v>3</v>
          </cell>
          <cell r="D86">
            <v>4</v>
          </cell>
          <cell r="E86">
            <v>3</v>
          </cell>
        </row>
        <row r="87">
          <cell r="A87" t="str">
            <v>B075WQJ859</v>
          </cell>
          <cell r="B87">
            <v>6</v>
          </cell>
          <cell r="C87">
            <v>6</v>
          </cell>
          <cell r="D87">
            <v>4</v>
          </cell>
          <cell r="E87">
            <v>2</v>
          </cell>
        </row>
        <row r="88">
          <cell r="A88" t="str">
            <v>B075WQNT6B</v>
          </cell>
          <cell r="B88">
            <v>4</v>
          </cell>
          <cell r="C88">
            <v>0</v>
          </cell>
          <cell r="D88">
            <v>4</v>
          </cell>
          <cell r="E88">
            <v>4</v>
          </cell>
        </row>
        <row r="89">
          <cell r="A89" t="str">
            <v>B075WQQC8L</v>
          </cell>
          <cell r="B89">
            <v>3</v>
          </cell>
          <cell r="C89">
            <v>0</v>
          </cell>
          <cell r="D89">
            <v>3</v>
          </cell>
          <cell r="E89">
            <v>1</v>
          </cell>
        </row>
        <row r="90">
          <cell r="A90" t="str">
            <v>B075WR57PJ</v>
          </cell>
          <cell r="B90">
            <v>7</v>
          </cell>
          <cell r="C90">
            <v>2</v>
          </cell>
          <cell r="D90">
            <v>4</v>
          </cell>
          <cell r="E90">
            <v>3</v>
          </cell>
        </row>
        <row r="91">
          <cell r="A91" t="str">
            <v>B075WRD5KM</v>
          </cell>
          <cell r="B91">
            <v>5</v>
          </cell>
          <cell r="C91">
            <v>1</v>
          </cell>
          <cell r="D91">
            <v>3</v>
          </cell>
          <cell r="E91">
            <v>2</v>
          </cell>
        </row>
        <row r="92">
          <cell r="A92" t="str">
            <v>B075WRTSV9</v>
          </cell>
          <cell r="B92">
            <v>0</v>
          </cell>
          <cell r="C92">
            <v>0</v>
          </cell>
          <cell r="D92">
            <v>0</v>
          </cell>
          <cell r="E92">
            <v>3</v>
          </cell>
        </row>
        <row r="93">
          <cell r="A93" t="str">
            <v>B075WRWK44</v>
          </cell>
          <cell r="B93">
            <v>6</v>
          </cell>
          <cell r="C93">
            <v>3</v>
          </cell>
          <cell r="D93">
            <v>4</v>
          </cell>
          <cell r="E93">
            <v>4</v>
          </cell>
        </row>
        <row r="94">
          <cell r="A94" t="str">
            <v>B075WSD44L</v>
          </cell>
          <cell r="B94">
            <v>0</v>
          </cell>
          <cell r="C94">
            <v>0</v>
          </cell>
          <cell r="D94">
            <v>4</v>
          </cell>
          <cell r="E94">
            <v>4</v>
          </cell>
        </row>
        <row r="95">
          <cell r="A95" t="str">
            <v>B075WSSK1M</v>
          </cell>
          <cell r="B95">
            <v>5</v>
          </cell>
          <cell r="C95">
            <v>1</v>
          </cell>
          <cell r="D95">
            <v>3</v>
          </cell>
          <cell r="E95">
            <v>4</v>
          </cell>
        </row>
        <row r="96">
          <cell r="A96" t="str">
            <v>B075WSXH1N</v>
          </cell>
          <cell r="B96">
            <v>5</v>
          </cell>
          <cell r="C96">
            <v>3</v>
          </cell>
          <cell r="D96">
            <v>2</v>
          </cell>
          <cell r="E96">
            <v>4</v>
          </cell>
        </row>
        <row r="97">
          <cell r="A97" t="str">
            <v>B075WSZF3P</v>
          </cell>
          <cell r="B97">
            <v>5</v>
          </cell>
          <cell r="C97">
            <v>2</v>
          </cell>
          <cell r="D97">
            <v>3</v>
          </cell>
          <cell r="E97">
            <v>2</v>
          </cell>
        </row>
        <row r="98">
          <cell r="A98" t="str">
            <v>B075WT1YR6</v>
          </cell>
          <cell r="B98">
            <v>4</v>
          </cell>
          <cell r="C98">
            <v>0</v>
          </cell>
          <cell r="D98">
            <v>3</v>
          </cell>
          <cell r="E98">
            <v>3</v>
          </cell>
        </row>
        <row r="99">
          <cell r="A99" t="str">
            <v>B075WT1YRZ</v>
          </cell>
          <cell r="B99">
            <v>5</v>
          </cell>
          <cell r="C99">
            <v>3</v>
          </cell>
          <cell r="D99">
            <v>3</v>
          </cell>
          <cell r="E99">
            <v>3</v>
          </cell>
        </row>
        <row r="100">
          <cell r="A100" t="str">
            <v>B075WT8RQN</v>
          </cell>
          <cell r="B100">
            <v>4</v>
          </cell>
          <cell r="C100">
            <v>1</v>
          </cell>
          <cell r="D100">
            <v>2</v>
          </cell>
          <cell r="E100">
            <v>3</v>
          </cell>
        </row>
        <row r="101">
          <cell r="A101" t="str">
            <v>B075WT9XBG</v>
          </cell>
          <cell r="B101">
            <v>1</v>
          </cell>
          <cell r="C101">
            <v>2</v>
          </cell>
          <cell r="D101">
            <v>3</v>
          </cell>
          <cell r="E101">
            <v>6</v>
          </cell>
        </row>
        <row r="102">
          <cell r="A102" t="str">
            <v>B075WTH7BJ</v>
          </cell>
          <cell r="B102">
            <v>3</v>
          </cell>
          <cell r="C102">
            <v>4</v>
          </cell>
          <cell r="D102">
            <v>3</v>
          </cell>
          <cell r="E102">
            <v>5</v>
          </cell>
        </row>
        <row r="103">
          <cell r="A103" t="str">
            <v>B075WTKCN3</v>
          </cell>
          <cell r="B103">
            <v>2</v>
          </cell>
          <cell r="C103">
            <v>3</v>
          </cell>
          <cell r="D103">
            <v>2</v>
          </cell>
          <cell r="E103">
            <v>4</v>
          </cell>
        </row>
        <row r="104">
          <cell r="A104" t="str">
            <v>B075X946ZN</v>
          </cell>
          <cell r="B104">
            <v>1</v>
          </cell>
          <cell r="C104">
            <v>3</v>
          </cell>
          <cell r="D104">
            <v>3</v>
          </cell>
          <cell r="E104">
            <v>4</v>
          </cell>
        </row>
        <row r="105">
          <cell r="A105" t="str">
            <v>B075X9JZX3</v>
          </cell>
          <cell r="B105">
            <v>1</v>
          </cell>
          <cell r="C105">
            <v>2</v>
          </cell>
          <cell r="D105">
            <v>3</v>
          </cell>
          <cell r="E105">
            <v>4</v>
          </cell>
        </row>
        <row r="106">
          <cell r="A106" t="str">
            <v>B075XBDWFK</v>
          </cell>
          <cell r="B106">
            <v>1</v>
          </cell>
          <cell r="C106">
            <v>4</v>
          </cell>
          <cell r="D106">
            <v>4</v>
          </cell>
          <cell r="E106">
            <v>4</v>
          </cell>
        </row>
        <row r="107">
          <cell r="A107" t="str">
            <v>B075XC664H</v>
          </cell>
          <cell r="B107">
            <v>1</v>
          </cell>
          <cell r="C107">
            <v>2</v>
          </cell>
          <cell r="D107">
            <v>3</v>
          </cell>
          <cell r="E107">
            <v>4</v>
          </cell>
        </row>
        <row r="108">
          <cell r="A108" t="str">
            <v>B075XCBHHN</v>
          </cell>
          <cell r="B108">
            <v>34</v>
          </cell>
          <cell r="C108">
            <v>21</v>
          </cell>
          <cell r="D108">
            <v>16</v>
          </cell>
          <cell r="E108">
            <v>11</v>
          </cell>
        </row>
        <row r="109">
          <cell r="A109" t="str">
            <v>B075XCJ63F</v>
          </cell>
          <cell r="B109">
            <v>2</v>
          </cell>
          <cell r="C109">
            <v>3</v>
          </cell>
          <cell r="D109">
            <v>3</v>
          </cell>
          <cell r="E109">
            <v>4</v>
          </cell>
        </row>
        <row r="110">
          <cell r="A110" t="str">
            <v>B075XCS3QN</v>
          </cell>
          <cell r="B110">
            <v>4</v>
          </cell>
          <cell r="C110">
            <v>2</v>
          </cell>
          <cell r="D110">
            <v>2</v>
          </cell>
          <cell r="E110">
            <v>2</v>
          </cell>
        </row>
        <row r="111">
          <cell r="A111" t="str">
            <v>B075XD8MYM</v>
          </cell>
          <cell r="B111">
            <v>5</v>
          </cell>
          <cell r="C111">
            <v>3</v>
          </cell>
          <cell r="D111">
            <v>2</v>
          </cell>
          <cell r="E111">
            <v>1</v>
          </cell>
        </row>
        <row r="112">
          <cell r="A112" t="str">
            <v>B075XDTMSM</v>
          </cell>
          <cell r="B112">
            <v>3</v>
          </cell>
          <cell r="C112">
            <v>2</v>
          </cell>
          <cell r="D112">
            <v>4</v>
          </cell>
          <cell r="E112">
            <v>2</v>
          </cell>
        </row>
        <row r="113">
          <cell r="A113" t="str">
            <v>B075XDV8DB</v>
          </cell>
          <cell r="B113">
            <v>2</v>
          </cell>
          <cell r="C113">
            <v>2</v>
          </cell>
          <cell r="D113">
            <v>5</v>
          </cell>
          <cell r="E113">
            <v>3</v>
          </cell>
        </row>
        <row r="114">
          <cell r="A114" t="str">
            <v>B075XF6KDQ</v>
          </cell>
          <cell r="B114">
            <v>3</v>
          </cell>
          <cell r="C114">
            <v>2</v>
          </cell>
          <cell r="D114">
            <v>4</v>
          </cell>
          <cell r="E114">
            <v>2</v>
          </cell>
        </row>
        <row r="115">
          <cell r="A115" t="str">
            <v>B075XF75YS</v>
          </cell>
          <cell r="B115">
            <v>3</v>
          </cell>
          <cell r="C115">
            <v>4</v>
          </cell>
          <cell r="D115">
            <v>5</v>
          </cell>
          <cell r="E115">
            <v>2</v>
          </cell>
        </row>
        <row r="116">
          <cell r="A116" t="str">
            <v>B075XF8TFV</v>
          </cell>
          <cell r="B116">
            <v>4</v>
          </cell>
          <cell r="C116">
            <v>4</v>
          </cell>
          <cell r="D116">
            <v>1</v>
          </cell>
          <cell r="E116">
            <v>1</v>
          </cell>
        </row>
        <row r="117">
          <cell r="A117" t="str">
            <v>B075XFH141</v>
          </cell>
          <cell r="B117">
            <v>2</v>
          </cell>
          <cell r="C117">
            <v>5</v>
          </cell>
          <cell r="D117">
            <v>2</v>
          </cell>
          <cell r="E117">
            <v>1</v>
          </cell>
        </row>
        <row r="118">
          <cell r="A118" t="str">
            <v>B075XFQC8B</v>
          </cell>
          <cell r="B118">
            <v>1</v>
          </cell>
          <cell r="C118">
            <v>2</v>
          </cell>
          <cell r="D118">
            <v>5</v>
          </cell>
          <cell r="E118">
            <v>2</v>
          </cell>
        </row>
        <row r="119">
          <cell r="A119" t="str">
            <v>B075XFT9C9</v>
          </cell>
          <cell r="B119">
            <v>0</v>
          </cell>
          <cell r="C119">
            <v>2</v>
          </cell>
          <cell r="D119">
            <v>4</v>
          </cell>
          <cell r="E119">
            <v>2</v>
          </cell>
        </row>
        <row r="120">
          <cell r="A120" t="str">
            <v>B075XG5JVY</v>
          </cell>
          <cell r="B120">
            <v>3</v>
          </cell>
          <cell r="C120">
            <v>1</v>
          </cell>
          <cell r="D120">
            <v>3</v>
          </cell>
          <cell r="E120">
            <v>1</v>
          </cell>
        </row>
        <row r="121">
          <cell r="A121" t="str">
            <v>B075XG6Z6C</v>
          </cell>
          <cell r="B121">
            <v>2</v>
          </cell>
          <cell r="C121">
            <v>2</v>
          </cell>
          <cell r="D121">
            <v>4</v>
          </cell>
          <cell r="E121">
            <v>1</v>
          </cell>
        </row>
        <row r="122">
          <cell r="A122" t="str">
            <v>B075XGCNH2</v>
          </cell>
          <cell r="B122">
            <v>5</v>
          </cell>
          <cell r="C122">
            <v>1</v>
          </cell>
          <cell r="D122">
            <v>3</v>
          </cell>
          <cell r="E122">
            <v>2</v>
          </cell>
        </row>
        <row r="123">
          <cell r="A123" t="str">
            <v>B075XH1TBD</v>
          </cell>
          <cell r="B123">
            <v>5</v>
          </cell>
          <cell r="C123">
            <v>0</v>
          </cell>
          <cell r="D123">
            <v>3</v>
          </cell>
          <cell r="E123">
            <v>5</v>
          </cell>
        </row>
        <row r="124">
          <cell r="A124" t="str">
            <v>B075XH273G</v>
          </cell>
          <cell r="B124">
            <v>1</v>
          </cell>
          <cell r="C124">
            <v>1</v>
          </cell>
          <cell r="D124">
            <v>3</v>
          </cell>
          <cell r="E124">
            <v>2</v>
          </cell>
        </row>
        <row r="125">
          <cell r="A125" t="str">
            <v>B075XH35SF</v>
          </cell>
          <cell r="B125">
            <v>3</v>
          </cell>
          <cell r="C125">
            <v>1</v>
          </cell>
          <cell r="D125">
            <v>3</v>
          </cell>
          <cell r="E125">
            <v>2</v>
          </cell>
        </row>
        <row r="126">
          <cell r="A126" t="str">
            <v>B075XHCCFQ</v>
          </cell>
          <cell r="B126">
            <v>1</v>
          </cell>
          <cell r="C126">
            <v>3</v>
          </cell>
          <cell r="D126">
            <v>3</v>
          </cell>
          <cell r="E126">
            <v>3</v>
          </cell>
        </row>
        <row r="127">
          <cell r="A127" t="str">
            <v>B075XHVZNY</v>
          </cell>
          <cell r="B127">
            <v>3</v>
          </cell>
          <cell r="C127">
            <v>4</v>
          </cell>
          <cell r="D127">
            <v>4</v>
          </cell>
          <cell r="E127">
            <v>2</v>
          </cell>
        </row>
        <row r="128">
          <cell r="A128" t="str">
            <v>B075XJBNCS</v>
          </cell>
          <cell r="B128">
            <v>2</v>
          </cell>
          <cell r="C128">
            <v>1</v>
          </cell>
          <cell r="D128">
            <v>2</v>
          </cell>
          <cell r="E128">
            <v>2</v>
          </cell>
        </row>
        <row r="129">
          <cell r="A129" t="str">
            <v>B075XJLDVB</v>
          </cell>
          <cell r="B129">
            <v>2</v>
          </cell>
          <cell r="C129">
            <v>2</v>
          </cell>
          <cell r="D129">
            <v>2</v>
          </cell>
          <cell r="E129">
            <v>4</v>
          </cell>
        </row>
        <row r="130">
          <cell r="A130" t="str">
            <v>B077XQBJQ8</v>
          </cell>
          <cell r="B130">
            <v>4</v>
          </cell>
          <cell r="C130">
            <v>2</v>
          </cell>
          <cell r="D130">
            <v>2</v>
          </cell>
          <cell r="E130">
            <v>5</v>
          </cell>
        </row>
        <row r="131">
          <cell r="A131" t="str">
            <v>B077XQBVHJ</v>
          </cell>
          <cell r="B131">
            <v>1</v>
          </cell>
          <cell r="C131">
            <v>1</v>
          </cell>
          <cell r="D131">
            <v>2</v>
          </cell>
          <cell r="E131">
            <v>4</v>
          </cell>
        </row>
        <row r="132">
          <cell r="A132" t="str">
            <v>B077XQDLK1</v>
          </cell>
          <cell r="B132">
            <v>1</v>
          </cell>
          <cell r="C132">
            <v>2</v>
          </cell>
          <cell r="D132">
            <v>3</v>
          </cell>
          <cell r="E132">
            <v>5</v>
          </cell>
        </row>
        <row r="133">
          <cell r="A133" t="str">
            <v>B077XQDLK8</v>
          </cell>
          <cell r="B133">
            <v>0</v>
          </cell>
          <cell r="C133">
            <v>1</v>
          </cell>
          <cell r="D133">
            <v>3</v>
          </cell>
          <cell r="E133">
            <v>7</v>
          </cell>
        </row>
        <row r="134">
          <cell r="A134" t="str">
            <v>B077XRHLYX</v>
          </cell>
          <cell r="B134">
            <v>4</v>
          </cell>
          <cell r="C134">
            <v>4</v>
          </cell>
          <cell r="D134">
            <v>1</v>
          </cell>
          <cell r="E134">
            <v>3</v>
          </cell>
        </row>
        <row r="135">
          <cell r="A135" t="str">
            <v>B077XRZ4P9</v>
          </cell>
          <cell r="B135">
            <v>0</v>
          </cell>
          <cell r="C135">
            <v>0</v>
          </cell>
          <cell r="D135">
            <v>0</v>
          </cell>
          <cell r="E135">
            <v>5</v>
          </cell>
        </row>
        <row r="136">
          <cell r="A136" t="str">
            <v>B077XRZBGV</v>
          </cell>
          <cell r="B136">
            <v>2</v>
          </cell>
          <cell r="C136">
            <v>5</v>
          </cell>
          <cell r="D136">
            <v>2</v>
          </cell>
          <cell r="E136">
            <v>3</v>
          </cell>
        </row>
        <row r="137">
          <cell r="A137" t="str">
            <v>B077XTXHVH</v>
          </cell>
          <cell r="B137">
            <v>2</v>
          </cell>
          <cell r="C137">
            <v>3</v>
          </cell>
          <cell r="D137">
            <v>2</v>
          </cell>
          <cell r="E137">
            <v>2</v>
          </cell>
        </row>
        <row r="138">
          <cell r="A138" t="str">
            <v>B077XTXJ7Q</v>
          </cell>
          <cell r="B138">
            <v>0</v>
          </cell>
          <cell r="C138">
            <v>2</v>
          </cell>
          <cell r="D138">
            <v>2</v>
          </cell>
          <cell r="E138">
            <v>2</v>
          </cell>
        </row>
        <row r="139">
          <cell r="A139" t="str">
            <v>B077XTZVP8</v>
          </cell>
          <cell r="B139">
            <v>0</v>
          </cell>
          <cell r="C139">
            <v>2</v>
          </cell>
          <cell r="D139">
            <v>2</v>
          </cell>
          <cell r="E139">
            <v>2</v>
          </cell>
        </row>
        <row r="140">
          <cell r="A140" t="str">
            <v>B077XV3LFS</v>
          </cell>
          <cell r="B140">
            <v>0</v>
          </cell>
          <cell r="C140">
            <v>2</v>
          </cell>
          <cell r="D140">
            <v>1</v>
          </cell>
          <cell r="E140">
            <v>2</v>
          </cell>
        </row>
        <row r="141">
          <cell r="A141" t="str">
            <v>B077XVD9Y3</v>
          </cell>
          <cell r="B141">
            <v>11</v>
          </cell>
          <cell r="C141">
            <v>6</v>
          </cell>
          <cell r="D141">
            <v>8</v>
          </cell>
          <cell r="E141">
            <v>22</v>
          </cell>
        </row>
        <row r="142">
          <cell r="A142" t="str">
            <v>B077XVSQHX</v>
          </cell>
          <cell r="B142">
            <v>0</v>
          </cell>
          <cell r="C142">
            <v>3</v>
          </cell>
          <cell r="D142">
            <v>1</v>
          </cell>
          <cell r="E142">
            <v>2</v>
          </cell>
        </row>
        <row r="143">
          <cell r="A143" t="str">
            <v>B077XVSW32</v>
          </cell>
          <cell r="B143">
            <v>1</v>
          </cell>
          <cell r="C143">
            <v>2</v>
          </cell>
          <cell r="D143">
            <v>1</v>
          </cell>
          <cell r="E143">
            <v>2</v>
          </cell>
        </row>
        <row r="144">
          <cell r="A144" t="str">
            <v>B077XVV8MB</v>
          </cell>
          <cell r="B144">
            <v>1</v>
          </cell>
          <cell r="C144">
            <v>1</v>
          </cell>
          <cell r="D144">
            <v>1</v>
          </cell>
          <cell r="E144">
            <v>4</v>
          </cell>
        </row>
        <row r="145">
          <cell r="A145" t="str">
            <v>B077XX3FN9</v>
          </cell>
          <cell r="B145">
            <v>1</v>
          </cell>
          <cell r="C145">
            <v>4</v>
          </cell>
          <cell r="D145">
            <v>1</v>
          </cell>
          <cell r="E145">
            <v>2</v>
          </cell>
        </row>
        <row r="146">
          <cell r="A146" t="str">
            <v>B077XX5QDF</v>
          </cell>
          <cell r="B146">
            <v>2</v>
          </cell>
          <cell r="C146">
            <v>4</v>
          </cell>
          <cell r="D146">
            <v>2</v>
          </cell>
          <cell r="E146">
            <v>2</v>
          </cell>
        </row>
        <row r="147">
          <cell r="A147" t="str">
            <v>B077XX5X7K</v>
          </cell>
          <cell r="B147">
            <v>1</v>
          </cell>
          <cell r="C147">
            <v>2</v>
          </cell>
          <cell r="D147">
            <v>2</v>
          </cell>
          <cell r="E147">
            <v>3</v>
          </cell>
        </row>
        <row r="148">
          <cell r="A148" t="str">
            <v>B077YWGR1B</v>
          </cell>
          <cell r="B148">
            <v>1</v>
          </cell>
          <cell r="C148">
            <v>2</v>
          </cell>
          <cell r="D148">
            <v>1</v>
          </cell>
          <cell r="E148">
            <v>1</v>
          </cell>
        </row>
        <row r="149">
          <cell r="A149" t="str">
            <v>B077YWGW7H</v>
          </cell>
          <cell r="B149">
            <v>1</v>
          </cell>
          <cell r="C149">
            <v>3</v>
          </cell>
          <cell r="D149">
            <v>0</v>
          </cell>
          <cell r="E149">
            <v>1</v>
          </cell>
        </row>
        <row r="150">
          <cell r="A150" t="str">
            <v>B077YWGXBQ</v>
          </cell>
          <cell r="B150">
            <v>1</v>
          </cell>
          <cell r="C150">
            <v>4</v>
          </cell>
          <cell r="D150">
            <v>1</v>
          </cell>
          <cell r="E150">
            <v>3</v>
          </cell>
        </row>
        <row r="151">
          <cell r="A151" t="str">
            <v>B077YWGZ93</v>
          </cell>
          <cell r="B151">
            <v>1</v>
          </cell>
          <cell r="C151">
            <v>3</v>
          </cell>
          <cell r="D151">
            <v>1</v>
          </cell>
          <cell r="E151">
            <v>1</v>
          </cell>
        </row>
        <row r="152">
          <cell r="A152" t="str">
            <v>B077YWH21S</v>
          </cell>
          <cell r="B152">
            <v>1</v>
          </cell>
          <cell r="C152">
            <v>3</v>
          </cell>
          <cell r="D152">
            <v>1</v>
          </cell>
          <cell r="E152">
            <v>2</v>
          </cell>
        </row>
        <row r="153">
          <cell r="A153" t="str">
            <v>B077YWH5DT</v>
          </cell>
          <cell r="B153">
            <v>1</v>
          </cell>
          <cell r="C153">
            <v>3</v>
          </cell>
          <cell r="D153">
            <v>2</v>
          </cell>
          <cell r="E153">
            <v>3</v>
          </cell>
        </row>
        <row r="154">
          <cell r="A154" t="str">
            <v>B077Z1QNCD</v>
          </cell>
          <cell r="B154">
            <v>1</v>
          </cell>
          <cell r="C154">
            <v>3</v>
          </cell>
          <cell r="D154">
            <v>0</v>
          </cell>
          <cell r="E154">
            <v>1</v>
          </cell>
        </row>
        <row r="155">
          <cell r="A155" t="str">
            <v>B077Z1SBLC</v>
          </cell>
          <cell r="B155">
            <v>1</v>
          </cell>
          <cell r="C155">
            <v>0</v>
          </cell>
          <cell r="D155">
            <v>0</v>
          </cell>
          <cell r="E155">
            <v>2</v>
          </cell>
        </row>
        <row r="156">
          <cell r="A156" t="str">
            <v>B077Z3FG6P</v>
          </cell>
          <cell r="B156">
            <v>1</v>
          </cell>
          <cell r="C156">
            <v>1</v>
          </cell>
          <cell r="D156">
            <v>0</v>
          </cell>
          <cell r="E156">
            <v>3</v>
          </cell>
        </row>
        <row r="157">
          <cell r="A157" t="str">
            <v>B077Z5LR3B</v>
          </cell>
          <cell r="B157">
            <v>1</v>
          </cell>
          <cell r="C157">
            <v>3</v>
          </cell>
          <cell r="D157">
            <v>0</v>
          </cell>
          <cell r="E157">
            <v>1</v>
          </cell>
        </row>
        <row r="158">
          <cell r="A158" t="str">
            <v>B077Z617BX</v>
          </cell>
          <cell r="B158">
            <v>1</v>
          </cell>
          <cell r="C158">
            <v>1</v>
          </cell>
          <cell r="D158">
            <v>1</v>
          </cell>
          <cell r="E158">
            <v>5</v>
          </cell>
        </row>
        <row r="159">
          <cell r="A159" t="str">
            <v>B077Z7QZZY</v>
          </cell>
          <cell r="B159">
            <v>1</v>
          </cell>
          <cell r="C159">
            <v>1</v>
          </cell>
          <cell r="D159">
            <v>1</v>
          </cell>
          <cell r="E159">
            <v>1</v>
          </cell>
        </row>
        <row r="160">
          <cell r="A160" t="str">
            <v>B077Z7R3DQ</v>
          </cell>
          <cell r="B160">
            <v>1</v>
          </cell>
          <cell r="C160">
            <v>1</v>
          </cell>
          <cell r="D160">
            <v>0</v>
          </cell>
          <cell r="E160">
            <v>1</v>
          </cell>
        </row>
        <row r="161">
          <cell r="A161" t="str">
            <v>B077Z7RY9J</v>
          </cell>
          <cell r="B161">
            <v>1</v>
          </cell>
          <cell r="C161">
            <v>0</v>
          </cell>
          <cell r="D161">
            <v>2</v>
          </cell>
          <cell r="E161">
            <v>1</v>
          </cell>
        </row>
        <row r="162">
          <cell r="A162" t="str">
            <v>B0785JC4N5</v>
          </cell>
          <cell r="B162">
            <v>3</v>
          </cell>
          <cell r="C162">
            <v>2</v>
          </cell>
          <cell r="D162">
            <v>2</v>
          </cell>
          <cell r="E162">
            <v>2</v>
          </cell>
        </row>
        <row r="163">
          <cell r="A163" t="str">
            <v>B0785L1H91</v>
          </cell>
          <cell r="B163">
            <v>2</v>
          </cell>
          <cell r="C163">
            <v>1</v>
          </cell>
          <cell r="D163">
            <v>2</v>
          </cell>
          <cell r="E163">
            <v>3</v>
          </cell>
        </row>
        <row r="164">
          <cell r="A164" t="str">
            <v>B0785L1RRG</v>
          </cell>
          <cell r="B164">
            <v>2</v>
          </cell>
          <cell r="C164">
            <v>0</v>
          </cell>
          <cell r="D164">
            <v>5</v>
          </cell>
          <cell r="E164">
            <v>2</v>
          </cell>
        </row>
        <row r="165">
          <cell r="A165" t="str">
            <v>B0785P964M</v>
          </cell>
          <cell r="B165">
            <v>2</v>
          </cell>
          <cell r="C165">
            <v>0</v>
          </cell>
          <cell r="D165">
            <v>4</v>
          </cell>
          <cell r="E165">
            <v>3</v>
          </cell>
        </row>
        <row r="166">
          <cell r="A166" t="str">
            <v>B0785PHFJC</v>
          </cell>
          <cell r="B166">
            <v>0</v>
          </cell>
          <cell r="C166">
            <v>0</v>
          </cell>
          <cell r="D166">
            <v>3</v>
          </cell>
          <cell r="E166">
            <v>3</v>
          </cell>
        </row>
        <row r="167">
          <cell r="A167" t="str">
            <v>B0785PS8WV</v>
          </cell>
          <cell r="B167">
            <v>0</v>
          </cell>
          <cell r="C167">
            <v>0</v>
          </cell>
          <cell r="D167">
            <v>4</v>
          </cell>
          <cell r="E167">
            <v>2</v>
          </cell>
        </row>
        <row r="168">
          <cell r="A168" t="str">
            <v>B0785PV9GH</v>
          </cell>
          <cell r="B168">
            <v>1</v>
          </cell>
          <cell r="C168">
            <v>0</v>
          </cell>
          <cell r="D168">
            <v>3</v>
          </cell>
          <cell r="E168">
            <v>1</v>
          </cell>
        </row>
        <row r="169">
          <cell r="A169" t="str">
            <v>B0785Q5CB9</v>
          </cell>
          <cell r="B169">
            <v>1</v>
          </cell>
          <cell r="C169">
            <v>2</v>
          </cell>
          <cell r="D169">
            <v>2</v>
          </cell>
          <cell r="E169">
            <v>2</v>
          </cell>
        </row>
        <row r="170">
          <cell r="A170" t="str">
            <v>B0785RM358</v>
          </cell>
          <cell r="B170">
            <v>3</v>
          </cell>
          <cell r="C170">
            <v>5</v>
          </cell>
          <cell r="D170">
            <v>4</v>
          </cell>
          <cell r="E170">
            <v>1</v>
          </cell>
        </row>
        <row r="171">
          <cell r="A171" t="str">
            <v>B0785S9XKS</v>
          </cell>
          <cell r="B171">
            <v>11</v>
          </cell>
          <cell r="C171">
            <v>8</v>
          </cell>
          <cell r="D171">
            <v>8</v>
          </cell>
          <cell r="E171">
            <v>2</v>
          </cell>
        </row>
        <row r="172">
          <cell r="A172" t="str">
            <v>B0785SC1FB</v>
          </cell>
          <cell r="B172">
            <v>6</v>
          </cell>
          <cell r="C172">
            <v>4</v>
          </cell>
          <cell r="D172">
            <v>4</v>
          </cell>
          <cell r="E172">
            <v>1</v>
          </cell>
        </row>
        <row r="173">
          <cell r="A173" t="str">
            <v>B078H79DCY</v>
          </cell>
          <cell r="B173">
            <v>9</v>
          </cell>
          <cell r="C173">
            <v>10</v>
          </cell>
          <cell r="D173">
            <v>12</v>
          </cell>
          <cell r="E173">
            <v>3</v>
          </cell>
        </row>
        <row r="174">
          <cell r="A174" t="str">
            <v>B078HD4M37</v>
          </cell>
          <cell r="B174">
            <v>9</v>
          </cell>
          <cell r="C174">
            <v>10</v>
          </cell>
          <cell r="D174">
            <v>11</v>
          </cell>
          <cell r="E174">
            <v>4</v>
          </cell>
        </row>
        <row r="175">
          <cell r="A175" t="str">
            <v>B078HNLGWS</v>
          </cell>
          <cell r="B175">
            <v>14</v>
          </cell>
          <cell r="C175">
            <v>23</v>
          </cell>
          <cell r="D175">
            <v>15</v>
          </cell>
          <cell r="E175">
            <v>20</v>
          </cell>
        </row>
        <row r="176">
          <cell r="A176" t="str">
            <v>B0798NZCMN</v>
          </cell>
          <cell r="B176">
            <v>3</v>
          </cell>
          <cell r="C176">
            <v>4</v>
          </cell>
          <cell r="D176">
            <v>6</v>
          </cell>
          <cell r="E176">
            <v>3</v>
          </cell>
        </row>
        <row r="177">
          <cell r="A177" t="str">
            <v>B0798NZTJD</v>
          </cell>
          <cell r="B177">
            <v>2</v>
          </cell>
          <cell r="C177">
            <v>1</v>
          </cell>
          <cell r="D177">
            <v>6</v>
          </cell>
          <cell r="E177">
            <v>2</v>
          </cell>
        </row>
        <row r="178">
          <cell r="A178" t="str">
            <v>B0798P1DCX</v>
          </cell>
          <cell r="B178">
            <v>6</v>
          </cell>
          <cell r="C178">
            <v>2</v>
          </cell>
          <cell r="D178">
            <v>12</v>
          </cell>
          <cell r="E178">
            <v>5</v>
          </cell>
        </row>
        <row r="179">
          <cell r="A179" t="str">
            <v>B0798PCSXB</v>
          </cell>
          <cell r="B179">
            <v>13</v>
          </cell>
          <cell r="C179">
            <v>6</v>
          </cell>
          <cell r="D179">
            <v>18</v>
          </cell>
          <cell r="E179">
            <v>9</v>
          </cell>
        </row>
        <row r="180">
          <cell r="A180" t="str">
            <v>B0798PX336</v>
          </cell>
          <cell r="B180">
            <v>12</v>
          </cell>
          <cell r="C180">
            <v>2</v>
          </cell>
          <cell r="D180">
            <v>0</v>
          </cell>
          <cell r="E180">
            <v>6</v>
          </cell>
        </row>
        <row r="181">
          <cell r="A181" t="str">
            <v>B0798PY6XT</v>
          </cell>
          <cell r="B181">
            <v>21</v>
          </cell>
          <cell r="C181">
            <v>13</v>
          </cell>
          <cell r="D181">
            <v>40</v>
          </cell>
          <cell r="E181">
            <v>29</v>
          </cell>
        </row>
        <row r="182">
          <cell r="A182" t="str">
            <v>B079GLZ6K8</v>
          </cell>
          <cell r="B182">
            <v>2</v>
          </cell>
          <cell r="C182">
            <v>1</v>
          </cell>
          <cell r="D182">
            <v>6</v>
          </cell>
          <cell r="E182">
            <v>11</v>
          </cell>
        </row>
        <row r="183">
          <cell r="A183" t="str">
            <v>B079GM3BXL</v>
          </cell>
          <cell r="B183">
            <v>0</v>
          </cell>
          <cell r="C183">
            <v>0</v>
          </cell>
          <cell r="D183">
            <v>11</v>
          </cell>
          <cell r="E183">
            <v>21</v>
          </cell>
        </row>
        <row r="184">
          <cell r="A184" t="str">
            <v>B079GML28B</v>
          </cell>
          <cell r="B184">
            <v>7</v>
          </cell>
          <cell r="C184">
            <v>7</v>
          </cell>
          <cell r="D184">
            <v>11</v>
          </cell>
          <cell r="E184">
            <v>2</v>
          </cell>
        </row>
        <row r="185">
          <cell r="A185" t="str">
            <v>B079GMMWG2</v>
          </cell>
          <cell r="B185">
            <v>10</v>
          </cell>
          <cell r="C185">
            <v>4</v>
          </cell>
          <cell r="D185">
            <v>11</v>
          </cell>
          <cell r="E185">
            <v>8</v>
          </cell>
        </row>
        <row r="186">
          <cell r="A186" t="str">
            <v>B079GN5DSL</v>
          </cell>
          <cell r="B186">
            <v>20</v>
          </cell>
          <cell r="C186">
            <v>26</v>
          </cell>
          <cell r="D186">
            <v>28</v>
          </cell>
          <cell r="E186">
            <v>23</v>
          </cell>
        </row>
        <row r="187">
          <cell r="A187" t="str">
            <v>B079GNL7BD</v>
          </cell>
          <cell r="B187">
            <v>9</v>
          </cell>
          <cell r="C187">
            <v>1</v>
          </cell>
          <cell r="D187">
            <v>6</v>
          </cell>
          <cell r="E187">
            <v>3</v>
          </cell>
        </row>
        <row r="188">
          <cell r="A188" t="str">
            <v>B079GNVPFC</v>
          </cell>
          <cell r="B188">
            <v>0</v>
          </cell>
          <cell r="C188">
            <v>2</v>
          </cell>
          <cell r="D188">
            <v>18</v>
          </cell>
          <cell r="E188">
            <v>4</v>
          </cell>
        </row>
        <row r="189">
          <cell r="A189" t="str">
            <v>B079GPD2NN</v>
          </cell>
          <cell r="B189">
            <v>2</v>
          </cell>
          <cell r="C189">
            <v>1</v>
          </cell>
          <cell r="D189">
            <v>4</v>
          </cell>
          <cell r="E189">
            <v>4</v>
          </cell>
        </row>
        <row r="190">
          <cell r="A190" t="str">
            <v>B079GPRVHY</v>
          </cell>
          <cell r="B190">
            <v>7</v>
          </cell>
          <cell r="C190">
            <v>4</v>
          </cell>
          <cell r="D190">
            <v>5</v>
          </cell>
          <cell r="E190">
            <v>11</v>
          </cell>
        </row>
        <row r="191">
          <cell r="A191" t="str">
            <v>B079GQ2C5K</v>
          </cell>
          <cell r="B191">
            <v>4</v>
          </cell>
          <cell r="C191">
            <v>3</v>
          </cell>
          <cell r="D191">
            <v>4</v>
          </cell>
          <cell r="E191">
            <v>5</v>
          </cell>
        </row>
        <row r="192">
          <cell r="A192" t="str">
            <v>B079GQ697Z</v>
          </cell>
          <cell r="B192">
            <v>0</v>
          </cell>
          <cell r="C192">
            <v>0</v>
          </cell>
          <cell r="D192">
            <v>11</v>
          </cell>
          <cell r="E192">
            <v>5</v>
          </cell>
        </row>
        <row r="193">
          <cell r="A193" t="str">
            <v>B079GQ7X19</v>
          </cell>
          <cell r="B193">
            <v>8</v>
          </cell>
          <cell r="C193">
            <v>6</v>
          </cell>
          <cell r="D193">
            <v>15</v>
          </cell>
          <cell r="E193">
            <v>5</v>
          </cell>
        </row>
        <row r="194">
          <cell r="A194" t="str">
            <v>B079GQ99MR</v>
          </cell>
          <cell r="B194">
            <v>8</v>
          </cell>
          <cell r="C194">
            <v>9</v>
          </cell>
          <cell r="D194">
            <v>7</v>
          </cell>
          <cell r="E194">
            <v>8</v>
          </cell>
        </row>
        <row r="195">
          <cell r="A195" t="str">
            <v>B079GQB66Z</v>
          </cell>
          <cell r="B195">
            <v>5</v>
          </cell>
          <cell r="C195">
            <v>6</v>
          </cell>
          <cell r="D195">
            <v>5</v>
          </cell>
          <cell r="E195">
            <v>9</v>
          </cell>
        </row>
        <row r="196">
          <cell r="A196" t="str">
            <v>B079GQWL9S</v>
          </cell>
          <cell r="B196">
            <v>14</v>
          </cell>
          <cell r="C196">
            <v>20</v>
          </cell>
          <cell r="D196">
            <v>16</v>
          </cell>
          <cell r="E196">
            <v>15</v>
          </cell>
        </row>
        <row r="197">
          <cell r="A197" t="str">
            <v>B079GQYYYF</v>
          </cell>
          <cell r="B197">
            <v>5</v>
          </cell>
          <cell r="C197">
            <v>2</v>
          </cell>
          <cell r="D197">
            <v>2</v>
          </cell>
          <cell r="E197">
            <v>3</v>
          </cell>
        </row>
        <row r="198">
          <cell r="A198" t="str">
            <v>B079GQZMQ2</v>
          </cell>
          <cell r="B198">
            <v>9</v>
          </cell>
          <cell r="C198">
            <v>3</v>
          </cell>
          <cell r="D198">
            <v>5</v>
          </cell>
          <cell r="E198">
            <v>13</v>
          </cell>
        </row>
        <row r="199">
          <cell r="A199" t="str">
            <v>B079GR91JK</v>
          </cell>
          <cell r="B199">
            <v>4</v>
          </cell>
          <cell r="C199">
            <v>2</v>
          </cell>
          <cell r="D199">
            <v>4</v>
          </cell>
          <cell r="E199">
            <v>5</v>
          </cell>
        </row>
        <row r="200">
          <cell r="A200" t="str">
            <v>B079GRXYH8</v>
          </cell>
          <cell r="B200">
            <v>8</v>
          </cell>
          <cell r="C200">
            <v>8</v>
          </cell>
          <cell r="D200">
            <v>13</v>
          </cell>
          <cell r="E200">
            <v>20</v>
          </cell>
        </row>
        <row r="201">
          <cell r="A201" t="str">
            <v>B079GS1ZJR</v>
          </cell>
          <cell r="B201">
            <v>8</v>
          </cell>
          <cell r="C201">
            <v>15</v>
          </cell>
          <cell r="D201">
            <v>23</v>
          </cell>
          <cell r="E201">
            <v>16</v>
          </cell>
        </row>
        <row r="202">
          <cell r="A202" t="str">
            <v>B079GS81P9</v>
          </cell>
          <cell r="B202">
            <v>3</v>
          </cell>
          <cell r="C202">
            <v>8</v>
          </cell>
          <cell r="D202">
            <v>8</v>
          </cell>
          <cell r="E202">
            <v>5</v>
          </cell>
        </row>
        <row r="203">
          <cell r="A203" t="str">
            <v>B079GTFGYN</v>
          </cell>
          <cell r="B203">
            <v>7</v>
          </cell>
          <cell r="C203">
            <v>9</v>
          </cell>
          <cell r="D203">
            <v>12</v>
          </cell>
          <cell r="E203">
            <v>4</v>
          </cell>
        </row>
        <row r="204">
          <cell r="A204" t="str">
            <v>B079HP2RFZ</v>
          </cell>
          <cell r="B204">
            <v>160</v>
          </cell>
          <cell r="C204">
            <v>105</v>
          </cell>
          <cell r="D204">
            <v>735</v>
          </cell>
          <cell r="E204">
            <v>148</v>
          </cell>
        </row>
        <row r="205">
          <cell r="A205" t="str">
            <v>B079HPLTVC</v>
          </cell>
          <cell r="B205">
            <v>197</v>
          </cell>
          <cell r="C205">
            <v>150</v>
          </cell>
          <cell r="D205">
            <v>1186</v>
          </cell>
          <cell r="E205">
            <v>518</v>
          </cell>
        </row>
        <row r="206">
          <cell r="A206" t="str">
            <v>B079HQGKS9</v>
          </cell>
          <cell r="B206">
            <v>33</v>
          </cell>
          <cell r="C206">
            <v>34</v>
          </cell>
          <cell r="D206">
            <v>200</v>
          </cell>
          <cell r="E206">
            <v>55</v>
          </cell>
        </row>
        <row r="207">
          <cell r="A207" t="str">
            <v>B079HQPJP2</v>
          </cell>
          <cell r="B207">
            <v>245</v>
          </cell>
          <cell r="C207">
            <v>175</v>
          </cell>
          <cell r="D207">
            <v>1599</v>
          </cell>
          <cell r="E207">
            <v>162</v>
          </cell>
        </row>
        <row r="208">
          <cell r="A208" t="str">
            <v>B079HQW62H</v>
          </cell>
          <cell r="B208">
            <v>170</v>
          </cell>
          <cell r="C208">
            <v>175</v>
          </cell>
          <cell r="D208">
            <v>660</v>
          </cell>
          <cell r="E208">
            <v>115</v>
          </cell>
        </row>
        <row r="209">
          <cell r="A209" t="str">
            <v>B079HRST93</v>
          </cell>
          <cell r="B209">
            <v>85</v>
          </cell>
          <cell r="C209">
            <v>76</v>
          </cell>
          <cell r="D209">
            <v>5</v>
          </cell>
          <cell r="E209">
            <v>176</v>
          </cell>
        </row>
        <row r="210">
          <cell r="A210" t="str">
            <v>B079HRYZ8F</v>
          </cell>
          <cell r="B210">
            <v>31</v>
          </cell>
          <cell r="C210">
            <v>33</v>
          </cell>
          <cell r="D210">
            <v>363</v>
          </cell>
          <cell r="E210">
            <v>36</v>
          </cell>
        </row>
        <row r="211">
          <cell r="A211" t="str">
            <v>B079HS8H93</v>
          </cell>
          <cell r="B211">
            <v>54</v>
          </cell>
          <cell r="C211">
            <v>60</v>
          </cell>
          <cell r="D211">
            <v>192</v>
          </cell>
          <cell r="E211">
            <v>37</v>
          </cell>
        </row>
        <row r="212">
          <cell r="A212" t="str">
            <v>B079J99WVX</v>
          </cell>
          <cell r="B212">
            <v>7</v>
          </cell>
          <cell r="C212">
            <v>4</v>
          </cell>
          <cell r="D212">
            <v>2</v>
          </cell>
          <cell r="E212">
            <v>5</v>
          </cell>
        </row>
        <row r="213">
          <cell r="A213" t="str">
            <v>B079JD7ZJ2</v>
          </cell>
          <cell r="B213">
            <v>4</v>
          </cell>
          <cell r="C213">
            <v>6</v>
          </cell>
          <cell r="D213">
            <v>3</v>
          </cell>
          <cell r="E213">
            <v>3</v>
          </cell>
        </row>
        <row r="214">
          <cell r="A214" t="str">
            <v>B079JF8TQM</v>
          </cell>
          <cell r="B214">
            <v>14</v>
          </cell>
          <cell r="C214">
            <v>4</v>
          </cell>
          <cell r="D214">
            <v>7</v>
          </cell>
          <cell r="E214">
            <v>19</v>
          </cell>
        </row>
        <row r="215">
          <cell r="A215" t="str">
            <v>B079JGMFTB</v>
          </cell>
          <cell r="B215">
            <v>0</v>
          </cell>
          <cell r="C215">
            <v>0</v>
          </cell>
          <cell r="D215">
            <v>0</v>
          </cell>
          <cell r="E215">
            <v>5</v>
          </cell>
        </row>
        <row r="216">
          <cell r="A216" t="str">
            <v>B079M1Y4YS</v>
          </cell>
          <cell r="B216">
            <v>2</v>
          </cell>
          <cell r="C216">
            <v>4</v>
          </cell>
          <cell r="D216">
            <v>3</v>
          </cell>
          <cell r="E216">
            <v>4</v>
          </cell>
        </row>
        <row r="217">
          <cell r="A217" t="str">
            <v>B079M2W31H</v>
          </cell>
          <cell r="B217">
            <v>2</v>
          </cell>
          <cell r="C217">
            <v>3</v>
          </cell>
          <cell r="D217">
            <v>1</v>
          </cell>
          <cell r="E217">
            <v>4</v>
          </cell>
        </row>
        <row r="218">
          <cell r="A218" t="str">
            <v>B079M4C6DT</v>
          </cell>
          <cell r="B218">
            <v>2</v>
          </cell>
          <cell r="C218">
            <v>3</v>
          </cell>
          <cell r="D218">
            <v>3</v>
          </cell>
          <cell r="E218">
            <v>4</v>
          </cell>
        </row>
        <row r="219">
          <cell r="A219" t="str">
            <v>B079MDCK5Y</v>
          </cell>
          <cell r="B219">
            <v>3</v>
          </cell>
          <cell r="C219">
            <v>3</v>
          </cell>
          <cell r="D219">
            <v>2</v>
          </cell>
          <cell r="E219">
            <v>3</v>
          </cell>
        </row>
        <row r="220">
          <cell r="A220" t="str">
            <v>B07B9WYZG3</v>
          </cell>
          <cell r="B220">
            <v>21</v>
          </cell>
          <cell r="C220">
            <v>33</v>
          </cell>
          <cell r="D220">
            <v>40</v>
          </cell>
          <cell r="E220">
            <v>3</v>
          </cell>
        </row>
        <row r="221">
          <cell r="A221" t="str">
            <v>B07BGSSQLV</v>
          </cell>
          <cell r="B221">
            <v>201</v>
          </cell>
          <cell r="C221">
            <v>186</v>
          </cell>
          <cell r="D221">
            <v>494</v>
          </cell>
          <cell r="E221">
            <v>242</v>
          </cell>
        </row>
        <row r="222">
          <cell r="A222" t="str">
            <v>B07BGW4LWX</v>
          </cell>
          <cell r="B222">
            <v>126</v>
          </cell>
          <cell r="C222">
            <v>122</v>
          </cell>
          <cell r="D222">
            <v>525</v>
          </cell>
          <cell r="E222">
            <v>151</v>
          </cell>
        </row>
        <row r="223">
          <cell r="A223" t="str">
            <v>B07BLQ5R6S</v>
          </cell>
          <cell r="B223">
            <v>1</v>
          </cell>
          <cell r="C223">
            <v>5</v>
          </cell>
          <cell r="D223">
            <v>8</v>
          </cell>
          <cell r="E223">
            <v>4</v>
          </cell>
        </row>
        <row r="224">
          <cell r="A224" t="str">
            <v>B07BLQFM2G</v>
          </cell>
          <cell r="B224">
            <v>0</v>
          </cell>
          <cell r="C224">
            <v>0</v>
          </cell>
          <cell r="D224">
            <v>7</v>
          </cell>
          <cell r="E224">
            <v>2</v>
          </cell>
        </row>
        <row r="225">
          <cell r="A225" t="str">
            <v>B07BLQJYGS</v>
          </cell>
          <cell r="B225">
            <v>2</v>
          </cell>
          <cell r="C225">
            <v>3</v>
          </cell>
          <cell r="D225">
            <v>5</v>
          </cell>
          <cell r="E225">
            <v>2</v>
          </cell>
        </row>
        <row r="226">
          <cell r="A226" t="str">
            <v>B07BLQJYGV</v>
          </cell>
          <cell r="B226">
            <v>1</v>
          </cell>
          <cell r="C226">
            <v>2</v>
          </cell>
          <cell r="D226">
            <v>3</v>
          </cell>
          <cell r="E226">
            <v>2</v>
          </cell>
        </row>
        <row r="227">
          <cell r="A227" t="str">
            <v>B07BLR41F3</v>
          </cell>
          <cell r="B227">
            <v>1</v>
          </cell>
          <cell r="C227">
            <v>4</v>
          </cell>
          <cell r="D227">
            <v>6</v>
          </cell>
          <cell r="E227">
            <v>1</v>
          </cell>
        </row>
        <row r="228">
          <cell r="A228" t="str">
            <v>B07BLRT4X9</v>
          </cell>
          <cell r="B228">
            <v>1</v>
          </cell>
          <cell r="C228">
            <v>1</v>
          </cell>
          <cell r="D228">
            <v>2</v>
          </cell>
          <cell r="E228">
            <v>2</v>
          </cell>
        </row>
        <row r="229">
          <cell r="A229" t="str">
            <v>B07BLRYV4K</v>
          </cell>
          <cell r="B229">
            <v>1</v>
          </cell>
          <cell r="C229">
            <v>0</v>
          </cell>
          <cell r="D229">
            <v>4</v>
          </cell>
          <cell r="E229">
            <v>3</v>
          </cell>
        </row>
        <row r="230">
          <cell r="A230" t="str">
            <v>B07BLS3RH4</v>
          </cell>
          <cell r="B230">
            <v>1</v>
          </cell>
          <cell r="C230">
            <v>2</v>
          </cell>
          <cell r="D230">
            <v>2</v>
          </cell>
          <cell r="E230">
            <v>1</v>
          </cell>
        </row>
        <row r="231">
          <cell r="A231" t="str">
            <v>B07BLSKPGN</v>
          </cell>
          <cell r="B231">
            <v>2</v>
          </cell>
          <cell r="C231">
            <v>3</v>
          </cell>
          <cell r="D231">
            <v>2</v>
          </cell>
          <cell r="E231">
            <v>2</v>
          </cell>
        </row>
        <row r="232">
          <cell r="A232" t="str">
            <v>B07BLSLVNQ</v>
          </cell>
          <cell r="B232">
            <v>2</v>
          </cell>
          <cell r="C232">
            <v>4</v>
          </cell>
          <cell r="D232">
            <v>1</v>
          </cell>
          <cell r="E232">
            <v>1</v>
          </cell>
        </row>
        <row r="233">
          <cell r="A233" t="str">
            <v>B07BLSNYZP</v>
          </cell>
          <cell r="B233">
            <v>2</v>
          </cell>
          <cell r="C233">
            <v>3</v>
          </cell>
          <cell r="D233">
            <v>0</v>
          </cell>
          <cell r="E233">
            <v>1</v>
          </cell>
        </row>
        <row r="234">
          <cell r="A234" t="str">
            <v>B07BLSQB24</v>
          </cell>
          <cell r="B234">
            <v>1</v>
          </cell>
          <cell r="C234">
            <v>5</v>
          </cell>
          <cell r="D234">
            <v>1</v>
          </cell>
          <cell r="E234">
            <v>2</v>
          </cell>
        </row>
        <row r="235">
          <cell r="A235" t="str">
            <v>B07BLSR168</v>
          </cell>
          <cell r="B235">
            <v>2</v>
          </cell>
          <cell r="C235">
            <v>3</v>
          </cell>
          <cell r="D235">
            <v>1</v>
          </cell>
          <cell r="E235">
            <v>1</v>
          </cell>
        </row>
        <row r="236">
          <cell r="A236" t="str">
            <v>B07BLT8K4B</v>
          </cell>
          <cell r="B236">
            <v>1</v>
          </cell>
          <cell r="C236">
            <v>3</v>
          </cell>
          <cell r="D236">
            <v>4</v>
          </cell>
          <cell r="E236">
            <v>1</v>
          </cell>
        </row>
        <row r="237">
          <cell r="A237" t="str">
            <v>B07BLT9556</v>
          </cell>
          <cell r="B237">
            <v>2</v>
          </cell>
          <cell r="C237">
            <v>2</v>
          </cell>
          <cell r="D237">
            <v>1</v>
          </cell>
          <cell r="E237">
            <v>2</v>
          </cell>
        </row>
        <row r="238">
          <cell r="A238" t="str">
            <v>B07BLTCKF4</v>
          </cell>
          <cell r="B238">
            <v>1</v>
          </cell>
          <cell r="C238">
            <v>2</v>
          </cell>
          <cell r="D238">
            <v>3</v>
          </cell>
          <cell r="E238">
            <v>1</v>
          </cell>
        </row>
        <row r="239">
          <cell r="A239" t="str">
            <v>B07BLTGHH9</v>
          </cell>
          <cell r="B239">
            <v>1</v>
          </cell>
          <cell r="C239">
            <v>3</v>
          </cell>
          <cell r="D239">
            <v>1</v>
          </cell>
          <cell r="E239">
            <v>2</v>
          </cell>
        </row>
        <row r="240">
          <cell r="A240" t="str">
            <v>B07BLV5B1Y</v>
          </cell>
          <cell r="B240">
            <v>3</v>
          </cell>
          <cell r="C240">
            <v>4</v>
          </cell>
          <cell r="D240">
            <v>2</v>
          </cell>
          <cell r="E240">
            <v>2</v>
          </cell>
        </row>
        <row r="241">
          <cell r="A241" t="str">
            <v>B07BLV8M7G</v>
          </cell>
          <cell r="B241">
            <v>1</v>
          </cell>
          <cell r="C241">
            <v>2</v>
          </cell>
          <cell r="D241">
            <v>2</v>
          </cell>
          <cell r="E241">
            <v>2</v>
          </cell>
        </row>
        <row r="242">
          <cell r="A242" t="str">
            <v>B07BLV93M3</v>
          </cell>
          <cell r="B242">
            <v>4</v>
          </cell>
          <cell r="C242">
            <v>0</v>
          </cell>
          <cell r="D242">
            <v>4</v>
          </cell>
          <cell r="E242">
            <v>1</v>
          </cell>
        </row>
        <row r="243">
          <cell r="A243" t="str">
            <v>B07BLV93M6</v>
          </cell>
          <cell r="B243">
            <v>1</v>
          </cell>
          <cell r="C243">
            <v>1</v>
          </cell>
          <cell r="D243">
            <v>2</v>
          </cell>
          <cell r="E243">
            <v>1</v>
          </cell>
        </row>
        <row r="244">
          <cell r="A244" t="str">
            <v>B07BLVMB53</v>
          </cell>
          <cell r="B244">
            <v>3</v>
          </cell>
          <cell r="C244">
            <v>1</v>
          </cell>
          <cell r="D244">
            <v>2</v>
          </cell>
          <cell r="E244">
            <v>1</v>
          </cell>
        </row>
        <row r="245">
          <cell r="A245" t="str">
            <v>B07BLVSWRJ</v>
          </cell>
          <cell r="B245">
            <v>2</v>
          </cell>
          <cell r="C245">
            <v>1</v>
          </cell>
          <cell r="D245">
            <v>2</v>
          </cell>
          <cell r="E245">
            <v>1</v>
          </cell>
        </row>
        <row r="246">
          <cell r="A246" t="str">
            <v>B07BLWPJFH</v>
          </cell>
          <cell r="B246">
            <v>2</v>
          </cell>
          <cell r="C246">
            <v>0</v>
          </cell>
          <cell r="D246">
            <v>2</v>
          </cell>
          <cell r="E246">
            <v>4</v>
          </cell>
        </row>
        <row r="247">
          <cell r="A247" t="str">
            <v>B07BLWQZKS</v>
          </cell>
          <cell r="B247">
            <v>2</v>
          </cell>
          <cell r="C247">
            <v>2</v>
          </cell>
          <cell r="D247">
            <v>2</v>
          </cell>
          <cell r="E247">
            <v>3</v>
          </cell>
        </row>
        <row r="248">
          <cell r="A248" t="str">
            <v>B07BLX8JTR</v>
          </cell>
          <cell r="B248">
            <v>6</v>
          </cell>
          <cell r="C248">
            <v>1</v>
          </cell>
          <cell r="D248">
            <v>3</v>
          </cell>
          <cell r="E248">
            <v>3</v>
          </cell>
        </row>
        <row r="249">
          <cell r="A249" t="str">
            <v>B07BLX976V</v>
          </cell>
          <cell r="B249">
            <v>2</v>
          </cell>
          <cell r="C249">
            <v>3</v>
          </cell>
          <cell r="D249">
            <v>3</v>
          </cell>
          <cell r="E249">
            <v>1</v>
          </cell>
        </row>
        <row r="250">
          <cell r="A250" t="str">
            <v>B07BLXBP85</v>
          </cell>
          <cell r="B250">
            <v>2</v>
          </cell>
          <cell r="C250">
            <v>2</v>
          </cell>
          <cell r="D250">
            <v>2</v>
          </cell>
          <cell r="E250">
            <v>1</v>
          </cell>
        </row>
        <row r="251">
          <cell r="A251" t="str">
            <v>B07BLXGT2T</v>
          </cell>
          <cell r="B251">
            <v>2</v>
          </cell>
          <cell r="C251">
            <v>2</v>
          </cell>
          <cell r="D251">
            <v>3</v>
          </cell>
          <cell r="E251">
            <v>3</v>
          </cell>
        </row>
        <row r="252">
          <cell r="A252" t="str">
            <v>B07BLXHTK7</v>
          </cell>
          <cell r="B252">
            <v>1</v>
          </cell>
          <cell r="C252">
            <v>3</v>
          </cell>
          <cell r="D252">
            <v>3</v>
          </cell>
          <cell r="E252">
            <v>1</v>
          </cell>
        </row>
        <row r="253">
          <cell r="A253" t="str">
            <v>B07BLXLBHX</v>
          </cell>
          <cell r="B253">
            <v>1</v>
          </cell>
          <cell r="C253">
            <v>2</v>
          </cell>
          <cell r="D253">
            <v>2</v>
          </cell>
          <cell r="E253">
            <v>1</v>
          </cell>
        </row>
        <row r="254">
          <cell r="A254" t="str">
            <v>B07BLXSN84</v>
          </cell>
          <cell r="B254">
            <v>0</v>
          </cell>
          <cell r="C254">
            <v>4</v>
          </cell>
          <cell r="D254">
            <v>2</v>
          </cell>
          <cell r="E254">
            <v>3</v>
          </cell>
        </row>
        <row r="255">
          <cell r="A255" t="str">
            <v>B07BLXYK2X</v>
          </cell>
          <cell r="B255">
            <v>0</v>
          </cell>
          <cell r="C255">
            <v>2</v>
          </cell>
          <cell r="D255">
            <v>3</v>
          </cell>
          <cell r="E255">
            <v>2</v>
          </cell>
        </row>
        <row r="256">
          <cell r="A256" t="str">
            <v>B07BLYK979</v>
          </cell>
          <cell r="B256">
            <v>0</v>
          </cell>
          <cell r="C256">
            <v>2</v>
          </cell>
          <cell r="D256">
            <v>2</v>
          </cell>
          <cell r="E256">
            <v>2</v>
          </cell>
        </row>
        <row r="257">
          <cell r="A257" t="str">
            <v>B07BLZ5PS4</v>
          </cell>
          <cell r="B257">
            <v>0</v>
          </cell>
          <cell r="C257">
            <v>2</v>
          </cell>
          <cell r="D257">
            <v>2</v>
          </cell>
          <cell r="E257">
            <v>2</v>
          </cell>
        </row>
        <row r="258">
          <cell r="A258" t="str">
            <v>B07BLZDS36</v>
          </cell>
          <cell r="B258">
            <v>0</v>
          </cell>
          <cell r="C258">
            <v>3</v>
          </cell>
          <cell r="D258">
            <v>2</v>
          </cell>
          <cell r="E258">
            <v>2</v>
          </cell>
        </row>
        <row r="259">
          <cell r="A259" t="str">
            <v>B07BXDRZR3</v>
          </cell>
          <cell r="B259">
            <v>0</v>
          </cell>
          <cell r="C259">
            <v>0</v>
          </cell>
          <cell r="D259">
            <v>0</v>
          </cell>
          <cell r="E259">
            <v>1553</v>
          </cell>
        </row>
        <row r="260">
          <cell r="A260" t="str">
            <v>B07C16NFVZ</v>
          </cell>
          <cell r="B260">
            <v>53</v>
          </cell>
          <cell r="C260">
            <v>48</v>
          </cell>
          <cell r="D260">
            <v>328</v>
          </cell>
          <cell r="E260">
            <v>51</v>
          </cell>
        </row>
        <row r="261">
          <cell r="A261" t="str">
            <v>B07C1KX15Z</v>
          </cell>
          <cell r="B261">
            <v>0</v>
          </cell>
          <cell r="C261">
            <v>0</v>
          </cell>
          <cell r="D261">
            <v>0</v>
          </cell>
          <cell r="E261">
            <v>0</v>
          </cell>
        </row>
        <row r="262">
          <cell r="A262" t="str">
            <v>B07C1P3Z1B</v>
          </cell>
          <cell r="B262">
            <v>28</v>
          </cell>
          <cell r="C262">
            <v>25</v>
          </cell>
          <cell r="D262">
            <v>136</v>
          </cell>
          <cell r="E262">
            <v>33</v>
          </cell>
        </row>
        <row r="263">
          <cell r="A263" t="str">
            <v>B07C5SXQ14</v>
          </cell>
          <cell r="B263">
            <v>468</v>
          </cell>
          <cell r="C263">
            <v>559</v>
          </cell>
          <cell r="D263">
            <v>0</v>
          </cell>
          <cell r="E263">
            <v>612</v>
          </cell>
        </row>
        <row r="264">
          <cell r="A264" t="str">
            <v>B07C6X3XM7</v>
          </cell>
          <cell r="B264">
            <v>106</v>
          </cell>
          <cell r="C264">
            <v>34</v>
          </cell>
          <cell r="D264">
            <v>42</v>
          </cell>
          <cell r="E264">
            <v>34</v>
          </cell>
        </row>
        <row r="265">
          <cell r="A265" t="str">
            <v>B07C75PL9W</v>
          </cell>
          <cell r="B265">
            <v>164</v>
          </cell>
          <cell r="C265">
            <v>132</v>
          </cell>
          <cell r="D265">
            <v>287</v>
          </cell>
          <cell r="E265">
            <v>301</v>
          </cell>
        </row>
        <row r="266">
          <cell r="A266" t="str">
            <v>B07C8GHD9F</v>
          </cell>
          <cell r="B266">
            <v>0</v>
          </cell>
          <cell r="C266">
            <v>3</v>
          </cell>
          <cell r="D266">
            <v>2</v>
          </cell>
          <cell r="E266">
            <v>1</v>
          </cell>
        </row>
        <row r="267">
          <cell r="A267" t="str">
            <v>B07C8GM14Z</v>
          </cell>
          <cell r="B267">
            <v>1</v>
          </cell>
          <cell r="C267">
            <v>4</v>
          </cell>
          <cell r="D267">
            <v>3</v>
          </cell>
          <cell r="E267">
            <v>3</v>
          </cell>
        </row>
        <row r="268">
          <cell r="A268" t="str">
            <v>B07C8GM23V</v>
          </cell>
          <cell r="B268">
            <v>0</v>
          </cell>
          <cell r="C268">
            <v>3</v>
          </cell>
          <cell r="D268">
            <v>2</v>
          </cell>
          <cell r="E268">
            <v>1</v>
          </cell>
        </row>
        <row r="269">
          <cell r="A269" t="str">
            <v>B07C8R5S2P</v>
          </cell>
          <cell r="B269">
            <v>1</v>
          </cell>
          <cell r="C269">
            <v>2</v>
          </cell>
          <cell r="D269">
            <v>4</v>
          </cell>
          <cell r="E269">
            <v>2</v>
          </cell>
        </row>
        <row r="270">
          <cell r="A270" t="str">
            <v>B07CBPJCK5</v>
          </cell>
          <cell r="B270">
            <v>78</v>
          </cell>
          <cell r="C270">
            <v>57</v>
          </cell>
          <cell r="D270">
            <v>396</v>
          </cell>
          <cell r="E270">
            <v>81</v>
          </cell>
        </row>
        <row r="271">
          <cell r="A271" t="str">
            <v>B07CBPP52D</v>
          </cell>
          <cell r="B271">
            <v>65</v>
          </cell>
          <cell r="C271">
            <v>68</v>
          </cell>
          <cell r="D271">
            <v>230</v>
          </cell>
          <cell r="E271">
            <v>70</v>
          </cell>
        </row>
        <row r="272">
          <cell r="A272" t="str">
            <v>B07CBPWQZT</v>
          </cell>
          <cell r="B272">
            <v>179</v>
          </cell>
          <cell r="C272">
            <v>144</v>
          </cell>
          <cell r="D272">
            <v>310</v>
          </cell>
          <cell r="E272">
            <v>118</v>
          </cell>
        </row>
        <row r="273">
          <cell r="A273" t="str">
            <v>B07CBPY63R</v>
          </cell>
          <cell r="B273">
            <v>6</v>
          </cell>
          <cell r="C273">
            <v>5</v>
          </cell>
          <cell r="D273">
            <v>11</v>
          </cell>
          <cell r="E273">
            <v>1</v>
          </cell>
        </row>
        <row r="274">
          <cell r="A274" t="str">
            <v>B07CBR7LCS</v>
          </cell>
          <cell r="B274">
            <v>35</v>
          </cell>
          <cell r="C274">
            <v>34</v>
          </cell>
          <cell r="D274">
            <v>162</v>
          </cell>
          <cell r="E274">
            <v>54</v>
          </cell>
        </row>
        <row r="275">
          <cell r="A275" t="str">
            <v>B07CGJVWW6</v>
          </cell>
          <cell r="B275">
            <v>8</v>
          </cell>
          <cell r="C275">
            <v>19</v>
          </cell>
          <cell r="D275">
            <v>29</v>
          </cell>
          <cell r="E275">
            <v>8</v>
          </cell>
        </row>
        <row r="276">
          <cell r="A276" t="str">
            <v>B07CNVG6NZ</v>
          </cell>
          <cell r="B276">
            <v>113</v>
          </cell>
          <cell r="C276">
            <v>87</v>
          </cell>
          <cell r="D276">
            <v>120</v>
          </cell>
          <cell r="E276">
            <v>87</v>
          </cell>
        </row>
        <row r="277">
          <cell r="A277" t="str">
            <v>B07CQJNLWX</v>
          </cell>
          <cell r="B277">
            <v>54</v>
          </cell>
          <cell r="C277">
            <v>36</v>
          </cell>
          <cell r="D277">
            <v>38</v>
          </cell>
          <cell r="E277">
            <v>36</v>
          </cell>
        </row>
        <row r="278">
          <cell r="A278" t="str">
            <v>B07CRZGRK6</v>
          </cell>
          <cell r="B278">
            <v>45</v>
          </cell>
          <cell r="C278">
            <v>29</v>
          </cell>
          <cell r="D278">
            <v>78</v>
          </cell>
          <cell r="E278">
            <v>45</v>
          </cell>
        </row>
        <row r="279">
          <cell r="A279" t="str">
            <v>B07D8S8R3B</v>
          </cell>
          <cell r="B279">
            <v>50</v>
          </cell>
          <cell r="C279">
            <v>60</v>
          </cell>
          <cell r="D279">
            <v>55</v>
          </cell>
          <cell r="E279">
            <v>47</v>
          </cell>
        </row>
        <row r="280">
          <cell r="A280" t="str">
            <v>B07DF6DDNM</v>
          </cell>
          <cell r="B280">
            <v>140</v>
          </cell>
          <cell r="C280">
            <v>117</v>
          </cell>
          <cell r="D280">
            <v>64</v>
          </cell>
          <cell r="E280">
            <v>29</v>
          </cell>
        </row>
        <row r="281">
          <cell r="A281" t="str">
            <v>B07DF6XZQC</v>
          </cell>
          <cell r="B281">
            <v>26</v>
          </cell>
          <cell r="C281">
            <v>24</v>
          </cell>
          <cell r="D281">
            <v>147</v>
          </cell>
          <cell r="E281">
            <v>49</v>
          </cell>
        </row>
        <row r="282">
          <cell r="A282" t="str">
            <v>B07DF81JBH</v>
          </cell>
          <cell r="B282">
            <v>68</v>
          </cell>
          <cell r="C282">
            <v>41</v>
          </cell>
          <cell r="D282">
            <v>94</v>
          </cell>
          <cell r="E282">
            <v>72</v>
          </cell>
        </row>
        <row r="283">
          <cell r="A283" t="str">
            <v>B07DF9YBBV</v>
          </cell>
          <cell r="B283">
            <v>212</v>
          </cell>
          <cell r="C283">
            <v>100</v>
          </cell>
          <cell r="D283">
            <v>303</v>
          </cell>
          <cell r="E283">
            <v>47</v>
          </cell>
        </row>
        <row r="284">
          <cell r="A284" t="str">
            <v>B07DFBHNBF</v>
          </cell>
          <cell r="B284">
            <v>40</v>
          </cell>
          <cell r="C284">
            <v>36</v>
          </cell>
          <cell r="D284">
            <v>347</v>
          </cell>
          <cell r="E284">
            <v>70</v>
          </cell>
        </row>
        <row r="285">
          <cell r="A285" t="str">
            <v>B07DFBKQ2D</v>
          </cell>
          <cell r="B285">
            <v>75</v>
          </cell>
          <cell r="C285">
            <v>39</v>
          </cell>
          <cell r="D285">
            <v>60</v>
          </cell>
          <cell r="E285">
            <v>22</v>
          </cell>
        </row>
        <row r="286">
          <cell r="A286" t="str">
            <v>B07DFBM9N3</v>
          </cell>
          <cell r="B286">
            <v>39</v>
          </cell>
          <cell r="C286">
            <v>36</v>
          </cell>
          <cell r="D286">
            <v>174</v>
          </cell>
          <cell r="E286">
            <v>37</v>
          </cell>
        </row>
        <row r="287">
          <cell r="A287" t="str">
            <v>B07DFC3CFS</v>
          </cell>
          <cell r="B287">
            <v>50</v>
          </cell>
          <cell r="C287">
            <v>46</v>
          </cell>
          <cell r="D287">
            <v>16</v>
          </cell>
          <cell r="E287">
            <v>24</v>
          </cell>
        </row>
        <row r="288">
          <cell r="A288" t="str">
            <v>B07DFCKR8T</v>
          </cell>
          <cell r="B288">
            <v>83</v>
          </cell>
          <cell r="C288">
            <v>81</v>
          </cell>
          <cell r="D288">
            <v>306</v>
          </cell>
          <cell r="E288">
            <v>77</v>
          </cell>
        </row>
        <row r="289">
          <cell r="A289" t="str">
            <v>B07DJ8MH2Q</v>
          </cell>
          <cell r="B289">
            <v>7</v>
          </cell>
          <cell r="C289">
            <v>8</v>
          </cell>
          <cell r="D289">
            <v>15</v>
          </cell>
          <cell r="E289">
            <v>12</v>
          </cell>
        </row>
        <row r="290">
          <cell r="A290" t="str">
            <v>B07DL53SBF</v>
          </cell>
          <cell r="B290">
            <v>39</v>
          </cell>
          <cell r="C290">
            <v>26</v>
          </cell>
          <cell r="D290">
            <v>233</v>
          </cell>
          <cell r="E290">
            <v>53</v>
          </cell>
        </row>
        <row r="291">
          <cell r="A291" t="str">
            <v>B07DL5G8KV</v>
          </cell>
          <cell r="B291">
            <v>77</v>
          </cell>
          <cell r="C291">
            <v>71</v>
          </cell>
          <cell r="D291">
            <v>347</v>
          </cell>
          <cell r="E291">
            <v>72</v>
          </cell>
        </row>
        <row r="292">
          <cell r="A292" t="str">
            <v>B07DL5W2R6</v>
          </cell>
          <cell r="B292">
            <v>34</v>
          </cell>
          <cell r="C292">
            <v>33</v>
          </cell>
          <cell r="D292">
            <v>163</v>
          </cell>
          <cell r="E292">
            <v>34</v>
          </cell>
        </row>
        <row r="293">
          <cell r="A293" t="str">
            <v>B074SLTLS9</v>
          </cell>
          <cell r="B293">
            <v>8</v>
          </cell>
          <cell r="C293">
            <v>3</v>
          </cell>
          <cell r="D293">
            <v>2</v>
          </cell>
          <cell r="E293">
            <v>0</v>
          </cell>
        </row>
        <row r="294">
          <cell r="A294" t="str">
            <v>B074SLZVWD</v>
          </cell>
          <cell r="B294">
            <v>5</v>
          </cell>
          <cell r="C294">
            <v>4</v>
          </cell>
          <cell r="D294">
            <v>2</v>
          </cell>
          <cell r="E294">
            <v>0</v>
          </cell>
        </row>
        <row r="295">
          <cell r="A295" t="str">
            <v>B074SMT9CV</v>
          </cell>
          <cell r="B295">
            <v>4</v>
          </cell>
          <cell r="C295">
            <v>3</v>
          </cell>
          <cell r="D295">
            <v>5</v>
          </cell>
          <cell r="E295">
            <v>0</v>
          </cell>
        </row>
        <row r="296">
          <cell r="A296" t="str">
            <v>B074SNP44C</v>
          </cell>
          <cell r="B296">
            <v>4</v>
          </cell>
          <cell r="C296">
            <v>0</v>
          </cell>
          <cell r="D296">
            <v>2</v>
          </cell>
          <cell r="E296">
            <v>0</v>
          </cell>
        </row>
        <row r="297">
          <cell r="A297" t="str">
            <v>B074SZQ5DF</v>
          </cell>
          <cell r="B297">
            <v>0</v>
          </cell>
          <cell r="C297">
            <v>2</v>
          </cell>
          <cell r="D297">
            <v>3</v>
          </cell>
          <cell r="E297">
            <v>0</v>
          </cell>
        </row>
        <row r="298">
          <cell r="A298" t="str">
            <v>B077Z3FG6V</v>
          </cell>
          <cell r="B298">
            <v>1</v>
          </cell>
          <cell r="C298">
            <v>2</v>
          </cell>
          <cell r="D298">
            <v>1</v>
          </cell>
          <cell r="E298">
            <v>0</v>
          </cell>
        </row>
        <row r="299">
          <cell r="A299" t="str">
            <v>B077Z5M1T9</v>
          </cell>
          <cell r="B299">
            <v>0</v>
          </cell>
          <cell r="C299">
            <v>0</v>
          </cell>
          <cell r="D299">
            <v>1</v>
          </cell>
          <cell r="E299">
            <v>0</v>
          </cell>
        </row>
        <row r="300">
          <cell r="A300" t="str">
            <v>B077Z7RK81</v>
          </cell>
          <cell r="B300">
            <v>0</v>
          </cell>
          <cell r="C300">
            <v>0</v>
          </cell>
          <cell r="D300">
            <v>1</v>
          </cell>
          <cell r="E300">
            <v>0</v>
          </cell>
        </row>
        <row r="301">
          <cell r="A301" t="str">
            <v>B0785HZPS2</v>
          </cell>
          <cell r="B301">
            <v>2</v>
          </cell>
          <cell r="C301">
            <v>1</v>
          </cell>
          <cell r="D301">
            <v>2</v>
          </cell>
          <cell r="E301">
            <v>0</v>
          </cell>
        </row>
        <row r="302">
          <cell r="A302" t="str">
            <v>B0785K545N</v>
          </cell>
          <cell r="B302">
            <v>2</v>
          </cell>
          <cell r="C302">
            <v>2</v>
          </cell>
          <cell r="D302">
            <v>2</v>
          </cell>
          <cell r="E302">
            <v>0</v>
          </cell>
        </row>
        <row r="303">
          <cell r="A303" t="str">
            <v>B07BLR3VDW</v>
          </cell>
          <cell r="B303">
            <v>1</v>
          </cell>
          <cell r="C303">
            <v>1</v>
          </cell>
          <cell r="D303">
            <v>2</v>
          </cell>
          <cell r="E303">
            <v>0</v>
          </cell>
        </row>
        <row r="304">
          <cell r="A304" t="str">
            <v>B07BLRDXJK</v>
          </cell>
          <cell r="B304">
            <v>1</v>
          </cell>
          <cell r="C304">
            <v>1</v>
          </cell>
          <cell r="D304">
            <v>4</v>
          </cell>
          <cell r="E304">
            <v>0</v>
          </cell>
        </row>
        <row r="305">
          <cell r="A305" t="str">
            <v>B07BLRLRW6</v>
          </cell>
          <cell r="B305">
            <v>1</v>
          </cell>
          <cell r="C305">
            <v>1</v>
          </cell>
          <cell r="D305">
            <v>2</v>
          </cell>
          <cell r="E305">
            <v>0</v>
          </cell>
        </row>
        <row r="306">
          <cell r="A306" t="str">
            <v>B07BLRNMV5</v>
          </cell>
          <cell r="B306">
            <v>2</v>
          </cell>
          <cell r="C306">
            <v>1</v>
          </cell>
          <cell r="D306">
            <v>3</v>
          </cell>
          <cell r="E306">
            <v>0</v>
          </cell>
        </row>
        <row r="307">
          <cell r="A307" t="str">
            <v>B07BLRTLGM</v>
          </cell>
          <cell r="B307">
            <v>1</v>
          </cell>
          <cell r="C307">
            <v>2</v>
          </cell>
          <cell r="D307">
            <v>2</v>
          </cell>
          <cell r="E307">
            <v>0</v>
          </cell>
        </row>
        <row r="308">
          <cell r="A308" t="str">
            <v>B07BLRWPX4</v>
          </cell>
          <cell r="B308">
            <v>0</v>
          </cell>
          <cell r="C308">
            <v>1</v>
          </cell>
          <cell r="D308">
            <v>2</v>
          </cell>
          <cell r="E308">
            <v>0</v>
          </cell>
        </row>
        <row r="309">
          <cell r="A309" t="str">
            <v>B07BLRWWB9</v>
          </cell>
          <cell r="B309">
            <v>0</v>
          </cell>
          <cell r="C309">
            <v>0</v>
          </cell>
          <cell r="D309">
            <v>1</v>
          </cell>
          <cell r="E309">
            <v>0</v>
          </cell>
        </row>
        <row r="310">
          <cell r="A310" t="str">
            <v>B07BLT6QLH</v>
          </cell>
          <cell r="B310">
            <v>2</v>
          </cell>
          <cell r="C310">
            <v>2</v>
          </cell>
          <cell r="D310">
            <v>1</v>
          </cell>
          <cell r="E310">
            <v>0</v>
          </cell>
        </row>
        <row r="311">
          <cell r="A311" t="str">
            <v>B07BLT8Z76</v>
          </cell>
          <cell r="B311">
            <v>1</v>
          </cell>
          <cell r="C311">
            <v>3</v>
          </cell>
          <cell r="D311">
            <v>2</v>
          </cell>
          <cell r="E311">
            <v>0</v>
          </cell>
        </row>
        <row r="312">
          <cell r="A312" t="str">
            <v>B07BLZ8QQW</v>
          </cell>
          <cell r="B312">
            <v>0</v>
          </cell>
          <cell r="C312">
            <v>2</v>
          </cell>
          <cell r="D312">
            <v>2</v>
          </cell>
          <cell r="E312">
            <v>0</v>
          </cell>
        </row>
        <row r="313">
          <cell r="A313" t="str">
            <v>B07FM7ZQJJ</v>
          </cell>
          <cell r="B313">
            <v>12</v>
          </cell>
          <cell r="C313">
            <v>9</v>
          </cell>
          <cell r="D313">
            <v>6</v>
          </cell>
          <cell r="E313">
            <v>0</v>
          </cell>
        </row>
        <row r="314">
          <cell r="A314" t="str">
            <v>B07FMJ852L</v>
          </cell>
          <cell r="B314">
            <v>24</v>
          </cell>
          <cell r="C314">
            <v>25</v>
          </cell>
          <cell r="D314">
            <v>10</v>
          </cell>
          <cell r="E314">
            <v>0</v>
          </cell>
        </row>
        <row r="315">
          <cell r="A315" t="str">
            <v>B07FMJW6W8</v>
          </cell>
          <cell r="B315">
            <v>12</v>
          </cell>
          <cell r="C315">
            <v>7</v>
          </cell>
          <cell r="D315">
            <v>9</v>
          </cell>
          <cell r="E315">
            <v>0</v>
          </cell>
        </row>
        <row r="316">
          <cell r="A316" t="str">
            <v>B077Z1QPRQ</v>
          </cell>
          <cell r="B316">
            <v>1</v>
          </cell>
          <cell r="C316">
            <v>6</v>
          </cell>
          <cell r="D316">
            <v>0</v>
          </cell>
          <cell r="E316">
            <v>0</v>
          </cell>
        </row>
        <row r="317">
          <cell r="A317" t="str">
            <v>B077Z1SFPY</v>
          </cell>
          <cell r="B317">
            <v>1</v>
          </cell>
          <cell r="C317">
            <v>1</v>
          </cell>
          <cell r="D317">
            <v>0</v>
          </cell>
          <cell r="E317">
            <v>0</v>
          </cell>
        </row>
        <row r="318">
          <cell r="A318" t="str">
            <v>B077Z1TXX5</v>
          </cell>
          <cell r="B318">
            <v>0</v>
          </cell>
          <cell r="C318">
            <v>1</v>
          </cell>
          <cell r="D318">
            <v>0</v>
          </cell>
          <cell r="E318">
            <v>0</v>
          </cell>
        </row>
      </sheetData>
      <sheetData sheetId="2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I3229"/>
  <sheetViews>
    <sheetView workbookViewId="0">
      <pane xSplit="15" ySplit="5" topLeftCell="P6" activePane="bottomRight" state="frozen"/>
      <selection/>
      <selection pane="topRight"/>
      <selection pane="bottomLeft"/>
      <selection pane="bottomRight" activeCell="A6" sqref="A6:AT709"/>
    </sheetView>
  </sheetViews>
  <sheetFormatPr defaultColWidth="9" defaultRowHeight="14.25"/>
  <cols>
    <col min="1" max="1" width="18.625" customWidth="1"/>
    <col min="2" max="2" width="14.375" customWidth="1"/>
    <col min="3" max="3" width="15.375" customWidth="1"/>
    <col min="4" max="15" width="5.625" customWidth="1"/>
    <col min="16" max="17" width="12.5" customWidth="1"/>
    <col min="18" max="18" width="11.5" customWidth="1"/>
    <col min="19" max="19" width="10.625" customWidth="1"/>
    <col min="20" max="20" width="10.75" customWidth="1"/>
    <col min="21" max="21" width="10" customWidth="1"/>
    <col min="22" max="22" width="11.5" customWidth="1"/>
    <col min="23" max="23" width="10.875" customWidth="1"/>
    <col min="24" max="24" width="11.875" customWidth="1"/>
    <col min="25" max="25" width="12.375" customWidth="1"/>
    <col min="26" max="26" width="11.375" customWidth="1"/>
    <col min="27" max="27" width="10.5" customWidth="1"/>
    <col min="28" max="28" width="10.625" customWidth="1"/>
    <col min="29" max="29" width="10.75" customWidth="1"/>
    <col min="30" max="30" width="11.375" customWidth="1"/>
    <col min="31" max="31" width="9.875" customWidth="1"/>
    <col min="32" max="44" width="16" customWidth="1"/>
    <col min="45" max="45" width="12.375" style="7" customWidth="1"/>
    <col min="46" max="46" width="12.625" style="7" customWidth="1"/>
    <col min="47" max="47" width="15.875" style="7" customWidth="1"/>
    <col min="48" max="48" width="19.875" customWidth="1"/>
    <col min="49" max="49" width="21.125" customWidth="1"/>
  </cols>
  <sheetData>
    <row r="1" ht="30" customHeight="1" spans="1:48">
      <c r="A1" s="8" t="s">
        <v>0</v>
      </c>
      <c r="B1" s="8"/>
      <c r="C1" s="8"/>
      <c r="D1" s="29" t="s">
        <v>1</v>
      </c>
      <c r="E1" s="29"/>
      <c r="F1" s="29"/>
      <c r="G1" s="29"/>
      <c r="H1" s="29"/>
      <c r="I1" s="29" t="s">
        <v>2</v>
      </c>
      <c r="J1" s="29"/>
      <c r="K1" s="29"/>
      <c r="L1" s="29"/>
      <c r="M1" s="29"/>
      <c r="N1" s="29"/>
      <c r="O1" s="29"/>
      <c r="P1" s="29" t="s">
        <v>3</v>
      </c>
      <c r="Q1" s="29"/>
      <c r="R1" s="29"/>
      <c r="S1" s="29"/>
      <c r="T1" s="29" t="s">
        <v>4</v>
      </c>
      <c r="U1" s="29"/>
      <c r="V1" s="29"/>
      <c r="W1" s="29"/>
      <c r="X1" s="29" t="s">
        <v>5</v>
      </c>
      <c r="Y1" s="29"/>
      <c r="Z1" s="29"/>
      <c r="AA1" s="29"/>
      <c r="AB1" s="29" t="s">
        <v>6</v>
      </c>
      <c r="AC1" s="29"/>
      <c r="AD1" s="29"/>
      <c r="AE1" s="29"/>
      <c r="AF1" s="29" t="s">
        <v>7</v>
      </c>
      <c r="AG1" s="29"/>
      <c r="AH1" s="29"/>
      <c r="AI1" s="29"/>
      <c r="AJ1" s="29" t="s">
        <v>8</v>
      </c>
      <c r="AK1" s="29"/>
      <c r="AL1" s="29"/>
      <c r="AM1" s="29"/>
      <c r="AN1" s="29" t="s">
        <v>9</v>
      </c>
      <c r="AO1" s="29"/>
      <c r="AP1" s="29"/>
      <c r="AQ1" s="29"/>
      <c r="AR1" s="29" t="s">
        <v>10</v>
      </c>
      <c r="AS1" s="29"/>
      <c r="AT1" s="29"/>
      <c r="AU1" s="29"/>
      <c r="AV1" s="29"/>
    </row>
    <row r="2" s="27" customFormat="1" hidden="1" spans="1:49">
      <c r="A2" s="30">
        <f>时间!$B$1</f>
        <v>43290</v>
      </c>
      <c r="B2" t="e">
        <f>VLOOKUP(A2,'[1]子SKU-父SKU'!$A:$D,3,0)</f>
        <v>#N/A</v>
      </c>
      <c r="C2" t="e">
        <f>VLOOKUP(A2,'[1]子SKU-父SKU'!$A:$B,2,0)</f>
        <v>#N/A</v>
      </c>
      <c r="D2" s="31">
        <f>IFERROR(VLOOKUP(A2,[3]库存报告使用数据处理!$A:$B,2,0),0)</f>
        <v>0</v>
      </c>
      <c r="E2" s="31">
        <f>IFERROR(VLOOKUP(A2,[3]库存报告使用数据处理!$A:$C,3,0),0)</f>
        <v>0</v>
      </c>
      <c r="F2" s="31">
        <f>IFERROR(VLOOKUP(A2,[3]库存报告使用数据处理!$A:$D,4,0),0)</f>
        <v>0</v>
      </c>
      <c r="G2" s="31">
        <f>IFERROR(VLOOKUP(A2,[3]库存报告使用数据处理!$A:$E,5,0),0)</f>
        <v>0</v>
      </c>
      <c r="H2" s="32">
        <f>IFERROR(VLOOKUP(A2,[3]库存报告使用数据处理!$A:$F,6,0),0)</f>
        <v>0</v>
      </c>
      <c r="I2">
        <f>IFERROR(VLOOKUP(A2,[2]数据处理!$A:$B,2,0),0)</f>
        <v>0</v>
      </c>
      <c r="J2" s="33">
        <f>IFERROR(VLOOKUP(A2,[2]数据处理!$A:$D,4,0),0)</f>
        <v>0</v>
      </c>
      <c r="K2" s="33">
        <f>IFERROR(VLOOKUP(A2,[2]数据处理!$A:$E,5,0),0)</f>
        <v>0</v>
      </c>
      <c r="L2" s="33">
        <f>IFERROR(VLOOKUP(A2,[2]数据处理!$A:$G,7,0),0)</f>
        <v>0</v>
      </c>
      <c r="M2">
        <f>SUM(I2:L2)</f>
        <v>0</v>
      </c>
      <c r="N2">
        <f>IFERROR(VLOOKUP(A2,[2]数据处理!$A:$C,3,0),0)</f>
        <v>0</v>
      </c>
      <c r="O2">
        <f>IFERROR(VLOOKUP($A2,[2]数据处理!$A:$M,13,0),0)</f>
        <v>0</v>
      </c>
      <c r="P2" t="str">
        <f>IFERROR(VLOOKUP($A2,[4]库存使用数据!$A:$B,2,0),"")</f>
        <v/>
      </c>
      <c r="Q2" t="str">
        <f>IFERROR(VLOOKUP($A2,[4]库存使用数据!$A:$E,5,0),"")</f>
        <v/>
      </c>
      <c r="R2" t="str">
        <f>IFERROR(VLOOKUP($A2,[4]库存使用数据!$A:$H,8,0),"")</f>
        <v/>
      </c>
      <c r="S2" t="str">
        <f>IFERROR(VLOOKUP($A2,[4]库存使用数据!$A:$K,11,0),"")</f>
        <v/>
      </c>
      <c r="T2" t="str">
        <f>IFERROR(VLOOKUP($A2,[4]库存使用数据!$A:$C,3,0),"")</f>
        <v/>
      </c>
      <c r="U2" t="str">
        <f>IFERROR(VLOOKUP($A2,[4]库存使用数据!$A:$F,6,0),"")</f>
        <v/>
      </c>
      <c r="V2" t="str">
        <f>IFERROR(VLOOKUP($A2,[4]库存使用数据!$A:$I,9,0),"")</f>
        <v/>
      </c>
      <c r="W2" t="str">
        <f>IFERROR(VLOOKUP($A2,[4]库存使用数据!$A:$L,12,0),"")</f>
        <v/>
      </c>
      <c r="X2" s="23" t="e">
        <f t="shared" ref="X2:AA2" si="0">T2/P2</f>
        <v>#VALUE!</v>
      </c>
      <c r="Y2" s="23" t="e">
        <f t="shared" si="0"/>
        <v>#VALUE!</v>
      </c>
      <c r="Z2" s="23" t="e">
        <f t="shared" si="0"/>
        <v>#VALUE!</v>
      </c>
      <c r="AA2" s="23" t="e">
        <f t="shared" si="0"/>
        <v>#VALUE!</v>
      </c>
      <c r="AB2" t="str">
        <f>IFERROR(VLOOKUP($A2,[4]库存使用数据!$A:$D,4,0),"")</f>
        <v/>
      </c>
      <c r="AC2" t="str">
        <f>IFERROR(VLOOKUP($A2,[4]库存使用数据!$A:$G,7,0),"")</f>
        <v/>
      </c>
      <c r="AD2" t="str">
        <f>IFERROR(VLOOKUP($A2,[4]库存使用数据!$A:$J,10,0),"")</f>
        <v/>
      </c>
      <c r="AE2" t="str">
        <f>IFERROR(VLOOKUP($A2,[4]库存使用数据!$A:$M,13,0),"")</f>
        <v/>
      </c>
      <c r="AF2" s="23" t="str">
        <f>IF(OR(AB2="",AB2=0),"",IF(AND(D2*$H2=0,AB2&gt;0),"有广告无销售",IFERROR(AB2/(D2*$H2),0)))</f>
        <v/>
      </c>
      <c r="AG2" s="23" t="str">
        <f>IF(OR(AC2="",AC2=0),"",IF(AND(E2*$H2=0,AC2&gt;0),"有广告无销售",IFERROR(AC2/(E2*$H2),0)))</f>
        <v/>
      </c>
      <c r="AH2" s="23" t="str">
        <f>IF(OR(AD2="",AD2=0),"",IF(AND(F2*$H2=0,AD2&gt;0),"有广告无销售",IFERROR(AD2/(F2*$H2),0)))</f>
        <v/>
      </c>
      <c r="AI2" s="23" t="str">
        <f>IF(OR(AE2="",AE2=0),"",IF(AND(G2*$H2=0,AE2&gt;0),"有广告无销售",IFERROR(AE2/(G2*$H2),0)))</f>
        <v/>
      </c>
      <c r="AJ2">
        <f>IFERROR(VLOOKUP($B2,[5]库存报告使用数据!$A$1:$B$65536,2,0),0)</f>
        <v>0</v>
      </c>
      <c r="AK2">
        <f>IFERROR(VLOOKUP($B2,[5]库存报告使用数据!$A$1:$C$65536,3,0),0)</f>
        <v>0</v>
      </c>
      <c r="AL2">
        <f>IFERROR(VLOOKUP($B2,[5]库存报告使用数据!$A$1:$D$65536,4,0),0)</f>
        <v>0</v>
      </c>
      <c r="AM2">
        <f>IFERROR(VLOOKUP($B2,[5]库存报告使用数据!$A$1:$E$65536,5,0),0)</f>
        <v>0</v>
      </c>
      <c r="AN2" s="23" t="e">
        <f t="shared" ref="AN2:AQ2" si="1">D2/AJ2</f>
        <v>#DIV/0!</v>
      </c>
      <c r="AO2" s="23" t="e">
        <f t="shared" si="1"/>
        <v>#DIV/0!</v>
      </c>
      <c r="AP2" s="23" t="e">
        <f t="shared" si="1"/>
        <v>#DIV/0!</v>
      </c>
      <c r="AQ2" s="23" t="e">
        <f t="shared" si="1"/>
        <v>#DIV/0!</v>
      </c>
      <c r="AR2" s="35">
        <f>IFERROR(D2/7,"")</f>
        <v>0</v>
      </c>
      <c r="AS2" s="35">
        <f>IF(AR2="","上周无销量",60*AR2)</f>
        <v>0</v>
      </c>
      <c r="AT2" s="35">
        <f>IF(AS2="上周无销量","上周无销量/总库存"&amp;M2,M2-AS2)</f>
        <v>0</v>
      </c>
      <c r="AU2" s="31" t="str">
        <f t="shared" ref="AU2:AU68" si="2">IF(AR2="","库存为"&amp;M2,IF(AS2=0,"库存为"&amp;M2,INT(M2/AR2)))</f>
        <v>库存为0</v>
      </c>
      <c r="AV2" s="36" t="str">
        <f>IFERROR($A$2+AU2,"上周无销量")</f>
        <v>上周无销量</v>
      </c>
      <c r="AW2" s="36" t="str">
        <f>IFERROR($A$2+AV2,"上周无销量")</f>
        <v>上周无销量</v>
      </c>
    </row>
    <row r="3" s="28" customFormat="1" ht="24.95" customHeight="1" spans="1:61">
      <c r="A3" s="14" t="s">
        <v>11</v>
      </c>
      <c r="B3" s="14"/>
      <c r="C3" s="14"/>
      <c r="D3" s="14" t="str">
        <f>TEXT(时间!$B$6,"yyyy/M/d")&amp;"-"&amp;TEXT(时间!$B$5,"yyyy/M/d")</f>
        <v>2018/7/30-2018/8/5</v>
      </c>
      <c r="E3" s="14" t="str">
        <f>TEXT(时间!$B$8,"yyyy/M/d")&amp;"-"&amp;TEXT(时间!$B$7,"yyyy/M/d")</f>
        <v>2018/7/23-2018/7/29</v>
      </c>
      <c r="F3" s="14" t="str">
        <f>TEXT(时间!$B$10,"yyyy/M/d")&amp;"-"&amp;TEXT(时间!$B$9,"yyyy/M/d")</f>
        <v>2018/7/16-2018/7/22</v>
      </c>
      <c r="G3" s="14" t="str">
        <f>TEXT(时间!$B$12,"yyyy/M/d")&amp;"-"&amp;TEXT(时间!$B$11,"yyyy/M/d")</f>
        <v>2018/7/9-2018/7/15</v>
      </c>
      <c r="I3" s="14"/>
      <c r="J3" s="14"/>
      <c r="K3" s="14"/>
      <c r="L3" s="14"/>
      <c r="M3" s="14"/>
      <c r="N3" s="14"/>
      <c r="O3" s="19" t="s">
        <v>12</v>
      </c>
      <c r="P3" s="14"/>
      <c r="Q3" s="34"/>
      <c r="R3" s="34"/>
      <c r="S3" s="34"/>
      <c r="T3" s="34"/>
      <c r="U3" s="34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</row>
    <row r="4" spans="1:48">
      <c r="A4" t="s">
        <v>13</v>
      </c>
      <c r="B4" t="s">
        <v>14</v>
      </c>
      <c r="C4" t="s">
        <v>15</v>
      </c>
      <c r="D4" t="s">
        <v>16</v>
      </c>
      <c r="E4" t="s">
        <v>17</v>
      </c>
      <c r="F4" t="s">
        <v>18</v>
      </c>
      <c r="G4" t="s">
        <v>19</v>
      </c>
      <c r="H4" t="s">
        <v>20</v>
      </c>
      <c r="I4" t="s">
        <v>21</v>
      </c>
      <c r="J4" t="s">
        <v>22</v>
      </c>
      <c r="K4" t="s">
        <v>23</v>
      </c>
      <c r="L4" t="s">
        <v>24</v>
      </c>
      <c r="M4" t="s">
        <v>25</v>
      </c>
      <c r="N4" t="s">
        <v>26</v>
      </c>
      <c r="O4" t="s">
        <v>27</v>
      </c>
      <c r="P4" s="21" t="s">
        <v>28</v>
      </c>
      <c r="Q4" s="21" t="s">
        <v>29</v>
      </c>
      <c r="R4" s="21" t="s">
        <v>30</v>
      </c>
      <c r="S4" s="21" t="s">
        <v>31</v>
      </c>
      <c r="T4" s="21" t="s">
        <v>32</v>
      </c>
      <c r="U4" s="21" t="s">
        <v>33</v>
      </c>
      <c r="V4" s="21" t="s">
        <v>34</v>
      </c>
      <c r="W4" s="21" t="s">
        <v>35</v>
      </c>
      <c r="X4" s="21" t="s">
        <v>36</v>
      </c>
      <c r="Y4" s="21" t="s">
        <v>37</v>
      </c>
      <c r="Z4" s="21" t="s">
        <v>38</v>
      </c>
      <c r="AA4" s="21" t="s">
        <v>39</v>
      </c>
      <c r="AB4" s="21" t="s">
        <v>40</v>
      </c>
      <c r="AC4" s="21" t="s">
        <v>41</v>
      </c>
      <c r="AD4" s="21" t="s">
        <v>42</v>
      </c>
      <c r="AE4" s="21" t="s">
        <v>43</v>
      </c>
      <c r="AF4" s="21">
        <f>时间!$B$6</f>
        <v>43311</v>
      </c>
      <c r="AG4" s="21">
        <f>时间!$B$7</f>
        <v>43310</v>
      </c>
      <c r="AH4" s="21">
        <f>时间!$B$8</f>
        <v>43304</v>
      </c>
      <c r="AI4" s="21">
        <f>时间!$B$9</f>
        <v>43303</v>
      </c>
      <c r="AJ4" s="21">
        <f>时间!$B$6</f>
        <v>43311</v>
      </c>
      <c r="AK4" s="21">
        <f>时间!$B$7</f>
        <v>43310</v>
      </c>
      <c r="AL4" s="21">
        <f>时间!$B$8</f>
        <v>43304</v>
      </c>
      <c r="AM4" s="21">
        <f>时间!$B$9</f>
        <v>43303</v>
      </c>
      <c r="AN4" s="21">
        <f>时间!$B$6</f>
        <v>43311</v>
      </c>
      <c r="AO4" s="21">
        <f>时间!$B$7</f>
        <v>43310</v>
      </c>
      <c r="AP4" s="21">
        <f>时间!$B$8</f>
        <v>43304</v>
      </c>
      <c r="AQ4" s="21">
        <f>时间!$B$9</f>
        <v>43303</v>
      </c>
      <c r="AR4" s="7" t="s">
        <v>44</v>
      </c>
      <c r="AS4" s="7" t="s">
        <v>45</v>
      </c>
      <c r="AT4" s="7" t="s">
        <v>46</v>
      </c>
      <c r="AU4" t="s">
        <v>47</v>
      </c>
      <c r="AV4" t="s">
        <v>48</v>
      </c>
    </row>
    <row r="5" spans="1:48">
      <c r="A5" s="4" t="s">
        <v>49</v>
      </c>
      <c r="B5" s="4"/>
      <c r="C5" s="4"/>
      <c r="D5" s="4">
        <f>SUM(D6:D19999)</f>
        <v>534</v>
      </c>
      <c r="E5" s="4">
        <f>SUM(E6:E19999)</f>
        <v>381</v>
      </c>
      <c r="F5" s="4">
        <f>SUM(F6:F19999)</f>
        <v>1357</v>
      </c>
      <c r="G5" s="4">
        <f>SUM(G6:G19999)</f>
        <v>442</v>
      </c>
      <c r="I5" s="4">
        <f t="shared" ref="I5:O5" si="3">SUM(I6:I29999)</f>
        <v>2874</v>
      </c>
      <c r="J5" s="4">
        <f t="shared" si="3"/>
        <v>1864</v>
      </c>
      <c r="K5" s="4">
        <f t="shared" si="3"/>
        <v>55</v>
      </c>
      <c r="L5" s="4">
        <f t="shared" si="3"/>
        <v>238</v>
      </c>
      <c r="M5" s="4">
        <f t="shared" si="3"/>
        <v>5031</v>
      </c>
      <c r="N5" s="4">
        <f t="shared" si="3"/>
        <v>19</v>
      </c>
      <c r="O5" s="4">
        <f t="shared" si="3"/>
        <v>1130</v>
      </c>
      <c r="AB5" s="4">
        <f>SUM(AB6:AB2099)</f>
        <v>1777.24</v>
      </c>
      <c r="AC5" s="4">
        <f>SUM(AC6:AC2099)</f>
        <v>837.08</v>
      </c>
      <c r="AD5" s="4">
        <f>SUM(AD6:AD2099)</f>
        <v>884.14</v>
      </c>
      <c r="AE5" s="4">
        <f>SUM(AE6:AE2099)</f>
        <v>537.12</v>
      </c>
      <c r="AF5" s="4" t="s">
        <v>50</v>
      </c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7"/>
      <c r="AU5" s="37"/>
      <c r="AV5" s="37"/>
    </row>
    <row r="6" spans="1:48">
      <c r="A6" s="21" t="s">
        <v>51</v>
      </c>
      <c r="B6" t="s">
        <v>52</v>
      </c>
      <c r="C6" t="s">
        <v>53</v>
      </c>
      <c r="D6" s="31">
        <v>0</v>
      </c>
      <c r="E6" s="31">
        <v>0</v>
      </c>
      <c r="F6" s="31">
        <v>1</v>
      </c>
      <c r="G6" s="31">
        <v>0</v>
      </c>
      <c r="H6" s="32">
        <v>8.99</v>
      </c>
      <c r="I6">
        <v>0</v>
      </c>
      <c r="J6" s="33">
        <v>5</v>
      </c>
      <c r="K6" s="33">
        <v>0</v>
      </c>
      <c r="L6" s="33">
        <v>0</v>
      </c>
      <c r="M6">
        <v>5</v>
      </c>
      <c r="N6">
        <v>0</v>
      </c>
      <c r="O6">
        <v>0</v>
      </c>
      <c r="P6">
        <v>0</v>
      </c>
      <c r="Q6">
        <v>0</v>
      </c>
      <c r="R6">
        <v>156</v>
      </c>
      <c r="S6">
        <v>118</v>
      </c>
      <c r="T6">
        <v>0</v>
      </c>
      <c r="U6">
        <v>0</v>
      </c>
      <c r="V6">
        <v>1</v>
      </c>
      <c r="W6">
        <v>0</v>
      </c>
      <c r="X6" s="23" t="s">
        <v>54</v>
      </c>
      <c r="Y6" s="23" t="s">
        <v>54</v>
      </c>
      <c r="Z6" s="23">
        <v>0.00641025641025641</v>
      </c>
      <c r="AA6" s="23">
        <v>0</v>
      </c>
      <c r="AB6">
        <v>0</v>
      </c>
      <c r="AC6">
        <v>0</v>
      </c>
      <c r="AD6">
        <v>0.43</v>
      </c>
      <c r="AE6">
        <v>0</v>
      </c>
      <c r="AF6" s="23" t="s">
        <v>54</v>
      </c>
      <c r="AG6" s="23" t="s">
        <v>54</v>
      </c>
      <c r="AH6" s="23">
        <v>0.0478309232480534</v>
      </c>
      <c r="AI6" s="23" t="s">
        <v>54</v>
      </c>
      <c r="AJ6">
        <v>0</v>
      </c>
      <c r="AK6">
        <v>0</v>
      </c>
      <c r="AL6">
        <v>7</v>
      </c>
      <c r="AM6">
        <v>2</v>
      </c>
      <c r="AN6" s="23" t="s">
        <v>54</v>
      </c>
      <c r="AO6" s="23" t="s">
        <v>54</v>
      </c>
      <c r="AP6" s="23">
        <v>0.142857142857143</v>
      </c>
      <c r="AQ6" s="23">
        <v>0</v>
      </c>
      <c r="AR6" s="35">
        <v>0</v>
      </c>
      <c r="AS6" s="35">
        <v>0</v>
      </c>
      <c r="AT6" s="35">
        <v>5</v>
      </c>
      <c r="AU6" s="31" t="str">
        <f t="shared" si="2"/>
        <v>库存为5</v>
      </c>
      <c r="AV6" s="36" t="str">
        <f>IFERROR($A$2+AU6,"上周无销量")</f>
        <v>上周无销量</v>
      </c>
    </row>
    <row r="7" spans="1:48">
      <c r="A7" s="21" t="s">
        <v>55</v>
      </c>
      <c r="B7" t="s">
        <v>56</v>
      </c>
      <c r="C7" t="s">
        <v>53</v>
      </c>
      <c r="D7" s="31">
        <v>0</v>
      </c>
      <c r="E7" s="31">
        <v>0</v>
      </c>
      <c r="F7" s="31">
        <v>0</v>
      </c>
      <c r="G7" s="31">
        <v>0</v>
      </c>
      <c r="H7" s="32">
        <v>0</v>
      </c>
      <c r="I7">
        <v>4</v>
      </c>
      <c r="J7" s="33">
        <v>0</v>
      </c>
      <c r="K7" s="33">
        <v>0</v>
      </c>
      <c r="L7" s="33">
        <v>0</v>
      </c>
      <c r="M7">
        <v>4</v>
      </c>
      <c r="N7">
        <v>0</v>
      </c>
      <c r="O7">
        <v>4</v>
      </c>
      <c r="P7" t="s">
        <v>54</v>
      </c>
      <c r="Q7" t="s">
        <v>54</v>
      </c>
      <c r="R7" t="s">
        <v>54</v>
      </c>
      <c r="S7" t="s">
        <v>54</v>
      </c>
      <c r="T7" t="s">
        <v>54</v>
      </c>
      <c r="U7" t="s">
        <v>54</v>
      </c>
      <c r="V7" t="s">
        <v>54</v>
      </c>
      <c r="W7" t="s">
        <v>54</v>
      </c>
      <c r="X7" s="23" t="s">
        <v>54</v>
      </c>
      <c r="Y7" s="23" t="s">
        <v>54</v>
      </c>
      <c r="Z7" s="23" t="s">
        <v>54</v>
      </c>
      <c r="AA7" s="23" t="s">
        <v>54</v>
      </c>
      <c r="AB7" t="s">
        <v>54</v>
      </c>
      <c r="AC7" t="s">
        <v>54</v>
      </c>
      <c r="AD7" t="s">
        <v>54</v>
      </c>
      <c r="AE7" t="s">
        <v>54</v>
      </c>
      <c r="AF7" s="23" t="s">
        <v>54</v>
      </c>
      <c r="AG7" s="23" t="s">
        <v>54</v>
      </c>
      <c r="AH7" s="23" t="s">
        <v>54</v>
      </c>
      <c r="AI7" s="23" t="s">
        <v>54</v>
      </c>
      <c r="AJ7">
        <v>1</v>
      </c>
      <c r="AK7">
        <v>5</v>
      </c>
      <c r="AL7">
        <v>1</v>
      </c>
      <c r="AM7">
        <v>2</v>
      </c>
      <c r="AN7" s="23">
        <v>0</v>
      </c>
      <c r="AO7" s="23">
        <v>0</v>
      </c>
      <c r="AP7" s="23">
        <v>0</v>
      </c>
      <c r="AQ7" s="23">
        <v>0</v>
      </c>
      <c r="AR7" s="35">
        <v>0</v>
      </c>
      <c r="AS7" s="35">
        <v>0</v>
      </c>
      <c r="AT7" s="35">
        <v>4</v>
      </c>
      <c r="AU7" s="31" t="str">
        <f t="shared" si="2"/>
        <v>库存为4</v>
      </c>
      <c r="AV7" s="36" t="str">
        <f>IFERROR($A$2+AU7,"上周无销量")</f>
        <v>上周无销量</v>
      </c>
    </row>
    <row r="8" spans="1:48">
      <c r="A8" s="21" t="s">
        <v>57</v>
      </c>
      <c r="B8" t="s">
        <v>58</v>
      </c>
      <c r="C8" t="s">
        <v>53</v>
      </c>
      <c r="D8" s="31">
        <v>0</v>
      </c>
      <c r="E8" s="31">
        <v>0</v>
      </c>
      <c r="F8" s="31">
        <v>0</v>
      </c>
      <c r="G8" s="31">
        <v>0</v>
      </c>
      <c r="H8" s="32">
        <v>0</v>
      </c>
      <c r="I8">
        <v>2</v>
      </c>
      <c r="J8" s="33">
        <v>0</v>
      </c>
      <c r="K8" s="33">
        <v>0</v>
      </c>
      <c r="L8" s="33">
        <v>0</v>
      </c>
      <c r="M8">
        <v>2</v>
      </c>
      <c r="N8">
        <v>0</v>
      </c>
      <c r="O8">
        <v>2</v>
      </c>
      <c r="P8" t="s">
        <v>54</v>
      </c>
      <c r="Q8" t="s">
        <v>54</v>
      </c>
      <c r="R8" t="s">
        <v>54</v>
      </c>
      <c r="S8" t="s">
        <v>54</v>
      </c>
      <c r="T8" t="s">
        <v>54</v>
      </c>
      <c r="U8" t="s">
        <v>54</v>
      </c>
      <c r="V8" t="s">
        <v>54</v>
      </c>
      <c r="W8" t="s">
        <v>54</v>
      </c>
      <c r="X8" s="23" t="s">
        <v>54</v>
      </c>
      <c r="Y8" s="23" t="s">
        <v>54</v>
      </c>
      <c r="Z8" s="23" t="s">
        <v>54</v>
      </c>
      <c r="AA8" s="23" t="s">
        <v>54</v>
      </c>
      <c r="AB8" t="s">
        <v>54</v>
      </c>
      <c r="AC8" t="s">
        <v>54</v>
      </c>
      <c r="AD8" t="s">
        <v>54</v>
      </c>
      <c r="AE8" t="s">
        <v>54</v>
      </c>
      <c r="AF8" s="23" t="s">
        <v>54</v>
      </c>
      <c r="AG8" s="23" t="s">
        <v>54</v>
      </c>
      <c r="AH8" s="23" t="s">
        <v>54</v>
      </c>
      <c r="AI8" s="23" t="s">
        <v>54</v>
      </c>
      <c r="AJ8">
        <v>1</v>
      </c>
      <c r="AK8">
        <v>4</v>
      </c>
      <c r="AL8">
        <v>6</v>
      </c>
      <c r="AM8">
        <v>1</v>
      </c>
      <c r="AN8" s="23">
        <v>0</v>
      </c>
      <c r="AO8" s="23">
        <v>0</v>
      </c>
      <c r="AP8" s="23">
        <v>0</v>
      </c>
      <c r="AQ8" s="23">
        <v>0</v>
      </c>
      <c r="AR8" s="35">
        <v>0</v>
      </c>
      <c r="AS8" s="35">
        <v>0</v>
      </c>
      <c r="AT8" s="35">
        <v>2</v>
      </c>
      <c r="AU8" s="31" t="str">
        <f t="shared" si="2"/>
        <v>库存为2</v>
      </c>
      <c r="AV8" s="36" t="str">
        <f>IFERROR($A$2+AU8,"上周无销量")</f>
        <v>上周无销量</v>
      </c>
    </row>
    <row r="9" spans="1:48">
      <c r="A9" s="21" t="s">
        <v>59</v>
      </c>
      <c r="B9" t="s">
        <v>60</v>
      </c>
      <c r="C9" t="s">
        <v>53</v>
      </c>
      <c r="D9" s="31">
        <v>0</v>
      </c>
      <c r="E9" s="31">
        <v>1</v>
      </c>
      <c r="F9" s="31">
        <v>0</v>
      </c>
      <c r="G9" s="31">
        <v>0</v>
      </c>
      <c r="H9" s="32">
        <v>10</v>
      </c>
      <c r="I9">
        <v>3</v>
      </c>
      <c r="J9" s="33">
        <v>0</v>
      </c>
      <c r="K9" s="33">
        <v>0</v>
      </c>
      <c r="L9" s="33">
        <v>0</v>
      </c>
      <c r="M9">
        <v>3</v>
      </c>
      <c r="N9">
        <v>0</v>
      </c>
      <c r="O9">
        <v>3</v>
      </c>
      <c r="P9" t="s">
        <v>54</v>
      </c>
      <c r="Q9" t="s">
        <v>54</v>
      </c>
      <c r="R9" t="s">
        <v>54</v>
      </c>
      <c r="S9" t="s">
        <v>54</v>
      </c>
      <c r="T9" t="s">
        <v>54</v>
      </c>
      <c r="U9" t="s">
        <v>54</v>
      </c>
      <c r="V9" t="s">
        <v>54</v>
      </c>
      <c r="W9" t="s">
        <v>54</v>
      </c>
      <c r="X9" s="23" t="s">
        <v>54</v>
      </c>
      <c r="Y9" s="23" t="s">
        <v>54</v>
      </c>
      <c r="Z9" s="23" t="s">
        <v>54</v>
      </c>
      <c r="AA9" s="23" t="s">
        <v>54</v>
      </c>
      <c r="AB9" t="s">
        <v>54</v>
      </c>
      <c r="AC9" t="s">
        <v>54</v>
      </c>
      <c r="AD9" t="s">
        <v>54</v>
      </c>
      <c r="AE9" t="s">
        <v>54</v>
      </c>
      <c r="AF9" s="23" t="s">
        <v>54</v>
      </c>
      <c r="AG9" s="23" t="s">
        <v>54</v>
      </c>
      <c r="AH9" s="23" t="s">
        <v>54</v>
      </c>
      <c r="AI9" s="23" t="s">
        <v>54</v>
      </c>
      <c r="AJ9">
        <v>6</v>
      </c>
      <c r="AK9">
        <v>1</v>
      </c>
      <c r="AL9">
        <v>3</v>
      </c>
      <c r="AM9">
        <v>3</v>
      </c>
      <c r="AN9" s="23">
        <v>0</v>
      </c>
      <c r="AO9" s="23">
        <v>1</v>
      </c>
      <c r="AP9" s="23">
        <v>0</v>
      </c>
      <c r="AQ9" s="23">
        <v>0</v>
      </c>
      <c r="AR9" s="35">
        <v>0</v>
      </c>
      <c r="AS9" s="35">
        <v>0</v>
      </c>
      <c r="AT9" s="35">
        <v>3</v>
      </c>
      <c r="AU9" s="31" t="str">
        <f t="shared" si="2"/>
        <v>库存为3</v>
      </c>
      <c r="AV9" s="36" t="str">
        <f>IFERROR($A$2+AU9,"上周无销量")</f>
        <v>上周无销量</v>
      </c>
    </row>
    <row r="10" spans="1:48">
      <c r="A10" s="21" t="s">
        <v>61</v>
      </c>
      <c r="B10" t="s">
        <v>62</v>
      </c>
      <c r="C10" t="s">
        <v>53</v>
      </c>
      <c r="D10" s="31">
        <v>0</v>
      </c>
      <c r="E10" s="31">
        <v>0</v>
      </c>
      <c r="F10" s="31">
        <v>0</v>
      </c>
      <c r="G10" s="31">
        <v>0</v>
      </c>
      <c r="H10" s="32">
        <v>0</v>
      </c>
      <c r="I10">
        <v>2</v>
      </c>
      <c r="J10" s="33">
        <v>0</v>
      </c>
      <c r="K10" s="33">
        <v>0</v>
      </c>
      <c r="L10" s="33">
        <v>0</v>
      </c>
      <c r="M10">
        <v>2</v>
      </c>
      <c r="N10">
        <v>0</v>
      </c>
      <c r="O10">
        <v>2</v>
      </c>
      <c r="P10" t="s">
        <v>54</v>
      </c>
      <c r="Q10" t="s">
        <v>54</v>
      </c>
      <c r="R10" t="s">
        <v>54</v>
      </c>
      <c r="S10" t="s">
        <v>54</v>
      </c>
      <c r="T10" t="s">
        <v>54</v>
      </c>
      <c r="U10" t="s">
        <v>54</v>
      </c>
      <c r="V10" t="s">
        <v>54</v>
      </c>
      <c r="W10" t="s">
        <v>54</v>
      </c>
      <c r="X10" s="23" t="s">
        <v>54</v>
      </c>
      <c r="Y10" s="23" t="s">
        <v>54</v>
      </c>
      <c r="Z10" s="23" t="s">
        <v>54</v>
      </c>
      <c r="AA10" s="23" t="s">
        <v>54</v>
      </c>
      <c r="AB10" t="s">
        <v>54</v>
      </c>
      <c r="AC10" t="s">
        <v>54</v>
      </c>
      <c r="AD10" t="s">
        <v>54</v>
      </c>
      <c r="AE10" t="s">
        <v>54</v>
      </c>
      <c r="AF10" s="23" t="s">
        <v>54</v>
      </c>
      <c r="AG10" s="23" t="s">
        <v>54</v>
      </c>
      <c r="AH10" s="23" t="s">
        <v>54</v>
      </c>
      <c r="AI10" s="23" t="s">
        <v>54</v>
      </c>
      <c r="AJ10">
        <v>1</v>
      </c>
      <c r="AK10">
        <v>2</v>
      </c>
      <c r="AL10">
        <v>3</v>
      </c>
      <c r="AM10">
        <v>2</v>
      </c>
      <c r="AN10" s="23">
        <v>0</v>
      </c>
      <c r="AO10" s="23">
        <v>0</v>
      </c>
      <c r="AP10" s="23">
        <v>0</v>
      </c>
      <c r="AQ10" s="23">
        <v>0</v>
      </c>
      <c r="AR10" s="35">
        <v>0</v>
      </c>
      <c r="AS10" s="35">
        <v>0</v>
      </c>
      <c r="AT10" s="35">
        <v>2</v>
      </c>
      <c r="AU10" s="31" t="str">
        <f t="shared" si="2"/>
        <v>库存为2</v>
      </c>
      <c r="AV10" s="36" t="str">
        <f>IFERROR($A$2+AU10,"上周无销量")</f>
        <v>上周无销量</v>
      </c>
    </row>
    <row r="11" spans="1:48">
      <c r="A11" s="21" t="s">
        <v>63</v>
      </c>
      <c r="B11" t="s">
        <v>64</v>
      </c>
      <c r="C11" t="s">
        <v>53</v>
      </c>
      <c r="D11" s="31">
        <v>0</v>
      </c>
      <c r="E11" s="31">
        <v>0</v>
      </c>
      <c r="F11" s="31">
        <v>0</v>
      </c>
      <c r="G11" s="31">
        <v>0</v>
      </c>
      <c r="H11" s="32">
        <v>0</v>
      </c>
      <c r="I11">
        <v>4</v>
      </c>
      <c r="J11" s="33">
        <v>0</v>
      </c>
      <c r="K11" s="33">
        <v>0</v>
      </c>
      <c r="L11" s="33">
        <v>0</v>
      </c>
      <c r="M11">
        <v>4</v>
      </c>
      <c r="N11">
        <v>0</v>
      </c>
      <c r="O11">
        <v>4</v>
      </c>
      <c r="P11" t="s">
        <v>54</v>
      </c>
      <c r="Q11" t="s">
        <v>54</v>
      </c>
      <c r="R11" t="s">
        <v>54</v>
      </c>
      <c r="S11" t="s">
        <v>54</v>
      </c>
      <c r="T11" t="s">
        <v>54</v>
      </c>
      <c r="U11" t="s">
        <v>54</v>
      </c>
      <c r="V11" t="s">
        <v>54</v>
      </c>
      <c r="W11" t="s">
        <v>54</v>
      </c>
      <c r="X11" s="23" t="s">
        <v>54</v>
      </c>
      <c r="Y11" s="23" t="s">
        <v>54</v>
      </c>
      <c r="Z11" s="23" t="s">
        <v>54</v>
      </c>
      <c r="AA11" s="23" t="s">
        <v>54</v>
      </c>
      <c r="AB11" t="s">
        <v>54</v>
      </c>
      <c r="AC11" t="s">
        <v>54</v>
      </c>
      <c r="AD11" t="s">
        <v>54</v>
      </c>
      <c r="AE11" t="s">
        <v>54</v>
      </c>
      <c r="AF11" s="23" t="s">
        <v>54</v>
      </c>
      <c r="AG11" s="23" t="s">
        <v>54</v>
      </c>
      <c r="AH11" s="23" t="s">
        <v>54</v>
      </c>
      <c r="AI11" s="23" t="s">
        <v>54</v>
      </c>
      <c r="AJ11">
        <v>1</v>
      </c>
      <c r="AK11">
        <v>1</v>
      </c>
      <c r="AL11">
        <v>2</v>
      </c>
      <c r="AM11">
        <v>2</v>
      </c>
      <c r="AN11" s="23">
        <v>0</v>
      </c>
      <c r="AO11" s="23">
        <v>0</v>
      </c>
      <c r="AP11" s="23">
        <v>0</v>
      </c>
      <c r="AQ11" s="23">
        <v>0</v>
      </c>
      <c r="AR11" s="35">
        <v>0</v>
      </c>
      <c r="AS11" s="35">
        <v>0</v>
      </c>
      <c r="AT11" s="35">
        <v>4</v>
      </c>
      <c r="AU11" s="31" t="str">
        <f t="shared" si="2"/>
        <v>库存为4</v>
      </c>
      <c r="AV11" s="36" t="str">
        <f>IFERROR($A$2+AU11,"上周无销量")</f>
        <v>上周无销量</v>
      </c>
    </row>
    <row r="12" spans="1:48">
      <c r="A12" s="21" t="s">
        <v>65</v>
      </c>
      <c r="B12" t="s">
        <v>66</v>
      </c>
      <c r="C12" t="s">
        <v>53</v>
      </c>
      <c r="D12" s="31">
        <v>0</v>
      </c>
      <c r="E12" s="31">
        <v>0</v>
      </c>
      <c r="F12" s="31">
        <v>0</v>
      </c>
      <c r="G12" s="31">
        <v>0</v>
      </c>
      <c r="H12" s="32">
        <v>0</v>
      </c>
      <c r="I12">
        <v>3</v>
      </c>
      <c r="J12" s="33">
        <v>0</v>
      </c>
      <c r="K12" s="33">
        <v>0</v>
      </c>
      <c r="L12" s="33">
        <v>0</v>
      </c>
      <c r="M12">
        <v>3</v>
      </c>
      <c r="N12">
        <v>0</v>
      </c>
      <c r="O12">
        <v>3</v>
      </c>
      <c r="P12" t="s">
        <v>54</v>
      </c>
      <c r="Q12" t="s">
        <v>54</v>
      </c>
      <c r="R12" t="s">
        <v>54</v>
      </c>
      <c r="S12" t="s">
        <v>54</v>
      </c>
      <c r="T12" t="s">
        <v>54</v>
      </c>
      <c r="U12" t="s">
        <v>54</v>
      </c>
      <c r="V12" t="s">
        <v>54</v>
      </c>
      <c r="W12" t="s">
        <v>54</v>
      </c>
      <c r="X12" s="23" t="s">
        <v>54</v>
      </c>
      <c r="Y12" s="23" t="s">
        <v>54</v>
      </c>
      <c r="Z12" s="23" t="s">
        <v>54</v>
      </c>
      <c r="AA12" s="23" t="s">
        <v>54</v>
      </c>
      <c r="AB12" t="s">
        <v>54</v>
      </c>
      <c r="AC12" t="s">
        <v>54</v>
      </c>
      <c r="AD12" t="s">
        <v>54</v>
      </c>
      <c r="AE12" t="s">
        <v>54</v>
      </c>
      <c r="AF12" s="23" t="s">
        <v>54</v>
      </c>
      <c r="AG12" s="23" t="s">
        <v>54</v>
      </c>
      <c r="AH12" s="23" t="s">
        <v>54</v>
      </c>
      <c r="AI12" s="23" t="s">
        <v>54</v>
      </c>
      <c r="AJ12">
        <v>1</v>
      </c>
      <c r="AK12">
        <v>3</v>
      </c>
      <c r="AL12">
        <v>4</v>
      </c>
      <c r="AM12">
        <v>1</v>
      </c>
      <c r="AN12" s="23">
        <v>0</v>
      </c>
      <c r="AO12" s="23">
        <v>0</v>
      </c>
      <c r="AP12" s="23">
        <v>0</v>
      </c>
      <c r="AQ12" s="23">
        <v>0</v>
      </c>
      <c r="AR12" s="35">
        <v>0</v>
      </c>
      <c r="AS12" s="35">
        <v>0</v>
      </c>
      <c r="AT12" s="35">
        <v>3</v>
      </c>
      <c r="AU12" s="31" t="str">
        <f t="shared" si="2"/>
        <v>库存为3</v>
      </c>
      <c r="AV12" s="36" t="str">
        <f>IFERROR($A$2+AU12,"上周无销量")</f>
        <v>上周无销量</v>
      </c>
    </row>
    <row r="13" spans="1:48">
      <c r="A13" s="21" t="s">
        <v>67</v>
      </c>
      <c r="B13" t="s">
        <v>68</v>
      </c>
      <c r="C13" t="s">
        <v>53</v>
      </c>
      <c r="D13" s="31">
        <v>0</v>
      </c>
      <c r="E13" s="31">
        <v>0</v>
      </c>
      <c r="F13" s="31">
        <v>0</v>
      </c>
      <c r="G13" s="31">
        <v>0</v>
      </c>
      <c r="H13" s="32">
        <v>0</v>
      </c>
      <c r="I13">
        <v>0</v>
      </c>
      <c r="J13" s="33">
        <v>5</v>
      </c>
      <c r="K13" s="33">
        <v>0</v>
      </c>
      <c r="L13" s="33">
        <v>0</v>
      </c>
      <c r="M13">
        <v>5</v>
      </c>
      <c r="N13">
        <v>0</v>
      </c>
      <c r="O13">
        <v>0</v>
      </c>
      <c r="P13">
        <v>0</v>
      </c>
      <c r="Q13">
        <v>0</v>
      </c>
      <c r="R13">
        <v>0</v>
      </c>
      <c r="S13">
        <v>145</v>
      </c>
      <c r="T13">
        <v>0</v>
      </c>
      <c r="U13">
        <v>0</v>
      </c>
      <c r="V13">
        <v>0</v>
      </c>
      <c r="W13">
        <v>2</v>
      </c>
      <c r="X13" s="23" t="s">
        <v>54</v>
      </c>
      <c r="Y13" s="23" t="s">
        <v>54</v>
      </c>
      <c r="Z13" s="23" t="s">
        <v>54</v>
      </c>
      <c r="AA13" s="23">
        <v>0.0137931034482759</v>
      </c>
      <c r="AB13">
        <v>0</v>
      </c>
      <c r="AC13">
        <v>0</v>
      </c>
      <c r="AD13">
        <v>0</v>
      </c>
      <c r="AE13">
        <v>0.48</v>
      </c>
      <c r="AF13" s="23" t="s">
        <v>54</v>
      </c>
      <c r="AG13" s="23" t="s">
        <v>54</v>
      </c>
      <c r="AH13" s="23" t="s">
        <v>54</v>
      </c>
      <c r="AI13" s="23">
        <v>0</v>
      </c>
      <c r="AJ13">
        <v>0</v>
      </c>
      <c r="AK13">
        <v>0</v>
      </c>
      <c r="AL13">
        <v>0</v>
      </c>
      <c r="AM13">
        <v>0</v>
      </c>
      <c r="AN13" s="23" t="s">
        <v>54</v>
      </c>
      <c r="AO13" s="23" t="s">
        <v>54</v>
      </c>
      <c r="AP13" s="23" t="s">
        <v>54</v>
      </c>
      <c r="AQ13" s="23" t="s">
        <v>54</v>
      </c>
      <c r="AR13" s="35">
        <v>0</v>
      </c>
      <c r="AS13" s="35">
        <v>0</v>
      </c>
      <c r="AT13" s="35">
        <v>5</v>
      </c>
      <c r="AU13" s="31" t="str">
        <f t="shared" si="2"/>
        <v>库存为5</v>
      </c>
      <c r="AV13" s="36" t="str">
        <f>IFERROR($A$2+AU13,"上周无销量")</f>
        <v>上周无销量</v>
      </c>
    </row>
    <row r="14" spans="1:48">
      <c r="A14" s="21" t="s">
        <v>69</v>
      </c>
      <c r="B14" t="s">
        <v>70</v>
      </c>
      <c r="C14" t="s">
        <v>53</v>
      </c>
      <c r="D14" s="31">
        <v>0</v>
      </c>
      <c r="E14" s="31">
        <v>0</v>
      </c>
      <c r="F14" s="31">
        <v>0</v>
      </c>
      <c r="G14" s="31">
        <v>0</v>
      </c>
      <c r="H14" s="32">
        <v>0</v>
      </c>
      <c r="I14">
        <v>4</v>
      </c>
      <c r="J14" s="33">
        <v>0</v>
      </c>
      <c r="K14" s="33">
        <v>0</v>
      </c>
      <c r="L14" s="33">
        <v>0</v>
      </c>
      <c r="M14">
        <v>4</v>
      </c>
      <c r="N14">
        <v>0</v>
      </c>
      <c r="O14">
        <v>4</v>
      </c>
      <c r="P14">
        <v>278</v>
      </c>
      <c r="Q14">
        <v>216</v>
      </c>
      <c r="R14">
        <v>111</v>
      </c>
      <c r="S14">
        <v>90</v>
      </c>
      <c r="T14">
        <v>0</v>
      </c>
      <c r="U14">
        <v>0</v>
      </c>
      <c r="V14">
        <v>2</v>
      </c>
      <c r="W14">
        <v>0</v>
      </c>
      <c r="X14" s="23">
        <v>0</v>
      </c>
      <c r="Y14" s="23">
        <v>0</v>
      </c>
      <c r="Z14" s="23">
        <v>0.018018018018018</v>
      </c>
      <c r="AA14" s="23">
        <v>0</v>
      </c>
      <c r="AB14">
        <v>0</v>
      </c>
      <c r="AC14">
        <v>0</v>
      </c>
      <c r="AD14">
        <v>0.72</v>
      </c>
      <c r="AE14">
        <v>0</v>
      </c>
      <c r="AF14" s="23" t="s">
        <v>54</v>
      </c>
      <c r="AG14" s="23" t="s">
        <v>54</v>
      </c>
      <c r="AH14" s="23">
        <v>0</v>
      </c>
      <c r="AI14" s="23" t="s">
        <v>54</v>
      </c>
      <c r="AJ14">
        <v>1</v>
      </c>
      <c r="AK14">
        <v>4</v>
      </c>
      <c r="AL14">
        <v>3</v>
      </c>
      <c r="AM14">
        <v>3</v>
      </c>
      <c r="AN14" s="23">
        <v>0</v>
      </c>
      <c r="AO14" s="23">
        <v>0</v>
      </c>
      <c r="AP14" s="23">
        <v>0</v>
      </c>
      <c r="AQ14" s="23">
        <v>0</v>
      </c>
      <c r="AR14" s="35">
        <v>0</v>
      </c>
      <c r="AS14" s="35">
        <v>0</v>
      </c>
      <c r="AT14" s="35">
        <v>4</v>
      </c>
      <c r="AU14" s="31" t="str">
        <f t="shared" si="2"/>
        <v>库存为4</v>
      </c>
      <c r="AV14" s="36" t="str">
        <f>IFERROR($A$2+AU14,"上周无销量")</f>
        <v>上周无销量</v>
      </c>
    </row>
    <row r="15" spans="1:48">
      <c r="A15" s="21" t="s">
        <v>71</v>
      </c>
      <c r="B15" t="s">
        <v>72</v>
      </c>
      <c r="C15" t="s">
        <v>53</v>
      </c>
      <c r="D15" s="31">
        <v>0</v>
      </c>
      <c r="E15" s="31">
        <v>0</v>
      </c>
      <c r="F15" s="31">
        <v>0</v>
      </c>
      <c r="G15" s="31">
        <v>0</v>
      </c>
      <c r="H15" s="32">
        <v>0</v>
      </c>
      <c r="I15">
        <v>2</v>
      </c>
      <c r="J15" s="33">
        <v>0</v>
      </c>
      <c r="K15" s="33">
        <v>0</v>
      </c>
      <c r="L15" s="33">
        <v>0</v>
      </c>
      <c r="M15">
        <v>2</v>
      </c>
      <c r="N15">
        <v>0</v>
      </c>
      <c r="O15">
        <v>2</v>
      </c>
      <c r="P15">
        <v>366</v>
      </c>
      <c r="Q15">
        <v>271</v>
      </c>
      <c r="R15">
        <v>157</v>
      </c>
      <c r="S15">
        <v>91</v>
      </c>
      <c r="T15">
        <v>1</v>
      </c>
      <c r="U15">
        <v>3</v>
      </c>
      <c r="V15">
        <v>0</v>
      </c>
      <c r="W15">
        <v>0</v>
      </c>
      <c r="X15" s="23">
        <v>0.00273224043715847</v>
      </c>
      <c r="Y15" s="23">
        <v>0.011070110701107</v>
      </c>
      <c r="Z15" s="23">
        <v>0</v>
      </c>
      <c r="AA15" s="23">
        <v>0</v>
      </c>
      <c r="AB15">
        <v>0.39</v>
      </c>
      <c r="AC15">
        <v>0.58</v>
      </c>
      <c r="AD15">
        <v>0</v>
      </c>
      <c r="AE15">
        <v>0</v>
      </c>
      <c r="AF15" s="23">
        <v>0</v>
      </c>
      <c r="AG15" s="23">
        <v>0</v>
      </c>
      <c r="AH15" s="23" t="s">
        <v>54</v>
      </c>
      <c r="AI15" s="23" t="s">
        <v>54</v>
      </c>
      <c r="AJ15">
        <v>2</v>
      </c>
      <c r="AK15">
        <v>3</v>
      </c>
      <c r="AL15">
        <v>5</v>
      </c>
      <c r="AM15">
        <v>2</v>
      </c>
      <c r="AN15" s="23">
        <v>0</v>
      </c>
      <c r="AO15" s="23">
        <v>0</v>
      </c>
      <c r="AP15" s="23">
        <v>0</v>
      </c>
      <c r="AQ15" s="23">
        <v>0</v>
      </c>
      <c r="AR15" s="35">
        <v>0</v>
      </c>
      <c r="AS15" s="35">
        <v>0</v>
      </c>
      <c r="AT15" s="35">
        <v>2</v>
      </c>
      <c r="AU15" s="31" t="str">
        <f t="shared" si="2"/>
        <v>库存为2</v>
      </c>
      <c r="AV15" s="36" t="str">
        <f>IFERROR($A$2+AU15,"上周无销量")</f>
        <v>上周无销量</v>
      </c>
    </row>
    <row r="16" spans="1:48">
      <c r="A16" s="21" t="s">
        <v>73</v>
      </c>
      <c r="B16" t="s">
        <v>74</v>
      </c>
      <c r="C16" t="s">
        <v>75</v>
      </c>
      <c r="D16" s="31">
        <v>0</v>
      </c>
      <c r="E16" s="31">
        <v>0</v>
      </c>
      <c r="F16" s="31">
        <v>0</v>
      </c>
      <c r="G16" s="31">
        <v>0</v>
      </c>
      <c r="H16" s="32">
        <v>0</v>
      </c>
      <c r="I16">
        <v>3</v>
      </c>
      <c r="J16" s="33">
        <v>0</v>
      </c>
      <c r="K16" s="33">
        <v>0</v>
      </c>
      <c r="L16" s="33">
        <v>0</v>
      </c>
      <c r="M16">
        <v>3</v>
      </c>
      <c r="N16">
        <v>0</v>
      </c>
      <c r="O16">
        <v>3</v>
      </c>
      <c r="P16" t="s">
        <v>54</v>
      </c>
      <c r="Q16" t="s">
        <v>54</v>
      </c>
      <c r="R16" t="s">
        <v>54</v>
      </c>
      <c r="S16" t="s">
        <v>54</v>
      </c>
      <c r="T16" t="s">
        <v>54</v>
      </c>
      <c r="U16" t="s">
        <v>54</v>
      </c>
      <c r="V16" t="s">
        <v>54</v>
      </c>
      <c r="W16" t="s">
        <v>54</v>
      </c>
      <c r="X16" s="23" t="s">
        <v>54</v>
      </c>
      <c r="Y16" s="23" t="s">
        <v>54</v>
      </c>
      <c r="Z16" s="23" t="s">
        <v>54</v>
      </c>
      <c r="AA16" s="23" t="s">
        <v>54</v>
      </c>
      <c r="AB16" t="s">
        <v>54</v>
      </c>
      <c r="AC16" t="s">
        <v>54</v>
      </c>
      <c r="AD16" t="s">
        <v>54</v>
      </c>
      <c r="AE16" t="s">
        <v>54</v>
      </c>
      <c r="AF16" s="23" t="s">
        <v>54</v>
      </c>
      <c r="AG16" s="23" t="s">
        <v>54</v>
      </c>
      <c r="AH16" s="23" t="s">
        <v>54</v>
      </c>
      <c r="AI16" s="23" t="s">
        <v>54</v>
      </c>
      <c r="AJ16">
        <v>1</v>
      </c>
      <c r="AK16">
        <v>2</v>
      </c>
      <c r="AL16">
        <v>4</v>
      </c>
      <c r="AM16">
        <v>2</v>
      </c>
      <c r="AN16" s="23">
        <v>0</v>
      </c>
      <c r="AO16" s="23">
        <v>0</v>
      </c>
      <c r="AP16" s="23">
        <v>0</v>
      </c>
      <c r="AQ16" s="23">
        <v>0</v>
      </c>
      <c r="AR16" s="35">
        <v>0</v>
      </c>
      <c r="AS16" s="35">
        <v>0</v>
      </c>
      <c r="AT16" s="35">
        <v>3</v>
      </c>
      <c r="AU16" s="31" t="str">
        <f t="shared" si="2"/>
        <v>库存为3</v>
      </c>
      <c r="AV16" s="36" t="str">
        <f>IFERROR($A$2+AU16,"上周无销量")</f>
        <v>上周无销量</v>
      </c>
    </row>
    <row r="17" spans="1:48">
      <c r="A17" s="21" t="s">
        <v>76</v>
      </c>
      <c r="B17" t="s">
        <v>77</v>
      </c>
      <c r="C17" t="s">
        <v>75</v>
      </c>
      <c r="D17" s="31">
        <v>0</v>
      </c>
      <c r="E17" s="31">
        <v>0</v>
      </c>
      <c r="F17" s="31">
        <v>0</v>
      </c>
      <c r="G17" s="31">
        <v>0</v>
      </c>
      <c r="H17" s="32">
        <v>0</v>
      </c>
      <c r="I17">
        <v>3</v>
      </c>
      <c r="J17" s="33">
        <v>0</v>
      </c>
      <c r="K17" s="33">
        <v>0</v>
      </c>
      <c r="L17" s="33">
        <v>0</v>
      </c>
      <c r="M17">
        <v>3</v>
      </c>
      <c r="N17">
        <v>0</v>
      </c>
      <c r="O17">
        <v>3</v>
      </c>
      <c r="P17" t="s">
        <v>54</v>
      </c>
      <c r="Q17" t="s">
        <v>54</v>
      </c>
      <c r="R17" t="s">
        <v>54</v>
      </c>
      <c r="S17" t="s">
        <v>54</v>
      </c>
      <c r="T17" t="s">
        <v>54</v>
      </c>
      <c r="U17" t="s">
        <v>54</v>
      </c>
      <c r="V17" t="s">
        <v>54</v>
      </c>
      <c r="W17" t="s">
        <v>54</v>
      </c>
      <c r="X17" s="23" t="s">
        <v>54</v>
      </c>
      <c r="Y17" s="23" t="s">
        <v>54</v>
      </c>
      <c r="Z17" s="23" t="s">
        <v>54</v>
      </c>
      <c r="AA17" s="23" t="s">
        <v>54</v>
      </c>
      <c r="AB17" t="s">
        <v>54</v>
      </c>
      <c r="AC17" t="s">
        <v>54</v>
      </c>
      <c r="AD17" t="s">
        <v>54</v>
      </c>
      <c r="AE17" t="s">
        <v>54</v>
      </c>
      <c r="AF17" s="23" t="s">
        <v>54</v>
      </c>
      <c r="AG17" s="23" t="s">
        <v>54</v>
      </c>
      <c r="AH17" s="23" t="s">
        <v>54</v>
      </c>
      <c r="AI17" s="23" t="s">
        <v>54</v>
      </c>
      <c r="AJ17">
        <v>2</v>
      </c>
      <c r="AK17">
        <v>2</v>
      </c>
      <c r="AL17">
        <v>3</v>
      </c>
      <c r="AM17">
        <v>3</v>
      </c>
      <c r="AN17" s="23">
        <v>0</v>
      </c>
      <c r="AO17" s="23">
        <v>0</v>
      </c>
      <c r="AP17" s="23">
        <v>0</v>
      </c>
      <c r="AQ17" s="23">
        <v>0</v>
      </c>
      <c r="AR17" s="35">
        <v>0</v>
      </c>
      <c r="AS17" s="35">
        <v>0</v>
      </c>
      <c r="AT17" s="35">
        <v>3</v>
      </c>
      <c r="AU17" s="31" t="str">
        <f t="shared" si="2"/>
        <v>库存为3</v>
      </c>
      <c r="AV17" s="36" t="str">
        <f>IFERROR($A$2+AU17,"上周无销量")</f>
        <v>上周无销量</v>
      </c>
    </row>
    <row r="18" spans="1:48">
      <c r="A18" s="21" t="s">
        <v>78</v>
      </c>
      <c r="B18" t="s">
        <v>79</v>
      </c>
      <c r="C18" t="s">
        <v>75</v>
      </c>
      <c r="D18" s="31">
        <v>0</v>
      </c>
      <c r="E18" s="31">
        <v>0</v>
      </c>
      <c r="F18" s="31">
        <v>0</v>
      </c>
      <c r="G18" s="31">
        <v>0</v>
      </c>
      <c r="H18" s="32">
        <v>0</v>
      </c>
      <c r="I18">
        <v>1</v>
      </c>
      <c r="J18" s="33">
        <v>0</v>
      </c>
      <c r="K18" s="33">
        <v>0</v>
      </c>
      <c r="L18" s="33">
        <v>0</v>
      </c>
      <c r="M18">
        <v>1</v>
      </c>
      <c r="N18">
        <v>0</v>
      </c>
      <c r="O18">
        <v>1</v>
      </c>
      <c r="P18" t="s">
        <v>54</v>
      </c>
      <c r="Q18" t="s">
        <v>54</v>
      </c>
      <c r="R18" t="s">
        <v>54</v>
      </c>
      <c r="S18" t="s">
        <v>54</v>
      </c>
      <c r="T18" t="s">
        <v>54</v>
      </c>
      <c r="U18" t="s">
        <v>54</v>
      </c>
      <c r="V18" t="s">
        <v>54</v>
      </c>
      <c r="W18" t="s">
        <v>54</v>
      </c>
      <c r="X18" s="23" t="s">
        <v>54</v>
      </c>
      <c r="Y18" s="23" t="s">
        <v>54</v>
      </c>
      <c r="Z18" s="23" t="s">
        <v>54</v>
      </c>
      <c r="AA18" s="23" t="s">
        <v>54</v>
      </c>
      <c r="AB18" t="s">
        <v>54</v>
      </c>
      <c r="AC18" t="s">
        <v>54</v>
      </c>
      <c r="AD18" t="s">
        <v>54</v>
      </c>
      <c r="AE18" t="s">
        <v>54</v>
      </c>
      <c r="AF18" s="23" t="s">
        <v>54</v>
      </c>
      <c r="AG18" s="23" t="s">
        <v>54</v>
      </c>
      <c r="AH18" s="23" t="s">
        <v>54</v>
      </c>
      <c r="AI18" s="23" t="s">
        <v>54</v>
      </c>
      <c r="AJ18">
        <v>1</v>
      </c>
      <c r="AK18">
        <v>0</v>
      </c>
      <c r="AL18">
        <v>4</v>
      </c>
      <c r="AM18">
        <v>3</v>
      </c>
      <c r="AN18" s="23">
        <v>0</v>
      </c>
      <c r="AO18" s="23" t="s">
        <v>54</v>
      </c>
      <c r="AP18" s="23">
        <v>0</v>
      </c>
      <c r="AQ18" s="23">
        <v>0</v>
      </c>
      <c r="AR18" s="35">
        <v>0</v>
      </c>
      <c r="AS18" s="35">
        <v>0</v>
      </c>
      <c r="AT18" s="35">
        <v>1</v>
      </c>
      <c r="AU18" s="31" t="str">
        <f t="shared" si="2"/>
        <v>库存为1</v>
      </c>
      <c r="AV18" s="36" t="str">
        <f>IFERROR($A$2+AU18,"上周无销量")</f>
        <v>上周无销量</v>
      </c>
    </row>
    <row r="19" spans="1:48">
      <c r="A19" s="21" t="s">
        <v>80</v>
      </c>
      <c r="B19" t="s">
        <v>81</v>
      </c>
      <c r="C19" t="s">
        <v>75</v>
      </c>
      <c r="D19" s="31">
        <v>0</v>
      </c>
      <c r="E19" s="31">
        <v>0</v>
      </c>
      <c r="F19" s="31">
        <v>0</v>
      </c>
      <c r="G19" s="31">
        <v>0</v>
      </c>
      <c r="H19" s="32">
        <v>0</v>
      </c>
      <c r="I19">
        <v>3</v>
      </c>
      <c r="J19" s="33">
        <v>0</v>
      </c>
      <c r="K19" s="33">
        <v>0</v>
      </c>
      <c r="L19" s="33">
        <v>0</v>
      </c>
      <c r="M19">
        <v>3</v>
      </c>
      <c r="N19">
        <v>0</v>
      </c>
      <c r="O19">
        <v>3</v>
      </c>
      <c r="P19" t="s">
        <v>54</v>
      </c>
      <c r="Q19" t="s">
        <v>54</v>
      </c>
      <c r="R19" t="s">
        <v>54</v>
      </c>
      <c r="S19" t="s">
        <v>54</v>
      </c>
      <c r="T19" t="s">
        <v>54</v>
      </c>
      <c r="U19" t="s">
        <v>54</v>
      </c>
      <c r="V19" t="s">
        <v>54</v>
      </c>
      <c r="W19" t="s">
        <v>54</v>
      </c>
      <c r="X19" s="23" t="s">
        <v>54</v>
      </c>
      <c r="Y19" s="23" t="s">
        <v>54</v>
      </c>
      <c r="Z19" s="23" t="s">
        <v>54</v>
      </c>
      <c r="AA19" s="23" t="s">
        <v>54</v>
      </c>
      <c r="AB19" t="s">
        <v>54</v>
      </c>
      <c r="AC19" t="s">
        <v>54</v>
      </c>
      <c r="AD19" t="s">
        <v>54</v>
      </c>
      <c r="AE19" t="s">
        <v>54</v>
      </c>
      <c r="AF19" s="23" t="s">
        <v>54</v>
      </c>
      <c r="AG19" s="23" t="s">
        <v>54</v>
      </c>
      <c r="AH19" s="23" t="s">
        <v>54</v>
      </c>
      <c r="AI19" s="23" t="s">
        <v>54</v>
      </c>
      <c r="AJ19">
        <v>1</v>
      </c>
      <c r="AK19">
        <v>5</v>
      </c>
      <c r="AL19">
        <v>8</v>
      </c>
      <c r="AM19">
        <v>4</v>
      </c>
      <c r="AN19" s="23">
        <v>0</v>
      </c>
      <c r="AO19" s="23">
        <v>0</v>
      </c>
      <c r="AP19" s="23">
        <v>0</v>
      </c>
      <c r="AQ19" s="23">
        <v>0</v>
      </c>
      <c r="AR19" s="35">
        <v>0</v>
      </c>
      <c r="AS19" s="35">
        <v>0</v>
      </c>
      <c r="AT19" s="35">
        <v>3</v>
      </c>
      <c r="AU19" s="31" t="str">
        <f t="shared" si="2"/>
        <v>库存为3</v>
      </c>
      <c r="AV19" s="36" t="str">
        <f>IFERROR($A$2+AU19,"上周无销量")</f>
        <v>上周无销量</v>
      </c>
    </row>
    <row r="20" spans="1:48">
      <c r="A20" s="21" t="s">
        <v>82</v>
      </c>
      <c r="B20" t="s">
        <v>83</v>
      </c>
      <c r="C20" t="s">
        <v>75</v>
      </c>
      <c r="D20" s="31">
        <v>0</v>
      </c>
      <c r="E20" s="31">
        <v>0</v>
      </c>
      <c r="F20" s="31">
        <v>0</v>
      </c>
      <c r="G20" s="31">
        <v>0</v>
      </c>
      <c r="H20" s="32">
        <v>0</v>
      </c>
      <c r="I20">
        <v>4</v>
      </c>
      <c r="J20" s="33">
        <v>0</v>
      </c>
      <c r="K20" s="33">
        <v>0</v>
      </c>
      <c r="L20" s="33">
        <v>0</v>
      </c>
      <c r="M20">
        <v>4</v>
      </c>
      <c r="N20">
        <v>0</v>
      </c>
      <c r="O20">
        <v>4</v>
      </c>
      <c r="P20" t="s">
        <v>54</v>
      </c>
      <c r="Q20" t="s">
        <v>54</v>
      </c>
      <c r="R20" t="s">
        <v>54</v>
      </c>
      <c r="S20" t="s">
        <v>54</v>
      </c>
      <c r="T20" t="s">
        <v>54</v>
      </c>
      <c r="U20" t="s">
        <v>54</v>
      </c>
      <c r="V20" t="s">
        <v>54</v>
      </c>
      <c r="W20" t="s">
        <v>54</v>
      </c>
      <c r="X20" s="23" t="s">
        <v>54</v>
      </c>
      <c r="Y20" s="23" t="s">
        <v>54</v>
      </c>
      <c r="Z20" s="23" t="s">
        <v>54</v>
      </c>
      <c r="AA20" s="23" t="s">
        <v>54</v>
      </c>
      <c r="AB20" t="s">
        <v>54</v>
      </c>
      <c r="AC20" t="s">
        <v>54</v>
      </c>
      <c r="AD20" t="s">
        <v>54</v>
      </c>
      <c r="AE20" t="s">
        <v>54</v>
      </c>
      <c r="AF20" s="23" t="s">
        <v>54</v>
      </c>
      <c r="AG20" s="23" t="s">
        <v>54</v>
      </c>
      <c r="AH20" s="23" t="s">
        <v>54</v>
      </c>
      <c r="AI20" s="23" t="s">
        <v>54</v>
      </c>
      <c r="AJ20">
        <v>2</v>
      </c>
      <c r="AK20">
        <v>3</v>
      </c>
      <c r="AL20">
        <v>2</v>
      </c>
      <c r="AM20">
        <v>2</v>
      </c>
      <c r="AN20" s="23">
        <v>0</v>
      </c>
      <c r="AO20" s="23">
        <v>0</v>
      </c>
      <c r="AP20" s="23">
        <v>0</v>
      </c>
      <c r="AQ20" s="23">
        <v>0</v>
      </c>
      <c r="AR20" s="35">
        <v>0</v>
      </c>
      <c r="AS20" s="35">
        <v>0</v>
      </c>
      <c r="AT20" s="35">
        <v>4</v>
      </c>
      <c r="AU20" s="31" t="str">
        <f t="shared" si="2"/>
        <v>库存为4</v>
      </c>
      <c r="AV20" s="36" t="str">
        <f>IFERROR($A$2+AU20,"上周无销量")</f>
        <v>上周无销量</v>
      </c>
    </row>
    <row r="21" spans="1:48">
      <c r="A21" s="21" t="s">
        <v>84</v>
      </c>
      <c r="B21" t="s">
        <v>85</v>
      </c>
      <c r="C21" t="s">
        <v>86</v>
      </c>
      <c r="D21" s="31">
        <v>0</v>
      </c>
      <c r="E21" s="31">
        <v>0</v>
      </c>
      <c r="F21" s="31">
        <v>0</v>
      </c>
      <c r="G21" s="31">
        <v>1</v>
      </c>
      <c r="H21" s="32">
        <v>35.99</v>
      </c>
      <c r="I21">
        <v>3</v>
      </c>
      <c r="J21" s="33">
        <v>0</v>
      </c>
      <c r="K21" s="33">
        <v>0</v>
      </c>
      <c r="L21" s="33">
        <v>0</v>
      </c>
      <c r="M21">
        <v>3</v>
      </c>
      <c r="N21">
        <v>0</v>
      </c>
      <c r="O21">
        <v>0</v>
      </c>
      <c r="P21">
        <v>25304</v>
      </c>
      <c r="Q21">
        <v>114557</v>
      </c>
      <c r="R21">
        <v>31957</v>
      </c>
      <c r="S21">
        <v>12559</v>
      </c>
      <c r="T21">
        <v>45</v>
      </c>
      <c r="U21">
        <v>95</v>
      </c>
      <c r="V21">
        <v>53</v>
      </c>
      <c r="W21">
        <v>44</v>
      </c>
      <c r="X21" s="23">
        <v>0.00177837496048056</v>
      </c>
      <c r="Y21" s="23">
        <v>0.000829281493055859</v>
      </c>
      <c r="Z21" s="23">
        <v>0.00165847858059267</v>
      </c>
      <c r="AA21" s="23">
        <v>0.00350346365156461</v>
      </c>
      <c r="AB21">
        <v>14.99</v>
      </c>
      <c r="AC21">
        <v>31.96</v>
      </c>
      <c r="AD21">
        <v>16.63</v>
      </c>
      <c r="AE21">
        <v>19.34</v>
      </c>
      <c r="AF21" s="23">
        <v>0</v>
      </c>
      <c r="AG21" s="23">
        <v>0</v>
      </c>
      <c r="AH21" s="23">
        <v>0</v>
      </c>
      <c r="AI21" s="23">
        <v>0.537371492081134</v>
      </c>
      <c r="AJ21">
        <v>50</v>
      </c>
      <c r="AK21">
        <v>60</v>
      </c>
      <c r="AL21">
        <v>55</v>
      </c>
      <c r="AM21">
        <v>47</v>
      </c>
      <c r="AN21" s="23">
        <v>0</v>
      </c>
      <c r="AO21" s="23">
        <v>0</v>
      </c>
      <c r="AP21" s="23">
        <v>0</v>
      </c>
      <c r="AQ21" s="23">
        <v>0.0212765957446809</v>
      </c>
      <c r="AR21" s="35">
        <v>0</v>
      </c>
      <c r="AS21" s="35">
        <v>0</v>
      </c>
      <c r="AT21" s="35">
        <v>3</v>
      </c>
      <c r="AU21" s="31" t="str">
        <f t="shared" si="2"/>
        <v>库存为3</v>
      </c>
      <c r="AV21" s="36" t="str">
        <f>IFERROR($A$2+AU21,"上周无销量")</f>
        <v>上周无销量</v>
      </c>
    </row>
    <row r="22" spans="1:48">
      <c r="A22" s="21" t="s">
        <v>87</v>
      </c>
      <c r="B22" t="s">
        <v>88</v>
      </c>
      <c r="C22" t="s">
        <v>86</v>
      </c>
      <c r="D22" s="31">
        <v>0</v>
      </c>
      <c r="E22" s="31">
        <v>0</v>
      </c>
      <c r="F22" s="31">
        <v>0</v>
      </c>
      <c r="G22" s="31">
        <v>0</v>
      </c>
      <c r="H22" s="32">
        <v>0</v>
      </c>
      <c r="I22">
        <v>2</v>
      </c>
      <c r="J22" s="33">
        <v>0</v>
      </c>
      <c r="K22" s="33">
        <v>0</v>
      </c>
      <c r="L22" s="33">
        <v>0</v>
      </c>
      <c r="M22">
        <v>2</v>
      </c>
      <c r="N22">
        <v>0</v>
      </c>
      <c r="O22">
        <v>0</v>
      </c>
      <c r="P22">
        <v>0</v>
      </c>
      <c r="Q22">
        <v>0</v>
      </c>
      <c r="R22">
        <v>0</v>
      </c>
      <c r="S22">
        <v>1236</v>
      </c>
      <c r="T22">
        <v>0</v>
      </c>
      <c r="U22">
        <v>0</v>
      </c>
      <c r="V22">
        <v>0</v>
      </c>
      <c r="W22">
        <v>4</v>
      </c>
      <c r="X22" s="23" t="s">
        <v>54</v>
      </c>
      <c r="Y22" s="23" t="s">
        <v>54</v>
      </c>
      <c r="Z22" s="23" t="s">
        <v>54</v>
      </c>
      <c r="AA22" s="23">
        <v>0.00323624595469256</v>
      </c>
      <c r="AB22">
        <v>0</v>
      </c>
      <c r="AC22">
        <v>0</v>
      </c>
      <c r="AD22">
        <v>0</v>
      </c>
      <c r="AE22">
        <v>1.74</v>
      </c>
      <c r="AF22" s="23" t="s">
        <v>54</v>
      </c>
      <c r="AG22" s="23" t="s">
        <v>54</v>
      </c>
      <c r="AH22" s="23" t="s">
        <v>54</v>
      </c>
      <c r="AI22" s="23">
        <v>0</v>
      </c>
      <c r="AJ22">
        <v>0</v>
      </c>
      <c r="AK22">
        <v>0</v>
      </c>
      <c r="AL22">
        <v>0</v>
      </c>
      <c r="AM22">
        <v>0</v>
      </c>
      <c r="AN22" s="23" t="s">
        <v>54</v>
      </c>
      <c r="AO22" s="23" t="s">
        <v>54</v>
      </c>
      <c r="AP22" s="23" t="s">
        <v>54</v>
      </c>
      <c r="AQ22" s="23" t="s">
        <v>54</v>
      </c>
      <c r="AR22" s="35">
        <v>0</v>
      </c>
      <c r="AS22" s="35">
        <v>0</v>
      </c>
      <c r="AT22" s="35">
        <v>2</v>
      </c>
      <c r="AU22" s="31" t="str">
        <f t="shared" si="2"/>
        <v>库存为2</v>
      </c>
      <c r="AV22" s="36" t="str">
        <f>IFERROR($A$2+AU22,"上周无销量")</f>
        <v>上周无销量</v>
      </c>
    </row>
    <row r="23" spans="1:48">
      <c r="A23" s="21" t="s">
        <v>89</v>
      </c>
      <c r="B23" t="s">
        <v>90</v>
      </c>
      <c r="C23" t="s">
        <v>91</v>
      </c>
      <c r="D23" s="31">
        <v>0</v>
      </c>
      <c r="E23" s="31">
        <v>0</v>
      </c>
      <c r="F23" s="31">
        <v>0</v>
      </c>
      <c r="G23" s="31">
        <v>0</v>
      </c>
      <c r="H23" s="32">
        <v>0</v>
      </c>
      <c r="I23">
        <v>0</v>
      </c>
      <c r="J23" s="33">
        <v>0</v>
      </c>
      <c r="K23" s="33">
        <v>0</v>
      </c>
      <c r="L23" s="33">
        <v>0</v>
      </c>
      <c r="M23">
        <v>0</v>
      </c>
      <c r="N23">
        <v>0</v>
      </c>
      <c r="O23">
        <v>0</v>
      </c>
      <c r="P23" t="s">
        <v>54</v>
      </c>
      <c r="Q23" t="s">
        <v>54</v>
      </c>
      <c r="R23" t="s">
        <v>54</v>
      </c>
      <c r="S23" t="s">
        <v>54</v>
      </c>
      <c r="T23" t="s">
        <v>54</v>
      </c>
      <c r="U23" t="s">
        <v>54</v>
      </c>
      <c r="V23" t="s">
        <v>54</v>
      </c>
      <c r="W23" t="s">
        <v>54</v>
      </c>
      <c r="X23" s="23" t="s">
        <v>54</v>
      </c>
      <c r="Y23" s="23" t="s">
        <v>54</v>
      </c>
      <c r="Z23" s="23" t="s">
        <v>54</v>
      </c>
      <c r="AA23" s="23" t="s">
        <v>54</v>
      </c>
      <c r="AB23" t="s">
        <v>54</v>
      </c>
      <c r="AC23" t="s">
        <v>54</v>
      </c>
      <c r="AD23" t="s">
        <v>54</v>
      </c>
      <c r="AE23" t="s">
        <v>54</v>
      </c>
      <c r="AF23" s="23" t="s">
        <v>54</v>
      </c>
      <c r="AG23" s="23" t="s">
        <v>54</v>
      </c>
      <c r="AH23" s="23" t="s">
        <v>54</v>
      </c>
      <c r="AI23" s="23" t="s">
        <v>54</v>
      </c>
      <c r="AJ23">
        <v>0</v>
      </c>
      <c r="AK23">
        <v>0</v>
      </c>
      <c r="AL23">
        <v>0</v>
      </c>
      <c r="AM23">
        <v>0</v>
      </c>
      <c r="AN23" s="23" t="s">
        <v>54</v>
      </c>
      <c r="AO23" s="23" t="s">
        <v>54</v>
      </c>
      <c r="AP23" s="23" t="s">
        <v>54</v>
      </c>
      <c r="AQ23" s="23" t="s">
        <v>54</v>
      </c>
      <c r="AR23" s="35">
        <v>0</v>
      </c>
      <c r="AS23" s="35">
        <v>0</v>
      </c>
      <c r="AT23" s="35">
        <v>0</v>
      </c>
      <c r="AU23" s="31" t="str">
        <f t="shared" si="2"/>
        <v>库存为0</v>
      </c>
      <c r="AV23" s="36" t="str">
        <f>IFERROR($A$2+AU23,"上周无销量")</f>
        <v>上周无销量</v>
      </c>
    </row>
    <row r="24" spans="1:48">
      <c r="A24" s="21" t="s">
        <v>92</v>
      </c>
      <c r="B24" t="s">
        <v>93</v>
      </c>
      <c r="C24" t="s">
        <v>91</v>
      </c>
      <c r="D24" s="31">
        <v>0</v>
      </c>
      <c r="E24" s="31">
        <v>0</v>
      </c>
      <c r="F24" s="31">
        <v>0</v>
      </c>
      <c r="G24" s="31">
        <v>0</v>
      </c>
      <c r="H24" s="32">
        <v>0</v>
      </c>
      <c r="I24">
        <v>0</v>
      </c>
      <c r="J24" s="33">
        <v>0</v>
      </c>
      <c r="K24" s="33">
        <v>0</v>
      </c>
      <c r="L24" s="33">
        <v>0</v>
      </c>
      <c r="M24">
        <v>0</v>
      </c>
      <c r="N24">
        <v>0</v>
      </c>
      <c r="O24">
        <v>0</v>
      </c>
      <c r="P24" t="s">
        <v>54</v>
      </c>
      <c r="Q24" t="s">
        <v>54</v>
      </c>
      <c r="R24" t="s">
        <v>54</v>
      </c>
      <c r="S24" t="s">
        <v>54</v>
      </c>
      <c r="T24" t="s">
        <v>54</v>
      </c>
      <c r="U24" t="s">
        <v>54</v>
      </c>
      <c r="V24" t="s">
        <v>54</v>
      </c>
      <c r="W24" t="s">
        <v>54</v>
      </c>
      <c r="X24" s="23" t="s">
        <v>54</v>
      </c>
      <c r="Y24" s="23" t="s">
        <v>54</v>
      </c>
      <c r="Z24" s="23" t="s">
        <v>54</v>
      </c>
      <c r="AA24" s="23" t="s">
        <v>54</v>
      </c>
      <c r="AB24" t="s">
        <v>54</v>
      </c>
      <c r="AC24" t="s">
        <v>54</v>
      </c>
      <c r="AD24" t="s">
        <v>54</v>
      </c>
      <c r="AE24" t="s">
        <v>54</v>
      </c>
      <c r="AF24" s="23" t="s">
        <v>54</v>
      </c>
      <c r="AG24" s="23" t="s">
        <v>54</v>
      </c>
      <c r="AH24" s="23" t="s">
        <v>54</v>
      </c>
      <c r="AI24" s="23" t="s">
        <v>54</v>
      </c>
      <c r="AJ24">
        <v>0</v>
      </c>
      <c r="AK24">
        <v>0</v>
      </c>
      <c r="AL24">
        <v>0</v>
      </c>
      <c r="AM24">
        <v>0</v>
      </c>
      <c r="AN24" s="23" t="s">
        <v>54</v>
      </c>
      <c r="AO24" s="23" t="s">
        <v>54</v>
      </c>
      <c r="AP24" s="23" t="s">
        <v>54</v>
      </c>
      <c r="AQ24" s="23" t="s">
        <v>54</v>
      </c>
      <c r="AR24" s="35">
        <v>0</v>
      </c>
      <c r="AS24" s="35">
        <v>0</v>
      </c>
      <c r="AT24" s="35">
        <v>0</v>
      </c>
      <c r="AU24" s="31" t="str">
        <f t="shared" si="2"/>
        <v>库存为0</v>
      </c>
      <c r="AV24" s="36" t="str">
        <f>IFERROR($A$2+AU24,"上周无销量")</f>
        <v>上周无销量</v>
      </c>
    </row>
    <row r="25" spans="1:48">
      <c r="A25" s="21" t="s">
        <v>94</v>
      </c>
      <c r="B25" t="s">
        <v>95</v>
      </c>
      <c r="C25" t="s">
        <v>91</v>
      </c>
      <c r="D25" s="31">
        <v>0</v>
      </c>
      <c r="E25" s="31">
        <v>0</v>
      </c>
      <c r="F25" s="31">
        <v>0</v>
      </c>
      <c r="G25" s="31">
        <v>0</v>
      </c>
      <c r="H25" s="32">
        <v>0</v>
      </c>
      <c r="I25">
        <v>0</v>
      </c>
      <c r="J25" s="33">
        <v>0</v>
      </c>
      <c r="K25" s="33">
        <v>0</v>
      </c>
      <c r="L25" s="33">
        <v>0</v>
      </c>
      <c r="M25">
        <v>0</v>
      </c>
      <c r="N25">
        <v>0</v>
      </c>
      <c r="O25">
        <v>0</v>
      </c>
      <c r="P25" t="s">
        <v>54</v>
      </c>
      <c r="Q25" t="s">
        <v>54</v>
      </c>
      <c r="R25" t="s">
        <v>54</v>
      </c>
      <c r="S25" t="s">
        <v>54</v>
      </c>
      <c r="T25" t="s">
        <v>54</v>
      </c>
      <c r="U25" t="s">
        <v>54</v>
      </c>
      <c r="V25" t="s">
        <v>54</v>
      </c>
      <c r="W25" t="s">
        <v>54</v>
      </c>
      <c r="X25" s="23" t="s">
        <v>54</v>
      </c>
      <c r="Y25" s="23" t="s">
        <v>54</v>
      </c>
      <c r="Z25" s="23" t="s">
        <v>54</v>
      </c>
      <c r="AA25" s="23" t="s">
        <v>54</v>
      </c>
      <c r="AB25" t="s">
        <v>54</v>
      </c>
      <c r="AC25" t="s">
        <v>54</v>
      </c>
      <c r="AD25" t="s">
        <v>54</v>
      </c>
      <c r="AE25" t="s">
        <v>54</v>
      </c>
      <c r="AF25" s="23" t="s">
        <v>54</v>
      </c>
      <c r="AG25" s="23" t="s">
        <v>54</v>
      </c>
      <c r="AH25" s="23" t="s">
        <v>54</v>
      </c>
      <c r="AI25" s="23" t="s">
        <v>54</v>
      </c>
      <c r="AJ25">
        <v>0</v>
      </c>
      <c r="AK25">
        <v>0</v>
      </c>
      <c r="AL25">
        <v>0</v>
      </c>
      <c r="AM25">
        <v>0</v>
      </c>
      <c r="AN25" s="23" t="s">
        <v>54</v>
      </c>
      <c r="AO25" s="23" t="s">
        <v>54</v>
      </c>
      <c r="AP25" s="23" t="s">
        <v>54</v>
      </c>
      <c r="AQ25" s="23" t="s">
        <v>54</v>
      </c>
      <c r="AR25" s="35">
        <v>0</v>
      </c>
      <c r="AS25" s="35">
        <v>0</v>
      </c>
      <c r="AT25" s="35">
        <v>0</v>
      </c>
      <c r="AU25" s="31" t="str">
        <f t="shared" si="2"/>
        <v>库存为0</v>
      </c>
      <c r="AV25" s="36" t="str">
        <f>IFERROR($A$2+AU25,"上周无销量")</f>
        <v>上周无销量</v>
      </c>
    </row>
    <row r="26" spans="1:48">
      <c r="A26" s="21" t="s">
        <v>96</v>
      </c>
      <c r="B26" t="s">
        <v>88</v>
      </c>
      <c r="C26" t="s">
        <v>91</v>
      </c>
      <c r="D26" s="31">
        <v>0</v>
      </c>
      <c r="E26" s="31">
        <v>0</v>
      </c>
      <c r="F26" s="31">
        <v>0</v>
      </c>
      <c r="G26" s="31">
        <v>0</v>
      </c>
      <c r="H26" s="32">
        <v>0</v>
      </c>
      <c r="I26">
        <v>0</v>
      </c>
      <c r="J26" s="33">
        <v>0</v>
      </c>
      <c r="K26" s="33">
        <v>0</v>
      </c>
      <c r="L26" s="33">
        <v>0</v>
      </c>
      <c r="M26">
        <v>0</v>
      </c>
      <c r="N26">
        <v>0</v>
      </c>
      <c r="O26">
        <v>0</v>
      </c>
      <c r="P26" t="s">
        <v>54</v>
      </c>
      <c r="Q26" t="s">
        <v>54</v>
      </c>
      <c r="R26" t="s">
        <v>54</v>
      </c>
      <c r="S26" t="s">
        <v>54</v>
      </c>
      <c r="T26" t="s">
        <v>54</v>
      </c>
      <c r="U26" t="s">
        <v>54</v>
      </c>
      <c r="V26" t="s">
        <v>54</v>
      </c>
      <c r="W26" t="s">
        <v>54</v>
      </c>
      <c r="X26" s="23" t="s">
        <v>54</v>
      </c>
      <c r="Y26" s="23" t="s">
        <v>54</v>
      </c>
      <c r="Z26" s="23" t="s">
        <v>54</v>
      </c>
      <c r="AA26" s="23" t="s">
        <v>54</v>
      </c>
      <c r="AB26" t="s">
        <v>54</v>
      </c>
      <c r="AC26" t="s">
        <v>54</v>
      </c>
      <c r="AD26" t="s">
        <v>54</v>
      </c>
      <c r="AE26" t="s">
        <v>54</v>
      </c>
      <c r="AF26" s="23" t="s">
        <v>54</v>
      </c>
      <c r="AG26" s="23" t="s">
        <v>54</v>
      </c>
      <c r="AH26" s="23" t="s">
        <v>54</v>
      </c>
      <c r="AI26" s="23" t="s">
        <v>54</v>
      </c>
      <c r="AJ26">
        <v>0</v>
      </c>
      <c r="AK26">
        <v>0</v>
      </c>
      <c r="AL26">
        <v>0</v>
      </c>
      <c r="AM26">
        <v>0</v>
      </c>
      <c r="AN26" s="23" t="s">
        <v>54</v>
      </c>
      <c r="AO26" s="23" t="s">
        <v>54</v>
      </c>
      <c r="AP26" s="23" t="s">
        <v>54</v>
      </c>
      <c r="AQ26" s="23" t="s">
        <v>54</v>
      </c>
      <c r="AR26" s="35">
        <v>0</v>
      </c>
      <c r="AS26" s="35">
        <v>0</v>
      </c>
      <c r="AT26" s="35">
        <v>0</v>
      </c>
      <c r="AU26" s="31" t="str">
        <f t="shared" si="2"/>
        <v>库存为0</v>
      </c>
      <c r="AV26" s="36" t="str">
        <f>IFERROR($A$2+AU26,"上周无销量")</f>
        <v>上周无销量</v>
      </c>
    </row>
    <row r="27" spans="1:48">
      <c r="A27" s="21" t="s">
        <v>97</v>
      </c>
      <c r="B27" t="s">
        <v>98</v>
      </c>
      <c r="C27" t="s">
        <v>91</v>
      </c>
      <c r="D27" s="31">
        <v>0</v>
      </c>
      <c r="E27" s="31">
        <v>0</v>
      </c>
      <c r="F27" s="31">
        <v>0</v>
      </c>
      <c r="G27" s="31">
        <v>0</v>
      </c>
      <c r="H27" s="32">
        <v>0</v>
      </c>
      <c r="I27">
        <v>0</v>
      </c>
      <c r="J27" s="33">
        <v>0</v>
      </c>
      <c r="K27" s="33">
        <v>0</v>
      </c>
      <c r="L27" s="33">
        <v>0</v>
      </c>
      <c r="M27">
        <v>0</v>
      </c>
      <c r="N27">
        <v>0</v>
      </c>
      <c r="O27">
        <v>0</v>
      </c>
      <c r="P27" t="s">
        <v>54</v>
      </c>
      <c r="Q27" t="s">
        <v>54</v>
      </c>
      <c r="R27" t="s">
        <v>54</v>
      </c>
      <c r="S27" t="s">
        <v>54</v>
      </c>
      <c r="T27" t="s">
        <v>54</v>
      </c>
      <c r="U27" t="s">
        <v>54</v>
      </c>
      <c r="V27" t="s">
        <v>54</v>
      </c>
      <c r="W27" t="s">
        <v>54</v>
      </c>
      <c r="X27" s="23" t="s">
        <v>54</v>
      </c>
      <c r="Y27" s="23" t="s">
        <v>54</v>
      </c>
      <c r="Z27" s="23" t="s">
        <v>54</v>
      </c>
      <c r="AA27" s="23" t="s">
        <v>54</v>
      </c>
      <c r="AB27" t="s">
        <v>54</v>
      </c>
      <c r="AC27" t="s">
        <v>54</v>
      </c>
      <c r="AD27" t="s">
        <v>54</v>
      </c>
      <c r="AE27" t="s">
        <v>54</v>
      </c>
      <c r="AF27" s="23" t="s">
        <v>54</v>
      </c>
      <c r="AG27" s="23" t="s">
        <v>54</v>
      </c>
      <c r="AH27" s="23" t="s">
        <v>54</v>
      </c>
      <c r="AI27" s="23" t="s">
        <v>54</v>
      </c>
      <c r="AJ27">
        <v>0</v>
      </c>
      <c r="AK27">
        <v>0</v>
      </c>
      <c r="AL27">
        <v>0</v>
      </c>
      <c r="AM27">
        <v>0</v>
      </c>
      <c r="AN27" s="23" t="s">
        <v>54</v>
      </c>
      <c r="AO27" s="23" t="s">
        <v>54</v>
      </c>
      <c r="AP27" s="23" t="s">
        <v>54</v>
      </c>
      <c r="AQ27" s="23" t="s">
        <v>54</v>
      </c>
      <c r="AR27" s="35">
        <v>0</v>
      </c>
      <c r="AS27" s="35">
        <v>0</v>
      </c>
      <c r="AT27" s="35">
        <v>0</v>
      </c>
      <c r="AU27" s="31" t="str">
        <f t="shared" si="2"/>
        <v>库存为0</v>
      </c>
      <c r="AV27" s="36" t="str">
        <f>IFERROR($A$2+AU27,"上周无销量")</f>
        <v>上周无销量</v>
      </c>
    </row>
    <row r="28" spans="1:48">
      <c r="A28" s="21" t="s">
        <v>99</v>
      </c>
      <c r="B28" t="s">
        <v>100</v>
      </c>
      <c r="C28" t="s">
        <v>91</v>
      </c>
      <c r="D28" s="31">
        <v>0</v>
      </c>
      <c r="E28" s="31">
        <v>0</v>
      </c>
      <c r="F28" s="31">
        <v>0</v>
      </c>
      <c r="G28" s="31">
        <v>1</v>
      </c>
      <c r="H28" s="32">
        <v>29.99</v>
      </c>
      <c r="I28">
        <v>0</v>
      </c>
      <c r="J28" s="33">
        <v>0</v>
      </c>
      <c r="K28" s="33">
        <v>0</v>
      </c>
      <c r="L28" s="33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3078</v>
      </c>
      <c r="T28">
        <v>0</v>
      </c>
      <c r="U28">
        <v>0</v>
      </c>
      <c r="V28">
        <v>0</v>
      </c>
      <c r="W28">
        <v>10</v>
      </c>
      <c r="X28" s="23" t="s">
        <v>54</v>
      </c>
      <c r="Y28" s="23" t="s">
        <v>54</v>
      </c>
      <c r="Z28" s="23" t="s">
        <v>54</v>
      </c>
      <c r="AA28" s="23">
        <v>0.0032488628979857</v>
      </c>
      <c r="AB28">
        <v>0</v>
      </c>
      <c r="AC28">
        <v>0</v>
      </c>
      <c r="AD28">
        <v>0</v>
      </c>
      <c r="AE28">
        <v>5.18</v>
      </c>
      <c r="AF28" s="23" t="s">
        <v>54</v>
      </c>
      <c r="AG28" s="23" t="s">
        <v>54</v>
      </c>
      <c r="AH28" s="23" t="s">
        <v>54</v>
      </c>
      <c r="AI28" s="23">
        <v>0.172724241413805</v>
      </c>
      <c r="AJ28">
        <v>0</v>
      </c>
      <c r="AK28">
        <v>0</v>
      </c>
      <c r="AL28">
        <v>0</v>
      </c>
      <c r="AM28">
        <v>0</v>
      </c>
      <c r="AN28" s="23" t="s">
        <v>54</v>
      </c>
      <c r="AO28" s="23" t="s">
        <v>54</v>
      </c>
      <c r="AP28" s="23" t="s">
        <v>54</v>
      </c>
      <c r="AQ28" s="23" t="s">
        <v>54</v>
      </c>
      <c r="AR28" s="35">
        <v>0</v>
      </c>
      <c r="AS28" s="35">
        <v>0</v>
      </c>
      <c r="AT28" s="35">
        <v>0</v>
      </c>
      <c r="AU28" s="31" t="str">
        <f t="shared" si="2"/>
        <v>库存为0</v>
      </c>
      <c r="AV28" s="36" t="str">
        <f>IFERROR($A$2+AU28,"上周无销量")</f>
        <v>上周无销量</v>
      </c>
    </row>
    <row r="29" spans="1:48">
      <c r="A29" s="21" t="s">
        <v>101</v>
      </c>
      <c r="B29" t="s">
        <v>102</v>
      </c>
      <c r="C29" t="s">
        <v>91</v>
      </c>
      <c r="D29" s="31">
        <v>0</v>
      </c>
      <c r="E29" s="31">
        <v>0</v>
      </c>
      <c r="F29" s="31">
        <v>0</v>
      </c>
      <c r="G29" s="31">
        <v>0</v>
      </c>
      <c r="H29" s="32">
        <v>0</v>
      </c>
      <c r="I29">
        <v>1</v>
      </c>
      <c r="J29" s="33">
        <v>0</v>
      </c>
      <c r="K29" s="33">
        <v>0</v>
      </c>
      <c r="L29" s="33">
        <v>0</v>
      </c>
      <c r="M29">
        <v>1</v>
      </c>
      <c r="N29">
        <v>0</v>
      </c>
      <c r="O29">
        <v>0</v>
      </c>
      <c r="P29">
        <v>0</v>
      </c>
      <c r="Q29">
        <v>0</v>
      </c>
      <c r="R29">
        <v>0</v>
      </c>
      <c r="S29">
        <v>1977</v>
      </c>
      <c r="T29">
        <v>0</v>
      </c>
      <c r="U29">
        <v>0</v>
      </c>
      <c r="V29">
        <v>0</v>
      </c>
      <c r="W29">
        <v>7</v>
      </c>
      <c r="X29" s="23" t="s">
        <v>54</v>
      </c>
      <c r="Y29" s="23" t="s">
        <v>54</v>
      </c>
      <c r="Z29" s="23" t="s">
        <v>54</v>
      </c>
      <c r="AA29" s="23">
        <v>0.00354071825998988</v>
      </c>
      <c r="AB29">
        <v>0</v>
      </c>
      <c r="AC29">
        <v>0</v>
      </c>
      <c r="AD29">
        <v>0</v>
      </c>
      <c r="AE29">
        <v>2.2</v>
      </c>
      <c r="AF29" s="23" t="s">
        <v>54</v>
      </c>
      <c r="AG29" s="23" t="s">
        <v>54</v>
      </c>
      <c r="AH29" s="23" t="s">
        <v>54</v>
      </c>
      <c r="AI29" s="23">
        <v>0</v>
      </c>
      <c r="AJ29">
        <v>6</v>
      </c>
      <c r="AK29">
        <v>5</v>
      </c>
      <c r="AL29">
        <v>11</v>
      </c>
      <c r="AM29">
        <v>1</v>
      </c>
      <c r="AN29" s="23">
        <v>0</v>
      </c>
      <c r="AO29" s="23">
        <v>0</v>
      </c>
      <c r="AP29" s="23">
        <v>0</v>
      </c>
      <c r="AQ29" s="23">
        <v>0</v>
      </c>
      <c r="AR29" s="35">
        <v>0</v>
      </c>
      <c r="AS29" s="35">
        <v>0</v>
      </c>
      <c r="AT29" s="35">
        <v>1</v>
      </c>
      <c r="AU29" s="31" t="str">
        <f t="shared" si="2"/>
        <v>库存为1</v>
      </c>
      <c r="AV29" s="36" t="str">
        <f>IFERROR($A$2+AU29,"上周无销量")</f>
        <v>上周无销量</v>
      </c>
    </row>
    <row r="30" spans="1:48">
      <c r="A30" s="21" t="s">
        <v>103</v>
      </c>
      <c r="B30" t="s">
        <v>104</v>
      </c>
      <c r="C30" t="s">
        <v>103</v>
      </c>
      <c r="D30" s="31">
        <v>0</v>
      </c>
      <c r="E30" s="31">
        <v>0</v>
      </c>
      <c r="F30" s="31">
        <v>1</v>
      </c>
      <c r="G30" s="31">
        <v>0</v>
      </c>
      <c r="H30" s="32">
        <v>40.99</v>
      </c>
      <c r="I30">
        <v>19</v>
      </c>
      <c r="J30" s="33">
        <v>0</v>
      </c>
      <c r="K30" s="33">
        <v>0</v>
      </c>
      <c r="L30" s="33">
        <v>0</v>
      </c>
      <c r="M30">
        <v>19</v>
      </c>
      <c r="N30">
        <v>0</v>
      </c>
      <c r="O30">
        <v>0</v>
      </c>
      <c r="P30">
        <v>789</v>
      </c>
      <c r="Q30">
        <v>1453</v>
      </c>
      <c r="R30">
        <v>1050</v>
      </c>
      <c r="S30">
        <v>4858</v>
      </c>
      <c r="T30">
        <v>2</v>
      </c>
      <c r="U30">
        <v>4</v>
      </c>
      <c r="V30">
        <v>2</v>
      </c>
      <c r="W30">
        <v>15</v>
      </c>
      <c r="X30" s="23">
        <v>0.00253485424588086</v>
      </c>
      <c r="Y30" s="23">
        <v>0.00275292498279422</v>
      </c>
      <c r="Z30" s="23">
        <v>0.0019047619047619</v>
      </c>
      <c r="AA30" s="23">
        <v>0.00308769040757513</v>
      </c>
      <c r="AB30">
        <v>0.6</v>
      </c>
      <c r="AC30">
        <v>1.2</v>
      </c>
      <c r="AD30">
        <v>0.75</v>
      </c>
      <c r="AE30">
        <v>15.28</v>
      </c>
      <c r="AF30" s="23">
        <v>0</v>
      </c>
      <c r="AG30" s="23">
        <v>0</v>
      </c>
      <c r="AH30" s="23">
        <v>0.0182971456452793</v>
      </c>
      <c r="AI30" s="23">
        <v>0</v>
      </c>
      <c r="AJ30">
        <v>7</v>
      </c>
      <c r="AK30">
        <v>8</v>
      </c>
      <c r="AL30">
        <v>15</v>
      </c>
      <c r="AM30">
        <v>12</v>
      </c>
      <c r="AN30" s="23">
        <v>0</v>
      </c>
      <c r="AO30" s="23">
        <v>0</v>
      </c>
      <c r="AP30" s="23">
        <v>0.0666666666666667</v>
      </c>
      <c r="AQ30" s="23">
        <v>0</v>
      </c>
      <c r="AR30" s="35">
        <v>0</v>
      </c>
      <c r="AS30" s="35">
        <v>0</v>
      </c>
      <c r="AT30" s="35">
        <v>19</v>
      </c>
      <c r="AU30" s="31" t="str">
        <f t="shared" si="2"/>
        <v>库存为19</v>
      </c>
      <c r="AV30" s="36" t="str">
        <f>IFERROR($A$2+AU30,"上周无销量")</f>
        <v>上周无销量</v>
      </c>
    </row>
    <row r="31" spans="1:48">
      <c r="A31" s="21" t="s">
        <v>105</v>
      </c>
      <c r="B31" t="s">
        <v>106</v>
      </c>
      <c r="C31" t="s">
        <v>107</v>
      </c>
      <c r="D31" s="31">
        <v>0</v>
      </c>
      <c r="E31" s="31">
        <v>0</v>
      </c>
      <c r="F31" s="31">
        <v>0</v>
      </c>
      <c r="G31" s="31">
        <v>0</v>
      </c>
      <c r="H31" s="32">
        <v>0</v>
      </c>
      <c r="I31">
        <v>0</v>
      </c>
      <c r="J31" s="33">
        <v>0</v>
      </c>
      <c r="K31" s="33">
        <v>0</v>
      </c>
      <c r="L31" s="33">
        <v>0</v>
      </c>
      <c r="M31">
        <v>0</v>
      </c>
      <c r="N31">
        <v>0</v>
      </c>
      <c r="O31">
        <v>0</v>
      </c>
      <c r="P31" t="s">
        <v>54</v>
      </c>
      <c r="Q31" t="s">
        <v>54</v>
      </c>
      <c r="R31" t="s">
        <v>54</v>
      </c>
      <c r="S31" t="s">
        <v>54</v>
      </c>
      <c r="T31" t="s">
        <v>54</v>
      </c>
      <c r="U31" t="s">
        <v>54</v>
      </c>
      <c r="V31" t="s">
        <v>54</v>
      </c>
      <c r="W31" t="s">
        <v>54</v>
      </c>
      <c r="X31" s="23" t="s">
        <v>54</v>
      </c>
      <c r="Y31" s="23" t="s">
        <v>54</v>
      </c>
      <c r="Z31" s="23" t="s">
        <v>54</v>
      </c>
      <c r="AA31" s="23" t="s">
        <v>54</v>
      </c>
      <c r="AB31" t="s">
        <v>54</v>
      </c>
      <c r="AC31" t="s">
        <v>54</v>
      </c>
      <c r="AD31" t="s">
        <v>54</v>
      </c>
      <c r="AE31" t="s">
        <v>54</v>
      </c>
      <c r="AF31" s="23" t="s">
        <v>54</v>
      </c>
      <c r="AG31" s="23" t="s">
        <v>54</v>
      </c>
      <c r="AH31" s="23" t="s">
        <v>54</v>
      </c>
      <c r="AI31" s="23" t="s">
        <v>54</v>
      </c>
      <c r="AJ31">
        <v>0</v>
      </c>
      <c r="AK31">
        <v>0</v>
      </c>
      <c r="AL31">
        <v>0</v>
      </c>
      <c r="AM31">
        <v>0</v>
      </c>
      <c r="AN31" s="23" t="s">
        <v>54</v>
      </c>
      <c r="AO31" s="23" t="s">
        <v>54</v>
      </c>
      <c r="AP31" s="23" t="s">
        <v>54</v>
      </c>
      <c r="AQ31" s="23" t="s">
        <v>54</v>
      </c>
      <c r="AR31" s="35">
        <v>0</v>
      </c>
      <c r="AS31" s="35">
        <v>0</v>
      </c>
      <c r="AT31" s="35">
        <v>0</v>
      </c>
      <c r="AU31" s="31" t="str">
        <f t="shared" si="2"/>
        <v>库存为0</v>
      </c>
      <c r="AV31" s="36" t="str">
        <f>IFERROR($A$2+AU31,"上周无销量")</f>
        <v>上周无销量</v>
      </c>
    </row>
    <row r="32" spans="1:48">
      <c r="A32" s="21" t="s">
        <v>108</v>
      </c>
      <c r="B32" t="s">
        <v>109</v>
      </c>
      <c r="C32" t="s">
        <v>107</v>
      </c>
      <c r="D32" s="31">
        <v>0</v>
      </c>
      <c r="E32" s="31">
        <v>0</v>
      </c>
      <c r="F32" s="31">
        <v>0</v>
      </c>
      <c r="G32" s="31">
        <v>0</v>
      </c>
      <c r="H32" s="32">
        <v>0</v>
      </c>
      <c r="I32">
        <v>0</v>
      </c>
      <c r="J32" s="33">
        <v>0</v>
      </c>
      <c r="K32" s="33">
        <v>0</v>
      </c>
      <c r="L32" s="33">
        <v>0</v>
      </c>
      <c r="M32">
        <v>0</v>
      </c>
      <c r="N32">
        <v>0</v>
      </c>
      <c r="O32">
        <v>0</v>
      </c>
      <c r="P32" t="s">
        <v>54</v>
      </c>
      <c r="Q32" t="s">
        <v>54</v>
      </c>
      <c r="R32" t="s">
        <v>54</v>
      </c>
      <c r="S32" t="s">
        <v>54</v>
      </c>
      <c r="T32" t="s">
        <v>54</v>
      </c>
      <c r="U32" t="s">
        <v>54</v>
      </c>
      <c r="V32" t="s">
        <v>54</v>
      </c>
      <c r="W32" t="s">
        <v>54</v>
      </c>
      <c r="X32" s="23" t="s">
        <v>54</v>
      </c>
      <c r="Y32" s="23" t="s">
        <v>54</v>
      </c>
      <c r="Z32" s="23" t="s">
        <v>54</v>
      </c>
      <c r="AA32" s="23" t="s">
        <v>54</v>
      </c>
      <c r="AB32" t="s">
        <v>54</v>
      </c>
      <c r="AC32" t="s">
        <v>54</v>
      </c>
      <c r="AD32" t="s">
        <v>54</v>
      </c>
      <c r="AE32" t="s">
        <v>54</v>
      </c>
      <c r="AF32" s="23" t="s">
        <v>54</v>
      </c>
      <c r="AG32" s="23" t="s">
        <v>54</v>
      </c>
      <c r="AH32" s="23" t="s">
        <v>54</v>
      </c>
      <c r="AI32" s="23" t="s">
        <v>54</v>
      </c>
      <c r="AJ32">
        <v>0</v>
      </c>
      <c r="AK32">
        <v>0</v>
      </c>
      <c r="AL32">
        <v>0</v>
      </c>
      <c r="AM32">
        <v>0</v>
      </c>
      <c r="AN32" s="23" t="s">
        <v>54</v>
      </c>
      <c r="AO32" s="23" t="s">
        <v>54</v>
      </c>
      <c r="AP32" s="23" t="s">
        <v>54</v>
      </c>
      <c r="AQ32" s="23" t="s">
        <v>54</v>
      </c>
      <c r="AR32" s="35">
        <v>0</v>
      </c>
      <c r="AS32" s="35">
        <v>0</v>
      </c>
      <c r="AT32" s="35">
        <v>0</v>
      </c>
      <c r="AU32" s="31" t="str">
        <f t="shared" si="2"/>
        <v>库存为0</v>
      </c>
      <c r="AV32" s="36" t="str">
        <f>IFERROR($A$2+AU32,"上周无销量")</f>
        <v>上周无销量</v>
      </c>
    </row>
    <row r="33" spans="1:48">
      <c r="A33" s="21" t="s">
        <v>110</v>
      </c>
      <c r="B33" t="s">
        <v>111</v>
      </c>
      <c r="C33" t="s">
        <v>107</v>
      </c>
      <c r="D33" s="31">
        <v>0</v>
      </c>
      <c r="E33" s="31">
        <v>0</v>
      </c>
      <c r="F33" s="31">
        <v>0</v>
      </c>
      <c r="G33" s="31">
        <v>0</v>
      </c>
      <c r="H33" s="32">
        <v>0</v>
      </c>
      <c r="I33">
        <v>0</v>
      </c>
      <c r="J33" s="33">
        <v>0</v>
      </c>
      <c r="K33" s="33">
        <v>0</v>
      </c>
      <c r="L33" s="33">
        <v>0</v>
      </c>
      <c r="M33">
        <v>0</v>
      </c>
      <c r="N33">
        <v>0</v>
      </c>
      <c r="O33">
        <v>0</v>
      </c>
      <c r="P33" t="s">
        <v>54</v>
      </c>
      <c r="Q33" t="s">
        <v>54</v>
      </c>
      <c r="R33" t="s">
        <v>54</v>
      </c>
      <c r="S33" t="s">
        <v>54</v>
      </c>
      <c r="T33" t="s">
        <v>54</v>
      </c>
      <c r="U33" t="s">
        <v>54</v>
      </c>
      <c r="V33" t="s">
        <v>54</v>
      </c>
      <c r="W33" t="s">
        <v>54</v>
      </c>
      <c r="X33" s="23" t="s">
        <v>54</v>
      </c>
      <c r="Y33" s="23" t="s">
        <v>54</v>
      </c>
      <c r="Z33" s="23" t="s">
        <v>54</v>
      </c>
      <c r="AA33" s="23" t="s">
        <v>54</v>
      </c>
      <c r="AB33" t="s">
        <v>54</v>
      </c>
      <c r="AC33" t="s">
        <v>54</v>
      </c>
      <c r="AD33" t="s">
        <v>54</v>
      </c>
      <c r="AE33" t="s">
        <v>54</v>
      </c>
      <c r="AF33" s="23" t="s">
        <v>54</v>
      </c>
      <c r="AG33" s="23" t="s">
        <v>54</v>
      </c>
      <c r="AH33" s="23" t="s">
        <v>54</v>
      </c>
      <c r="AI33" s="23" t="s">
        <v>54</v>
      </c>
      <c r="AJ33">
        <v>0</v>
      </c>
      <c r="AK33">
        <v>0</v>
      </c>
      <c r="AL33">
        <v>0</v>
      </c>
      <c r="AM33">
        <v>0</v>
      </c>
      <c r="AN33" s="23" t="s">
        <v>54</v>
      </c>
      <c r="AO33" s="23" t="s">
        <v>54</v>
      </c>
      <c r="AP33" s="23" t="s">
        <v>54</v>
      </c>
      <c r="AQ33" s="23" t="s">
        <v>54</v>
      </c>
      <c r="AR33" s="35">
        <v>0</v>
      </c>
      <c r="AS33" s="35">
        <v>0</v>
      </c>
      <c r="AT33" s="35">
        <v>0</v>
      </c>
      <c r="AU33" s="31" t="str">
        <f t="shared" si="2"/>
        <v>库存为0</v>
      </c>
      <c r="AV33" s="36" t="str">
        <f>IFERROR($A$2+AU33,"上周无销量")</f>
        <v>上周无销量</v>
      </c>
    </row>
    <row r="34" spans="1:48">
      <c r="A34" s="21" t="s">
        <v>112</v>
      </c>
      <c r="B34" t="s">
        <v>113</v>
      </c>
      <c r="C34" t="s">
        <v>107</v>
      </c>
      <c r="D34" s="31">
        <v>0</v>
      </c>
      <c r="E34" s="31">
        <v>0</v>
      </c>
      <c r="F34" s="31">
        <v>0</v>
      </c>
      <c r="G34" s="31">
        <v>0</v>
      </c>
      <c r="H34" s="32">
        <v>0</v>
      </c>
      <c r="I34">
        <v>0</v>
      </c>
      <c r="J34" s="33">
        <v>0</v>
      </c>
      <c r="K34" s="33">
        <v>0</v>
      </c>
      <c r="L34" s="33">
        <v>0</v>
      </c>
      <c r="M34">
        <v>0</v>
      </c>
      <c r="N34">
        <v>0</v>
      </c>
      <c r="O34">
        <v>0</v>
      </c>
      <c r="P34" t="s">
        <v>54</v>
      </c>
      <c r="Q34" t="s">
        <v>54</v>
      </c>
      <c r="R34" t="s">
        <v>54</v>
      </c>
      <c r="S34" t="s">
        <v>54</v>
      </c>
      <c r="T34" t="s">
        <v>54</v>
      </c>
      <c r="U34" t="s">
        <v>54</v>
      </c>
      <c r="V34" t="s">
        <v>54</v>
      </c>
      <c r="W34" t="s">
        <v>54</v>
      </c>
      <c r="X34" s="23" t="s">
        <v>54</v>
      </c>
      <c r="Y34" s="23" t="s">
        <v>54</v>
      </c>
      <c r="Z34" s="23" t="s">
        <v>54</v>
      </c>
      <c r="AA34" s="23" t="s">
        <v>54</v>
      </c>
      <c r="AB34" t="s">
        <v>54</v>
      </c>
      <c r="AC34" t="s">
        <v>54</v>
      </c>
      <c r="AD34" t="s">
        <v>54</v>
      </c>
      <c r="AE34" t="s">
        <v>54</v>
      </c>
      <c r="AF34" s="23" t="s">
        <v>54</v>
      </c>
      <c r="AG34" s="23" t="s">
        <v>54</v>
      </c>
      <c r="AH34" s="23" t="s">
        <v>54</v>
      </c>
      <c r="AI34" s="23" t="s">
        <v>54</v>
      </c>
      <c r="AJ34">
        <v>0</v>
      </c>
      <c r="AK34">
        <v>0</v>
      </c>
      <c r="AL34">
        <v>0</v>
      </c>
      <c r="AM34">
        <v>0</v>
      </c>
      <c r="AN34" s="23" t="s">
        <v>54</v>
      </c>
      <c r="AO34" s="23" t="s">
        <v>54</v>
      </c>
      <c r="AP34" s="23" t="s">
        <v>54</v>
      </c>
      <c r="AQ34" s="23" t="s">
        <v>54</v>
      </c>
      <c r="AR34" s="35">
        <v>0</v>
      </c>
      <c r="AS34" s="35">
        <v>0</v>
      </c>
      <c r="AT34" s="35">
        <v>0</v>
      </c>
      <c r="AU34" s="31" t="str">
        <f t="shared" si="2"/>
        <v>库存为0</v>
      </c>
      <c r="AV34" s="36" t="str">
        <f>IFERROR($A$2+AU34,"上周无销量")</f>
        <v>上周无销量</v>
      </c>
    </row>
    <row r="35" spans="1:48">
      <c r="A35" s="21" t="s">
        <v>114</v>
      </c>
      <c r="B35" t="s">
        <v>115</v>
      </c>
      <c r="C35" t="s">
        <v>107</v>
      </c>
      <c r="D35" s="31">
        <v>0</v>
      </c>
      <c r="E35" s="31">
        <v>0</v>
      </c>
      <c r="F35" s="31">
        <v>0</v>
      </c>
      <c r="G35" s="31">
        <v>0</v>
      </c>
      <c r="H35" s="32">
        <v>0</v>
      </c>
      <c r="I35">
        <v>0</v>
      </c>
      <c r="J35" s="33">
        <v>0</v>
      </c>
      <c r="K35" s="33">
        <v>0</v>
      </c>
      <c r="L35" s="33">
        <v>0</v>
      </c>
      <c r="M35">
        <v>0</v>
      </c>
      <c r="N35">
        <v>0</v>
      </c>
      <c r="O35">
        <v>0</v>
      </c>
      <c r="P35" t="s">
        <v>54</v>
      </c>
      <c r="Q35" t="s">
        <v>54</v>
      </c>
      <c r="R35" t="s">
        <v>54</v>
      </c>
      <c r="S35" t="s">
        <v>54</v>
      </c>
      <c r="T35" t="s">
        <v>54</v>
      </c>
      <c r="U35" t="s">
        <v>54</v>
      </c>
      <c r="V35" t="s">
        <v>54</v>
      </c>
      <c r="W35" t="s">
        <v>54</v>
      </c>
      <c r="X35" s="23" t="s">
        <v>54</v>
      </c>
      <c r="Y35" s="23" t="s">
        <v>54</v>
      </c>
      <c r="Z35" s="23" t="s">
        <v>54</v>
      </c>
      <c r="AA35" s="23" t="s">
        <v>54</v>
      </c>
      <c r="AB35" t="s">
        <v>54</v>
      </c>
      <c r="AC35" t="s">
        <v>54</v>
      </c>
      <c r="AD35" t="s">
        <v>54</v>
      </c>
      <c r="AE35" t="s">
        <v>54</v>
      </c>
      <c r="AF35" s="23" t="s">
        <v>54</v>
      </c>
      <c r="AG35" s="23" t="s">
        <v>54</v>
      </c>
      <c r="AH35" s="23" t="s">
        <v>54</v>
      </c>
      <c r="AI35" s="23" t="s">
        <v>54</v>
      </c>
      <c r="AJ35">
        <v>0</v>
      </c>
      <c r="AK35">
        <v>0</v>
      </c>
      <c r="AL35">
        <v>0</v>
      </c>
      <c r="AM35">
        <v>0</v>
      </c>
      <c r="AN35" s="23" t="s">
        <v>54</v>
      </c>
      <c r="AO35" s="23" t="s">
        <v>54</v>
      </c>
      <c r="AP35" s="23" t="s">
        <v>54</v>
      </c>
      <c r="AQ35" s="23" t="s">
        <v>54</v>
      </c>
      <c r="AR35" s="35">
        <v>0</v>
      </c>
      <c r="AS35" s="35">
        <v>0</v>
      </c>
      <c r="AT35" s="35">
        <v>0</v>
      </c>
      <c r="AU35" s="31" t="str">
        <f t="shared" si="2"/>
        <v>库存为0</v>
      </c>
      <c r="AV35" s="36" t="str">
        <f>IFERROR($A$2+AU35,"上周无销量")</f>
        <v>上周无销量</v>
      </c>
    </row>
    <row r="36" spans="1:48">
      <c r="A36" s="21" t="s">
        <v>116</v>
      </c>
      <c r="B36" t="s">
        <v>117</v>
      </c>
      <c r="C36" t="s">
        <v>107</v>
      </c>
      <c r="D36" s="31">
        <v>0</v>
      </c>
      <c r="E36" s="31">
        <v>0</v>
      </c>
      <c r="F36" s="31">
        <v>0</v>
      </c>
      <c r="G36" s="31">
        <v>0</v>
      </c>
      <c r="H36" s="32">
        <v>0</v>
      </c>
      <c r="I36">
        <v>0</v>
      </c>
      <c r="J36" s="33">
        <v>0</v>
      </c>
      <c r="K36" s="33">
        <v>0</v>
      </c>
      <c r="L36" s="33">
        <v>0</v>
      </c>
      <c r="M36">
        <v>0</v>
      </c>
      <c r="N36">
        <v>0</v>
      </c>
      <c r="O36">
        <v>0</v>
      </c>
      <c r="P36" t="s">
        <v>54</v>
      </c>
      <c r="Q36" t="s">
        <v>54</v>
      </c>
      <c r="R36" t="s">
        <v>54</v>
      </c>
      <c r="S36" t="s">
        <v>54</v>
      </c>
      <c r="T36" t="s">
        <v>54</v>
      </c>
      <c r="U36" t="s">
        <v>54</v>
      </c>
      <c r="V36" t="s">
        <v>54</v>
      </c>
      <c r="W36" t="s">
        <v>54</v>
      </c>
      <c r="X36" s="23" t="s">
        <v>54</v>
      </c>
      <c r="Y36" s="23" t="s">
        <v>54</v>
      </c>
      <c r="Z36" s="23" t="s">
        <v>54</v>
      </c>
      <c r="AA36" s="23" t="s">
        <v>54</v>
      </c>
      <c r="AB36" t="s">
        <v>54</v>
      </c>
      <c r="AC36" t="s">
        <v>54</v>
      </c>
      <c r="AD36" t="s">
        <v>54</v>
      </c>
      <c r="AE36" t="s">
        <v>54</v>
      </c>
      <c r="AF36" s="23" t="s">
        <v>54</v>
      </c>
      <c r="AG36" s="23" t="s">
        <v>54</v>
      </c>
      <c r="AH36" s="23" t="s">
        <v>54</v>
      </c>
      <c r="AI36" s="23" t="s">
        <v>54</v>
      </c>
      <c r="AJ36">
        <v>0</v>
      </c>
      <c r="AK36">
        <v>0</v>
      </c>
      <c r="AL36">
        <v>0</v>
      </c>
      <c r="AM36">
        <v>0</v>
      </c>
      <c r="AN36" s="23" t="s">
        <v>54</v>
      </c>
      <c r="AO36" s="23" t="s">
        <v>54</v>
      </c>
      <c r="AP36" s="23" t="s">
        <v>54</v>
      </c>
      <c r="AQ36" s="23" t="s">
        <v>54</v>
      </c>
      <c r="AR36" s="35">
        <v>0</v>
      </c>
      <c r="AS36" s="35">
        <v>0</v>
      </c>
      <c r="AT36" s="35">
        <v>0</v>
      </c>
      <c r="AU36" s="31" t="str">
        <f t="shared" si="2"/>
        <v>库存为0</v>
      </c>
      <c r="AV36" s="36" t="str">
        <f>IFERROR($A$2+AU36,"上周无销量")</f>
        <v>上周无销量</v>
      </c>
    </row>
    <row r="37" spans="1:48">
      <c r="A37" s="21" t="s">
        <v>118</v>
      </c>
      <c r="B37" t="s">
        <v>119</v>
      </c>
      <c r="C37" t="s">
        <v>107</v>
      </c>
      <c r="D37" s="31">
        <v>0</v>
      </c>
      <c r="E37" s="31">
        <v>0</v>
      </c>
      <c r="F37" s="31">
        <v>0</v>
      </c>
      <c r="G37" s="31">
        <v>0</v>
      </c>
      <c r="H37" s="32">
        <v>0</v>
      </c>
      <c r="I37">
        <v>0</v>
      </c>
      <c r="J37" s="33">
        <v>0</v>
      </c>
      <c r="K37" s="33">
        <v>0</v>
      </c>
      <c r="L37" s="33">
        <v>0</v>
      </c>
      <c r="M37">
        <v>0</v>
      </c>
      <c r="N37">
        <v>0</v>
      </c>
      <c r="O37">
        <v>0</v>
      </c>
      <c r="P37" t="s">
        <v>54</v>
      </c>
      <c r="Q37" t="s">
        <v>54</v>
      </c>
      <c r="R37" t="s">
        <v>54</v>
      </c>
      <c r="S37" t="s">
        <v>54</v>
      </c>
      <c r="T37" t="s">
        <v>54</v>
      </c>
      <c r="U37" t="s">
        <v>54</v>
      </c>
      <c r="V37" t="s">
        <v>54</v>
      </c>
      <c r="W37" t="s">
        <v>54</v>
      </c>
      <c r="X37" s="23" t="s">
        <v>54</v>
      </c>
      <c r="Y37" s="23" t="s">
        <v>54</v>
      </c>
      <c r="Z37" s="23" t="s">
        <v>54</v>
      </c>
      <c r="AA37" s="23" t="s">
        <v>54</v>
      </c>
      <c r="AB37" t="s">
        <v>54</v>
      </c>
      <c r="AC37" t="s">
        <v>54</v>
      </c>
      <c r="AD37" t="s">
        <v>54</v>
      </c>
      <c r="AE37" t="s">
        <v>54</v>
      </c>
      <c r="AF37" s="23" t="s">
        <v>54</v>
      </c>
      <c r="AG37" s="23" t="s">
        <v>54</v>
      </c>
      <c r="AH37" s="23" t="s">
        <v>54</v>
      </c>
      <c r="AI37" s="23" t="s">
        <v>54</v>
      </c>
      <c r="AJ37">
        <v>0</v>
      </c>
      <c r="AK37">
        <v>0</v>
      </c>
      <c r="AL37">
        <v>0</v>
      </c>
      <c r="AM37">
        <v>0</v>
      </c>
      <c r="AN37" s="23" t="s">
        <v>54</v>
      </c>
      <c r="AO37" s="23" t="s">
        <v>54</v>
      </c>
      <c r="AP37" s="23" t="s">
        <v>54</v>
      </c>
      <c r="AQ37" s="23" t="s">
        <v>54</v>
      </c>
      <c r="AR37" s="35">
        <v>0</v>
      </c>
      <c r="AS37" s="35">
        <v>0</v>
      </c>
      <c r="AT37" s="35">
        <v>0</v>
      </c>
      <c r="AU37" s="31" t="str">
        <f t="shared" si="2"/>
        <v>库存为0</v>
      </c>
      <c r="AV37" s="36" t="str">
        <f>IFERROR($A$2+AU37,"上周无销量")</f>
        <v>上周无销量</v>
      </c>
    </row>
    <row r="38" spans="1:48">
      <c r="A38" s="21" t="s">
        <v>120</v>
      </c>
      <c r="B38" t="s">
        <v>121</v>
      </c>
      <c r="C38" t="s">
        <v>107</v>
      </c>
      <c r="D38" s="31">
        <v>0</v>
      </c>
      <c r="E38" s="31">
        <v>0</v>
      </c>
      <c r="F38" s="31">
        <v>0</v>
      </c>
      <c r="G38" s="31">
        <v>0</v>
      </c>
      <c r="H38" s="32">
        <v>0</v>
      </c>
      <c r="I38">
        <v>0</v>
      </c>
      <c r="J38" s="33">
        <v>0</v>
      </c>
      <c r="K38" s="33">
        <v>0</v>
      </c>
      <c r="L38" s="33">
        <v>0</v>
      </c>
      <c r="M38">
        <v>0</v>
      </c>
      <c r="N38">
        <v>0</v>
      </c>
      <c r="O38">
        <v>0</v>
      </c>
      <c r="P38" t="s">
        <v>54</v>
      </c>
      <c r="Q38" t="s">
        <v>54</v>
      </c>
      <c r="R38" t="s">
        <v>54</v>
      </c>
      <c r="S38" t="s">
        <v>54</v>
      </c>
      <c r="T38" t="s">
        <v>54</v>
      </c>
      <c r="U38" t="s">
        <v>54</v>
      </c>
      <c r="V38" t="s">
        <v>54</v>
      </c>
      <c r="W38" t="s">
        <v>54</v>
      </c>
      <c r="X38" s="23" t="s">
        <v>54</v>
      </c>
      <c r="Y38" s="23" t="s">
        <v>54</v>
      </c>
      <c r="Z38" s="23" t="s">
        <v>54</v>
      </c>
      <c r="AA38" s="23" t="s">
        <v>54</v>
      </c>
      <c r="AB38" t="s">
        <v>54</v>
      </c>
      <c r="AC38" t="s">
        <v>54</v>
      </c>
      <c r="AD38" t="s">
        <v>54</v>
      </c>
      <c r="AE38" t="s">
        <v>54</v>
      </c>
      <c r="AF38" s="23" t="s">
        <v>54</v>
      </c>
      <c r="AG38" s="23" t="s">
        <v>54</v>
      </c>
      <c r="AH38" s="23" t="s">
        <v>54</v>
      </c>
      <c r="AI38" s="23" t="s">
        <v>54</v>
      </c>
      <c r="AJ38">
        <v>0</v>
      </c>
      <c r="AK38">
        <v>0</v>
      </c>
      <c r="AL38">
        <v>0</v>
      </c>
      <c r="AM38">
        <v>0</v>
      </c>
      <c r="AN38" s="23" t="s">
        <v>54</v>
      </c>
      <c r="AO38" s="23" t="s">
        <v>54</v>
      </c>
      <c r="AP38" s="23" t="s">
        <v>54</v>
      </c>
      <c r="AQ38" s="23" t="s">
        <v>54</v>
      </c>
      <c r="AR38" s="35">
        <v>0</v>
      </c>
      <c r="AS38" s="35">
        <v>0</v>
      </c>
      <c r="AT38" s="35">
        <v>0</v>
      </c>
      <c r="AU38" s="31" t="str">
        <f t="shared" si="2"/>
        <v>库存为0</v>
      </c>
      <c r="AV38" s="36" t="str">
        <f>IFERROR($A$2+AU38,"上周无销量")</f>
        <v>上周无销量</v>
      </c>
    </row>
    <row r="39" spans="1:48">
      <c r="A39" s="21" t="s">
        <v>122</v>
      </c>
      <c r="B39" t="s">
        <v>123</v>
      </c>
      <c r="C39" t="s">
        <v>107</v>
      </c>
      <c r="D39" s="31">
        <v>0</v>
      </c>
      <c r="E39" s="31">
        <v>0</v>
      </c>
      <c r="F39" s="31">
        <v>0</v>
      </c>
      <c r="G39" s="31">
        <v>0</v>
      </c>
      <c r="H39" s="32">
        <v>0</v>
      </c>
      <c r="I39">
        <v>0</v>
      </c>
      <c r="J39" s="33">
        <v>0</v>
      </c>
      <c r="K39" s="33">
        <v>0</v>
      </c>
      <c r="L39" s="33">
        <v>0</v>
      </c>
      <c r="M39">
        <v>0</v>
      </c>
      <c r="N39">
        <v>0</v>
      </c>
      <c r="O39">
        <v>0</v>
      </c>
      <c r="P39" t="s">
        <v>54</v>
      </c>
      <c r="Q39" t="s">
        <v>54</v>
      </c>
      <c r="R39" t="s">
        <v>54</v>
      </c>
      <c r="S39" t="s">
        <v>54</v>
      </c>
      <c r="T39" t="s">
        <v>54</v>
      </c>
      <c r="U39" t="s">
        <v>54</v>
      </c>
      <c r="V39" t="s">
        <v>54</v>
      </c>
      <c r="W39" t="s">
        <v>54</v>
      </c>
      <c r="X39" s="23" t="s">
        <v>54</v>
      </c>
      <c r="Y39" s="23" t="s">
        <v>54</v>
      </c>
      <c r="Z39" s="23" t="s">
        <v>54</v>
      </c>
      <c r="AA39" s="23" t="s">
        <v>54</v>
      </c>
      <c r="AB39" t="s">
        <v>54</v>
      </c>
      <c r="AC39" t="s">
        <v>54</v>
      </c>
      <c r="AD39" t="s">
        <v>54</v>
      </c>
      <c r="AE39" t="s">
        <v>54</v>
      </c>
      <c r="AF39" s="23" t="s">
        <v>54</v>
      </c>
      <c r="AG39" s="23" t="s">
        <v>54</v>
      </c>
      <c r="AH39" s="23" t="s">
        <v>54</v>
      </c>
      <c r="AI39" s="23" t="s">
        <v>54</v>
      </c>
      <c r="AJ39">
        <v>0</v>
      </c>
      <c r="AK39">
        <v>0</v>
      </c>
      <c r="AL39">
        <v>0</v>
      </c>
      <c r="AM39">
        <v>0</v>
      </c>
      <c r="AN39" s="23" t="s">
        <v>54</v>
      </c>
      <c r="AO39" s="23" t="s">
        <v>54</v>
      </c>
      <c r="AP39" s="23" t="s">
        <v>54</v>
      </c>
      <c r="AQ39" s="23" t="s">
        <v>54</v>
      </c>
      <c r="AR39" s="35">
        <v>0</v>
      </c>
      <c r="AS39" s="35">
        <v>0</v>
      </c>
      <c r="AT39" s="35">
        <v>0</v>
      </c>
      <c r="AU39" s="31" t="str">
        <f t="shared" si="2"/>
        <v>库存为0</v>
      </c>
      <c r="AV39" s="36" t="str">
        <f>IFERROR($A$2+AU39,"上周无销量")</f>
        <v>上周无销量</v>
      </c>
    </row>
    <row r="40" spans="1:48">
      <c r="A40" s="21" t="s">
        <v>124</v>
      </c>
      <c r="B40" t="s">
        <v>125</v>
      </c>
      <c r="C40" t="s">
        <v>107</v>
      </c>
      <c r="D40" s="31">
        <v>0</v>
      </c>
      <c r="E40" s="31">
        <v>0</v>
      </c>
      <c r="F40" s="31">
        <v>0</v>
      </c>
      <c r="G40" s="31">
        <v>0</v>
      </c>
      <c r="H40" s="32">
        <v>0</v>
      </c>
      <c r="I40">
        <v>0</v>
      </c>
      <c r="J40" s="33">
        <v>0</v>
      </c>
      <c r="K40" s="33">
        <v>0</v>
      </c>
      <c r="L40" s="33">
        <v>0</v>
      </c>
      <c r="M40">
        <v>0</v>
      </c>
      <c r="N40">
        <v>0</v>
      </c>
      <c r="O40">
        <v>0</v>
      </c>
      <c r="P40" t="s">
        <v>54</v>
      </c>
      <c r="Q40" t="s">
        <v>54</v>
      </c>
      <c r="R40" t="s">
        <v>54</v>
      </c>
      <c r="S40" t="s">
        <v>54</v>
      </c>
      <c r="T40" t="s">
        <v>54</v>
      </c>
      <c r="U40" t="s">
        <v>54</v>
      </c>
      <c r="V40" t="s">
        <v>54</v>
      </c>
      <c r="W40" t="s">
        <v>54</v>
      </c>
      <c r="X40" s="23" t="s">
        <v>54</v>
      </c>
      <c r="Y40" s="23" t="s">
        <v>54</v>
      </c>
      <c r="Z40" s="23" t="s">
        <v>54</v>
      </c>
      <c r="AA40" s="23" t="s">
        <v>54</v>
      </c>
      <c r="AB40" t="s">
        <v>54</v>
      </c>
      <c r="AC40" t="s">
        <v>54</v>
      </c>
      <c r="AD40" t="s">
        <v>54</v>
      </c>
      <c r="AE40" t="s">
        <v>54</v>
      </c>
      <c r="AF40" s="23" t="s">
        <v>54</v>
      </c>
      <c r="AG40" s="23" t="s">
        <v>54</v>
      </c>
      <c r="AH40" s="23" t="s">
        <v>54</v>
      </c>
      <c r="AI40" s="23" t="s">
        <v>54</v>
      </c>
      <c r="AJ40">
        <v>0</v>
      </c>
      <c r="AK40">
        <v>0</v>
      </c>
      <c r="AL40">
        <v>0</v>
      </c>
      <c r="AM40">
        <v>0</v>
      </c>
      <c r="AN40" s="23" t="s">
        <v>54</v>
      </c>
      <c r="AO40" s="23" t="s">
        <v>54</v>
      </c>
      <c r="AP40" s="23" t="s">
        <v>54</v>
      </c>
      <c r="AQ40" s="23" t="s">
        <v>54</v>
      </c>
      <c r="AR40" s="35">
        <v>0</v>
      </c>
      <c r="AS40" s="35">
        <v>0</v>
      </c>
      <c r="AT40" s="35">
        <v>0</v>
      </c>
      <c r="AU40" s="31" t="str">
        <f t="shared" si="2"/>
        <v>库存为0</v>
      </c>
      <c r="AV40" s="36" t="str">
        <f>IFERROR($A$2+AU40,"上周无销量")</f>
        <v>上周无销量</v>
      </c>
    </row>
    <row r="41" spans="1:48">
      <c r="A41" s="21" t="s">
        <v>126</v>
      </c>
      <c r="B41" t="s">
        <v>127</v>
      </c>
      <c r="C41" t="s">
        <v>107</v>
      </c>
      <c r="D41" s="31">
        <v>0</v>
      </c>
      <c r="E41" s="31">
        <v>0</v>
      </c>
      <c r="F41" s="31">
        <v>0</v>
      </c>
      <c r="G41" s="31">
        <v>0</v>
      </c>
      <c r="H41" s="32">
        <v>0</v>
      </c>
      <c r="I41">
        <v>0</v>
      </c>
      <c r="J41" s="33">
        <v>0</v>
      </c>
      <c r="K41" s="33">
        <v>0</v>
      </c>
      <c r="L41" s="33">
        <v>0</v>
      </c>
      <c r="M41">
        <v>0</v>
      </c>
      <c r="N41">
        <v>0</v>
      </c>
      <c r="O41">
        <v>0</v>
      </c>
      <c r="P41" t="s">
        <v>54</v>
      </c>
      <c r="Q41" t="s">
        <v>54</v>
      </c>
      <c r="R41" t="s">
        <v>54</v>
      </c>
      <c r="S41" t="s">
        <v>54</v>
      </c>
      <c r="T41" t="s">
        <v>54</v>
      </c>
      <c r="U41" t="s">
        <v>54</v>
      </c>
      <c r="V41" t="s">
        <v>54</v>
      </c>
      <c r="W41" t="s">
        <v>54</v>
      </c>
      <c r="X41" s="23" t="s">
        <v>54</v>
      </c>
      <c r="Y41" s="23" t="s">
        <v>54</v>
      </c>
      <c r="Z41" s="23" t="s">
        <v>54</v>
      </c>
      <c r="AA41" s="23" t="s">
        <v>54</v>
      </c>
      <c r="AB41" t="s">
        <v>54</v>
      </c>
      <c r="AC41" t="s">
        <v>54</v>
      </c>
      <c r="AD41" t="s">
        <v>54</v>
      </c>
      <c r="AE41" t="s">
        <v>54</v>
      </c>
      <c r="AF41" s="23" t="s">
        <v>54</v>
      </c>
      <c r="AG41" s="23" t="s">
        <v>54</v>
      </c>
      <c r="AH41" s="23" t="s">
        <v>54</v>
      </c>
      <c r="AI41" s="23" t="s">
        <v>54</v>
      </c>
      <c r="AJ41">
        <v>0</v>
      </c>
      <c r="AK41">
        <v>0</v>
      </c>
      <c r="AL41">
        <v>0</v>
      </c>
      <c r="AM41">
        <v>0</v>
      </c>
      <c r="AN41" s="23" t="s">
        <v>54</v>
      </c>
      <c r="AO41" s="23" t="s">
        <v>54</v>
      </c>
      <c r="AP41" s="23" t="s">
        <v>54</v>
      </c>
      <c r="AQ41" s="23" t="s">
        <v>54</v>
      </c>
      <c r="AR41" s="35">
        <v>0</v>
      </c>
      <c r="AS41" s="35">
        <v>0</v>
      </c>
      <c r="AT41" s="35">
        <v>0</v>
      </c>
      <c r="AU41" s="31" t="str">
        <f t="shared" si="2"/>
        <v>库存为0</v>
      </c>
      <c r="AV41" s="36" t="str">
        <f>IFERROR($A$2+AU41,"上周无销量")</f>
        <v>上周无销量</v>
      </c>
    </row>
    <row r="42" spans="1:48">
      <c r="A42" s="21" t="s">
        <v>128</v>
      </c>
      <c r="B42" t="s">
        <v>129</v>
      </c>
      <c r="C42" t="s">
        <v>107</v>
      </c>
      <c r="D42" s="31">
        <v>0</v>
      </c>
      <c r="E42" s="31">
        <v>0</v>
      </c>
      <c r="F42" s="31">
        <v>0</v>
      </c>
      <c r="G42" s="31">
        <v>0</v>
      </c>
      <c r="H42" s="32">
        <v>0</v>
      </c>
      <c r="I42">
        <v>0</v>
      </c>
      <c r="J42" s="33">
        <v>0</v>
      </c>
      <c r="K42" s="33">
        <v>0</v>
      </c>
      <c r="L42" s="33">
        <v>0</v>
      </c>
      <c r="M42">
        <v>0</v>
      </c>
      <c r="N42">
        <v>0</v>
      </c>
      <c r="O42">
        <v>0</v>
      </c>
      <c r="P42" t="s">
        <v>54</v>
      </c>
      <c r="Q42" t="s">
        <v>54</v>
      </c>
      <c r="R42" t="s">
        <v>54</v>
      </c>
      <c r="S42" t="s">
        <v>54</v>
      </c>
      <c r="T42" t="s">
        <v>54</v>
      </c>
      <c r="U42" t="s">
        <v>54</v>
      </c>
      <c r="V42" t="s">
        <v>54</v>
      </c>
      <c r="W42" t="s">
        <v>54</v>
      </c>
      <c r="X42" s="23" t="s">
        <v>54</v>
      </c>
      <c r="Y42" s="23" t="s">
        <v>54</v>
      </c>
      <c r="Z42" s="23" t="s">
        <v>54</v>
      </c>
      <c r="AA42" s="23" t="s">
        <v>54</v>
      </c>
      <c r="AB42" t="s">
        <v>54</v>
      </c>
      <c r="AC42" t="s">
        <v>54</v>
      </c>
      <c r="AD42" t="s">
        <v>54</v>
      </c>
      <c r="AE42" t="s">
        <v>54</v>
      </c>
      <c r="AF42" s="23" t="s">
        <v>54</v>
      </c>
      <c r="AG42" s="23" t="s">
        <v>54</v>
      </c>
      <c r="AH42" s="23" t="s">
        <v>54</v>
      </c>
      <c r="AI42" s="23" t="s">
        <v>54</v>
      </c>
      <c r="AJ42">
        <v>0</v>
      </c>
      <c r="AK42">
        <v>0</v>
      </c>
      <c r="AL42">
        <v>0</v>
      </c>
      <c r="AM42">
        <v>0</v>
      </c>
      <c r="AN42" s="23" t="s">
        <v>54</v>
      </c>
      <c r="AO42" s="23" t="s">
        <v>54</v>
      </c>
      <c r="AP42" s="23" t="s">
        <v>54</v>
      </c>
      <c r="AQ42" s="23" t="s">
        <v>54</v>
      </c>
      <c r="AR42" s="35">
        <v>0</v>
      </c>
      <c r="AS42" s="35">
        <v>0</v>
      </c>
      <c r="AT42" s="35">
        <v>0</v>
      </c>
      <c r="AU42" s="31" t="str">
        <f t="shared" si="2"/>
        <v>库存为0</v>
      </c>
      <c r="AV42" s="36" t="str">
        <f>IFERROR($A$2+AU42,"上周无销量")</f>
        <v>上周无销量</v>
      </c>
    </row>
    <row r="43" spans="1:48">
      <c r="A43" s="21" t="s">
        <v>130</v>
      </c>
      <c r="B43" t="s">
        <v>131</v>
      </c>
      <c r="C43" t="s">
        <v>107</v>
      </c>
      <c r="D43" s="31">
        <v>0</v>
      </c>
      <c r="E43" s="31">
        <v>0</v>
      </c>
      <c r="F43" s="31">
        <v>0</v>
      </c>
      <c r="G43" s="31">
        <v>0</v>
      </c>
      <c r="H43" s="32">
        <v>0</v>
      </c>
      <c r="I43">
        <v>0</v>
      </c>
      <c r="J43" s="33">
        <v>0</v>
      </c>
      <c r="K43" s="33">
        <v>0</v>
      </c>
      <c r="L43" s="33">
        <v>0</v>
      </c>
      <c r="M43">
        <v>0</v>
      </c>
      <c r="N43">
        <v>0</v>
      </c>
      <c r="O43">
        <v>0</v>
      </c>
      <c r="P43" t="s">
        <v>54</v>
      </c>
      <c r="Q43" t="s">
        <v>54</v>
      </c>
      <c r="R43" t="s">
        <v>54</v>
      </c>
      <c r="S43" t="s">
        <v>54</v>
      </c>
      <c r="T43" t="s">
        <v>54</v>
      </c>
      <c r="U43" t="s">
        <v>54</v>
      </c>
      <c r="V43" t="s">
        <v>54</v>
      </c>
      <c r="W43" t="s">
        <v>54</v>
      </c>
      <c r="X43" s="23" t="s">
        <v>54</v>
      </c>
      <c r="Y43" s="23" t="s">
        <v>54</v>
      </c>
      <c r="Z43" s="23" t="s">
        <v>54</v>
      </c>
      <c r="AA43" s="23" t="s">
        <v>54</v>
      </c>
      <c r="AB43" t="s">
        <v>54</v>
      </c>
      <c r="AC43" t="s">
        <v>54</v>
      </c>
      <c r="AD43" t="s">
        <v>54</v>
      </c>
      <c r="AE43" t="s">
        <v>54</v>
      </c>
      <c r="AF43" s="23" t="s">
        <v>54</v>
      </c>
      <c r="AG43" s="23" t="s">
        <v>54</v>
      </c>
      <c r="AH43" s="23" t="s">
        <v>54</v>
      </c>
      <c r="AI43" s="23" t="s">
        <v>54</v>
      </c>
      <c r="AJ43">
        <v>0</v>
      </c>
      <c r="AK43">
        <v>0</v>
      </c>
      <c r="AL43">
        <v>0</v>
      </c>
      <c r="AM43">
        <v>0</v>
      </c>
      <c r="AN43" s="23" t="s">
        <v>54</v>
      </c>
      <c r="AO43" s="23" t="s">
        <v>54</v>
      </c>
      <c r="AP43" s="23" t="s">
        <v>54</v>
      </c>
      <c r="AQ43" s="23" t="s">
        <v>54</v>
      </c>
      <c r="AR43" s="35">
        <v>0</v>
      </c>
      <c r="AS43" s="35">
        <v>0</v>
      </c>
      <c r="AT43" s="35">
        <v>0</v>
      </c>
      <c r="AU43" s="31" t="str">
        <f t="shared" si="2"/>
        <v>库存为0</v>
      </c>
      <c r="AV43" s="36" t="str">
        <f>IFERROR($A$2+AU43,"上周无销量")</f>
        <v>上周无销量</v>
      </c>
    </row>
    <row r="44" spans="1:48">
      <c r="A44" s="21" t="s">
        <v>132</v>
      </c>
      <c r="B44" t="s">
        <v>133</v>
      </c>
      <c r="C44" t="s">
        <v>107</v>
      </c>
      <c r="D44" s="31">
        <v>0</v>
      </c>
      <c r="E44" s="31">
        <v>0</v>
      </c>
      <c r="F44" s="31">
        <v>0</v>
      </c>
      <c r="G44" s="31">
        <v>0</v>
      </c>
      <c r="H44" s="32">
        <v>0</v>
      </c>
      <c r="I44">
        <v>0</v>
      </c>
      <c r="J44" s="33">
        <v>0</v>
      </c>
      <c r="K44" s="33">
        <v>0</v>
      </c>
      <c r="L44" s="33">
        <v>0</v>
      </c>
      <c r="M44">
        <v>0</v>
      </c>
      <c r="N44">
        <v>0</v>
      </c>
      <c r="O44">
        <v>0</v>
      </c>
      <c r="P44" t="s">
        <v>54</v>
      </c>
      <c r="Q44" t="s">
        <v>54</v>
      </c>
      <c r="R44" t="s">
        <v>54</v>
      </c>
      <c r="S44" t="s">
        <v>54</v>
      </c>
      <c r="T44" t="s">
        <v>54</v>
      </c>
      <c r="U44" t="s">
        <v>54</v>
      </c>
      <c r="V44" t="s">
        <v>54</v>
      </c>
      <c r="W44" t="s">
        <v>54</v>
      </c>
      <c r="X44" s="23" t="s">
        <v>54</v>
      </c>
      <c r="Y44" s="23" t="s">
        <v>54</v>
      </c>
      <c r="Z44" s="23" t="s">
        <v>54</v>
      </c>
      <c r="AA44" s="23" t="s">
        <v>54</v>
      </c>
      <c r="AB44" t="s">
        <v>54</v>
      </c>
      <c r="AC44" t="s">
        <v>54</v>
      </c>
      <c r="AD44" t="s">
        <v>54</v>
      </c>
      <c r="AE44" t="s">
        <v>54</v>
      </c>
      <c r="AF44" s="23" t="s">
        <v>54</v>
      </c>
      <c r="AG44" s="23" t="s">
        <v>54</v>
      </c>
      <c r="AH44" s="23" t="s">
        <v>54</v>
      </c>
      <c r="AI44" s="23" t="s">
        <v>54</v>
      </c>
      <c r="AJ44">
        <v>0</v>
      </c>
      <c r="AK44">
        <v>0</v>
      </c>
      <c r="AL44">
        <v>0</v>
      </c>
      <c r="AM44">
        <v>0</v>
      </c>
      <c r="AN44" s="23" t="s">
        <v>54</v>
      </c>
      <c r="AO44" s="23" t="s">
        <v>54</v>
      </c>
      <c r="AP44" s="23" t="s">
        <v>54</v>
      </c>
      <c r="AQ44" s="23" t="s">
        <v>54</v>
      </c>
      <c r="AR44" s="35">
        <v>0</v>
      </c>
      <c r="AS44" s="35">
        <v>0</v>
      </c>
      <c r="AT44" s="35">
        <v>0</v>
      </c>
      <c r="AU44" s="31" t="str">
        <f t="shared" si="2"/>
        <v>库存为0</v>
      </c>
      <c r="AV44" s="36" t="str">
        <f>IFERROR($A$2+AU44,"上周无销量")</f>
        <v>上周无销量</v>
      </c>
    </row>
    <row r="45" spans="1:48">
      <c r="A45" s="21" t="s">
        <v>134</v>
      </c>
      <c r="B45" t="s">
        <v>135</v>
      </c>
      <c r="C45" t="s">
        <v>107</v>
      </c>
      <c r="D45" s="31">
        <v>0</v>
      </c>
      <c r="E45" s="31">
        <v>0</v>
      </c>
      <c r="F45" s="31">
        <v>0</v>
      </c>
      <c r="G45" s="31">
        <v>0</v>
      </c>
      <c r="H45" s="32">
        <v>0</v>
      </c>
      <c r="I45">
        <v>0</v>
      </c>
      <c r="J45" s="33">
        <v>0</v>
      </c>
      <c r="K45" s="33">
        <v>0</v>
      </c>
      <c r="L45" s="33">
        <v>0</v>
      </c>
      <c r="M45">
        <v>0</v>
      </c>
      <c r="N45">
        <v>0</v>
      </c>
      <c r="O45">
        <v>0</v>
      </c>
      <c r="P45" t="s">
        <v>54</v>
      </c>
      <c r="Q45" t="s">
        <v>54</v>
      </c>
      <c r="R45" t="s">
        <v>54</v>
      </c>
      <c r="S45" t="s">
        <v>54</v>
      </c>
      <c r="T45" t="s">
        <v>54</v>
      </c>
      <c r="U45" t="s">
        <v>54</v>
      </c>
      <c r="V45" t="s">
        <v>54</v>
      </c>
      <c r="W45" t="s">
        <v>54</v>
      </c>
      <c r="X45" s="23" t="s">
        <v>54</v>
      </c>
      <c r="Y45" s="23" t="s">
        <v>54</v>
      </c>
      <c r="Z45" s="23" t="s">
        <v>54</v>
      </c>
      <c r="AA45" s="23" t="s">
        <v>54</v>
      </c>
      <c r="AB45" t="s">
        <v>54</v>
      </c>
      <c r="AC45" t="s">
        <v>54</v>
      </c>
      <c r="AD45" t="s">
        <v>54</v>
      </c>
      <c r="AE45" t="s">
        <v>54</v>
      </c>
      <c r="AF45" s="23" t="s">
        <v>54</v>
      </c>
      <c r="AG45" s="23" t="s">
        <v>54</v>
      </c>
      <c r="AH45" s="23" t="s">
        <v>54</v>
      </c>
      <c r="AI45" s="23" t="s">
        <v>54</v>
      </c>
      <c r="AJ45">
        <v>0</v>
      </c>
      <c r="AK45">
        <v>0</v>
      </c>
      <c r="AL45">
        <v>0</v>
      </c>
      <c r="AM45">
        <v>0</v>
      </c>
      <c r="AN45" s="23" t="s">
        <v>54</v>
      </c>
      <c r="AO45" s="23" t="s">
        <v>54</v>
      </c>
      <c r="AP45" s="23" t="s">
        <v>54</v>
      </c>
      <c r="AQ45" s="23" t="s">
        <v>54</v>
      </c>
      <c r="AR45" s="35">
        <v>0</v>
      </c>
      <c r="AS45" s="35">
        <v>0</v>
      </c>
      <c r="AT45" s="35">
        <v>0</v>
      </c>
      <c r="AU45" s="31" t="str">
        <f t="shared" si="2"/>
        <v>库存为0</v>
      </c>
      <c r="AV45" s="36" t="str">
        <f>IFERROR($A$2+AU45,"上周无销量")</f>
        <v>上周无销量</v>
      </c>
    </row>
    <row r="46" spans="1:48">
      <c r="A46" s="21" t="s">
        <v>136</v>
      </c>
      <c r="B46" t="s">
        <v>137</v>
      </c>
      <c r="C46" t="s">
        <v>107</v>
      </c>
      <c r="D46" s="31">
        <v>0</v>
      </c>
      <c r="E46" s="31">
        <v>0</v>
      </c>
      <c r="F46" s="31">
        <v>0</v>
      </c>
      <c r="G46" s="31">
        <v>0</v>
      </c>
      <c r="H46" s="32">
        <v>0</v>
      </c>
      <c r="I46">
        <v>0</v>
      </c>
      <c r="J46" s="33">
        <v>0</v>
      </c>
      <c r="K46" s="33">
        <v>0</v>
      </c>
      <c r="L46" s="33">
        <v>0</v>
      </c>
      <c r="M46">
        <v>0</v>
      </c>
      <c r="N46">
        <v>0</v>
      </c>
      <c r="O46">
        <v>0</v>
      </c>
      <c r="P46" t="s">
        <v>54</v>
      </c>
      <c r="Q46" t="s">
        <v>54</v>
      </c>
      <c r="R46" t="s">
        <v>54</v>
      </c>
      <c r="S46" t="s">
        <v>54</v>
      </c>
      <c r="T46" t="s">
        <v>54</v>
      </c>
      <c r="U46" t="s">
        <v>54</v>
      </c>
      <c r="V46" t="s">
        <v>54</v>
      </c>
      <c r="W46" t="s">
        <v>54</v>
      </c>
      <c r="X46" s="23" t="s">
        <v>54</v>
      </c>
      <c r="Y46" s="23" t="s">
        <v>54</v>
      </c>
      <c r="Z46" s="23" t="s">
        <v>54</v>
      </c>
      <c r="AA46" s="23" t="s">
        <v>54</v>
      </c>
      <c r="AB46" t="s">
        <v>54</v>
      </c>
      <c r="AC46" t="s">
        <v>54</v>
      </c>
      <c r="AD46" t="s">
        <v>54</v>
      </c>
      <c r="AE46" t="s">
        <v>54</v>
      </c>
      <c r="AF46" s="23" t="s">
        <v>54</v>
      </c>
      <c r="AG46" s="23" t="s">
        <v>54</v>
      </c>
      <c r="AH46" s="23" t="s">
        <v>54</v>
      </c>
      <c r="AI46" s="23" t="s">
        <v>54</v>
      </c>
      <c r="AJ46">
        <v>0</v>
      </c>
      <c r="AK46">
        <v>0</v>
      </c>
      <c r="AL46">
        <v>0</v>
      </c>
      <c r="AM46">
        <v>0</v>
      </c>
      <c r="AN46" s="23" t="s">
        <v>54</v>
      </c>
      <c r="AO46" s="23" t="s">
        <v>54</v>
      </c>
      <c r="AP46" s="23" t="s">
        <v>54</v>
      </c>
      <c r="AQ46" s="23" t="s">
        <v>54</v>
      </c>
      <c r="AR46" s="35">
        <v>0</v>
      </c>
      <c r="AS46" s="35">
        <v>0</v>
      </c>
      <c r="AT46" s="35">
        <v>0</v>
      </c>
      <c r="AU46" s="31" t="str">
        <f t="shared" si="2"/>
        <v>库存为0</v>
      </c>
      <c r="AV46" s="36" t="str">
        <f>IFERROR($A$2+AU46,"上周无销量")</f>
        <v>上周无销量</v>
      </c>
    </row>
    <row r="47" spans="1:48">
      <c r="A47" s="21" t="s">
        <v>138</v>
      </c>
      <c r="B47" t="s">
        <v>139</v>
      </c>
      <c r="C47" t="s">
        <v>140</v>
      </c>
      <c r="D47" s="31">
        <v>0</v>
      </c>
      <c r="E47" s="31">
        <v>0</v>
      </c>
      <c r="F47" s="31">
        <v>0</v>
      </c>
      <c r="G47" s="31">
        <v>0</v>
      </c>
      <c r="H47" s="32">
        <v>0</v>
      </c>
      <c r="I47">
        <v>0</v>
      </c>
      <c r="J47" s="33">
        <v>0</v>
      </c>
      <c r="K47" s="33">
        <v>0</v>
      </c>
      <c r="L47" s="33">
        <v>0</v>
      </c>
      <c r="M47">
        <v>0</v>
      </c>
      <c r="N47">
        <v>0</v>
      </c>
      <c r="O47">
        <v>0</v>
      </c>
      <c r="P47" t="s">
        <v>54</v>
      </c>
      <c r="Q47" t="s">
        <v>54</v>
      </c>
      <c r="R47" t="s">
        <v>54</v>
      </c>
      <c r="S47" t="s">
        <v>54</v>
      </c>
      <c r="T47" t="s">
        <v>54</v>
      </c>
      <c r="U47" t="s">
        <v>54</v>
      </c>
      <c r="V47" t="s">
        <v>54</v>
      </c>
      <c r="W47" t="s">
        <v>54</v>
      </c>
      <c r="X47" s="23" t="s">
        <v>54</v>
      </c>
      <c r="Y47" s="23" t="s">
        <v>54</v>
      </c>
      <c r="Z47" s="23" t="s">
        <v>54</v>
      </c>
      <c r="AA47" s="23" t="s">
        <v>54</v>
      </c>
      <c r="AB47" t="s">
        <v>54</v>
      </c>
      <c r="AC47" t="s">
        <v>54</v>
      </c>
      <c r="AD47" t="s">
        <v>54</v>
      </c>
      <c r="AE47" t="s">
        <v>54</v>
      </c>
      <c r="AF47" s="23" t="s">
        <v>54</v>
      </c>
      <c r="AG47" s="23" t="s">
        <v>54</v>
      </c>
      <c r="AH47" s="23" t="s">
        <v>54</v>
      </c>
      <c r="AI47" s="23" t="s">
        <v>54</v>
      </c>
      <c r="AJ47">
        <v>0</v>
      </c>
      <c r="AK47">
        <v>0</v>
      </c>
      <c r="AL47">
        <v>0</v>
      </c>
      <c r="AM47">
        <v>0</v>
      </c>
      <c r="AN47" s="23" t="s">
        <v>54</v>
      </c>
      <c r="AO47" s="23" t="s">
        <v>54</v>
      </c>
      <c r="AP47" s="23" t="s">
        <v>54</v>
      </c>
      <c r="AQ47" s="23" t="s">
        <v>54</v>
      </c>
      <c r="AR47" s="35">
        <v>0</v>
      </c>
      <c r="AS47" s="35">
        <v>0</v>
      </c>
      <c r="AT47" s="35">
        <v>0</v>
      </c>
      <c r="AU47" s="31" t="str">
        <f t="shared" si="2"/>
        <v>库存为0</v>
      </c>
      <c r="AV47" s="36" t="str">
        <f>IFERROR($A$2+AU47,"上周无销量")</f>
        <v>上周无销量</v>
      </c>
    </row>
    <row r="48" spans="1:48">
      <c r="A48" s="21" t="s">
        <v>141</v>
      </c>
      <c r="B48" t="s">
        <v>142</v>
      </c>
      <c r="C48" t="s">
        <v>140</v>
      </c>
      <c r="D48" s="31">
        <v>0</v>
      </c>
      <c r="E48" s="31">
        <v>0</v>
      </c>
      <c r="F48" s="31">
        <v>0</v>
      </c>
      <c r="G48" s="31">
        <v>0</v>
      </c>
      <c r="H48" s="32">
        <v>0</v>
      </c>
      <c r="I48">
        <v>0</v>
      </c>
      <c r="J48" s="33">
        <v>0</v>
      </c>
      <c r="K48" s="33">
        <v>0</v>
      </c>
      <c r="L48" s="33">
        <v>0</v>
      </c>
      <c r="M48">
        <v>0</v>
      </c>
      <c r="N48">
        <v>0</v>
      </c>
      <c r="O48">
        <v>0</v>
      </c>
      <c r="P48" t="s">
        <v>54</v>
      </c>
      <c r="Q48" t="s">
        <v>54</v>
      </c>
      <c r="R48" t="s">
        <v>54</v>
      </c>
      <c r="S48" t="s">
        <v>54</v>
      </c>
      <c r="T48" t="s">
        <v>54</v>
      </c>
      <c r="U48" t="s">
        <v>54</v>
      </c>
      <c r="V48" t="s">
        <v>54</v>
      </c>
      <c r="W48" t="s">
        <v>54</v>
      </c>
      <c r="X48" s="23" t="s">
        <v>54</v>
      </c>
      <c r="Y48" s="23" t="s">
        <v>54</v>
      </c>
      <c r="Z48" s="23" t="s">
        <v>54</v>
      </c>
      <c r="AA48" s="23" t="s">
        <v>54</v>
      </c>
      <c r="AB48" t="s">
        <v>54</v>
      </c>
      <c r="AC48" t="s">
        <v>54</v>
      </c>
      <c r="AD48" t="s">
        <v>54</v>
      </c>
      <c r="AE48" t="s">
        <v>54</v>
      </c>
      <c r="AF48" s="23" t="s">
        <v>54</v>
      </c>
      <c r="AG48" s="23" t="s">
        <v>54</v>
      </c>
      <c r="AH48" s="23" t="s">
        <v>54</v>
      </c>
      <c r="AI48" s="23" t="s">
        <v>54</v>
      </c>
      <c r="AJ48">
        <v>0</v>
      </c>
      <c r="AK48">
        <v>0</v>
      </c>
      <c r="AL48">
        <v>0</v>
      </c>
      <c r="AM48">
        <v>0</v>
      </c>
      <c r="AN48" s="23" t="s">
        <v>54</v>
      </c>
      <c r="AO48" s="23" t="s">
        <v>54</v>
      </c>
      <c r="AP48" s="23" t="s">
        <v>54</v>
      </c>
      <c r="AQ48" s="23" t="s">
        <v>54</v>
      </c>
      <c r="AR48" s="35">
        <v>0</v>
      </c>
      <c r="AS48" s="35">
        <v>0</v>
      </c>
      <c r="AT48" s="35">
        <v>0</v>
      </c>
      <c r="AU48" s="31" t="str">
        <f t="shared" si="2"/>
        <v>库存为0</v>
      </c>
      <c r="AV48" s="36" t="str">
        <f>IFERROR($A$2+AU48,"上周无销量")</f>
        <v>上周无销量</v>
      </c>
    </row>
    <row r="49" spans="1:48">
      <c r="A49" s="21" t="s">
        <v>143</v>
      </c>
      <c r="B49" t="s">
        <v>144</v>
      </c>
      <c r="C49" t="s">
        <v>140</v>
      </c>
      <c r="D49" s="31">
        <v>0</v>
      </c>
      <c r="E49" s="31">
        <v>0</v>
      </c>
      <c r="F49" s="31">
        <v>0</v>
      </c>
      <c r="G49" s="31">
        <v>0</v>
      </c>
      <c r="H49" s="32">
        <v>0</v>
      </c>
      <c r="I49">
        <v>0</v>
      </c>
      <c r="J49" s="33">
        <v>0</v>
      </c>
      <c r="K49" s="33">
        <v>0</v>
      </c>
      <c r="L49" s="33">
        <v>0</v>
      </c>
      <c r="M49">
        <v>0</v>
      </c>
      <c r="N49">
        <v>0</v>
      </c>
      <c r="O49">
        <v>0</v>
      </c>
      <c r="P49" t="s">
        <v>54</v>
      </c>
      <c r="Q49" t="s">
        <v>54</v>
      </c>
      <c r="R49" t="s">
        <v>54</v>
      </c>
      <c r="S49" t="s">
        <v>54</v>
      </c>
      <c r="T49" t="s">
        <v>54</v>
      </c>
      <c r="U49" t="s">
        <v>54</v>
      </c>
      <c r="V49" t="s">
        <v>54</v>
      </c>
      <c r="W49" t="s">
        <v>54</v>
      </c>
      <c r="X49" s="23" t="s">
        <v>54</v>
      </c>
      <c r="Y49" s="23" t="s">
        <v>54</v>
      </c>
      <c r="Z49" s="23" t="s">
        <v>54</v>
      </c>
      <c r="AA49" s="23" t="s">
        <v>54</v>
      </c>
      <c r="AB49" t="s">
        <v>54</v>
      </c>
      <c r="AC49" t="s">
        <v>54</v>
      </c>
      <c r="AD49" t="s">
        <v>54</v>
      </c>
      <c r="AE49" t="s">
        <v>54</v>
      </c>
      <c r="AF49" s="23" t="s">
        <v>54</v>
      </c>
      <c r="AG49" s="23" t="s">
        <v>54</v>
      </c>
      <c r="AH49" s="23" t="s">
        <v>54</v>
      </c>
      <c r="AI49" s="23" t="s">
        <v>54</v>
      </c>
      <c r="AJ49">
        <v>0</v>
      </c>
      <c r="AK49">
        <v>0</v>
      </c>
      <c r="AL49">
        <v>0</v>
      </c>
      <c r="AM49">
        <v>0</v>
      </c>
      <c r="AN49" s="23" t="s">
        <v>54</v>
      </c>
      <c r="AO49" s="23" t="s">
        <v>54</v>
      </c>
      <c r="AP49" s="23" t="s">
        <v>54</v>
      </c>
      <c r="AQ49" s="23" t="s">
        <v>54</v>
      </c>
      <c r="AR49" s="35">
        <v>0</v>
      </c>
      <c r="AS49" s="35">
        <v>0</v>
      </c>
      <c r="AT49" s="35">
        <v>0</v>
      </c>
      <c r="AU49" s="31" t="str">
        <f t="shared" si="2"/>
        <v>库存为0</v>
      </c>
      <c r="AV49" s="36" t="str">
        <f>IFERROR($A$2+AU49,"上周无销量")</f>
        <v>上周无销量</v>
      </c>
    </row>
    <row r="50" spans="1:48">
      <c r="A50" s="21" t="s">
        <v>145</v>
      </c>
      <c r="B50" t="s">
        <v>146</v>
      </c>
      <c r="C50" t="s">
        <v>140</v>
      </c>
      <c r="D50" s="31">
        <v>0</v>
      </c>
      <c r="E50" s="31">
        <v>0</v>
      </c>
      <c r="F50" s="31">
        <v>0</v>
      </c>
      <c r="G50" s="31">
        <v>0</v>
      </c>
      <c r="H50" s="32">
        <v>0</v>
      </c>
      <c r="I50">
        <v>0</v>
      </c>
      <c r="J50" s="33">
        <v>0</v>
      </c>
      <c r="K50" s="33">
        <v>0</v>
      </c>
      <c r="L50" s="33">
        <v>0</v>
      </c>
      <c r="M50">
        <v>0</v>
      </c>
      <c r="N50">
        <v>0</v>
      </c>
      <c r="O50">
        <v>0</v>
      </c>
      <c r="P50" t="s">
        <v>54</v>
      </c>
      <c r="Q50" t="s">
        <v>54</v>
      </c>
      <c r="R50" t="s">
        <v>54</v>
      </c>
      <c r="S50" t="s">
        <v>54</v>
      </c>
      <c r="T50" t="s">
        <v>54</v>
      </c>
      <c r="U50" t="s">
        <v>54</v>
      </c>
      <c r="V50" t="s">
        <v>54</v>
      </c>
      <c r="W50" t="s">
        <v>54</v>
      </c>
      <c r="X50" s="23" t="s">
        <v>54</v>
      </c>
      <c r="Y50" s="23" t="s">
        <v>54</v>
      </c>
      <c r="Z50" s="23" t="s">
        <v>54</v>
      </c>
      <c r="AA50" s="23" t="s">
        <v>54</v>
      </c>
      <c r="AB50" t="s">
        <v>54</v>
      </c>
      <c r="AC50" t="s">
        <v>54</v>
      </c>
      <c r="AD50" t="s">
        <v>54</v>
      </c>
      <c r="AE50" t="s">
        <v>54</v>
      </c>
      <c r="AF50" s="23" t="s">
        <v>54</v>
      </c>
      <c r="AG50" s="23" t="s">
        <v>54</v>
      </c>
      <c r="AH50" s="23" t="s">
        <v>54</v>
      </c>
      <c r="AI50" s="23" t="s">
        <v>54</v>
      </c>
      <c r="AJ50">
        <v>0</v>
      </c>
      <c r="AK50">
        <v>0</v>
      </c>
      <c r="AL50">
        <v>0</v>
      </c>
      <c r="AM50">
        <v>0</v>
      </c>
      <c r="AN50" s="23" t="s">
        <v>54</v>
      </c>
      <c r="AO50" s="23" t="s">
        <v>54</v>
      </c>
      <c r="AP50" s="23" t="s">
        <v>54</v>
      </c>
      <c r="AQ50" s="23" t="s">
        <v>54</v>
      </c>
      <c r="AR50" s="35">
        <v>0</v>
      </c>
      <c r="AS50" s="35">
        <v>0</v>
      </c>
      <c r="AT50" s="35">
        <v>0</v>
      </c>
      <c r="AU50" s="31" t="str">
        <f t="shared" si="2"/>
        <v>库存为0</v>
      </c>
      <c r="AV50" s="36" t="str">
        <f>IFERROR($A$2+AU50,"上周无销量")</f>
        <v>上周无销量</v>
      </c>
    </row>
    <row r="51" spans="1:48">
      <c r="A51" s="21" t="s">
        <v>147</v>
      </c>
      <c r="B51" t="s">
        <v>148</v>
      </c>
      <c r="C51" t="s">
        <v>140</v>
      </c>
      <c r="D51" s="31">
        <v>0</v>
      </c>
      <c r="E51" s="31">
        <v>0</v>
      </c>
      <c r="F51" s="31">
        <v>0</v>
      </c>
      <c r="G51" s="31">
        <v>0</v>
      </c>
      <c r="H51" s="32">
        <v>0</v>
      </c>
      <c r="I51">
        <v>0</v>
      </c>
      <c r="J51" s="33">
        <v>0</v>
      </c>
      <c r="K51" s="33">
        <v>0</v>
      </c>
      <c r="L51" s="33">
        <v>0</v>
      </c>
      <c r="M51">
        <v>0</v>
      </c>
      <c r="N51">
        <v>0</v>
      </c>
      <c r="O51">
        <v>0</v>
      </c>
      <c r="P51" t="s">
        <v>54</v>
      </c>
      <c r="Q51" t="s">
        <v>54</v>
      </c>
      <c r="R51" t="s">
        <v>54</v>
      </c>
      <c r="S51" t="s">
        <v>54</v>
      </c>
      <c r="T51" t="s">
        <v>54</v>
      </c>
      <c r="U51" t="s">
        <v>54</v>
      </c>
      <c r="V51" t="s">
        <v>54</v>
      </c>
      <c r="W51" t="s">
        <v>54</v>
      </c>
      <c r="X51" s="23" t="s">
        <v>54</v>
      </c>
      <c r="Y51" s="23" t="s">
        <v>54</v>
      </c>
      <c r="Z51" s="23" t="s">
        <v>54</v>
      </c>
      <c r="AA51" s="23" t="s">
        <v>54</v>
      </c>
      <c r="AB51" t="s">
        <v>54</v>
      </c>
      <c r="AC51" t="s">
        <v>54</v>
      </c>
      <c r="AD51" t="s">
        <v>54</v>
      </c>
      <c r="AE51" t="s">
        <v>54</v>
      </c>
      <c r="AF51" s="23" t="s">
        <v>54</v>
      </c>
      <c r="AG51" s="23" t="s">
        <v>54</v>
      </c>
      <c r="AH51" s="23" t="s">
        <v>54</v>
      </c>
      <c r="AI51" s="23" t="s">
        <v>54</v>
      </c>
      <c r="AJ51">
        <v>0</v>
      </c>
      <c r="AK51">
        <v>0</v>
      </c>
      <c r="AL51">
        <v>0</v>
      </c>
      <c r="AM51">
        <v>0</v>
      </c>
      <c r="AN51" s="23" t="s">
        <v>54</v>
      </c>
      <c r="AO51" s="23" t="s">
        <v>54</v>
      </c>
      <c r="AP51" s="23" t="s">
        <v>54</v>
      </c>
      <c r="AQ51" s="23" t="s">
        <v>54</v>
      </c>
      <c r="AR51" s="35">
        <v>0</v>
      </c>
      <c r="AS51" s="35">
        <v>0</v>
      </c>
      <c r="AT51" s="35">
        <v>0</v>
      </c>
      <c r="AU51" s="31" t="str">
        <f t="shared" si="2"/>
        <v>库存为0</v>
      </c>
      <c r="AV51" s="36" t="str">
        <f>IFERROR($A$2+AU51,"上周无销量")</f>
        <v>上周无销量</v>
      </c>
    </row>
    <row r="52" spans="1:48">
      <c r="A52" s="21" t="s">
        <v>149</v>
      </c>
      <c r="B52" t="s">
        <v>150</v>
      </c>
      <c r="C52" t="s">
        <v>140</v>
      </c>
      <c r="D52" s="31">
        <v>0</v>
      </c>
      <c r="E52" s="31">
        <v>0</v>
      </c>
      <c r="F52" s="31">
        <v>0</v>
      </c>
      <c r="G52" s="31">
        <v>0</v>
      </c>
      <c r="H52" s="32">
        <v>0</v>
      </c>
      <c r="I52">
        <v>0</v>
      </c>
      <c r="J52" s="33">
        <v>0</v>
      </c>
      <c r="K52" s="33">
        <v>0</v>
      </c>
      <c r="L52" s="33">
        <v>0</v>
      </c>
      <c r="M52">
        <v>0</v>
      </c>
      <c r="N52">
        <v>0</v>
      </c>
      <c r="O52">
        <v>0</v>
      </c>
      <c r="P52" t="s">
        <v>54</v>
      </c>
      <c r="Q52" t="s">
        <v>54</v>
      </c>
      <c r="R52" t="s">
        <v>54</v>
      </c>
      <c r="S52" t="s">
        <v>54</v>
      </c>
      <c r="T52" t="s">
        <v>54</v>
      </c>
      <c r="U52" t="s">
        <v>54</v>
      </c>
      <c r="V52" t="s">
        <v>54</v>
      </c>
      <c r="W52" t="s">
        <v>54</v>
      </c>
      <c r="X52" s="23" t="s">
        <v>54</v>
      </c>
      <c r="Y52" s="23" t="s">
        <v>54</v>
      </c>
      <c r="Z52" s="23" t="s">
        <v>54</v>
      </c>
      <c r="AA52" s="23" t="s">
        <v>54</v>
      </c>
      <c r="AB52" t="s">
        <v>54</v>
      </c>
      <c r="AC52" t="s">
        <v>54</v>
      </c>
      <c r="AD52" t="s">
        <v>54</v>
      </c>
      <c r="AE52" t="s">
        <v>54</v>
      </c>
      <c r="AF52" s="23" t="s">
        <v>54</v>
      </c>
      <c r="AG52" s="23" t="s">
        <v>54</v>
      </c>
      <c r="AH52" s="23" t="s">
        <v>54</v>
      </c>
      <c r="AI52" s="23" t="s">
        <v>54</v>
      </c>
      <c r="AJ52">
        <v>0</v>
      </c>
      <c r="AK52">
        <v>0</v>
      </c>
      <c r="AL52">
        <v>0</v>
      </c>
      <c r="AM52">
        <v>0</v>
      </c>
      <c r="AN52" s="23" t="s">
        <v>54</v>
      </c>
      <c r="AO52" s="23" t="s">
        <v>54</v>
      </c>
      <c r="AP52" s="23" t="s">
        <v>54</v>
      </c>
      <c r="AQ52" s="23" t="s">
        <v>54</v>
      </c>
      <c r="AR52" s="35">
        <v>0</v>
      </c>
      <c r="AS52" s="35">
        <v>0</v>
      </c>
      <c r="AT52" s="35">
        <v>0</v>
      </c>
      <c r="AU52" s="31" t="str">
        <f t="shared" si="2"/>
        <v>库存为0</v>
      </c>
      <c r="AV52" s="36" t="str">
        <f>IFERROR($A$2+AU52,"上周无销量")</f>
        <v>上周无销量</v>
      </c>
    </row>
    <row r="53" spans="1:48">
      <c r="A53" s="21" t="s">
        <v>151</v>
      </c>
      <c r="B53" t="s">
        <v>152</v>
      </c>
      <c r="C53" t="s">
        <v>140</v>
      </c>
      <c r="D53" s="31">
        <v>0</v>
      </c>
      <c r="E53" s="31">
        <v>0</v>
      </c>
      <c r="F53" s="31">
        <v>0</v>
      </c>
      <c r="G53" s="31">
        <v>0</v>
      </c>
      <c r="H53" s="32">
        <v>0</v>
      </c>
      <c r="I53">
        <v>0</v>
      </c>
      <c r="J53" s="33">
        <v>0</v>
      </c>
      <c r="K53" s="33">
        <v>0</v>
      </c>
      <c r="L53" s="33">
        <v>0</v>
      </c>
      <c r="M53">
        <v>0</v>
      </c>
      <c r="N53">
        <v>0</v>
      </c>
      <c r="O53">
        <v>0</v>
      </c>
      <c r="P53" t="s">
        <v>54</v>
      </c>
      <c r="Q53" t="s">
        <v>54</v>
      </c>
      <c r="R53" t="s">
        <v>54</v>
      </c>
      <c r="S53" t="s">
        <v>54</v>
      </c>
      <c r="T53" t="s">
        <v>54</v>
      </c>
      <c r="U53" t="s">
        <v>54</v>
      </c>
      <c r="V53" t="s">
        <v>54</v>
      </c>
      <c r="W53" t="s">
        <v>54</v>
      </c>
      <c r="X53" s="23" t="s">
        <v>54</v>
      </c>
      <c r="Y53" s="23" t="s">
        <v>54</v>
      </c>
      <c r="Z53" s="23" t="s">
        <v>54</v>
      </c>
      <c r="AA53" s="23" t="s">
        <v>54</v>
      </c>
      <c r="AB53" t="s">
        <v>54</v>
      </c>
      <c r="AC53" t="s">
        <v>54</v>
      </c>
      <c r="AD53" t="s">
        <v>54</v>
      </c>
      <c r="AE53" t="s">
        <v>54</v>
      </c>
      <c r="AF53" s="23" t="s">
        <v>54</v>
      </c>
      <c r="AG53" s="23" t="s">
        <v>54</v>
      </c>
      <c r="AH53" s="23" t="s">
        <v>54</v>
      </c>
      <c r="AI53" s="23" t="s">
        <v>54</v>
      </c>
      <c r="AJ53">
        <v>0</v>
      </c>
      <c r="AK53">
        <v>0</v>
      </c>
      <c r="AL53">
        <v>0</v>
      </c>
      <c r="AM53">
        <v>0</v>
      </c>
      <c r="AN53" s="23" t="s">
        <v>54</v>
      </c>
      <c r="AO53" s="23" t="s">
        <v>54</v>
      </c>
      <c r="AP53" s="23" t="s">
        <v>54</v>
      </c>
      <c r="AQ53" s="23" t="s">
        <v>54</v>
      </c>
      <c r="AR53" s="35">
        <v>0</v>
      </c>
      <c r="AS53" s="35">
        <v>0</v>
      </c>
      <c r="AT53" s="35">
        <v>0</v>
      </c>
      <c r="AU53" s="31" t="str">
        <f t="shared" si="2"/>
        <v>库存为0</v>
      </c>
      <c r="AV53" s="36" t="str">
        <f>IFERROR($A$2+AU53,"上周无销量")</f>
        <v>上周无销量</v>
      </c>
    </row>
    <row r="54" spans="1:48">
      <c r="A54" s="21" t="s">
        <v>153</v>
      </c>
      <c r="B54" t="s">
        <v>154</v>
      </c>
      <c r="C54" t="s">
        <v>140</v>
      </c>
      <c r="D54" s="31">
        <v>0</v>
      </c>
      <c r="E54" s="31">
        <v>0</v>
      </c>
      <c r="F54" s="31">
        <v>0</v>
      </c>
      <c r="G54" s="31">
        <v>0</v>
      </c>
      <c r="H54" s="32">
        <v>0</v>
      </c>
      <c r="I54">
        <v>0</v>
      </c>
      <c r="J54" s="33">
        <v>0</v>
      </c>
      <c r="K54" s="33">
        <v>0</v>
      </c>
      <c r="L54" s="33">
        <v>0</v>
      </c>
      <c r="M54">
        <v>0</v>
      </c>
      <c r="N54">
        <v>0</v>
      </c>
      <c r="O54">
        <v>0</v>
      </c>
      <c r="P54" t="s">
        <v>54</v>
      </c>
      <c r="Q54" t="s">
        <v>54</v>
      </c>
      <c r="R54" t="s">
        <v>54</v>
      </c>
      <c r="S54" t="s">
        <v>54</v>
      </c>
      <c r="T54" t="s">
        <v>54</v>
      </c>
      <c r="U54" t="s">
        <v>54</v>
      </c>
      <c r="V54" t="s">
        <v>54</v>
      </c>
      <c r="W54" t="s">
        <v>54</v>
      </c>
      <c r="X54" s="23" t="s">
        <v>54</v>
      </c>
      <c r="Y54" s="23" t="s">
        <v>54</v>
      </c>
      <c r="Z54" s="23" t="s">
        <v>54</v>
      </c>
      <c r="AA54" s="23" t="s">
        <v>54</v>
      </c>
      <c r="AB54" t="s">
        <v>54</v>
      </c>
      <c r="AC54" t="s">
        <v>54</v>
      </c>
      <c r="AD54" t="s">
        <v>54</v>
      </c>
      <c r="AE54" t="s">
        <v>54</v>
      </c>
      <c r="AF54" s="23" t="s">
        <v>54</v>
      </c>
      <c r="AG54" s="23" t="s">
        <v>54</v>
      </c>
      <c r="AH54" s="23" t="s">
        <v>54</v>
      </c>
      <c r="AI54" s="23" t="s">
        <v>54</v>
      </c>
      <c r="AJ54">
        <v>0</v>
      </c>
      <c r="AK54">
        <v>0</v>
      </c>
      <c r="AL54">
        <v>0</v>
      </c>
      <c r="AM54">
        <v>0</v>
      </c>
      <c r="AN54" s="23" t="s">
        <v>54</v>
      </c>
      <c r="AO54" s="23" t="s">
        <v>54</v>
      </c>
      <c r="AP54" s="23" t="s">
        <v>54</v>
      </c>
      <c r="AQ54" s="23" t="s">
        <v>54</v>
      </c>
      <c r="AR54" s="35">
        <v>0</v>
      </c>
      <c r="AS54" s="35">
        <v>0</v>
      </c>
      <c r="AT54" s="35">
        <v>0</v>
      </c>
      <c r="AU54" s="31" t="str">
        <f t="shared" si="2"/>
        <v>库存为0</v>
      </c>
      <c r="AV54" s="36" t="str">
        <f>IFERROR($A$2+AU54,"上周无销量")</f>
        <v>上周无销量</v>
      </c>
    </row>
    <row r="55" spans="1:48">
      <c r="A55" s="21" t="s">
        <v>155</v>
      </c>
      <c r="B55" t="s">
        <v>156</v>
      </c>
      <c r="C55" t="s">
        <v>140</v>
      </c>
      <c r="D55" s="31">
        <v>0</v>
      </c>
      <c r="E55" s="31">
        <v>0</v>
      </c>
      <c r="F55" s="31">
        <v>0</v>
      </c>
      <c r="G55" s="31">
        <v>0</v>
      </c>
      <c r="H55" s="32">
        <v>0</v>
      </c>
      <c r="I55">
        <v>0</v>
      </c>
      <c r="J55" s="33">
        <v>0</v>
      </c>
      <c r="K55" s="33">
        <v>0</v>
      </c>
      <c r="L55" s="33">
        <v>0</v>
      </c>
      <c r="M55">
        <v>0</v>
      </c>
      <c r="N55">
        <v>0</v>
      </c>
      <c r="O55">
        <v>0</v>
      </c>
      <c r="P55" t="s">
        <v>54</v>
      </c>
      <c r="Q55" t="s">
        <v>54</v>
      </c>
      <c r="R55" t="s">
        <v>54</v>
      </c>
      <c r="S55" t="s">
        <v>54</v>
      </c>
      <c r="T55" t="s">
        <v>54</v>
      </c>
      <c r="U55" t="s">
        <v>54</v>
      </c>
      <c r="V55" t="s">
        <v>54</v>
      </c>
      <c r="W55" t="s">
        <v>54</v>
      </c>
      <c r="X55" s="23" t="s">
        <v>54</v>
      </c>
      <c r="Y55" s="23" t="s">
        <v>54</v>
      </c>
      <c r="Z55" s="23" t="s">
        <v>54</v>
      </c>
      <c r="AA55" s="23" t="s">
        <v>54</v>
      </c>
      <c r="AB55" t="s">
        <v>54</v>
      </c>
      <c r="AC55" t="s">
        <v>54</v>
      </c>
      <c r="AD55" t="s">
        <v>54</v>
      </c>
      <c r="AE55" t="s">
        <v>54</v>
      </c>
      <c r="AF55" s="23" t="s">
        <v>54</v>
      </c>
      <c r="AG55" s="23" t="s">
        <v>54</v>
      </c>
      <c r="AH55" s="23" t="s">
        <v>54</v>
      </c>
      <c r="AI55" s="23" t="s">
        <v>54</v>
      </c>
      <c r="AJ55">
        <v>0</v>
      </c>
      <c r="AK55">
        <v>0</v>
      </c>
      <c r="AL55">
        <v>0</v>
      </c>
      <c r="AM55">
        <v>0</v>
      </c>
      <c r="AN55" s="23" t="s">
        <v>54</v>
      </c>
      <c r="AO55" s="23" t="s">
        <v>54</v>
      </c>
      <c r="AP55" s="23" t="s">
        <v>54</v>
      </c>
      <c r="AQ55" s="23" t="s">
        <v>54</v>
      </c>
      <c r="AR55" s="35">
        <v>0</v>
      </c>
      <c r="AS55" s="35">
        <v>0</v>
      </c>
      <c r="AT55" s="35">
        <v>0</v>
      </c>
      <c r="AU55" s="31" t="str">
        <f t="shared" si="2"/>
        <v>库存为0</v>
      </c>
      <c r="AV55" s="36" t="str">
        <f>IFERROR($A$2+AU55,"上周无销量")</f>
        <v>上周无销量</v>
      </c>
    </row>
    <row r="56" spans="1:48">
      <c r="A56" s="21" t="s">
        <v>157</v>
      </c>
      <c r="B56" t="s">
        <v>158</v>
      </c>
      <c r="C56" t="s">
        <v>140</v>
      </c>
      <c r="D56" s="31">
        <v>0</v>
      </c>
      <c r="E56" s="31">
        <v>0</v>
      </c>
      <c r="F56" s="31">
        <v>0</v>
      </c>
      <c r="G56" s="31">
        <v>0</v>
      </c>
      <c r="H56" s="32">
        <v>0</v>
      </c>
      <c r="I56">
        <v>0</v>
      </c>
      <c r="J56" s="33">
        <v>0</v>
      </c>
      <c r="K56" s="33">
        <v>0</v>
      </c>
      <c r="L56" s="33">
        <v>0</v>
      </c>
      <c r="M56">
        <v>0</v>
      </c>
      <c r="N56">
        <v>0</v>
      </c>
      <c r="O56">
        <v>0</v>
      </c>
      <c r="P56" t="s">
        <v>54</v>
      </c>
      <c r="Q56" t="s">
        <v>54</v>
      </c>
      <c r="R56" t="s">
        <v>54</v>
      </c>
      <c r="S56" t="s">
        <v>54</v>
      </c>
      <c r="T56" t="s">
        <v>54</v>
      </c>
      <c r="U56" t="s">
        <v>54</v>
      </c>
      <c r="V56" t="s">
        <v>54</v>
      </c>
      <c r="W56" t="s">
        <v>54</v>
      </c>
      <c r="X56" s="23" t="s">
        <v>54</v>
      </c>
      <c r="Y56" s="23" t="s">
        <v>54</v>
      </c>
      <c r="Z56" s="23" t="s">
        <v>54</v>
      </c>
      <c r="AA56" s="23" t="s">
        <v>54</v>
      </c>
      <c r="AB56" t="s">
        <v>54</v>
      </c>
      <c r="AC56" t="s">
        <v>54</v>
      </c>
      <c r="AD56" t="s">
        <v>54</v>
      </c>
      <c r="AE56" t="s">
        <v>54</v>
      </c>
      <c r="AF56" s="23" t="s">
        <v>54</v>
      </c>
      <c r="AG56" s="23" t="s">
        <v>54</v>
      </c>
      <c r="AH56" s="23" t="s">
        <v>54</v>
      </c>
      <c r="AI56" s="23" t="s">
        <v>54</v>
      </c>
      <c r="AJ56">
        <v>0</v>
      </c>
      <c r="AK56">
        <v>0</v>
      </c>
      <c r="AL56">
        <v>0</v>
      </c>
      <c r="AM56">
        <v>0</v>
      </c>
      <c r="AN56" s="23" t="s">
        <v>54</v>
      </c>
      <c r="AO56" s="23" t="s">
        <v>54</v>
      </c>
      <c r="AP56" s="23" t="s">
        <v>54</v>
      </c>
      <c r="AQ56" s="23" t="s">
        <v>54</v>
      </c>
      <c r="AR56" s="35">
        <v>0</v>
      </c>
      <c r="AS56" s="35">
        <v>0</v>
      </c>
      <c r="AT56" s="35">
        <v>0</v>
      </c>
      <c r="AU56" s="31" t="str">
        <f t="shared" si="2"/>
        <v>库存为0</v>
      </c>
      <c r="AV56" s="36" t="str">
        <f>IFERROR($A$2+AU56,"上周无销量")</f>
        <v>上周无销量</v>
      </c>
    </row>
    <row r="57" spans="1:48">
      <c r="A57" s="21" t="s">
        <v>159</v>
      </c>
      <c r="B57" t="s">
        <v>160</v>
      </c>
      <c r="C57" t="s">
        <v>140</v>
      </c>
      <c r="D57" s="31">
        <v>0</v>
      </c>
      <c r="E57" s="31">
        <v>0</v>
      </c>
      <c r="F57" s="31">
        <v>0</v>
      </c>
      <c r="G57" s="31">
        <v>0</v>
      </c>
      <c r="H57" s="32">
        <v>0</v>
      </c>
      <c r="I57">
        <v>0</v>
      </c>
      <c r="J57" s="33">
        <v>0</v>
      </c>
      <c r="K57" s="33">
        <v>0</v>
      </c>
      <c r="L57" s="33">
        <v>0</v>
      </c>
      <c r="M57">
        <v>0</v>
      </c>
      <c r="N57">
        <v>0</v>
      </c>
      <c r="O57">
        <v>0</v>
      </c>
      <c r="P57" t="s">
        <v>54</v>
      </c>
      <c r="Q57" t="s">
        <v>54</v>
      </c>
      <c r="R57" t="s">
        <v>54</v>
      </c>
      <c r="S57" t="s">
        <v>54</v>
      </c>
      <c r="T57" t="s">
        <v>54</v>
      </c>
      <c r="U57" t="s">
        <v>54</v>
      </c>
      <c r="V57" t="s">
        <v>54</v>
      </c>
      <c r="W57" t="s">
        <v>54</v>
      </c>
      <c r="X57" s="23" t="s">
        <v>54</v>
      </c>
      <c r="Y57" s="23" t="s">
        <v>54</v>
      </c>
      <c r="Z57" s="23" t="s">
        <v>54</v>
      </c>
      <c r="AA57" s="23" t="s">
        <v>54</v>
      </c>
      <c r="AB57" t="s">
        <v>54</v>
      </c>
      <c r="AC57" t="s">
        <v>54</v>
      </c>
      <c r="AD57" t="s">
        <v>54</v>
      </c>
      <c r="AE57" t="s">
        <v>54</v>
      </c>
      <c r="AF57" s="23" t="s">
        <v>54</v>
      </c>
      <c r="AG57" s="23" t="s">
        <v>54</v>
      </c>
      <c r="AH57" s="23" t="s">
        <v>54</v>
      </c>
      <c r="AI57" s="23" t="s">
        <v>54</v>
      </c>
      <c r="AJ57">
        <v>0</v>
      </c>
      <c r="AK57">
        <v>0</v>
      </c>
      <c r="AL57">
        <v>0</v>
      </c>
      <c r="AM57">
        <v>0</v>
      </c>
      <c r="AN57" s="23" t="s">
        <v>54</v>
      </c>
      <c r="AO57" s="23" t="s">
        <v>54</v>
      </c>
      <c r="AP57" s="23" t="s">
        <v>54</v>
      </c>
      <c r="AQ57" s="23" t="s">
        <v>54</v>
      </c>
      <c r="AR57" s="35">
        <v>0</v>
      </c>
      <c r="AS57" s="35">
        <v>0</v>
      </c>
      <c r="AT57" s="35">
        <v>0</v>
      </c>
      <c r="AU57" s="31" t="str">
        <f t="shared" si="2"/>
        <v>库存为0</v>
      </c>
      <c r="AV57" s="36" t="str">
        <f>IFERROR($A$2+AU57,"上周无销量")</f>
        <v>上周无销量</v>
      </c>
    </row>
    <row r="58" spans="1:48">
      <c r="A58" s="21" t="s">
        <v>161</v>
      </c>
      <c r="B58" t="s">
        <v>162</v>
      </c>
      <c r="C58" t="s">
        <v>140</v>
      </c>
      <c r="D58" s="31">
        <v>0</v>
      </c>
      <c r="E58" s="31">
        <v>0</v>
      </c>
      <c r="F58" s="31">
        <v>0</v>
      </c>
      <c r="G58" s="31">
        <v>0</v>
      </c>
      <c r="H58" s="32">
        <v>0</v>
      </c>
      <c r="I58">
        <v>0</v>
      </c>
      <c r="J58" s="33">
        <v>0</v>
      </c>
      <c r="K58" s="33">
        <v>0</v>
      </c>
      <c r="L58" s="33">
        <v>0</v>
      </c>
      <c r="M58">
        <v>0</v>
      </c>
      <c r="N58">
        <v>0</v>
      </c>
      <c r="O58">
        <v>0</v>
      </c>
      <c r="P58" t="s">
        <v>54</v>
      </c>
      <c r="Q58" t="s">
        <v>54</v>
      </c>
      <c r="R58" t="s">
        <v>54</v>
      </c>
      <c r="S58" t="s">
        <v>54</v>
      </c>
      <c r="T58" t="s">
        <v>54</v>
      </c>
      <c r="U58" t="s">
        <v>54</v>
      </c>
      <c r="V58" t="s">
        <v>54</v>
      </c>
      <c r="W58" t="s">
        <v>54</v>
      </c>
      <c r="X58" s="23" t="s">
        <v>54</v>
      </c>
      <c r="Y58" s="23" t="s">
        <v>54</v>
      </c>
      <c r="Z58" s="23" t="s">
        <v>54</v>
      </c>
      <c r="AA58" s="23" t="s">
        <v>54</v>
      </c>
      <c r="AB58" t="s">
        <v>54</v>
      </c>
      <c r="AC58" t="s">
        <v>54</v>
      </c>
      <c r="AD58" t="s">
        <v>54</v>
      </c>
      <c r="AE58" t="s">
        <v>54</v>
      </c>
      <c r="AF58" s="23" t="s">
        <v>54</v>
      </c>
      <c r="AG58" s="23" t="s">
        <v>54</v>
      </c>
      <c r="AH58" s="23" t="s">
        <v>54</v>
      </c>
      <c r="AI58" s="23" t="s">
        <v>54</v>
      </c>
      <c r="AJ58">
        <v>0</v>
      </c>
      <c r="AK58">
        <v>0</v>
      </c>
      <c r="AL58">
        <v>0</v>
      </c>
      <c r="AM58">
        <v>0</v>
      </c>
      <c r="AN58" s="23" t="s">
        <v>54</v>
      </c>
      <c r="AO58" s="23" t="s">
        <v>54</v>
      </c>
      <c r="AP58" s="23" t="s">
        <v>54</v>
      </c>
      <c r="AQ58" s="23" t="s">
        <v>54</v>
      </c>
      <c r="AR58" s="35">
        <v>0</v>
      </c>
      <c r="AS58" s="35">
        <v>0</v>
      </c>
      <c r="AT58" s="35">
        <v>0</v>
      </c>
      <c r="AU58" s="31" t="str">
        <f t="shared" si="2"/>
        <v>库存为0</v>
      </c>
      <c r="AV58" s="36" t="str">
        <f>IFERROR($A$2+AU58,"上周无销量")</f>
        <v>上周无销量</v>
      </c>
    </row>
    <row r="59" spans="1:48">
      <c r="A59" s="21" t="s">
        <v>163</v>
      </c>
      <c r="B59" t="s">
        <v>164</v>
      </c>
      <c r="C59" t="s">
        <v>140</v>
      </c>
      <c r="D59" s="31">
        <v>0</v>
      </c>
      <c r="E59" s="31">
        <v>0</v>
      </c>
      <c r="F59" s="31">
        <v>0</v>
      </c>
      <c r="G59" s="31">
        <v>0</v>
      </c>
      <c r="H59" s="32">
        <v>0</v>
      </c>
      <c r="I59">
        <v>0</v>
      </c>
      <c r="J59" s="33">
        <v>0</v>
      </c>
      <c r="K59" s="33">
        <v>0</v>
      </c>
      <c r="L59" s="33">
        <v>0</v>
      </c>
      <c r="M59">
        <v>0</v>
      </c>
      <c r="N59">
        <v>0</v>
      </c>
      <c r="O59">
        <v>0</v>
      </c>
      <c r="P59" t="s">
        <v>54</v>
      </c>
      <c r="Q59" t="s">
        <v>54</v>
      </c>
      <c r="R59" t="s">
        <v>54</v>
      </c>
      <c r="S59" t="s">
        <v>54</v>
      </c>
      <c r="T59" t="s">
        <v>54</v>
      </c>
      <c r="U59" t="s">
        <v>54</v>
      </c>
      <c r="V59" t="s">
        <v>54</v>
      </c>
      <c r="W59" t="s">
        <v>54</v>
      </c>
      <c r="X59" s="23" t="s">
        <v>54</v>
      </c>
      <c r="Y59" s="23" t="s">
        <v>54</v>
      </c>
      <c r="Z59" s="23" t="s">
        <v>54</v>
      </c>
      <c r="AA59" s="23" t="s">
        <v>54</v>
      </c>
      <c r="AB59" t="s">
        <v>54</v>
      </c>
      <c r="AC59" t="s">
        <v>54</v>
      </c>
      <c r="AD59" t="s">
        <v>54</v>
      </c>
      <c r="AE59" t="s">
        <v>54</v>
      </c>
      <c r="AF59" s="23" t="s">
        <v>54</v>
      </c>
      <c r="AG59" s="23" t="s">
        <v>54</v>
      </c>
      <c r="AH59" s="23" t="s">
        <v>54</v>
      </c>
      <c r="AI59" s="23" t="s">
        <v>54</v>
      </c>
      <c r="AJ59">
        <v>0</v>
      </c>
      <c r="AK59">
        <v>0</v>
      </c>
      <c r="AL59">
        <v>0</v>
      </c>
      <c r="AM59">
        <v>0</v>
      </c>
      <c r="AN59" s="23" t="s">
        <v>54</v>
      </c>
      <c r="AO59" s="23" t="s">
        <v>54</v>
      </c>
      <c r="AP59" s="23" t="s">
        <v>54</v>
      </c>
      <c r="AQ59" s="23" t="s">
        <v>54</v>
      </c>
      <c r="AR59" s="35">
        <v>0</v>
      </c>
      <c r="AS59" s="35">
        <v>0</v>
      </c>
      <c r="AT59" s="35">
        <v>0</v>
      </c>
      <c r="AU59" s="31" t="str">
        <f t="shared" si="2"/>
        <v>库存为0</v>
      </c>
      <c r="AV59" s="36" t="str">
        <f>IFERROR($A$2+AU59,"上周无销量")</f>
        <v>上周无销量</v>
      </c>
    </row>
    <row r="60" spans="1:48">
      <c r="A60" s="21" t="s">
        <v>165</v>
      </c>
      <c r="B60" t="s">
        <v>166</v>
      </c>
      <c r="C60" t="s">
        <v>140</v>
      </c>
      <c r="D60" s="31">
        <v>0</v>
      </c>
      <c r="E60" s="31">
        <v>0</v>
      </c>
      <c r="F60" s="31">
        <v>0</v>
      </c>
      <c r="G60" s="31">
        <v>0</v>
      </c>
      <c r="H60" s="32">
        <v>0</v>
      </c>
      <c r="I60">
        <v>0</v>
      </c>
      <c r="J60" s="33">
        <v>0</v>
      </c>
      <c r="K60" s="33">
        <v>0</v>
      </c>
      <c r="L60" s="33">
        <v>0</v>
      </c>
      <c r="M60">
        <v>0</v>
      </c>
      <c r="N60">
        <v>0</v>
      </c>
      <c r="O60">
        <v>0</v>
      </c>
      <c r="P60" t="s">
        <v>54</v>
      </c>
      <c r="Q60" t="s">
        <v>54</v>
      </c>
      <c r="R60" t="s">
        <v>54</v>
      </c>
      <c r="S60" t="s">
        <v>54</v>
      </c>
      <c r="T60" t="s">
        <v>54</v>
      </c>
      <c r="U60" t="s">
        <v>54</v>
      </c>
      <c r="V60" t="s">
        <v>54</v>
      </c>
      <c r="W60" t="s">
        <v>54</v>
      </c>
      <c r="X60" s="23" t="s">
        <v>54</v>
      </c>
      <c r="Y60" s="23" t="s">
        <v>54</v>
      </c>
      <c r="Z60" s="23" t="s">
        <v>54</v>
      </c>
      <c r="AA60" s="23" t="s">
        <v>54</v>
      </c>
      <c r="AB60" t="s">
        <v>54</v>
      </c>
      <c r="AC60" t="s">
        <v>54</v>
      </c>
      <c r="AD60" t="s">
        <v>54</v>
      </c>
      <c r="AE60" t="s">
        <v>54</v>
      </c>
      <c r="AF60" s="23" t="s">
        <v>54</v>
      </c>
      <c r="AG60" s="23" t="s">
        <v>54</v>
      </c>
      <c r="AH60" s="23" t="s">
        <v>54</v>
      </c>
      <c r="AI60" s="23" t="s">
        <v>54</v>
      </c>
      <c r="AJ60">
        <v>0</v>
      </c>
      <c r="AK60">
        <v>0</v>
      </c>
      <c r="AL60">
        <v>0</v>
      </c>
      <c r="AM60">
        <v>0</v>
      </c>
      <c r="AN60" s="23" t="s">
        <v>54</v>
      </c>
      <c r="AO60" s="23" t="s">
        <v>54</v>
      </c>
      <c r="AP60" s="23" t="s">
        <v>54</v>
      </c>
      <c r="AQ60" s="23" t="s">
        <v>54</v>
      </c>
      <c r="AR60" s="35">
        <v>0</v>
      </c>
      <c r="AS60" s="35">
        <v>0</v>
      </c>
      <c r="AT60" s="35">
        <v>0</v>
      </c>
      <c r="AU60" s="31" t="str">
        <f t="shared" si="2"/>
        <v>库存为0</v>
      </c>
      <c r="AV60" s="36" t="str">
        <f>IFERROR($A$2+AU60,"上周无销量")</f>
        <v>上周无销量</v>
      </c>
    </row>
    <row r="61" spans="1:48">
      <c r="A61" s="21" t="s">
        <v>167</v>
      </c>
      <c r="B61" t="s">
        <v>168</v>
      </c>
      <c r="C61" t="s">
        <v>140</v>
      </c>
      <c r="D61" s="31">
        <v>0</v>
      </c>
      <c r="E61" s="31">
        <v>0</v>
      </c>
      <c r="F61" s="31">
        <v>0</v>
      </c>
      <c r="G61" s="31">
        <v>0</v>
      </c>
      <c r="H61" s="32">
        <v>0</v>
      </c>
      <c r="I61">
        <v>0</v>
      </c>
      <c r="J61" s="33">
        <v>0</v>
      </c>
      <c r="K61" s="33">
        <v>0</v>
      </c>
      <c r="L61" s="33">
        <v>0</v>
      </c>
      <c r="M61">
        <v>0</v>
      </c>
      <c r="N61">
        <v>0</v>
      </c>
      <c r="O61">
        <v>0</v>
      </c>
      <c r="P61" t="s">
        <v>54</v>
      </c>
      <c r="Q61" t="s">
        <v>54</v>
      </c>
      <c r="R61" t="s">
        <v>54</v>
      </c>
      <c r="S61" t="s">
        <v>54</v>
      </c>
      <c r="T61" t="s">
        <v>54</v>
      </c>
      <c r="U61" t="s">
        <v>54</v>
      </c>
      <c r="V61" t="s">
        <v>54</v>
      </c>
      <c r="W61" t="s">
        <v>54</v>
      </c>
      <c r="X61" s="23" t="s">
        <v>54</v>
      </c>
      <c r="Y61" s="23" t="s">
        <v>54</v>
      </c>
      <c r="Z61" s="23" t="s">
        <v>54</v>
      </c>
      <c r="AA61" s="23" t="s">
        <v>54</v>
      </c>
      <c r="AB61" t="s">
        <v>54</v>
      </c>
      <c r="AC61" t="s">
        <v>54</v>
      </c>
      <c r="AD61" t="s">
        <v>54</v>
      </c>
      <c r="AE61" t="s">
        <v>54</v>
      </c>
      <c r="AF61" s="23" t="s">
        <v>54</v>
      </c>
      <c r="AG61" s="23" t="s">
        <v>54</v>
      </c>
      <c r="AH61" s="23" t="s">
        <v>54</v>
      </c>
      <c r="AI61" s="23" t="s">
        <v>54</v>
      </c>
      <c r="AJ61">
        <v>0</v>
      </c>
      <c r="AK61">
        <v>0</v>
      </c>
      <c r="AL61">
        <v>0</v>
      </c>
      <c r="AM61">
        <v>0</v>
      </c>
      <c r="AN61" s="23" t="s">
        <v>54</v>
      </c>
      <c r="AO61" s="23" t="s">
        <v>54</v>
      </c>
      <c r="AP61" s="23" t="s">
        <v>54</v>
      </c>
      <c r="AQ61" s="23" t="s">
        <v>54</v>
      </c>
      <c r="AR61" s="35">
        <v>0</v>
      </c>
      <c r="AS61" s="35">
        <v>0</v>
      </c>
      <c r="AT61" s="35">
        <v>0</v>
      </c>
      <c r="AU61" s="31" t="str">
        <f t="shared" si="2"/>
        <v>库存为0</v>
      </c>
      <c r="AV61" s="36" t="str">
        <f>IFERROR($A$2+AU61,"上周无销量")</f>
        <v>上周无销量</v>
      </c>
    </row>
    <row r="62" spans="1:48">
      <c r="A62" s="21" t="s">
        <v>169</v>
      </c>
      <c r="B62" t="s">
        <v>170</v>
      </c>
      <c r="C62" t="s">
        <v>140</v>
      </c>
      <c r="D62" s="31">
        <v>0</v>
      </c>
      <c r="E62" s="31">
        <v>0</v>
      </c>
      <c r="F62" s="31">
        <v>0</v>
      </c>
      <c r="G62" s="31">
        <v>0</v>
      </c>
      <c r="H62" s="32">
        <v>0</v>
      </c>
      <c r="I62">
        <v>0</v>
      </c>
      <c r="J62" s="33">
        <v>0</v>
      </c>
      <c r="K62" s="33">
        <v>0</v>
      </c>
      <c r="L62" s="33">
        <v>0</v>
      </c>
      <c r="M62">
        <v>0</v>
      </c>
      <c r="N62">
        <v>0</v>
      </c>
      <c r="O62">
        <v>0</v>
      </c>
      <c r="P62" t="s">
        <v>54</v>
      </c>
      <c r="Q62" t="s">
        <v>54</v>
      </c>
      <c r="R62" t="s">
        <v>54</v>
      </c>
      <c r="S62" t="s">
        <v>54</v>
      </c>
      <c r="T62" t="s">
        <v>54</v>
      </c>
      <c r="U62" t="s">
        <v>54</v>
      </c>
      <c r="V62" t="s">
        <v>54</v>
      </c>
      <c r="W62" t="s">
        <v>54</v>
      </c>
      <c r="X62" s="23" t="s">
        <v>54</v>
      </c>
      <c r="Y62" s="23" t="s">
        <v>54</v>
      </c>
      <c r="Z62" s="23" t="s">
        <v>54</v>
      </c>
      <c r="AA62" s="23" t="s">
        <v>54</v>
      </c>
      <c r="AB62" t="s">
        <v>54</v>
      </c>
      <c r="AC62" t="s">
        <v>54</v>
      </c>
      <c r="AD62" t="s">
        <v>54</v>
      </c>
      <c r="AE62" t="s">
        <v>54</v>
      </c>
      <c r="AF62" s="23" t="s">
        <v>54</v>
      </c>
      <c r="AG62" s="23" t="s">
        <v>54</v>
      </c>
      <c r="AH62" s="23" t="s">
        <v>54</v>
      </c>
      <c r="AI62" s="23" t="s">
        <v>54</v>
      </c>
      <c r="AJ62">
        <v>0</v>
      </c>
      <c r="AK62">
        <v>0</v>
      </c>
      <c r="AL62">
        <v>0</v>
      </c>
      <c r="AM62">
        <v>0</v>
      </c>
      <c r="AN62" s="23" t="s">
        <v>54</v>
      </c>
      <c r="AO62" s="23" t="s">
        <v>54</v>
      </c>
      <c r="AP62" s="23" t="s">
        <v>54</v>
      </c>
      <c r="AQ62" s="23" t="s">
        <v>54</v>
      </c>
      <c r="AR62" s="35">
        <v>0</v>
      </c>
      <c r="AS62" s="35">
        <v>0</v>
      </c>
      <c r="AT62" s="35">
        <v>0</v>
      </c>
      <c r="AU62" s="31" t="str">
        <f t="shared" si="2"/>
        <v>库存为0</v>
      </c>
      <c r="AV62" s="36" t="str">
        <f>IFERROR($A$2+AU62,"上周无销量")</f>
        <v>上周无销量</v>
      </c>
    </row>
    <row r="63" spans="1:48">
      <c r="A63" s="21" t="s">
        <v>171</v>
      </c>
      <c r="B63" t="s">
        <v>172</v>
      </c>
      <c r="C63" t="s">
        <v>140</v>
      </c>
      <c r="D63" s="31">
        <v>0</v>
      </c>
      <c r="E63" s="31">
        <v>0</v>
      </c>
      <c r="F63" s="31">
        <v>0</v>
      </c>
      <c r="G63" s="31">
        <v>0</v>
      </c>
      <c r="H63" s="32">
        <v>0</v>
      </c>
      <c r="I63">
        <v>0</v>
      </c>
      <c r="J63" s="33">
        <v>0</v>
      </c>
      <c r="K63" s="33">
        <v>0</v>
      </c>
      <c r="L63" s="33">
        <v>0</v>
      </c>
      <c r="M63">
        <v>0</v>
      </c>
      <c r="N63">
        <v>0</v>
      </c>
      <c r="O63">
        <v>0</v>
      </c>
      <c r="P63" t="s">
        <v>54</v>
      </c>
      <c r="Q63" t="s">
        <v>54</v>
      </c>
      <c r="R63" t="s">
        <v>54</v>
      </c>
      <c r="S63" t="s">
        <v>54</v>
      </c>
      <c r="T63" t="s">
        <v>54</v>
      </c>
      <c r="U63" t="s">
        <v>54</v>
      </c>
      <c r="V63" t="s">
        <v>54</v>
      </c>
      <c r="W63" t="s">
        <v>54</v>
      </c>
      <c r="X63" s="23" t="s">
        <v>54</v>
      </c>
      <c r="Y63" s="23" t="s">
        <v>54</v>
      </c>
      <c r="Z63" s="23" t="s">
        <v>54</v>
      </c>
      <c r="AA63" s="23" t="s">
        <v>54</v>
      </c>
      <c r="AB63" t="s">
        <v>54</v>
      </c>
      <c r="AC63" t="s">
        <v>54</v>
      </c>
      <c r="AD63" t="s">
        <v>54</v>
      </c>
      <c r="AE63" t="s">
        <v>54</v>
      </c>
      <c r="AF63" s="23" t="s">
        <v>54</v>
      </c>
      <c r="AG63" s="23" t="s">
        <v>54</v>
      </c>
      <c r="AH63" s="23" t="s">
        <v>54</v>
      </c>
      <c r="AI63" s="23" t="s">
        <v>54</v>
      </c>
      <c r="AJ63">
        <v>0</v>
      </c>
      <c r="AK63">
        <v>0</v>
      </c>
      <c r="AL63">
        <v>0</v>
      </c>
      <c r="AM63">
        <v>0</v>
      </c>
      <c r="AN63" s="23" t="s">
        <v>54</v>
      </c>
      <c r="AO63" s="23" t="s">
        <v>54</v>
      </c>
      <c r="AP63" s="23" t="s">
        <v>54</v>
      </c>
      <c r="AQ63" s="23" t="s">
        <v>54</v>
      </c>
      <c r="AR63" s="35">
        <v>0</v>
      </c>
      <c r="AS63" s="35">
        <v>0</v>
      </c>
      <c r="AT63" s="35">
        <v>0</v>
      </c>
      <c r="AU63" s="31" t="str">
        <f t="shared" si="2"/>
        <v>库存为0</v>
      </c>
      <c r="AV63" s="36" t="str">
        <f>IFERROR($A$2+AU63,"上周无销量")</f>
        <v>上周无销量</v>
      </c>
    </row>
    <row r="64" spans="1:48">
      <c r="A64" s="21" t="s">
        <v>173</v>
      </c>
      <c r="B64" t="s">
        <v>174</v>
      </c>
      <c r="C64" t="s">
        <v>140</v>
      </c>
      <c r="D64" s="31">
        <v>0</v>
      </c>
      <c r="E64" s="31">
        <v>0</v>
      </c>
      <c r="F64" s="31">
        <v>0</v>
      </c>
      <c r="G64" s="31">
        <v>0</v>
      </c>
      <c r="H64" s="32">
        <v>0</v>
      </c>
      <c r="I64">
        <v>0</v>
      </c>
      <c r="J64" s="33">
        <v>0</v>
      </c>
      <c r="K64" s="33">
        <v>0</v>
      </c>
      <c r="L64" s="33">
        <v>0</v>
      </c>
      <c r="M64">
        <v>0</v>
      </c>
      <c r="N64">
        <v>0</v>
      </c>
      <c r="O64">
        <v>0</v>
      </c>
      <c r="P64" t="s">
        <v>54</v>
      </c>
      <c r="Q64" t="s">
        <v>54</v>
      </c>
      <c r="R64" t="s">
        <v>54</v>
      </c>
      <c r="S64" t="s">
        <v>54</v>
      </c>
      <c r="T64" t="s">
        <v>54</v>
      </c>
      <c r="U64" t="s">
        <v>54</v>
      </c>
      <c r="V64" t="s">
        <v>54</v>
      </c>
      <c r="W64" t="s">
        <v>54</v>
      </c>
      <c r="X64" s="23" t="s">
        <v>54</v>
      </c>
      <c r="Y64" s="23" t="s">
        <v>54</v>
      </c>
      <c r="Z64" s="23" t="s">
        <v>54</v>
      </c>
      <c r="AA64" s="23" t="s">
        <v>54</v>
      </c>
      <c r="AB64" t="s">
        <v>54</v>
      </c>
      <c r="AC64" t="s">
        <v>54</v>
      </c>
      <c r="AD64" t="s">
        <v>54</v>
      </c>
      <c r="AE64" t="s">
        <v>54</v>
      </c>
      <c r="AF64" s="23" t="s">
        <v>54</v>
      </c>
      <c r="AG64" s="23" t="s">
        <v>54</v>
      </c>
      <c r="AH64" s="23" t="s">
        <v>54</v>
      </c>
      <c r="AI64" s="23" t="s">
        <v>54</v>
      </c>
      <c r="AJ64">
        <v>0</v>
      </c>
      <c r="AK64">
        <v>0</v>
      </c>
      <c r="AL64">
        <v>0</v>
      </c>
      <c r="AM64">
        <v>0</v>
      </c>
      <c r="AN64" s="23" t="s">
        <v>54</v>
      </c>
      <c r="AO64" s="23" t="s">
        <v>54</v>
      </c>
      <c r="AP64" s="23" t="s">
        <v>54</v>
      </c>
      <c r="AQ64" s="23" t="s">
        <v>54</v>
      </c>
      <c r="AR64" s="35">
        <v>0</v>
      </c>
      <c r="AS64" s="35">
        <v>0</v>
      </c>
      <c r="AT64" s="35">
        <v>0</v>
      </c>
      <c r="AU64" s="31" t="str">
        <f t="shared" si="2"/>
        <v>库存为0</v>
      </c>
      <c r="AV64" s="36" t="str">
        <f>IFERROR($A$2+AU64,"上周无销量")</f>
        <v>上周无销量</v>
      </c>
    </row>
    <row r="65" spans="1:48">
      <c r="A65" s="21" t="s">
        <v>175</v>
      </c>
      <c r="B65" t="s">
        <v>176</v>
      </c>
      <c r="C65" t="s">
        <v>140</v>
      </c>
      <c r="D65" s="31">
        <v>0</v>
      </c>
      <c r="E65" s="31">
        <v>0</v>
      </c>
      <c r="F65" s="31">
        <v>0</v>
      </c>
      <c r="G65" s="31">
        <v>0</v>
      </c>
      <c r="H65" s="32">
        <v>0</v>
      </c>
      <c r="I65">
        <v>0</v>
      </c>
      <c r="J65" s="33">
        <v>0</v>
      </c>
      <c r="K65" s="33">
        <v>0</v>
      </c>
      <c r="L65" s="33">
        <v>0</v>
      </c>
      <c r="M65">
        <v>0</v>
      </c>
      <c r="N65">
        <v>0</v>
      </c>
      <c r="O65">
        <v>0</v>
      </c>
      <c r="P65" t="s">
        <v>54</v>
      </c>
      <c r="Q65" t="s">
        <v>54</v>
      </c>
      <c r="R65" t="s">
        <v>54</v>
      </c>
      <c r="S65" t="s">
        <v>54</v>
      </c>
      <c r="T65" t="s">
        <v>54</v>
      </c>
      <c r="U65" t="s">
        <v>54</v>
      </c>
      <c r="V65" t="s">
        <v>54</v>
      </c>
      <c r="W65" t="s">
        <v>54</v>
      </c>
      <c r="X65" s="23" t="s">
        <v>54</v>
      </c>
      <c r="Y65" s="23" t="s">
        <v>54</v>
      </c>
      <c r="Z65" s="23" t="s">
        <v>54</v>
      </c>
      <c r="AA65" s="23" t="s">
        <v>54</v>
      </c>
      <c r="AB65" t="s">
        <v>54</v>
      </c>
      <c r="AC65" t="s">
        <v>54</v>
      </c>
      <c r="AD65" t="s">
        <v>54</v>
      </c>
      <c r="AE65" t="s">
        <v>54</v>
      </c>
      <c r="AF65" s="23" t="s">
        <v>54</v>
      </c>
      <c r="AG65" s="23" t="s">
        <v>54</v>
      </c>
      <c r="AH65" s="23" t="s">
        <v>54</v>
      </c>
      <c r="AI65" s="23" t="s">
        <v>54</v>
      </c>
      <c r="AJ65">
        <v>0</v>
      </c>
      <c r="AK65">
        <v>0</v>
      </c>
      <c r="AL65">
        <v>0</v>
      </c>
      <c r="AM65">
        <v>0</v>
      </c>
      <c r="AN65" s="23" t="s">
        <v>54</v>
      </c>
      <c r="AO65" s="23" t="s">
        <v>54</v>
      </c>
      <c r="AP65" s="23" t="s">
        <v>54</v>
      </c>
      <c r="AQ65" s="23" t="s">
        <v>54</v>
      </c>
      <c r="AR65" s="35">
        <v>0</v>
      </c>
      <c r="AS65" s="35">
        <v>0</v>
      </c>
      <c r="AT65" s="35">
        <v>0</v>
      </c>
      <c r="AU65" s="31" t="str">
        <f t="shared" si="2"/>
        <v>库存为0</v>
      </c>
      <c r="AV65" s="36" t="str">
        <f>IFERROR($A$2+AU65,"上周无销量")</f>
        <v>上周无销量</v>
      </c>
    </row>
    <row r="66" spans="1:48">
      <c r="A66" s="21" t="s">
        <v>177</v>
      </c>
      <c r="B66" t="s">
        <v>178</v>
      </c>
      <c r="C66" t="s">
        <v>140</v>
      </c>
      <c r="D66" s="31">
        <v>0</v>
      </c>
      <c r="E66" s="31">
        <v>0</v>
      </c>
      <c r="F66" s="31">
        <v>0</v>
      </c>
      <c r="G66" s="31">
        <v>0</v>
      </c>
      <c r="H66" s="32">
        <v>0</v>
      </c>
      <c r="I66">
        <v>0</v>
      </c>
      <c r="J66" s="33">
        <v>0</v>
      </c>
      <c r="K66" s="33">
        <v>0</v>
      </c>
      <c r="L66" s="33">
        <v>0</v>
      </c>
      <c r="M66">
        <v>0</v>
      </c>
      <c r="N66">
        <v>0</v>
      </c>
      <c r="O66">
        <v>0</v>
      </c>
      <c r="P66" t="s">
        <v>54</v>
      </c>
      <c r="Q66" t="s">
        <v>54</v>
      </c>
      <c r="R66" t="s">
        <v>54</v>
      </c>
      <c r="S66" t="s">
        <v>54</v>
      </c>
      <c r="T66" t="s">
        <v>54</v>
      </c>
      <c r="U66" t="s">
        <v>54</v>
      </c>
      <c r="V66" t="s">
        <v>54</v>
      </c>
      <c r="W66" t="s">
        <v>54</v>
      </c>
      <c r="X66" s="23" t="s">
        <v>54</v>
      </c>
      <c r="Y66" s="23" t="s">
        <v>54</v>
      </c>
      <c r="Z66" s="23" t="s">
        <v>54</v>
      </c>
      <c r="AA66" s="23" t="s">
        <v>54</v>
      </c>
      <c r="AB66" t="s">
        <v>54</v>
      </c>
      <c r="AC66" t="s">
        <v>54</v>
      </c>
      <c r="AD66" t="s">
        <v>54</v>
      </c>
      <c r="AE66" t="s">
        <v>54</v>
      </c>
      <c r="AF66" s="23" t="s">
        <v>54</v>
      </c>
      <c r="AG66" s="23" t="s">
        <v>54</v>
      </c>
      <c r="AH66" s="23" t="s">
        <v>54</v>
      </c>
      <c r="AI66" s="23" t="s">
        <v>54</v>
      </c>
      <c r="AJ66">
        <v>0</v>
      </c>
      <c r="AK66">
        <v>0</v>
      </c>
      <c r="AL66">
        <v>0</v>
      </c>
      <c r="AM66">
        <v>0</v>
      </c>
      <c r="AN66" s="23" t="s">
        <v>54</v>
      </c>
      <c r="AO66" s="23" t="s">
        <v>54</v>
      </c>
      <c r="AP66" s="23" t="s">
        <v>54</v>
      </c>
      <c r="AQ66" s="23" t="s">
        <v>54</v>
      </c>
      <c r="AR66" s="35">
        <v>0</v>
      </c>
      <c r="AS66" s="35">
        <v>0</v>
      </c>
      <c r="AT66" s="35">
        <v>0</v>
      </c>
      <c r="AU66" s="31" t="str">
        <f t="shared" si="2"/>
        <v>库存为0</v>
      </c>
      <c r="AV66" s="36" t="str">
        <f>IFERROR($A$2+AU66,"上周无销量")</f>
        <v>上周无销量</v>
      </c>
    </row>
    <row r="67" spans="1:48">
      <c r="A67" s="21" t="s">
        <v>179</v>
      </c>
      <c r="B67" t="s">
        <v>180</v>
      </c>
      <c r="C67" t="s">
        <v>140</v>
      </c>
      <c r="D67" s="31">
        <v>0</v>
      </c>
      <c r="E67" s="31">
        <v>0</v>
      </c>
      <c r="F67" s="31">
        <v>0</v>
      </c>
      <c r="G67" s="31">
        <v>0</v>
      </c>
      <c r="H67" s="32">
        <v>0</v>
      </c>
      <c r="I67">
        <v>0</v>
      </c>
      <c r="J67" s="33">
        <v>0</v>
      </c>
      <c r="K67" s="33">
        <v>0</v>
      </c>
      <c r="L67" s="33">
        <v>0</v>
      </c>
      <c r="M67">
        <v>0</v>
      </c>
      <c r="N67">
        <v>0</v>
      </c>
      <c r="O67">
        <v>0</v>
      </c>
      <c r="P67" t="s">
        <v>54</v>
      </c>
      <c r="Q67" t="s">
        <v>54</v>
      </c>
      <c r="R67" t="s">
        <v>54</v>
      </c>
      <c r="S67" t="s">
        <v>54</v>
      </c>
      <c r="T67" t="s">
        <v>54</v>
      </c>
      <c r="U67" t="s">
        <v>54</v>
      </c>
      <c r="V67" t="s">
        <v>54</v>
      </c>
      <c r="W67" t="s">
        <v>54</v>
      </c>
      <c r="X67" s="23" t="s">
        <v>54</v>
      </c>
      <c r="Y67" s="23" t="s">
        <v>54</v>
      </c>
      <c r="Z67" s="23" t="s">
        <v>54</v>
      </c>
      <c r="AA67" s="23" t="s">
        <v>54</v>
      </c>
      <c r="AB67" t="s">
        <v>54</v>
      </c>
      <c r="AC67" t="s">
        <v>54</v>
      </c>
      <c r="AD67" t="s">
        <v>54</v>
      </c>
      <c r="AE67" t="s">
        <v>54</v>
      </c>
      <c r="AF67" s="23" t="s">
        <v>54</v>
      </c>
      <c r="AG67" s="23" t="s">
        <v>54</v>
      </c>
      <c r="AH67" s="23" t="s">
        <v>54</v>
      </c>
      <c r="AI67" s="23" t="s">
        <v>54</v>
      </c>
      <c r="AJ67">
        <v>0</v>
      </c>
      <c r="AK67">
        <v>0</v>
      </c>
      <c r="AL67">
        <v>0</v>
      </c>
      <c r="AM67">
        <v>0</v>
      </c>
      <c r="AN67" s="23" t="s">
        <v>54</v>
      </c>
      <c r="AO67" s="23" t="s">
        <v>54</v>
      </c>
      <c r="AP67" s="23" t="s">
        <v>54</v>
      </c>
      <c r="AQ67" s="23" t="s">
        <v>54</v>
      </c>
      <c r="AR67" s="35">
        <v>0</v>
      </c>
      <c r="AS67" s="35">
        <v>0</v>
      </c>
      <c r="AT67" s="35">
        <v>0</v>
      </c>
      <c r="AU67" s="31" t="str">
        <f t="shared" si="2"/>
        <v>库存为0</v>
      </c>
      <c r="AV67" s="36" t="str">
        <f>IFERROR($A$2+AU67,"上周无销量")</f>
        <v>上周无销量</v>
      </c>
    </row>
    <row r="68" spans="1:48">
      <c r="A68" s="21" t="s">
        <v>181</v>
      </c>
      <c r="B68" t="s">
        <v>182</v>
      </c>
      <c r="C68" t="s">
        <v>140</v>
      </c>
      <c r="D68" s="31">
        <v>0</v>
      </c>
      <c r="E68" s="31">
        <v>0</v>
      </c>
      <c r="F68" s="31">
        <v>0</v>
      </c>
      <c r="G68" s="31">
        <v>0</v>
      </c>
      <c r="H68" s="32">
        <v>0</v>
      </c>
      <c r="I68">
        <v>0</v>
      </c>
      <c r="J68" s="33">
        <v>0</v>
      </c>
      <c r="K68" s="33">
        <v>0</v>
      </c>
      <c r="L68" s="33">
        <v>0</v>
      </c>
      <c r="M68">
        <v>0</v>
      </c>
      <c r="N68">
        <v>0</v>
      </c>
      <c r="O68">
        <v>0</v>
      </c>
      <c r="P68" t="s">
        <v>54</v>
      </c>
      <c r="Q68" t="s">
        <v>54</v>
      </c>
      <c r="R68" t="s">
        <v>54</v>
      </c>
      <c r="S68" t="s">
        <v>54</v>
      </c>
      <c r="T68" t="s">
        <v>54</v>
      </c>
      <c r="U68" t="s">
        <v>54</v>
      </c>
      <c r="V68" t="s">
        <v>54</v>
      </c>
      <c r="W68" t="s">
        <v>54</v>
      </c>
      <c r="X68" s="23" t="s">
        <v>54</v>
      </c>
      <c r="Y68" s="23" t="s">
        <v>54</v>
      </c>
      <c r="Z68" s="23" t="s">
        <v>54</v>
      </c>
      <c r="AA68" s="23" t="s">
        <v>54</v>
      </c>
      <c r="AB68" t="s">
        <v>54</v>
      </c>
      <c r="AC68" t="s">
        <v>54</v>
      </c>
      <c r="AD68" t="s">
        <v>54</v>
      </c>
      <c r="AE68" t="s">
        <v>54</v>
      </c>
      <c r="AF68" s="23" t="s">
        <v>54</v>
      </c>
      <c r="AG68" s="23" t="s">
        <v>54</v>
      </c>
      <c r="AH68" s="23" t="s">
        <v>54</v>
      </c>
      <c r="AI68" s="23" t="s">
        <v>54</v>
      </c>
      <c r="AJ68">
        <v>0</v>
      </c>
      <c r="AK68">
        <v>0</v>
      </c>
      <c r="AL68">
        <v>0</v>
      </c>
      <c r="AM68">
        <v>0</v>
      </c>
      <c r="AN68" s="23" t="s">
        <v>54</v>
      </c>
      <c r="AO68" s="23" t="s">
        <v>54</v>
      </c>
      <c r="AP68" s="23" t="s">
        <v>54</v>
      </c>
      <c r="AQ68" s="23" t="s">
        <v>54</v>
      </c>
      <c r="AR68" s="35">
        <v>0</v>
      </c>
      <c r="AS68" s="35">
        <v>0</v>
      </c>
      <c r="AT68" s="35">
        <v>0</v>
      </c>
      <c r="AU68" s="31" t="str">
        <f t="shared" si="2"/>
        <v>库存为0</v>
      </c>
      <c r="AV68" s="36" t="str">
        <f>IFERROR($A$2+AU68,"上周无销量")</f>
        <v>上周无销量</v>
      </c>
    </row>
    <row r="69" spans="1:48">
      <c r="A69" s="21" t="s">
        <v>183</v>
      </c>
      <c r="B69" t="s">
        <v>184</v>
      </c>
      <c r="C69" t="s">
        <v>140</v>
      </c>
      <c r="D69" s="31">
        <v>0</v>
      </c>
      <c r="E69" s="31">
        <v>0</v>
      </c>
      <c r="F69" s="31">
        <v>0</v>
      </c>
      <c r="G69" s="31">
        <v>0</v>
      </c>
      <c r="H69" s="32">
        <v>0</v>
      </c>
      <c r="I69">
        <v>0</v>
      </c>
      <c r="J69" s="33">
        <v>0</v>
      </c>
      <c r="K69" s="33">
        <v>0</v>
      </c>
      <c r="L69" s="33">
        <v>0</v>
      </c>
      <c r="M69">
        <v>0</v>
      </c>
      <c r="N69">
        <v>0</v>
      </c>
      <c r="O69">
        <v>0</v>
      </c>
      <c r="P69" t="s">
        <v>54</v>
      </c>
      <c r="Q69" t="s">
        <v>54</v>
      </c>
      <c r="R69" t="s">
        <v>54</v>
      </c>
      <c r="S69" t="s">
        <v>54</v>
      </c>
      <c r="T69" t="s">
        <v>54</v>
      </c>
      <c r="U69" t="s">
        <v>54</v>
      </c>
      <c r="V69" t="s">
        <v>54</v>
      </c>
      <c r="W69" t="s">
        <v>54</v>
      </c>
      <c r="X69" s="23" t="s">
        <v>54</v>
      </c>
      <c r="Y69" s="23" t="s">
        <v>54</v>
      </c>
      <c r="Z69" s="23" t="s">
        <v>54</v>
      </c>
      <c r="AA69" s="23" t="s">
        <v>54</v>
      </c>
      <c r="AB69" t="s">
        <v>54</v>
      </c>
      <c r="AC69" t="s">
        <v>54</v>
      </c>
      <c r="AD69" t="s">
        <v>54</v>
      </c>
      <c r="AE69" t="s">
        <v>54</v>
      </c>
      <c r="AF69" s="23" t="s">
        <v>54</v>
      </c>
      <c r="AG69" s="23" t="s">
        <v>54</v>
      </c>
      <c r="AH69" s="23" t="s">
        <v>54</v>
      </c>
      <c r="AI69" s="23" t="s">
        <v>54</v>
      </c>
      <c r="AJ69">
        <v>0</v>
      </c>
      <c r="AK69">
        <v>0</v>
      </c>
      <c r="AL69">
        <v>0</v>
      </c>
      <c r="AM69">
        <v>0</v>
      </c>
      <c r="AN69" s="23" t="s">
        <v>54</v>
      </c>
      <c r="AO69" s="23" t="s">
        <v>54</v>
      </c>
      <c r="AP69" s="23" t="s">
        <v>54</v>
      </c>
      <c r="AQ69" s="23" t="s">
        <v>54</v>
      </c>
      <c r="AR69" s="35">
        <v>0</v>
      </c>
      <c r="AS69" s="35">
        <v>0</v>
      </c>
      <c r="AT69" s="35">
        <v>0</v>
      </c>
      <c r="AU69" s="31" t="str">
        <f t="shared" ref="AU69:AU132" si="4">IF(AR69="","库存为"&amp;M69,IF(AS69=0,"库存为"&amp;M69,INT(M69/AR69)))</f>
        <v>库存为0</v>
      </c>
      <c r="AV69" s="36" t="str">
        <f>IFERROR($A$2+AU69,"上周无销量")</f>
        <v>上周无销量</v>
      </c>
    </row>
    <row r="70" spans="1:48">
      <c r="A70" s="21" t="s">
        <v>185</v>
      </c>
      <c r="B70" t="s">
        <v>186</v>
      </c>
      <c r="C70" t="s">
        <v>140</v>
      </c>
      <c r="D70" s="31">
        <v>0</v>
      </c>
      <c r="E70" s="31">
        <v>0</v>
      </c>
      <c r="F70" s="31">
        <v>0</v>
      </c>
      <c r="G70" s="31">
        <v>0</v>
      </c>
      <c r="H70" s="32">
        <v>0</v>
      </c>
      <c r="I70">
        <v>0</v>
      </c>
      <c r="J70" s="33">
        <v>0</v>
      </c>
      <c r="K70" s="33">
        <v>0</v>
      </c>
      <c r="L70" s="33">
        <v>0</v>
      </c>
      <c r="M70">
        <v>0</v>
      </c>
      <c r="N70">
        <v>0</v>
      </c>
      <c r="O70">
        <v>0</v>
      </c>
      <c r="P70" t="s">
        <v>54</v>
      </c>
      <c r="Q70" t="s">
        <v>54</v>
      </c>
      <c r="R70" t="s">
        <v>54</v>
      </c>
      <c r="S70" t="s">
        <v>54</v>
      </c>
      <c r="T70" t="s">
        <v>54</v>
      </c>
      <c r="U70" t="s">
        <v>54</v>
      </c>
      <c r="V70" t="s">
        <v>54</v>
      </c>
      <c r="W70" t="s">
        <v>54</v>
      </c>
      <c r="X70" s="23" t="s">
        <v>54</v>
      </c>
      <c r="Y70" s="23" t="s">
        <v>54</v>
      </c>
      <c r="Z70" s="23" t="s">
        <v>54</v>
      </c>
      <c r="AA70" s="23" t="s">
        <v>54</v>
      </c>
      <c r="AB70" t="s">
        <v>54</v>
      </c>
      <c r="AC70" t="s">
        <v>54</v>
      </c>
      <c r="AD70" t="s">
        <v>54</v>
      </c>
      <c r="AE70" t="s">
        <v>54</v>
      </c>
      <c r="AF70" s="23" t="s">
        <v>54</v>
      </c>
      <c r="AG70" s="23" t="s">
        <v>54</v>
      </c>
      <c r="AH70" s="23" t="s">
        <v>54</v>
      </c>
      <c r="AI70" s="23" t="s">
        <v>54</v>
      </c>
      <c r="AJ70">
        <v>0</v>
      </c>
      <c r="AK70">
        <v>0</v>
      </c>
      <c r="AL70">
        <v>0</v>
      </c>
      <c r="AM70">
        <v>0</v>
      </c>
      <c r="AN70" s="23" t="s">
        <v>54</v>
      </c>
      <c r="AO70" s="23" t="s">
        <v>54</v>
      </c>
      <c r="AP70" s="23" t="s">
        <v>54</v>
      </c>
      <c r="AQ70" s="23" t="s">
        <v>54</v>
      </c>
      <c r="AR70" s="35">
        <v>0</v>
      </c>
      <c r="AS70" s="35">
        <v>0</v>
      </c>
      <c r="AT70" s="35">
        <v>0</v>
      </c>
      <c r="AU70" s="31" t="str">
        <f t="shared" si="4"/>
        <v>库存为0</v>
      </c>
      <c r="AV70" s="36" t="str">
        <f>IFERROR($A$2+AU70,"上周无销量")</f>
        <v>上周无销量</v>
      </c>
    </row>
    <row r="71" spans="1:48">
      <c r="A71" s="21" t="s">
        <v>187</v>
      </c>
      <c r="B71" t="s">
        <v>188</v>
      </c>
      <c r="C71" t="s">
        <v>140</v>
      </c>
      <c r="D71" s="31">
        <v>0</v>
      </c>
      <c r="E71" s="31">
        <v>0</v>
      </c>
      <c r="F71" s="31">
        <v>0</v>
      </c>
      <c r="G71" s="31">
        <v>0</v>
      </c>
      <c r="H71" s="32">
        <v>0</v>
      </c>
      <c r="I71">
        <v>0</v>
      </c>
      <c r="J71" s="33">
        <v>0</v>
      </c>
      <c r="K71" s="33">
        <v>0</v>
      </c>
      <c r="L71" s="33">
        <v>0</v>
      </c>
      <c r="M71">
        <v>0</v>
      </c>
      <c r="N71">
        <v>0</v>
      </c>
      <c r="O71">
        <v>0</v>
      </c>
      <c r="P71" t="s">
        <v>54</v>
      </c>
      <c r="Q71" t="s">
        <v>54</v>
      </c>
      <c r="R71" t="s">
        <v>54</v>
      </c>
      <c r="S71" t="s">
        <v>54</v>
      </c>
      <c r="T71" t="s">
        <v>54</v>
      </c>
      <c r="U71" t="s">
        <v>54</v>
      </c>
      <c r="V71" t="s">
        <v>54</v>
      </c>
      <c r="W71" t="s">
        <v>54</v>
      </c>
      <c r="X71" s="23" t="s">
        <v>54</v>
      </c>
      <c r="Y71" s="23" t="s">
        <v>54</v>
      </c>
      <c r="Z71" s="23" t="s">
        <v>54</v>
      </c>
      <c r="AA71" s="23" t="s">
        <v>54</v>
      </c>
      <c r="AB71" t="s">
        <v>54</v>
      </c>
      <c r="AC71" t="s">
        <v>54</v>
      </c>
      <c r="AD71" t="s">
        <v>54</v>
      </c>
      <c r="AE71" t="s">
        <v>54</v>
      </c>
      <c r="AF71" s="23" t="s">
        <v>54</v>
      </c>
      <c r="AG71" s="23" t="s">
        <v>54</v>
      </c>
      <c r="AH71" s="23" t="s">
        <v>54</v>
      </c>
      <c r="AI71" s="23" t="s">
        <v>54</v>
      </c>
      <c r="AJ71">
        <v>0</v>
      </c>
      <c r="AK71">
        <v>0</v>
      </c>
      <c r="AL71">
        <v>0</v>
      </c>
      <c r="AM71">
        <v>0</v>
      </c>
      <c r="AN71" s="23" t="s">
        <v>54</v>
      </c>
      <c r="AO71" s="23" t="s">
        <v>54</v>
      </c>
      <c r="AP71" s="23" t="s">
        <v>54</v>
      </c>
      <c r="AQ71" s="23" t="s">
        <v>54</v>
      </c>
      <c r="AR71" s="35">
        <v>0</v>
      </c>
      <c r="AS71" s="35">
        <v>0</v>
      </c>
      <c r="AT71" s="35">
        <v>0</v>
      </c>
      <c r="AU71" s="31" t="str">
        <f t="shared" si="4"/>
        <v>库存为0</v>
      </c>
      <c r="AV71" s="36" t="str">
        <f>IFERROR($A$2+AU71,"上周无销量")</f>
        <v>上周无销量</v>
      </c>
    </row>
    <row r="72" spans="1:48">
      <c r="A72" s="21" t="s">
        <v>189</v>
      </c>
      <c r="B72" t="s">
        <v>190</v>
      </c>
      <c r="C72" t="s">
        <v>140</v>
      </c>
      <c r="D72" s="31">
        <v>0</v>
      </c>
      <c r="E72" s="31">
        <v>0</v>
      </c>
      <c r="F72" s="31">
        <v>0</v>
      </c>
      <c r="G72" s="31">
        <v>0</v>
      </c>
      <c r="H72" s="32">
        <v>0</v>
      </c>
      <c r="I72">
        <v>0</v>
      </c>
      <c r="J72" s="33">
        <v>0</v>
      </c>
      <c r="K72" s="33">
        <v>0</v>
      </c>
      <c r="L72" s="33">
        <v>0</v>
      </c>
      <c r="M72">
        <v>0</v>
      </c>
      <c r="N72">
        <v>0</v>
      </c>
      <c r="O72">
        <v>0</v>
      </c>
      <c r="P72" t="s">
        <v>54</v>
      </c>
      <c r="Q72" t="s">
        <v>54</v>
      </c>
      <c r="R72" t="s">
        <v>54</v>
      </c>
      <c r="S72" t="s">
        <v>54</v>
      </c>
      <c r="T72" t="s">
        <v>54</v>
      </c>
      <c r="U72" t="s">
        <v>54</v>
      </c>
      <c r="V72" t="s">
        <v>54</v>
      </c>
      <c r="W72" t="s">
        <v>54</v>
      </c>
      <c r="X72" s="23" t="s">
        <v>54</v>
      </c>
      <c r="Y72" s="23" t="s">
        <v>54</v>
      </c>
      <c r="Z72" s="23" t="s">
        <v>54</v>
      </c>
      <c r="AA72" s="23" t="s">
        <v>54</v>
      </c>
      <c r="AB72" t="s">
        <v>54</v>
      </c>
      <c r="AC72" t="s">
        <v>54</v>
      </c>
      <c r="AD72" t="s">
        <v>54</v>
      </c>
      <c r="AE72" t="s">
        <v>54</v>
      </c>
      <c r="AF72" s="23" t="s">
        <v>54</v>
      </c>
      <c r="AG72" s="23" t="s">
        <v>54</v>
      </c>
      <c r="AH72" s="23" t="s">
        <v>54</v>
      </c>
      <c r="AI72" s="23" t="s">
        <v>54</v>
      </c>
      <c r="AJ72">
        <v>0</v>
      </c>
      <c r="AK72">
        <v>0</v>
      </c>
      <c r="AL72">
        <v>0</v>
      </c>
      <c r="AM72">
        <v>0</v>
      </c>
      <c r="AN72" s="23" t="s">
        <v>54</v>
      </c>
      <c r="AO72" s="23" t="s">
        <v>54</v>
      </c>
      <c r="AP72" s="23" t="s">
        <v>54</v>
      </c>
      <c r="AQ72" s="23" t="s">
        <v>54</v>
      </c>
      <c r="AR72" s="35">
        <v>0</v>
      </c>
      <c r="AS72" s="35">
        <v>0</v>
      </c>
      <c r="AT72" s="35">
        <v>0</v>
      </c>
      <c r="AU72" s="31" t="str">
        <f t="shared" si="4"/>
        <v>库存为0</v>
      </c>
      <c r="AV72" s="36" t="str">
        <f>IFERROR($A$2+AU72,"上周无销量")</f>
        <v>上周无销量</v>
      </c>
    </row>
    <row r="73" spans="1:48">
      <c r="A73" s="21" t="s">
        <v>191</v>
      </c>
      <c r="B73" t="s">
        <v>192</v>
      </c>
      <c r="C73" t="s">
        <v>140</v>
      </c>
      <c r="D73" s="31">
        <v>0</v>
      </c>
      <c r="E73" s="31">
        <v>0</v>
      </c>
      <c r="F73" s="31">
        <v>0</v>
      </c>
      <c r="G73" s="31">
        <v>0</v>
      </c>
      <c r="H73" s="32">
        <v>0</v>
      </c>
      <c r="I73">
        <v>0</v>
      </c>
      <c r="J73" s="33">
        <v>0</v>
      </c>
      <c r="K73" s="33">
        <v>0</v>
      </c>
      <c r="L73" s="33">
        <v>0</v>
      </c>
      <c r="M73">
        <v>0</v>
      </c>
      <c r="N73">
        <v>0</v>
      </c>
      <c r="O73">
        <v>0</v>
      </c>
      <c r="P73" t="s">
        <v>54</v>
      </c>
      <c r="Q73" t="s">
        <v>54</v>
      </c>
      <c r="R73" t="s">
        <v>54</v>
      </c>
      <c r="S73" t="s">
        <v>54</v>
      </c>
      <c r="T73" t="s">
        <v>54</v>
      </c>
      <c r="U73" t="s">
        <v>54</v>
      </c>
      <c r="V73" t="s">
        <v>54</v>
      </c>
      <c r="W73" t="s">
        <v>54</v>
      </c>
      <c r="X73" s="23" t="s">
        <v>54</v>
      </c>
      <c r="Y73" s="23" t="s">
        <v>54</v>
      </c>
      <c r="Z73" s="23" t="s">
        <v>54</v>
      </c>
      <c r="AA73" s="23" t="s">
        <v>54</v>
      </c>
      <c r="AB73" t="s">
        <v>54</v>
      </c>
      <c r="AC73" t="s">
        <v>54</v>
      </c>
      <c r="AD73" t="s">
        <v>54</v>
      </c>
      <c r="AE73" t="s">
        <v>54</v>
      </c>
      <c r="AF73" s="23" t="s">
        <v>54</v>
      </c>
      <c r="AG73" s="23" t="s">
        <v>54</v>
      </c>
      <c r="AH73" s="23" t="s">
        <v>54</v>
      </c>
      <c r="AI73" s="23" t="s">
        <v>54</v>
      </c>
      <c r="AJ73">
        <v>0</v>
      </c>
      <c r="AK73">
        <v>0</v>
      </c>
      <c r="AL73">
        <v>0</v>
      </c>
      <c r="AM73">
        <v>0</v>
      </c>
      <c r="AN73" s="23" t="s">
        <v>54</v>
      </c>
      <c r="AO73" s="23" t="s">
        <v>54</v>
      </c>
      <c r="AP73" s="23" t="s">
        <v>54</v>
      </c>
      <c r="AQ73" s="23" t="s">
        <v>54</v>
      </c>
      <c r="AR73" s="35">
        <v>0</v>
      </c>
      <c r="AS73" s="35">
        <v>0</v>
      </c>
      <c r="AT73" s="35">
        <v>0</v>
      </c>
      <c r="AU73" s="31" t="str">
        <f t="shared" si="4"/>
        <v>库存为0</v>
      </c>
      <c r="AV73" s="36" t="str">
        <f>IFERROR($A$2+AU73,"上周无销量")</f>
        <v>上周无销量</v>
      </c>
    </row>
    <row r="74" spans="1:48">
      <c r="A74" s="21" t="s">
        <v>193</v>
      </c>
      <c r="B74" t="s">
        <v>194</v>
      </c>
      <c r="C74" t="s">
        <v>140</v>
      </c>
      <c r="D74" s="31">
        <v>0</v>
      </c>
      <c r="E74" s="31">
        <v>0</v>
      </c>
      <c r="F74" s="31">
        <v>0</v>
      </c>
      <c r="G74" s="31">
        <v>0</v>
      </c>
      <c r="H74" s="32">
        <v>0</v>
      </c>
      <c r="I74">
        <v>0</v>
      </c>
      <c r="J74" s="33">
        <v>0</v>
      </c>
      <c r="K74" s="33">
        <v>0</v>
      </c>
      <c r="L74" s="33">
        <v>0</v>
      </c>
      <c r="M74">
        <v>0</v>
      </c>
      <c r="N74">
        <v>0</v>
      </c>
      <c r="O74">
        <v>0</v>
      </c>
      <c r="P74" t="s">
        <v>54</v>
      </c>
      <c r="Q74" t="s">
        <v>54</v>
      </c>
      <c r="R74" t="s">
        <v>54</v>
      </c>
      <c r="S74" t="s">
        <v>54</v>
      </c>
      <c r="T74" t="s">
        <v>54</v>
      </c>
      <c r="U74" t="s">
        <v>54</v>
      </c>
      <c r="V74" t="s">
        <v>54</v>
      </c>
      <c r="W74" t="s">
        <v>54</v>
      </c>
      <c r="X74" s="23" t="s">
        <v>54</v>
      </c>
      <c r="Y74" s="23" t="s">
        <v>54</v>
      </c>
      <c r="Z74" s="23" t="s">
        <v>54</v>
      </c>
      <c r="AA74" s="23" t="s">
        <v>54</v>
      </c>
      <c r="AB74" t="s">
        <v>54</v>
      </c>
      <c r="AC74" t="s">
        <v>54</v>
      </c>
      <c r="AD74" t="s">
        <v>54</v>
      </c>
      <c r="AE74" t="s">
        <v>54</v>
      </c>
      <c r="AF74" s="23" t="s">
        <v>54</v>
      </c>
      <c r="AG74" s="23" t="s">
        <v>54</v>
      </c>
      <c r="AH74" s="23" t="s">
        <v>54</v>
      </c>
      <c r="AI74" s="23" t="s">
        <v>54</v>
      </c>
      <c r="AJ74">
        <v>0</v>
      </c>
      <c r="AK74">
        <v>0</v>
      </c>
      <c r="AL74">
        <v>0</v>
      </c>
      <c r="AM74">
        <v>0</v>
      </c>
      <c r="AN74" s="23" t="s">
        <v>54</v>
      </c>
      <c r="AO74" s="23" t="s">
        <v>54</v>
      </c>
      <c r="AP74" s="23" t="s">
        <v>54</v>
      </c>
      <c r="AQ74" s="23" t="s">
        <v>54</v>
      </c>
      <c r="AR74" s="35">
        <v>0</v>
      </c>
      <c r="AS74" s="35">
        <v>0</v>
      </c>
      <c r="AT74" s="35">
        <v>0</v>
      </c>
      <c r="AU74" s="31" t="str">
        <f t="shared" si="4"/>
        <v>库存为0</v>
      </c>
      <c r="AV74" s="36" t="str">
        <f>IFERROR($A$2+AU74,"上周无销量")</f>
        <v>上周无销量</v>
      </c>
    </row>
    <row r="75" spans="1:48">
      <c r="A75" s="21" t="s">
        <v>195</v>
      </c>
      <c r="B75" t="s">
        <v>196</v>
      </c>
      <c r="C75" t="s">
        <v>140</v>
      </c>
      <c r="D75" s="31">
        <v>0</v>
      </c>
      <c r="E75" s="31">
        <v>0</v>
      </c>
      <c r="F75" s="31">
        <v>0</v>
      </c>
      <c r="G75" s="31">
        <v>0</v>
      </c>
      <c r="H75" s="32">
        <v>0</v>
      </c>
      <c r="I75">
        <v>0</v>
      </c>
      <c r="J75" s="33">
        <v>0</v>
      </c>
      <c r="K75" s="33">
        <v>0</v>
      </c>
      <c r="L75" s="33">
        <v>0</v>
      </c>
      <c r="M75">
        <v>0</v>
      </c>
      <c r="N75">
        <v>0</v>
      </c>
      <c r="O75">
        <v>0</v>
      </c>
      <c r="P75" t="s">
        <v>54</v>
      </c>
      <c r="Q75" t="s">
        <v>54</v>
      </c>
      <c r="R75" t="s">
        <v>54</v>
      </c>
      <c r="S75" t="s">
        <v>54</v>
      </c>
      <c r="T75" t="s">
        <v>54</v>
      </c>
      <c r="U75" t="s">
        <v>54</v>
      </c>
      <c r="V75" t="s">
        <v>54</v>
      </c>
      <c r="W75" t="s">
        <v>54</v>
      </c>
      <c r="X75" s="23" t="s">
        <v>54</v>
      </c>
      <c r="Y75" s="23" t="s">
        <v>54</v>
      </c>
      <c r="Z75" s="23" t="s">
        <v>54</v>
      </c>
      <c r="AA75" s="23" t="s">
        <v>54</v>
      </c>
      <c r="AB75" t="s">
        <v>54</v>
      </c>
      <c r="AC75" t="s">
        <v>54</v>
      </c>
      <c r="AD75" t="s">
        <v>54</v>
      </c>
      <c r="AE75" t="s">
        <v>54</v>
      </c>
      <c r="AF75" s="23" t="s">
        <v>54</v>
      </c>
      <c r="AG75" s="23" t="s">
        <v>54</v>
      </c>
      <c r="AH75" s="23" t="s">
        <v>54</v>
      </c>
      <c r="AI75" s="23" t="s">
        <v>54</v>
      </c>
      <c r="AJ75">
        <v>0</v>
      </c>
      <c r="AK75">
        <v>0</v>
      </c>
      <c r="AL75">
        <v>0</v>
      </c>
      <c r="AM75">
        <v>0</v>
      </c>
      <c r="AN75" s="23" t="s">
        <v>54</v>
      </c>
      <c r="AO75" s="23" t="s">
        <v>54</v>
      </c>
      <c r="AP75" s="23" t="s">
        <v>54</v>
      </c>
      <c r="AQ75" s="23" t="s">
        <v>54</v>
      </c>
      <c r="AR75" s="35">
        <v>0</v>
      </c>
      <c r="AS75" s="35">
        <v>0</v>
      </c>
      <c r="AT75" s="35">
        <v>0</v>
      </c>
      <c r="AU75" s="31" t="str">
        <f t="shared" si="4"/>
        <v>库存为0</v>
      </c>
      <c r="AV75" s="36" t="str">
        <f>IFERROR($A$2+AU75,"上周无销量")</f>
        <v>上周无销量</v>
      </c>
    </row>
    <row r="76" spans="1:48">
      <c r="A76" s="21" t="s">
        <v>197</v>
      </c>
      <c r="B76" t="s">
        <v>198</v>
      </c>
      <c r="C76" t="s">
        <v>140</v>
      </c>
      <c r="D76" s="31">
        <v>0</v>
      </c>
      <c r="E76" s="31">
        <v>0</v>
      </c>
      <c r="F76" s="31">
        <v>0</v>
      </c>
      <c r="G76" s="31">
        <v>0</v>
      </c>
      <c r="H76" s="32">
        <v>0</v>
      </c>
      <c r="I76">
        <v>0</v>
      </c>
      <c r="J76" s="33">
        <v>0</v>
      </c>
      <c r="K76" s="33">
        <v>0</v>
      </c>
      <c r="L76" s="33">
        <v>0</v>
      </c>
      <c r="M76">
        <v>0</v>
      </c>
      <c r="N76">
        <v>0</v>
      </c>
      <c r="O76">
        <v>0</v>
      </c>
      <c r="P76" t="s">
        <v>54</v>
      </c>
      <c r="Q76" t="s">
        <v>54</v>
      </c>
      <c r="R76" t="s">
        <v>54</v>
      </c>
      <c r="S76" t="s">
        <v>54</v>
      </c>
      <c r="T76" t="s">
        <v>54</v>
      </c>
      <c r="U76" t="s">
        <v>54</v>
      </c>
      <c r="V76" t="s">
        <v>54</v>
      </c>
      <c r="W76" t="s">
        <v>54</v>
      </c>
      <c r="X76" s="23" t="s">
        <v>54</v>
      </c>
      <c r="Y76" s="23" t="s">
        <v>54</v>
      </c>
      <c r="Z76" s="23" t="s">
        <v>54</v>
      </c>
      <c r="AA76" s="23" t="s">
        <v>54</v>
      </c>
      <c r="AB76" t="s">
        <v>54</v>
      </c>
      <c r="AC76" t="s">
        <v>54</v>
      </c>
      <c r="AD76" t="s">
        <v>54</v>
      </c>
      <c r="AE76" t="s">
        <v>54</v>
      </c>
      <c r="AF76" s="23" t="s">
        <v>54</v>
      </c>
      <c r="AG76" s="23" t="s">
        <v>54</v>
      </c>
      <c r="AH76" s="23" t="s">
        <v>54</v>
      </c>
      <c r="AI76" s="23" t="s">
        <v>54</v>
      </c>
      <c r="AJ76">
        <v>0</v>
      </c>
      <c r="AK76">
        <v>0</v>
      </c>
      <c r="AL76">
        <v>0</v>
      </c>
      <c r="AM76">
        <v>0</v>
      </c>
      <c r="AN76" s="23" t="s">
        <v>54</v>
      </c>
      <c r="AO76" s="23" t="s">
        <v>54</v>
      </c>
      <c r="AP76" s="23" t="s">
        <v>54</v>
      </c>
      <c r="AQ76" s="23" t="s">
        <v>54</v>
      </c>
      <c r="AR76" s="35">
        <v>0</v>
      </c>
      <c r="AS76" s="35">
        <v>0</v>
      </c>
      <c r="AT76" s="35">
        <v>0</v>
      </c>
      <c r="AU76" s="31" t="str">
        <f t="shared" si="4"/>
        <v>库存为0</v>
      </c>
      <c r="AV76" s="36" t="str">
        <f>IFERROR($A$2+AU76,"上周无销量")</f>
        <v>上周无销量</v>
      </c>
    </row>
    <row r="77" spans="1:48">
      <c r="A77" s="21" t="s">
        <v>199</v>
      </c>
      <c r="B77" t="s">
        <v>200</v>
      </c>
      <c r="C77" t="s">
        <v>140</v>
      </c>
      <c r="D77" s="31">
        <v>0</v>
      </c>
      <c r="E77" s="31">
        <v>0</v>
      </c>
      <c r="F77" s="31">
        <v>0</v>
      </c>
      <c r="G77" s="31">
        <v>0</v>
      </c>
      <c r="H77" s="32">
        <v>0</v>
      </c>
      <c r="I77">
        <v>0</v>
      </c>
      <c r="J77" s="33">
        <v>0</v>
      </c>
      <c r="K77" s="33">
        <v>0</v>
      </c>
      <c r="L77" s="33">
        <v>0</v>
      </c>
      <c r="M77">
        <v>0</v>
      </c>
      <c r="N77">
        <v>0</v>
      </c>
      <c r="O77">
        <v>0</v>
      </c>
      <c r="P77" t="s">
        <v>54</v>
      </c>
      <c r="Q77" t="s">
        <v>54</v>
      </c>
      <c r="R77" t="s">
        <v>54</v>
      </c>
      <c r="S77" t="s">
        <v>54</v>
      </c>
      <c r="T77" t="s">
        <v>54</v>
      </c>
      <c r="U77" t="s">
        <v>54</v>
      </c>
      <c r="V77" t="s">
        <v>54</v>
      </c>
      <c r="W77" t="s">
        <v>54</v>
      </c>
      <c r="X77" s="23" t="s">
        <v>54</v>
      </c>
      <c r="Y77" s="23" t="s">
        <v>54</v>
      </c>
      <c r="Z77" s="23" t="s">
        <v>54</v>
      </c>
      <c r="AA77" s="23" t="s">
        <v>54</v>
      </c>
      <c r="AB77" t="s">
        <v>54</v>
      </c>
      <c r="AC77" t="s">
        <v>54</v>
      </c>
      <c r="AD77" t="s">
        <v>54</v>
      </c>
      <c r="AE77" t="s">
        <v>54</v>
      </c>
      <c r="AF77" s="23" t="s">
        <v>54</v>
      </c>
      <c r="AG77" s="23" t="s">
        <v>54</v>
      </c>
      <c r="AH77" s="23" t="s">
        <v>54</v>
      </c>
      <c r="AI77" s="23" t="s">
        <v>54</v>
      </c>
      <c r="AJ77">
        <v>0</v>
      </c>
      <c r="AK77">
        <v>0</v>
      </c>
      <c r="AL77">
        <v>0</v>
      </c>
      <c r="AM77">
        <v>0</v>
      </c>
      <c r="AN77" s="23" t="s">
        <v>54</v>
      </c>
      <c r="AO77" s="23" t="s">
        <v>54</v>
      </c>
      <c r="AP77" s="23" t="s">
        <v>54</v>
      </c>
      <c r="AQ77" s="23" t="s">
        <v>54</v>
      </c>
      <c r="AR77" s="35">
        <v>0</v>
      </c>
      <c r="AS77" s="35">
        <v>0</v>
      </c>
      <c r="AT77" s="35">
        <v>0</v>
      </c>
      <c r="AU77" s="31" t="str">
        <f t="shared" si="4"/>
        <v>库存为0</v>
      </c>
      <c r="AV77" s="36" t="str">
        <f>IFERROR($A$2+AU77,"上周无销量")</f>
        <v>上周无销量</v>
      </c>
    </row>
    <row r="78" spans="1:48">
      <c r="A78" s="21" t="s">
        <v>201</v>
      </c>
      <c r="B78" t="s">
        <v>202</v>
      </c>
      <c r="C78" t="s">
        <v>140</v>
      </c>
      <c r="D78" s="31">
        <v>0</v>
      </c>
      <c r="E78" s="31">
        <v>0</v>
      </c>
      <c r="F78" s="31">
        <v>0</v>
      </c>
      <c r="G78" s="31">
        <v>0</v>
      </c>
      <c r="H78" s="32">
        <v>0</v>
      </c>
      <c r="I78">
        <v>0</v>
      </c>
      <c r="J78" s="33">
        <v>0</v>
      </c>
      <c r="K78" s="33">
        <v>0</v>
      </c>
      <c r="L78" s="33">
        <v>0</v>
      </c>
      <c r="M78">
        <v>0</v>
      </c>
      <c r="N78">
        <v>0</v>
      </c>
      <c r="O78">
        <v>0</v>
      </c>
      <c r="P78" t="s">
        <v>54</v>
      </c>
      <c r="Q78" t="s">
        <v>54</v>
      </c>
      <c r="R78" t="s">
        <v>54</v>
      </c>
      <c r="S78" t="s">
        <v>54</v>
      </c>
      <c r="T78" t="s">
        <v>54</v>
      </c>
      <c r="U78" t="s">
        <v>54</v>
      </c>
      <c r="V78" t="s">
        <v>54</v>
      </c>
      <c r="W78" t="s">
        <v>54</v>
      </c>
      <c r="X78" s="23" t="s">
        <v>54</v>
      </c>
      <c r="Y78" s="23" t="s">
        <v>54</v>
      </c>
      <c r="Z78" s="23" t="s">
        <v>54</v>
      </c>
      <c r="AA78" s="23" t="s">
        <v>54</v>
      </c>
      <c r="AB78" t="s">
        <v>54</v>
      </c>
      <c r="AC78" t="s">
        <v>54</v>
      </c>
      <c r="AD78" t="s">
        <v>54</v>
      </c>
      <c r="AE78" t="s">
        <v>54</v>
      </c>
      <c r="AF78" s="23" t="s">
        <v>54</v>
      </c>
      <c r="AG78" s="23" t="s">
        <v>54</v>
      </c>
      <c r="AH78" s="23" t="s">
        <v>54</v>
      </c>
      <c r="AI78" s="23" t="s">
        <v>54</v>
      </c>
      <c r="AJ78">
        <v>0</v>
      </c>
      <c r="AK78">
        <v>0</v>
      </c>
      <c r="AL78">
        <v>0</v>
      </c>
      <c r="AM78">
        <v>0</v>
      </c>
      <c r="AN78" s="23" t="s">
        <v>54</v>
      </c>
      <c r="AO78" s="23" t="s">
        <v>54</v>
      </c>
      <c r="AP78" s="23" t="s">
        <v>54</v>
      </c>
      <c r="AQ78" s="23" t="s">
        <v>54</v>
      </c>
      <c r="AR78" s="35">
        <v>0</v>
      </c>
      <c r="AS78" s="35">
        <v>0</v>
      </c>
      <c r="AT78" s="35">
        <v>0</v>
      </c>
      <c r="AU78" s="31" t="str">
        <f t="shared" si="4"/>
        <v>库存为0</v>
      </c>
      <c r="AV78" s="36" t="str">
        <f>IFERROR($A$2+AU78,"上周无销量")</f>
        <v>上周无销量</v>
      </c>
    </row>
    <row r="79" spans="1:48">
      <c r="A79" s="21" t="s">
        <v>203</v>
      </c>
      <c r="B79" t="s">
        <v>204</v>
      </c>
      <c r="C79" t="s">
        <v>140</v>
      </c>
      <c r="D79" s="31">
        <v>0</v>
      </c>
      <c r="E79" s="31">
        <v>0</v>
      </c>
      <c r="F79" s="31">
        <v>0</v>
      </c>
      <c r="G79" s="31">
        <v>0</v>
      </c>
      <c r="H79" s="32">
        <v>0</v>
      </c>
      <c r="I79">
        <v>0</v>
      </c>
      <c r="J79" s="33">
        <v>0</v>
      </c>
      <c r="K79" s="33">
        <v>0</v>
      </c>
      <c r="L79" s="33">
        <v>0</v>
      </c>
      <c r="M79">
        <v>0</v>
      </c>
      <c r="N79">
        <v>0</v>
      </c>
      <c r="O79">
        <v>0</v>
      </c>
      <c r="P79" t="s">
        <v>54</v>
      </c>
      <c r="Q79" t="s">
        <v>54</v>
      </c>
      <c r="R79" t="s">
        <v>54</v>
      </c>
      <c r="S79" t="s">
        <v>54</v>
      </c>
      <c r="T79" t="s">
        <v>54</v>
      </c>
      <c r="U79" t="s">
        <v>54</v>
      </c>
      <c r="V79" t="s">
        <v>54</v>
      </c>
      <c r="W79" t="s">
        <v>54</v>
      </c>
      <c r="X79" s="23" t="s">
        <v>54</v>
      </c>
      <c r="Y79" s="23" t="s">
        <v>54</v>
      </c>
      <c r="Z79" s="23" t="s">
        <v>54</v>
      </c>
      <c r="AA79" s="23" t="s">
        <v>54</v>
      </c>
      <c r="AB79" t="s">
        <v>54</v>
      </c>
      <c r="AC79" t="s">
        <v>54</v>
      </c>
      <c r="AD79" t="s">
        <v>54</v>
      </c>
      <c r="AE79" t="s">
        <v>54</v>
      </c>
      <c r="AF79" s="23" t="s">
        <v>54</v>
      </c>
      <c r="AG79" s="23" t="s">
        <v>54</v>
      </c>
      <c r="AH79" s="23" t="s">
        <v>54</v>
      </c>
      <c r="AI79" s="23" t="s">
        <v>54</v>
      </c>
      <c r="AJ79">
        <v>0</v>
      </c>
      <c r="AK79">
        <v>0</v>
      </c>
      <c r="AL79">
        <v>0</v>
      </c>
      <c r="AM79">
        <v>0</v>
      </c>
      <c r="AN79" s="23" t="s">
        <v>54</v>
      </c>
      <c r="AO79" s="23" t="s">
        <v>54</v>
      </c>
      <c r="AP79" s="23" t="s">
        <v>54</v>
      </c>
      <c r="AQ79" s="23" t="s">
        <v>54</v>
      </c>
      <c r="AR79" s="35">
        <v>0</v>
      </c>
      <c r="AS79" s="35">
        <v>0</v>
      </c>
      <c r="AT79" s="35">
        <v>0</v>
      </c>
      <c r="AU79" s="31" t="str">
        <f t="shared" si="4"/>
        <v>库存为0</v>
      </c>
      <c r="AV79" s="36" t="str">
        <f>IFERROR($A$2+AU79,"上周无销量")</f>
        <v>上周无销量</v>
      </c>
    </row>
    <row r="80" spans="1:48">
      <c r="A80" s="21" t="s">
        <v>205</v>
      </c>
      <c r="B80" t="s">
        <v>206</v>
      </c>
      <c r="C80" t="s">
        <v>140</v>
      </c>
      <c r="D80" s="31">
        <v>0</v>
      </c>
      <c r="E80" s="31">
        <v>0</v>
      </c>
      <c r="F80" s="31">
        <v>0</v>
      </c>
      <c r="G80" s="31">
        <v>0</v>
      </c>
      <c r="H80" s="32">
        <v>0</v>
      </c>
      <c r="I80">
        <v>0</v>
      </c>
      <c r="J80" s="33">
        <v>0</v>
      </c>
      <c r="K80" s="33">
        <v>0</v>
      </c>
      <c r="L80" s="33">
        <v>0</v>
      </c>
      <c r="M80">
        <v>0</v>
      </c>
      <c r="N80">
        <v>0</v>
      </c>
      <c r="O80">
        <v>0</v>
      </c>
      <c r="P80" t="s">
        <v>54</v>
      </c>
      <c r="Q80" t="s">
        <v>54</v>
      </c>
      <c r="R80" t="s">
        <v>54</v>
      </c>
      <c r="S80" t="s">
        <v>54</v>
      </c>
      <c r="T80" t="s">
        <v>54</v>
      </c>
      <c r="U80" t="s">
        <v>54</v>
      </c>
      <c r="V80" t="s">
        <v>54</v>
      </c>
      <c r="W80" t="s">
        <v>54</v>
      </c>
      <c r="X80" s="23" t="s">
        <v>54</v>
      </c>
      <c r="Y80" s="23" t="s">
        <v>54</v>
      </c>
      <c r="Z80" s="23" t="s">
        <v>54</v>
      </c>
      <c r="AA80" s="23" t="s">
        <v>54</v>
      </c>
      <c r="AB80" t="s">
        <v>54</v>
      </c>
      <c r="AC80" t="s">
        <v>54</v>
      </c>
      <c r="AD80" t="s">
        <v>54</v>
      </c>
      <c r="AE80" t="s">
        <v>54</v>
      </c>
      <c r="AF80" s="23" t="s">
        <v>54</v>
      </c>
      <c r="AG80" s="23" t="s">
        <v>54</v>
      </c>
      <c r="AH80" s="23" t="s">
        <v>54</v>
      </c>
      <c r="AI80" s="23" t="s">
        <v>54</v>
      </c>
      <c r="AJ80">
        <v>0</v>
      </c>
      <c r="AK80">
        <v>0</v>
      </c>
      <c r="AL80">
        <v>0</v>
      </c>
      <c r="AM80">
        <v>0</v>
      </c>
      <c r="AN80" s="23" t="s">
        <v>54</v>
      </c>
      <c r="AO80" s="23" t="s">
        <v>54</v>
      </c>
      <c r="AP80" s="23" t="s">
        <v>54</v>
      </c>
      <c r="AQ80" s="23" t="s">
        <v>54</v>
      </c>
      <c r="AR80" s="35">
        <v>0</v>
      </c>
      <c r="AS80" s="35">
        <v>0</v>
      </c>
      <c r="AT80" s="35">
        <v>0</v>
      </c>
      <c r="AU80" s="31" t="str">
        <f t="shared" si="4"/>
        <v>库存为0</v>
      </c>
      <c r="AV80" s="36" t="str">
        <f>IFERROR($A$2+AU80,"上周无销量")</f>
        <v>上周无销量</v>
      </c>
    </row>
    <row r="81" spans="1:48">
      <c r="A81" s="21" t="s">
        <v>207</v>
      </c>
      <c r="B81" t="s">
        <v>208</v>
      </c>
      <c r="C81" t="s">
        <v>140</v>
      </c>
      <c r="D81" s="31">
        <v>0</v>
      </c>
      <c r="E81" s="31">
        <v>0</v>
      </c>
      <c r="F81" s="31">
        <v>0</v>
      </c>
      <c r="G81" s="31">
        <v>0</v>
      </c>
      <c r="H81" s="32">
        <v>0</v>
      </c>
      <c r="I81">
        <v>0</v>
      </c>
      <c r="J81" s="33">
        <v>0</v>
      </c>
      <c r="K81" s="33">
        <v>0</v>
      </c>
      <c r="L81" s="33">
        <v>0</v>
      </c>
      <c r="M81">
        <v>0</v>
      </c>
      <c r="N81">
        <v>0</v>
      </c>
      <c r="O81">
        <v>0</v>
      </c>
      <c r="P81" t="s">
        <v>54</v>
      </c>
      <c r="Q81" t="s">
        <v>54</v>
      </c>
      <c r="R81" t="s">
        <v>54</v>
      </c>
      <c r="S81" t="s">
        <v>54</v>
      </c>
      <c r="T81" t="s">
        <v>54</v>
      </c>
      <c r="U81" t="s">
        <v>54</v>
      </c>
      <c r="V81" t="s">
        <v>54</v>
      </c>
      <c r="W81" t="s">
        <v>54</v>
      </c>
      <c r="X81" s="23" t="s">
        <v>54</v>
      </c>
      <c r="Y81" s="23" t="s">
        <v>54</v>
      </c>
      <c r="Z81" s="23" t="s">
        <v>54</v>
      </c>
      <c r="AA81" s="23" t="s">
        <v>54</v>
      </c>
      <c r="AB81" t="s">
        <v>54</v>
      </c>
      <c r="AC81" t="s">
        <v>54</v>
      </c>
      <c r="AD81" t="s">
        <v>54</v>
      </c>
      <c r="AE81" t="s">
        <v>54</v>
      </c>
      <c r="AF81" s="23" t="s">
        <v>54</v>
      </c>
      <c r="AG81" s="23" t="s">
        <v>54</v>
      </c>
      <c r="AH81" s="23" t="s">
        <v>54</v>
      </c>
      <c r="AI81" s="23" t="s">
        <v>54</v>
      </c>
      <c r="AJ81">
        <v>0</v>
      </c>
      <c r="AK81">
        <v>0</v>
      </c>
      <c r="AL81">
        <v>0</v>
      </c>
      <c r="AM81">
        <v>0</v>
      </c>
      <c r="AN81" s="23" t="s">
        <v>54</v>
      </c>
      <c r="AO81" s="23" t="s">
        <v>54</v>
      </c>
      <c r="AP81" s="23" t="s">
        <v>54</v>
      </c>
      <c r="AQ81" s="23" t="s">
        <v>54</v>
      </c>
      <c r="AR81" s="35">
        <v>0</v>
      </c>
      <c r="AS81" s="35">
        <v>0</v>
      </c>
      <c r="AT81" s="35">
        <v>0</v>
      </c>
      <c r="AU81" s="31" t="str">
        <f t="shared" si="4"/>
        <v>库存为0</v>
      </c>
      <c r="AV81" s="36" t="str">
        <f>IFERROR($A$2+AU81,"上周无销量")</f>
        <v>上周无销量</v>
      </c>
    </row>
    <row r="82" spans="1:48">
      <c r="A82" s="21" t="s">
        <v>209</v>
      </c>
      <c r="B82" t="s">
        <v>210</v>
      </c>
      <c r="C82" t="s">
        <v>140</v>
      </c>
      <c r="D82" s="31">
        <v>0</v>
      </c>
      <c r="E82" s="31">
        <v>0</v>
      </c>
      <c r="F82" s="31">
        <v>0</v>
      </c>
      <c r="G82" s="31">
        <v>0</v>
      </c>
      <c r="H82" s="32">
        <v>0</v>
      </c>
      <c r="I82">
        <v>0</v>
      </c>
      <c r="J82" s="33">
        <v>0</v>
      </c>
      <c r="K82" s="33">
        <v>0</v>
      </c>
      <c r="L82" s="33">
        <v>0</v>
      </c>
      <c r="M82">
        <v>0</v>
      </c>
      <c r="N82">
        <v>0</v>
      </c>
      <c r="O82">
        <v>0</v>
      </c>
      <c r="P82" t="s">
        <v>54</v>
      </c>
      <c r="Q82" t="s">
        <v>54</v>
      </c>
      <c r="R82" t="s">
        <v>54</v>
      </c>
      <c r="S82" t="s">
        <v>54</v>
      </c>
      <c r="T82" t="s">
        <v>54</v>
      </c>
      <c r="U82" t="s">
        <v>54</v>
      </c>
      <c r="V82" t="s">
        <v>54</v>
      </c>
      <c r="W82" t="s">
        <v>54</v>
      </c>
      <c r="X82" s="23" t="s">
        <v>54</v>
      </c>
      <c r="Y82" s="23" t="s">
        <v>54</v>
      </c>
      <c r="Z82" s="23" t="s">
        <v>54</v>
      </c>
      <c r="AA82" s="23" t="s">
        <v>54</v>
      </c>
      <c r="AB82" t="s">
        <v>54</v>
      </c>
      <c r="AC82" t="s">
        <v>54</v>
      </c>
      <c r="AD82" t="s">
        <v>54</v>
      </c>
      <c r="AE82" t="s">
        <v>54</v>
      </c>
      <c r="AF82" s="23" t="s">
        <v>54</v>
      </c>
      <c r="AG82" s="23" t="s">
        <v>54</v>
      </c>
      <c r="AH82" s="23" t="s">
        <v>54</v>
      </c>
      <c r="AI82" s="23" t="s">
        <v>54</v>
      </c>
      <c r="AJ82">
        <v>0</v>
      </c>
      <c r="AK82">
        <v>0</v>
      </c>
      <c r="AL82">
        <v>0</v>
      </c>
      <c r="AM82">
        <v>0</v>
      </c>
      <c r="AN82" s="23" t="s">
        <v>54</v>
      </c>
      <c r="AO82" s="23" t="s">
        <v>54</v>
      </c>
      <c r="AP82" s="23" t="s">
        <v>54</v>
      </c>
      <c r="AQ82" s="23" t="s">
        <v>54</v>
      </c>
      <c r="AR82" s="35">
        <v>0</v>
      </c>
      <c r="AS82" s="35">
        <v>0</v>
      </c>
      <c r="AT82" s="35">
        <v>0</v>
      </c>
      <c r="AU82" s="31" t="str">
        <f t="shared" si="4"/>
        <v>库存为0</v>
      </c>
      <c r="AV82" s="36" t="str">
        <f>IFERROR($A$2+AU82,"上周无销量")</f>
        <v>上周无销量</v>
      </c>
    </row>
    <row r="83" spans="1:48">
      <c r="A83" s="21" t="s">
        <v>211</v>
      </c>
      <c r="B83" t="s">
        <v>212</v>
      </c>
      <c r="C83" t="s">
        <v>140</v>
      </c>
      <c r="D83" s="31">
        <v>0</v>
      </c>
      <c r="E83" s="31">
        <v>0</v>
      </c>
      <c r="F83" s="31">
        <v>0</v>
      </c>
      <c r="G83" s="31">
        <v>0</v>
      </c>
      <c r="H83" s="32">
        <v>0</v>
      </c>
      <c r="I83">
        <v>0</v>
      </c>
      <c r="J83" s="33">
        <v>0</v>
      </c>
      <c r="K83" s="33">
        <v>0</v>
      </c>
      <c r="L83" s="33">
        <v>0</v>
      </c>
      <c r="M83">
        <v>0</v>
      </c>
      <c r="N83">
        <v>0</v>
      </c>
      <c r="O83">
        <v>0</v>
      </c>
      <c r="P83" t="s">
        <v>54</v>
      </c>
      <c r="Q83" t="s">
        <v>54</v>
      </c>
      <c r="R83" t="s">
        <v>54</v>
      </c>
      <c r="S83" t="s">
        <v>54</v>
      </c>
      <c r="T83" t="s">
        <v>54</v>
      </c>
      <c r="U83" t="s">
        <v>54</v>
      </c>
      <c r="V83" t="s">
        <v>54</v>
      </c>
      <c r="W83" t="s">
        <v>54</v>
      </c>
      <c r="X83" s="23" t="s">
        <v>54</v>
      </c>
      <c r="Y83" s="23" t="s">
        <v>54</v>
      </c>
      <c r="Z83" s="23" t="s">
        <v>54</v>
      </c>
      <c r="AA83" s="23" t="s">
        <v>54</v>
      </c>
      <c r="AB83" t="s">
        <v>54</v>
      </c>
      <c r="AC83" t="s">
        <v>54</v>
      </c>
      <c r="AD83" t="s">
        <v>54</v>
      </c>
      <c r="AE83" t="s">
        <v>54</v>
      </c>
      <c r="AF83" s="23" t="s">
        <v>54</v>
      </c>
      <c r="AG83" s="23" t="s">
        <v>54</v>
      </c>
      <c r="AH83" s="23" t="s">
        <v>54</v>
      </c>
      <c r="AI83" s="23" t="s">
        <v>54</v>
      </c>
      <c r="AJ83">
        <v>0</v>
      </c>
      <c r="AK83">
        <v>0</v>
      </c>
      <c r="AL83">
        <v>0</v>
      </c>
      <c r="AM83">
        <v>0</v>
      </c>
      <c r="AN83" s="23" t="s">
        <v>54</v>
      </c>
      <c r="AO83" s="23" t="s">
        <v>54</v>
      </c>
      <c r="AP83" s="23" t="s">
        <v>54</v>
      </c>
      <c r="AQ83" s="23" t="s">
        <v>54</v>
      </c>
      <c r="AR83" s="35">
        <v>0</v>
      </c>
      <c r="AS83" s="35">
        <v>0</v>
      </c>
      <c r="AT83" s="35">
        <v>0</v>
      </c>
      <c r="AU83" s="31" t="str">
        <f t="shared" si="4"/>
        <v>库存为0</v>
      </c>
      <c r="AV83" s="36" t="str">
        <f>IFERROR($A$2+AU83,"上周无销量")</f>
        <v>上周无销量</v>
      </c>
    </row>
    <row r="84" spans="1:48">
      <c r="A84" s="21" t="s">
        <v>213</v>
      </c>
      <c r="B84" t="s">
        <v>214</v>
      </c>
      <c r="C84" t="s">
        <v>140</v>
      </c>
      <c r="D84" s="31">
        <v>0</v>
      </c>
      <c r="E84" s="31">
        <v>0</v>
      </c>
      <c r="F84" s="31">
        <v>0</v>
      </c>
      <c r="G84" s="31">
        <v>0</v>
      </c>
      <c r="H84" s="32">
        <v>0</v>
      </c>
      <c r="I84">
        <v>0</v>
      </c>
      <c r="J84" s="33">
        <v>0</v>
      </c>
      <c r="K84" s="33">
        <v>0</v>
      </c>
      <c r="L84" s="33">
        <v>0</v>
      </c>
      <c r="M84">
        <v>0</v>
      </c>
      <c r="N84">
        <v>0</v>
      </c>
      <c r="O84">
        <v>0</v>
      </c>
      <c r="P84" t="s">
        <v>54</v>
      </c>
      <c r="Q84" t="s">
        <v>54</v>
      </c>
      <c r="R84" t="s">
        <v>54</v>
      </c>
      <c r="S84" t="s">
        <v>54</v>
      </c>
      <c r="T84" t="s">
        <v>54</v>
      </c>
      <c r="U84" t="s">
        <v>54</v>
      </c>
      <c r="V84" t="s">
        <v>54</v>
      </c>
      <c r="W84" t="s">
        <v>54</v>
      </c>
      <c r="X84" s="23" t="s">
        <v>54</v>
      </c>
      <c r="Y84" s="23" t="s">
        <v>54</v>
      </c>
      <c r="Z84" s="23" t="s">
        <v>54</v>
      </c>
      <c r="AA84" s="23" t="s">
        <v>54</v>
      </c>
      <c r="AB84" t="s">
        <v>54</v>
      </c>
      <c r="AC84" t="s">
        <v>54</v>
      </c>
      <c r="AD84" t="s">
        <v>54</v>
      </c>
      <c r="AE84" t="s">
        <v>54</v>
      </c>
      <c r="AF84" s="23" t="s">
        <v>54</v>
      </c>
      <c r="AG84" s="23" t="s">
        <v>54</v>
      </c>
      <c r="AH84" s="23" t="s">
        <v>54</v>
      </c>
      <c r="AI84" s="23" t="s">
        <v>54</v>
      </c>
      <c r="AJ84">
        <v>0</v>
      </c>
      <c r="AK84">
        <v>0</v>
      </c>
      <c r="AL84">
        <v>0</v>
      </c>
      <c r="AM84">
        <v>0</v>
      </c>
      <c r="AN84" s="23" t="s">
        <v>54</v>
      </c>
      <c r="AO84" s="23" t="s">
        <v>54</v>
      </c>
      <c r="AP84" s="23" t="s">
        <v>54</v>
      </c>
      <c r="AQ84" s="23" t="s">
        <v>54</v>
      </c>
      <c r="AR84" s="35">
        <v>0</v>
      </c>
      <c r="AS84" s="35">
        <v>0</v>
      </c>
      <c r="AT84" s="35">
        <v>0</v>
      </c>
      <c r="AU84" s="31" t="str">
        <f t="shared" si="4"/>
        <v>库存为0</v>
      </c>
      <c r="AV84" s="36" t="str">
        <f>IFERROR($A$2+AU84,"上周无销量")</f>
        <v>上周无销量</v>
      </c>
    </row>
    <row r="85" spans="1:48">
      <c r="A85" s="21" t="s">
        <v>215</v>
      </c>
      <c r="B85" t="s">
        <v>216</v>
      </c>
      <c r="C85" t="s">
        <v>140</v>
      </c>
      <c r="D85" s="31">
        <v>0</v>
      </c>
      <c r="E85" s="31">
        <v>0</v>
      </c>
      <c r="F85" s="31">
        <v>0</v>
      </c>
      <c r="G85" s="31">
        <v>0</v>
      </c>
      <c r="H85" s="32">
        <v>0</v>
      </c>
      <c r="I85">
        <v>0</v>
      </c>
      <c r="J85" s="33">
        <v>0</v>
      </c>
      <c r="K85" s="33">
        <v>0</v>
      </c>
      <c r="L85" s="33">
        <v>0</v>
      </c>
      <c r="M85">
        <v>0</v>
      </c>
      <c r="N85">
        <v>0</v>
      </c>
      <c r="O85">
        <v>0</v>
      </c>
      <c r="P85" t="s">
        <v>54</v>
      </c>
      <c r="Q85" t="s">
        <v>54</v>
      </c>
      <c r="R85" t="s">
        <v>54</v>
      </c>
      <c r="S85" t="s">
        <v>54</v>
      </c>
      <c r="T85" t="s">
        <v>54</v>
      </c>
      <c r="U85" t="s">
        <v>54</v>
      </c>
      <c r="V85" t="s">
        <v>54</v>
      </c>
      <c r="W85" t="s">
        <v>54</v>
      </c>
      <c r="X85" s="23" t="s">
        <v>54</v>
      </c>
      <c r="Y85" s="23" t="s">
        <v>54</v>
      </c>
      <c r="Z85" s="23" t="s">
        <v>54</v>
      </c>
      <c r="AA85" s="23" t="s">
        <v>54</v>
      </c>
      <c r="AB85" t="s">
        <v>54</v>
      </c>
      <c r="AC85" t="s">
        <v>54</v>
      </c>
      <c r="AD85" t="s">
        <v>54</v>
      </c>
      <c r="AE85" t="s">
        <v>54</v>
      </c>
      <c r="AF85" s="23" t="s">
        <v>54</v>
      </c>
      <c r="AG85" s="23" t="s">
        <v>54</v>
      </c>
      <c r="AH85" s="23" t="s">
        <v>54</v>
      </c>
      <c r="AI85" s="23" t="s">
        <v>54</v>
      </c>
      <c r="AJ85">
        <v>0</v>
      </c>
      <c r="AK85">
        <v>0</v>
      </c>
      <c r="AL85">
        <v>0</v>
      </c>
      <c r="AM85">
        <v>0</v>
      </c>
      <c r="AN85" s="23" t="s">
        <v>54</v>
      </c>
      <c r="AO85" s="23" t="s">
        <v>54</v>
      </c>
      <c r="AP85" s="23" t="s">
        <v>54</v>
      </c>
      <c r="AQ85" s="23" t="s">
        <v>54</v>
      </c>
      <c r="AR85" s="35">
        <v>0</v>
      </c>
      <c r="AS85" s="35">
        <v>0</v>
      </c>
      <c r="AT85" s="35">
        <v>0</v>
      </c>
      <c r="AU85" s="31" t="str">
        <f t="shared" si="4"/>
        <v>库存为0</v>
      </c>
      <c r="AV85" s="36" t="str">
        <f>IFERROR($A$2+AU85,"上周无销量")</f>
        <v>上周无销量</v>
      </c>
    </row>
    <row r="86" spans="1:48">
      <c r="A86" s="21" t="s">
        <v>217</v>
      </c>
      <c r="B86" t="s">
        <v>218</v>
      </c>
      <c r="C86" t="s">
        <v>140</v>
      </c>
      <c r="D86" s="31">
        <v>0</v>
      </c>
      <c r="E86" s="31">
        <v>0</v>
      </c>
      <c r="F86" s="31">
        <v>0</v>
      </c>
      <c r="G86" s="31">
        <v>0</v>
      </c>
      <c r="H86" s="32">
        <v>0</v>
      </c>
      <c r="I86">
        <v>0</v>
      </c>
      <c r="J86" s="33">
        <v>0</v>
      </c>
      <c r="K86" s="33">
        <v>0</v>
      </c>
      <c r="L86" s="33">
        <v>0</v>
      </c>
      <c r="M86">
        <v>0</v>
      </c>
      <c r="N86">
        <v>0</v>
      </c>
      <c r="O86">
        <v>0</v>
      </c>
      <c r="P86" t="s">
        <v>54</v>
      </c>
      <c r="Q86" t="s">
        <v>54</v>
      </c>
      <c r="R86" t="s">
        <v>54</v>
      </c>
      <c r="S86" t="s">
        <v>54</v>
      </c>
      <c r="T86" t="s">
        <v>54</v>
      </c>
      <c r="U86" t="s">
        <v>54</v>
      </c>
      <c r="V86" t="s">
        <v>54</v>
      </c>
      <c r="W86" t="s">
        <v>54</v>
      </c>
      <c r="X86" s="23" t="s">
        <v>54</v>
      </c>
      <c r="Y86" s="23" t="s">
        <v>54</v>
      </c>
      <c r="Z86" s="23" t="s">
        <v>54</v>
      </c>
      <c r="AA86" s="23" t="s">
        <v>54</v>
      </c>
      <c r="AB86" t="s">
        <v>54</v>
      </c>
      <c r="AC86" t="s">
        <v>54</v>
      </c>
      <c r="AD86" t="s">
        <v>54</v>
      </c>
      <c r="AE86" t="s">
        <v>54</v>
      </c>
      <c r="AF86" s="23" t="s">
        <v>54</v>
      </c>
      <c r="AG86" s="23" t="s">
        <v>54</v>
      </c>
      <c r="AH86" s="23" t="s">
        <v>54</v>
      </c>
      <c r="AI86" s="23" t="s">
        <v>54</v>
      </c>
      <c r="AJ86">
        <v>0</v>
      </c>
      <c r="AK86">
        <v>0</v>
      </c>
      <c r="AL86">
        <v>0</v>
      </c>
      <c r="AM86">
        <v>0</v>
      </c>
      <c r="AN86" s="23" t="s">
        <v>54</v>
      </c>
      <c r="AO86" s="23" t="s">
        <v>54</v>
      </c>
      <c r="AP86" s="23" t="s">
        <v>54</v>
      </c>
      <c r="AQ86" s="23" t="s">
        <v>54</v>
      </c>
      <c r="AR86" s="35">
        <v>0</v>
      </c>
      <c r="AS86" s="35">
        <v>0</v>
      </c>
      <c r="AT86" s="35">
        <v>0</v>
      </c>
      <c r="AU86" s="31" t="str">
        <f t="shared" si="4"/>
        <v>库存为0</v>
      </c>
      <c r="AV86" s="36" t="str">
        <f>IFERROR($A$2+AU86,"上周无销量")</f>
        <v>上周无销量</v>
      </c>
    </row>
    <row r="87" spans="1:48">
      <c r="A87" s="21" t="s">
        <v>219</v>
      </c>
      <c r="B87" t="s">
        <v>220</v>
      </c>
      <c r="C87" t="s">
        <v>221</v>
      </c>
      <c r="D87" s="31">
        <v>0</v>
      </c>
      <c r="E87" s="31">
        <v>0</v>
      </c>
      <c r="F87" s="31">
        <v>0</v>
      </c>
      <c r="G87" s="31">
        <v>0</v>
      </c>
      <c r="H87" s="32">
        <v>0</v>
      </c>
      <c r="I87">
        <v>0</v>
      </c>
      <c r="J87" s="33">
        <v>0</v>
      </c>
      <c r="K87" s="33">
        <v>0</v>
      </c>
      <c r="L87" s="33">
        <v>0</v>
      </c>
      <c r="M87">
        <v>0</v>
      </c>
      <c r="N87">
        <v>0</v>
      </c>
      <c r="O87">
        <v>0</v>
      </c>
      <c r="P87" t="s">
        <v>54</v>
      </c>
      <c r="Q87" t="s">
        <v>54</v>
      </c>
      <c r="R87" t="s">
        <v>54</v>
      </c>
      <c r="S87" t="s">
        <v>54</v>
      </c>
      <c r="T87" t="s">
        <v>54</v>
      </c>
      <c r="U87" t="s">
        <v>54</v>
      </c>
      <c r="V87" t="s">
        <v>54</v>
      </c>
      <c r="W87" t="s">
        <v>54</v>
      </c>
      <c r="X87" s="23" t="s">
        <v>54</v>
      </c>
      <c r="Y87" s="23" t="s">
        <v>54</v>
      </c>
      <c r="Z87" s="23" t="s">
        <v>54</v>
      </c>
      <c r="AA87" s="23" t="s">
        <v>54</v>
      </c>
      <c r="AB87" t="s">
        <v>54</v>
      </c>
      <c r="AC87" t="s">
        <v>54</v>
      </c>
      <c r="AD87" t="s">
        <v>54</v>
      </c>
      <c r="AE87" t="s">
        <v>54</v>
      </c>
      <c r="AF87" s="23" t="s">
        <v>54</v>
      </c>
      <c r="AG87" s="23" t="s">
        <v>54</v>
      </c>
      <c r="AH87" s="23" t="s">
        <v>54</v>
      </c>
      <c r="AI87" s="23" t="s">
        <v>54</v>
      </c>
      <c r="AJ87">
        <v>0</v>
      </c>
      <c r="AK87">
        <v>0</v>
      </c>
      <c r="AL87">
        <v>0</v>
      </c>
      <c r="AM87">
        <v>0</v>
      </c>
      <c r="AN87" s="23" t="s">
        <v>54</v>
      </c>
      <c r="AO87" s="23" t="s">
        <v>54</v>
      </c>
      <c r="AP87" s="23" t="s">
        <v>54</v>
      </c>
      <c r="AQ87" s="23" t="s">
        <v>54</v>
      </c>
      <c r="AR87" s="35">
        <v>0</v>
      </c>
      <c r="AS87" s="35">
        <v>0</v>
      </c>
      <c r="AT87" s="35">
        <v>0</v>
      </c>
      <c r="AU87" s="31" t="str">
        <f t="shared" si="4"/>
        <v>库存为0</v>
      </c>
      <c r="AV87" s="36" t="str">
        <f>IFERROR($A$2+AU87,"上周无销量")</f>
        <v>上周无销量</v>
      </c>
    </row>
    <row r="88" spans="1:48">
      <c r="A88" s="21" t="s">
        <v>222</v>
      </c>
      <c r="B88" t="s">
        <v>223</v>
      </c>
      <c r="C88" t="s">
        <v>221</v>
      </c>
      <c r="D88" s="31">
        <v>0</v>
      </c>
      <c r="E88" s="31">
        <v>0</v>
      </c>
      <c r="F88" s="31">
        <v>0</v>
      </c>
      <c r="G88" s="31">
        <v>0</v>
      </c>
      <c r="H88" s="32">
        <v>0</v>
      </c>
      <c r="I88">
        <v>0</v>
      </c>
      <c r="J88" s="33">
        <v>0</v>
      </c>
      <c r="K88" s="33">
        <v>0</v>
      </c>
      <c r="L88" s="33">
        <v>0</v>
      </c>
      <c r="M88">
        <v>0</v>
      </c>
      <c r="N88">
        <v>0</v>
      </c>
      <c r="O88">
        <v>0</v>
      </c>
      <c r="P88" t="s">
        <v>54</v>
      </c>
      <c r="Q88" t="s">
        <v>54</v>
      </c>
      <c r="R88" t="s">
        <v>54</v>
      </c>
      <c r="S88" t="s">
        <v>54</v>
      </c>
      <c r="T88" t="s">
        <v>54</v>
      </c>
      <c r="U88" t="s">
        <v>54</v>
      </c>
      <c r="V88" t="s">
        <v>54</v>
      </c>
      <c r="W88" t="s">
        <v>54</v>
      </c>
      <c r="X88" s="23" t="s">
        <v>54</v>
      </c>
      <c r="Y88" s="23" t="s">
        <v>54</v>
      </c>
      <c r="Z88" s="23" t="s">
        <v>54</v>
      </c>
      <c r="AA88" s="23" t="s">
        <v>54</v>
      </c>
      <c r="AB88" t="s">
        <v>54</v>
      </c>
      <c r="AC88" t="s">
        <v>54</v>
      </c>
      <c r="AD88" t="s">
        <v>54</v>
      </c>
      <c r="AE88" t="s">
        <v>54</v>
      </c>
      <c r="AF88" s="23" t="s">
        <v>54</v>
      </c>
      <c r="AG88" s="23" t="s">
        <v>54</v>
      </c>
      <c r="AH88" s="23" t="s">
        <v>54</v>
      </c>
      <c r="AI88" s="23" t="s">
        <v>54</v>
      </c>
      <c r="AJ88">
        <v>0</v>
      </c>
      <c r="AK88">
        <v>0</v>
      </c>
      <c r="AL88">
        <v>0</v>
      </c>
      <c r="AM88">
        <v>0</v>
      </c>
      <c r="AN88" s="23" t="s">
        <v>54</v>
      </c>
      <c r="AO88" s="23" t="s">
        <v>54</v>
      </c>
      <c r="AP88" s="23" t="s">
        <v>54</v>
      </c>
      <c r="AQ88" s="23" t="s">
        <v>54</v>
      </c>
      <c r="AR88" s="35">
        <v>0</v>
      </c>
      <c r="AS88" s="35">
        <v>0</v>
      </c>
      <c r="AT88" s="35">
        <v>0</v>
      </c>
      <c r="AU88" s="31" t="str">
        <f t="shared" si="4"/>
        <v>库存为0</v>
      </c>
      <c r="AV88" s="36" t="str">
        <f>IFERROR($A$2+AU88,"上周无销量")</f>
        <v>上周无销量</v>
      </c>
    </row>
    <row r="89" spans="1:48">
      <c r="A89" s="21" t="s">
        <v>224</v>
      </c>
      <c r="B89" t="s">
        <v>225</v>
      </c>
      <c r="C89" t="s">
        <v>221</v>
      </c>
      <c r="D89" s="31">
        <v>0</v>
      </c>
      <c r="E89" s="31">
        <v>0</v>
      </c>
      <c r="F89" s="31">
        <v>0</v>
      </c>
      <c r="G89" s="31">
        <v>0</v>
      </c>
      <c r="H89" s="32">
        <v>0</v>
      </c>
      <c r="I89">
        <v>0</v>
      </c>
      <c r="J89" s="33">
        <v>0</v>
      </c>
      <c r="K89" s="33">
        <v>0</v>
      </c>
      <c r="L89" s="33">
        <v>0</v>
      </c>
      <c r="M89">
        <v>0</v>
      </c>
      <c r="N89">
        <v>0</v>
      </c>
      <c r="O89">
        <v>0</v>
      </c>
      <c r="P89" t="s">
        <v>54</v>
      </c>
      <c r="Q89" t="s">
        <v>54</v>
      </c>
      <c r="R89" t="s">
        <v>54</v>
      </c>
      <c r="S89" t="s">
        <v>54</v>
      </c>
      <c r="T89" t="s">
        <v>54</v>
      </c>
      <c r="U89" t="s">
        <v>54</v>
      </c>
      <c r="V89" t="s">
        <v>54</v>
      </c>
      <c r="W89" t="s">
        <v>54</v>
      </c>
      <c r="X89" s="23" t="s">
        <v>54</v>
      </c>
      <c r="Y89" s="23" t="s">
        <v>54</v>
      </c>
      <c r="Z89" s="23" t="s">
        <v>54</v>
      </c>
      <c r="AA89" s="23" t="s">
        <v>54</v>
      </c>
      <c r="AB89" t="s">
        <v>54</v>
      </c>
      <c r="AC89" t="s">
        <v>54</v>
      </c>
      <c r="AD89" t="s">
        <v>54</v>
      </c>
      <c r="AE89" t="s">
        <v>54</v>
      </c>
      <c r="AF89" s="23" t="s">
        <v>54</v>
      </c>
      <c r="AG89" s="23" t="s">
        <v>54</v>
      </c>
      <c r="AH89" s="23" t="s">
        <v>54</v>
      </c>
      <c r="AI89" s="23" t="s">
        <v>54</v>
      </c>
      <c r="AJ89">
        <v>0</v>
      </c>
      <c r="AK89">
        <v>0</v>
      </c>
      <c r="AL89">
        <v>0</v>
      </c>
      <c r="AM89">
        <v>0</v>
      </c>
      <c r="AN89" s="23" t="s">
        <v>54</v>
      </c>
      <c r="AO89" s="23" t="s">
        <v>54</v>
      </c>
      <c r="AP89" s="23" t="s">
        <v>54</v>
      </c>
      <c r="AQ89" s="23" t="s">
        <v>54</v>
      </c>
      <c r="AR89" s="35">
        <v>0</v>
      </c>
      <c r="AS89" s="35">
        <v>0</v>
      </c>
      <c r="AT89" s="35">
        <v>0</v>
      </c>
      <c r="AU89" s="31" t="str">
        <f t="shared" si="4"/>
        <v>库存为0</v>
      </c>
      <c r="AV89" s="36" t="str">
        <f>IFERROR($A$2+AU89,"上周无销量")</f>
        <v>上周无销量</v>
      </c>
    </row>
    <row r="90" spans="1:48">
      <c r="A90" s="21" t="s">
        <v>226</v>
      </c>
      <c r="B90" t="s">
        <v>227</v>
      </c>
      <c r="C90" t="s">
        <v>221</v>
      </c>
      <c r="D90" s="31">
        <v>0</v>
      </c>
      <c r="E90" s="31">
        <v>0</v>
      </c>
      <c r="F90" s="31">
        <v>0</v>
      </c>
      <c r="G90" s="31">
        <v>0</v>
      </c>
      <c r="H90" s="32">
        <v>0</v>
      </c>
      <c r="I90">
        <v>0</v>
      </c>
      <c r="J90" s="33">
        <v>0</v>
      </c>
      <c r="K90" s="33">
        <v>0</v>
      </c>
      <c r="L90" s="33">
        <v>0</v>
      </c>
      <c r="M90">
        <v>0</v>
      </c>
      <c r="N90">
        <v>0</v>
      </c>
      <c r="O90">
        <v>0</v>
      </c>
      <c r="P90" t="s">
        <v>54</v>
      </c>
      <c r="Q90" t="s">
        <v>54</v>
      </c>
      <c r="R90" t="s">
        <v>54</v>
      </c>
      <c r="S90" t="s">
        <v>54</v>
      </c>
      <c r="T90" t="s">
        <v>54</v>
      </c>
      <c r="U90" t="s">
        <v>54</v>
      </c>
      <c r="V90" t="s">
        <v>54</v>
      </c>
      <c r="W90" t="s">
        <v>54</v>
      </c>
      <c r="X90" s="23" t="s">
        <v>54</v>
      </c>
      <c r="Y90" s="23" t="s">
        <v>54</v>
      </c>
      <c r="Z90" s="23" t="s">
        <v>54</v>
      </c>
      <c r="AA90" s="23" t="s">
        <v>54</v>
      </c>
      <c r="AB90" t="s">
        <v>54</v>
      </c>
      <c r="AC90" t="s">
        <v>54</v>
      </c>
      <c r="AD90" t="s">
        <v>54</v>
      </c>
      <c r="AE90" t="s">
        <v>54</v>
      </c>
      <c r="AF90" s="23" t="s">
        <v>54</v>
      </c>
      <c r="AG90" s="23" t="s">
        <v>54</v>
      </c>
      <c r="AH90" s="23" t="s">
        <v>54</v>
      </c>
      <c r="AI90" s="23" t="s">
        <v>54</v>
      </c>
      <c r="AJ90">
        <v>0</v>
      </c>
      <c r="AK90">
        <v>0</v>
      </c>
      <c r="AL90">
        <v>0</v>
      </c>
      <c r="AM90">
        <v>0</v>
      </c>
      <c r="AN90" s="23" t="s">
        <v>54</v>
      </c>
      <c r="AO90" s="23" t="s">
        <v>54</v>
      </c>
      <c r="AP90" s="23" t="s">
        <v>54</v>
      </c>
      <c r="AQ90" s="23" t="s">
        <v>54</v>
      </c>
      <c r="AR90" s="35">
        <v>0</v>
      </c>
      <c r="AS90" s="35">
        <v>0</v>
      </c>
      <c r="AT90" s="35">
        <v>0</v>
      </c>
      <c r="AU90" s="31" t="str">
        <f t="shared" si="4"/>
        <v>库存为0</v>
      </c>
      <c r="AV90" s="36" t="str">
        <f>IFERROR($A$2+AU90,"上周无销量")</f>
        <v>上周无销量</v>
      </c>
    </row>
    <row r="91" spans="1:48">
      <c r="A91" s="21" t="s">
        <v>228</v>
      </c>
      <c r="B91" t="s">
        <v>229</v>
      </c>
      <c r="C91" t="s">
        <v>221</v>
      </c>
      <c r="D91" s="31">
        <v>0</v>
      </c>
      <c r="E91" s="31">
        <v>0</v>
      </c>
      <c r="F91" s="31">
        <v>0</v>
      </c>
      <c r="G91" s="31">
        <v>0</v>
      </c>
      <c r="H91" s="32">
        <v>0</v>
      </c>
      <c r="I91">
        <v>0</v>
      </c>
      <c r="J91" s="33">
        <v>0</v>
      </c>
      <c r="K91" s="33">
        <v>0</v>
      </c>
      <c r="L91" s="33">
        <v>0</v>
      </c>
      <c r="M91">
        <v>0</v>
      </c>
      <c r="N91">
        <v>0</v>
      </c>
      <c r="O91">
        <v>0</v>
      </c>
      <c r="P91" t="s">
        <v>54</v>
      </c>
      <c r="Q91" t="s">
        <v>54</v>
      </c>
      <c r="R91" t="s">
        <v>54</v>
      </c>
      <c r="S91" t="s">
        <v>54</v>
      </c>
      <c r="T91" t="s">
        <v>54</v>
      </c>
      <c r="U91" t="s">
        <v>54</v>
      </c>
      <c r="V91" t="s">
        <v>54</v>
      </c>
      <c r="W91" t="s">
        <v>54</v>
      </c>
      <c r="X91" s="23" t="s">
        <v>54</v>
      </c>
      <c r="Y91" s="23" t="s">
        <v>54</v>
      </c>
      <c r="Z91" s="23" t="s">
        <v>54</v>
      </c>
      <c r="AA91" s="23" t="s">
        <v>54</v>
      </c>
      <c r="AB91" t="s">
        <v>54</v>
      </c>
      <c r="AC91" t="s">
        <v>54</v>
      </c>
      <c r="AD91" t="s">
        <v>54</v>
      </c>
      <c r="AE91" t="s">
        <v>54</v>
      </c>
      <c r="AF91" s="23" t="s">
        <v>54</v>
      </c>
      <c r="AG91" s="23" t="s">
        <v>54</v>
      </c>
      <c r="AH91" s="23" t="s">
        <v>54</v>
      </c>
      <c r="AI91" s="23" t="s">
        <v>54</v>
      </c>
      <c r="AJ91">
        <v>0</v>
      </c>
      <c r="AK91">
        <v>0</v>
      </c>
      <c r="AL91">
        <v>0</v>
      </c>
      <c r="AM91">
        <v>0</v>
      </c>
      <c r="AN91" s="23" t="s">
        <v>54</v>
      </c>
      <c r="AO91" s="23" t="s">
        <v>54</v>
      </c>
      <c r="AP91" s="23" t="s">
        <v>54</v>
      </c>
      <c r="AQ91" s="23" t="s">
        <v>54</v>
      </c>
      <c r="AR91" s="35">
        <v>0</v>
      </c>
      <c r="AS91" s="35">
        <v>0</v>
      </c>
      <c r="AT91" s="35">
        <v>0</v>
      </c>
      <c r="AU91" s="31" t="str">
        <f t="shared" si="4"/>
        <v>库存为0</v>
      </c>
      <c r="AV91" s="36" t="str">
        <f>IFERROR($A$2+AU91,"上周无销量")</f>
        <v>上周无销量</v>
      </c>
    </row>
    <row r="92" spans="1:48">
      <c r="A92" s="21" t="s">
        <v>230</v>
      </c>
      <c r="B92" t="s">
        <v>231</v>
      </c>
      <c r="C92" t="s">
        <v>221</v>
      </c>
      <c r="D92" s="31">
        <v>0</v>
      </c>
      <c r="E92" s="31">
        <v>0</v>
      </c>
      <c r="F92" s="31">
        <v>0</v>
      </c>
      <c r="G92" s="31">
        <v>0</v>
      </c>
      <c r="H92" s="32">
        <v>0</v>
      </c>
      <c r="I92">
        <v>0</v>
      </c>
      <c r="J92" s="33">
        <v>0</v>
      </c>
      <c r="K92" s="33">
        <v>0</v>
      </c>
      <c r="L92" s="33">
        <v>0</v>
      </c>
      <c r="M92">
        <v>0</v>
      </c>
      <c r="N92">
        <v>0</v>
      </c>
      <c r="O92">
        <v>0</v>
      </c>
      <c r="P92" t="s">
        <v>54</v>
      </c>
      <c r="Q92" t="s">
        <v>54</v>
      </c>
      <c r="R92" t="s">
        <v>54</v>
      </c>
      <c r="S92" t="s">
        <v>54</v>
      </c>
      <c r="T92" t="s">
        <v>54</v>
      </c>
      <c r="U92" t="s">
        <v>54</v>
      </c>
      <c r="V92" t="s">
        <v>54</v>
      </c>
      <c r="W92" t="s">
        <v>54</v>
      </c>
      <c r="X92" s="23" t="s">
        <v>54</v>
      </c>
      <c r="Y92" s="23" t="s">
        <v>54</v>
      </c>
      <c r="Z92" s="23" t="s">
        <v>54</v>
      </c>
      <c r="AA92" s="23" t="s">
        <v>54</v>
      </c>
      <c r="AB92" t="s">
        <v>54</v>
      </c>
      <c r="AC92" t="s">
        <v>54</v>
      </c>
      <c r="AD92" t="s">
        <v>54</v>
      </c>
      <c r="AE92" t="s">
        <v>54</v>
      </c>
      <c r="AF92" s="23" t="s">
        <v>54</v>
      </c>
      <c r="AG92" s="23" t="s">
        <v>54</v>
      </c>
      <c r="AH92" s="23" t="s">
        <v>54</v>
      </c>
      <c r="AI92" s="23" t="s">
        <v>54</v>
      </c>
      <c r="AJ92">
        <v>0</v>
      </c>
      <c r="AK92">
        <v>0</v>
      </c>
      <c r="AL92">
        <v>0</v>
      </c>
      <c r="AM92">
        <v>0</v>
      </c>
      <c r="AN92" s="23" t="s">
        <v>54</v>
      </c>
      <c r="AO92" s="23" t="s">
        <v>54</v>
      </c>
      <c r="AP92" s="23" t="s">
        <v>54</v>
      </c>
      <c r="AQ92" s="23" t="s">
        <v>54</v>
      </c>
      <c r="AR92" s="35">
        <v>0</v>
      </c>
      <c r="AS92" s="35">
        <v>0</v>
      </c>
      <c r="AT92" s="35">
        <v>0</v>
      </c>
      <c r="AU92" s="31" t="str">
        <f t="shared" si="4"/>
        <v>库存为0</v>
      </c>
      <c r="AV92" s="36" t="str">
        <f>IFERROR($A$2+AU92,"上周无销量")</f>
        <v>上周无销量</v>
      </c>
    </row>
    <row r="93" spans="1:48">
      <c r="A93" s="21" t="s">
        <v>232</v>
      </c>
      <c r="B93" t="s">
        <v>233</v>
      </c>
      <c r="C93" t="s">
        <v>221</v>
      </c>
      <c r="D93" s="31">
        <v>0</v>
      </c>
      <c r="E93" s="31">
        <v>0</v>
      </c>
      <c r="F93" s="31">
        <v>0</v>
      </c>
      <c r="G93" s="31">
        <v>0</v>
      </c>
      <c r="H93" s="32">
        <v>0</v>
      </c>
      <c r="I93">
        <v>0</v>
      </c>
      <c r="J93" s="33">
        <v>0</v>
      </c>
      <c r="K93" s="33">
        <v>0</v>
      </c>
      <c r="L93" s="33">
        <v>0</v>
      </c>
      <c r="M93">
        <v>0</v>
      </c>
      <c r="N93">
        <v>0</v>
      </c>
      <c r="O93">
        <v>0</v>
      </c>
      <c r="P93" t="s">
        <v>54</v>
      </c>
      <c r="Q93" t="s">
        <v>54</v>
      </c>
      <c r="R93" t="s">
        <v>54</v>
      </c>
      <c r="S93" t="s">
        <v>54</v>
      </c>
      <c r="T93" t="s">
        <v>54</v>
      </c>
      <c r="U93" t="s">
        <v>54</v>
      </c>
      <c r="V93" t="s">
        <v>54</v>
      </c>
      <c r="W93" t="s">
        <v>54</v>
      </c>
      <c r="X93" s="23" t="s">
        <v>54</v>
      </c>
      <c r="Y93" s="23" t="s">
        <v>54</v>
      </c>
      <c r="Z93" s="23" t="s">
        <v>54</v>
      </c>
      <c r="AA93" s="23" t="s">
        <v>54</v>
      </c>
      <c r="AB93" t="s">
        <v>54</v>
      </c>
      <c r="AC93" t="s">
        <v>54</v>
      </c>
      <c r="AD93" t="s">
        <v>54</v>
      </c>
      <c r="AE93" t="s">
        <v>54</v>
      </c>
      <c r="AF93" s="23" t="s">
        <v>54</v>
      </c>
      <c r="AG93" s="23" t="s">
        <v>54</v>
      </c>
      <c r="AH93" s="23" t="s">
        <v>54</v>
      </c>
      <c r="AI93" s="23" t="s">
        <v>54</v>
      </c>
      <c r="AJ93">
        <v>0</v>
      </c>
      <c r="AK93">
        <v>0</v>
      </c>
      <c r="AL93">
        <v>0</v>
      </c>
      <c r="AM93">
        <v>0</v>
      </c>
      <c r="AN93" s="23" t="s">
        <v>54</v>
      </c>
      <c r="AO93" s="23" t="s">
        <v>54</v>
      </c>
      <c r="AP93" s="23" t="s">
        <v>54</v>
      </c>
      <c r="AQ93" s="23" t="s">
        <v>54</v>
      </c>
      <c r="AR93" s="35">
        <v>0</v>
      </c>
      <c r="AS93" s="35">
        <v>0</v>
      </c>
      <c r="AT93" s="35">
        <v>0</v>
      </c>
      <c r="AU93" s="31" t="str">
        <f t="shared" si="4"/>
        <v>库存为0</v>
      </c>
      <c r="AV93" s="36" t="str">
        <f>IFERROR($A$2+AU93,"上周无销量")</f>
        <v>上周无销量</v>
      </c>
    </row>
    <row r="94" spans="1:48">
      <c r="A94" s="21" t="s">
        <v>234</v>
      </c>
      <c r="B94" t="s">
        <v>235</v>
      </c>
      <c r="C94" t="s">
        <v>221</v>
      </c>
      <c r="D94" s="31">
        <v>0</v>
      </c>
      <c r="E94" s="31">
        <v>0</v>
      </c>
      <c r="F94" s="31">
        <v>0</v>
      </c>
      <c r="G94" s="31">
        <v>0</v>
      </c>
      <c r="H94" s="32">
        <v>0</v>
      </c>
      <c r="I94">
        <v>0</v>
      </c>
      <c r="J94" s="33">
        <v>0</v>
      </c>
      <c r="K94" s="33">
        <v>0</v>
      </c>
      <c r="L94" s="33">
        <v>0</v>
      </c>
      <c r="M94">
        <v>0</v>
      </c>
      <c r="N94">
        <v>0</v>
      </c>
      <c r="O94">
        <v>0</v>
      </c>
      <c r="P94" t="s">
        <v>54</v>
      </c>
      <c r="Q94" t="s">
        <v>54</v>
      </c>
      <c r="R94" t="s">
        <v>54</v>
      </c>
      <c r="S94" t="s">
        <v>54</v>
      </c>
      <c r="T94" t="s">
        <v>54</v>
      </c>
      <c r="U94" t="s">
        <v>54</v>
      </c>
      <c r="V94" t="s">
        <v>54</v>
      </c>
      <c r="W94" t="s">
        <v>54</v>
      </c>
      <c r="X94" s="23" t="s">
        <v>54</v>
      </c>
      <c r="Y94" s="23" t="s">
        <v>54</v>
      </c>
      <c r="Z94" s="23" t="s">
        <v>54</v>
      </c>
      <c r="AA94" s="23" t="s">
        <v>54</v>
      </c>
      <c r="AB94" t="s">
        <v>54</v>
      </c>
      <c r="AC94" t="s">
        <v>54</v>
      </c>
      <c r="AD94" t="s">
        <v>54</v>
      </c>
      <c r="AE94" t="s">
        <v>54</v>
      </c>
      <c r="AF94" s="23" t="s">
        <v>54</v>
      </c>
      <c r="AG94" s="23" t="s">
        <v>54</v>
      </c>
      <c r="AH94" s="23" t="s">
        <v>54</v>
      </c>
      <c r="AI94" s="23" t="s">
        <v>54</v>
      </c>
      <c r="AJ94">
        <v>0</v>
      </c>
      <c r="AK94">
        <v>0</v>
      </c>
      <c r="AL94">
        <v>0</v>
      </c>
      <c r="AM94">
        <v>0</v>
      </c>
      <c r="AN94" s="23" t="s">
        <v>54</v>
      </c>
      <c r="AO94" s="23" t="s">
        <v>54</v>
      </c>
      <c r="AP94" s="23" t="s">
        <v>54</v>
      </c>
      <c r="AQ94" s="23" t="s">
        <v>54</v>
      </c>
      <c r="AR94" s="35">
        <v>0</v>
      </c>
      <c r="AS94" s="35">
        <v>0</v>
      </c>
      <c r="AT94" s="35">
        <v>0</v>
      </c>
      <c r="AU94" s="31" t="str">
        <f t="shared" si="4"/>
        <v>库存为0</v>
      </c>
      <c r="AV94" s="36" t="str">
        <f>IFERROR($A$2+AU94,"上周无销量")</f>
        <v>上周无销量</v>
      </c>
    </row>
    <row r="95" spans="1:48">
      <c r="A95" s="21" t="s">
        <v>236</v>
      </c>
      <c r="B95" t="s">
        <v>237</v>
      </c>
      <c r="C95" t="s">
        <v>221</v>
      </c>
      <c r="D95" s="31">
        <v>0</v>
      </c>
      <c r="E95" s="31">
        <v>0</v>
      </c>
      <c r="F95" s="31">
        <v>0</v>
      </c>
      <c r="G95" s="31">
        <v>0</v>
      </c>
      <c r="H95" s="32">
        <v>0</v>
      </c>
      <c r="I95">
        <v>0</v>
      </c>
      <c r="J95" s="33">
        <v>0</v>
      </c>
      <c r="K95" s="33">
        <v>0</v>
      </c>
      <c r="L95" s="33">
        <v>0</v>
      </c>
      <c r="M95">
        <v>0</v>
      </c>
      <c r="N95">
        <v>0</v>
      </c>
      <c r="O95">
        <v>0</v>
      </c>
      <c r="P95" t="s">
        <v>54</v>
      </c>
      <c r="Q95" t="s">
        <v>54</v>
      </c>
      <c r="R95" t="s">
        <v>54</v>
      </c>
      <c r="S95" t="s">
        <v>54</v>
      </c>
      <c r="T95" t="s">
        <v>54</v>
      </c>
      <c r="U95" t="s">
        <v>54</v>
      </c>
      <c r="V95" t="s">
        <v>54</v>
      </c>
      <c r="W95" t="s">
        <v>54</v>
      </c>
      <c r="X95" s="23" t="s">
        <v>54</v>
      </c>
      <c r="Y95" s="23" t="s">
        <v>54</v>
      </c>
      <c r="Z95" s="23" t="s">
        <v>54</v>
      </c>
      <c r="AA95" s="23" t="s">
        <v>54</v>
      </c>
      <c r="AB95" t="s">
        <v>54</v>
      </c>
      <c r="AC95" t="s">
        <v>54</v>
      </c>
      <c r="AD95" t="s">
        <v>54</v>
      </c>
      <c r="AE95" t="s">
        <v>54</v>
      </c>
      <c r="AF95" s="23" t="s">
        <v>54</v>
      </c>
      <c r="AG95" s="23" t="s">
        <v>54</v>
      </c>
      <c r="AH95" s="23" t="s">
        <v>54</v>
      </c>
      <c r="AI95" s="23" t="s">
        <v>54</v>
      </c>
      <c r="AJ95">
        <v>0</v>
      </c>
      <c r="AK95">
        <v>0</v>
      </c>
      <c r="AL95">
        <v>0</v>
      </c>
      <c r="AM95">
        <v>0</v>
      </c>
      <c r="AN95" s="23" t="s">
        <v>54</v>
      </c>
      <c r="AO95" s="23" t="s">
        <v>54</v>
      </c>
      <c r="AP95" s="23" t="s">
        <v>54</v>
      </c>
      <c r="AQ95" s="23" t="s">
        <v>54</v>
      </c>
      <c r="AR95" s="35">
        <v>0</v>
      </c>
      <c r="AS95" s="35">
        <v>0</v>
      </c>
      <c r="AT95" s="35">
        <v>0</v>
      </c>
      <c r="AU95" s="31" t="str">
        <f t="shared" si="4"/>
        <v>库存为0</v>
      </c>
      <c r="AV95" s="36" t="str">
        <f>IFERROR($A$2+AU95,"上周无销量")</f>
        <v>上周无销量</v>
      </c>
    </row>
    <row r="96" spans="1:48">
      <c r="A96" s="21" t="s">
        <v>238</v>
      </c>
      <c r="B96" t="s">
        <v>239</v>
      </c>
      <c r="C96" t="s">
        <v>221</v>
      </c>
      <c r="D96" s="31">
        <v>0</v>
      </c>
      <c r="E96" s="31">
        <v>0</v>
      </c>
      <c r="F96" s="31">
        <v>0</v>
      </c>
      <c r="G96" s="31">
        <v>0</v>
      </c>
      <c r="H96" s="32">
        <v>0</v>
      </c>
      <c r="I96">
        <v>0</v>
      </c>
      <c r="J96" s="33">
        <v>0</v>
      </c>
      <c r="K96" s="33">
        <v>0</v>
      </c>
      <c r="L96" s="33">
        <v>0</v>
      </c>
      <c r="M96">
        <v>0</v>
      </c>
      <c r="N96">
        <v>0</v>
      </c>
      <c r="O96">
        <v>0</v>
      </c>
      <c r="P96" t="s">
        <v>54</v>
      </c>
      <c r="Q96" t="s">
        <v>54</v>
      </c>
      <c r="R96" t="s">
        <v>54</v>
      </c>
      <c r="S96" t="s">
        <v>54</v>
      </c>
      <c r="T96" t="s">
        <v>54</v>
      </c>
      <c r="U96" t="s">
        <v>54</v>
      </c>
      <c r="V96" t="s">
        <v>54</v>
      </c>
      <c r="W96" t="s">
        <v>54</v>
      </c>
      <c r="X96" s="23" t="s">
        <v>54</v>
      </c>
      <c r="Y96" s="23" t="s">
        <v>54</v>
      </c>
      <c r="Z96" s="23" t="s">
        <v>54</v>
      </c>
      <c r="AA96" s="23" t="s">
        <v>54</v>
      </c>
      <c r="AB96" t="s">
        <v>54</v>
      </c>
      <c r="AC96" t="s">
        <v>54</v>
      </c>
      <c r="AD96" t="s">
        <v>54</v>
      </c>
      <c r="AE96" t="s">
        <v>54</v>
      </c>
      <c r="AF96" s="23" t="s">
        <v>54</v>
      </c>
      <c r="AG96" s="23" t="s">
        <v>54</v>
      </c>
      <c r="AH96" s="23" t="s">
        <v>54</v>
      </c>
      <c r="AI96" s="23" t="s">
        <v>54</v>
      </c>
      <c r="AJ96">
        <v>0</v>
      </c>
      <c r="AK96">
        <v>0</v>
      </c>
      <c r="AL96">
        <v>0</v>
      </c>
      <c r="AM96">
        <v>0</v>
      </c>
      <c r="AN96" s="23" t="s">
        <v>54</v>
      </c>
      <c r="AO96" s="23" t="s">
        <v>54</v>
      </c>
      <c r="AP96" s="23" t="s">
        <v>54</v>
      </c>
      <c r="AQ96" s="23" t="s">
        <v>54</v>
      </c>
      <c r="AR96" s="35">
        <v>0</v>
      </c>
      <c r="AS96" s="35">
        <v>0</v>
      </c>
      <c r="AT96" s="35">
        <v>0</v>
      </c>
      <c r="AU96" s="31" t="str">
        <f t="shared" si="4"/>
        <v>库存为0</v>
      </c>
      <c r="AV96" s="36" t="str">
        <f>IFERROR($A$2+AU96,"上周无销量")</f>
        <v>上周无销量</v>
      </c>
    </row>
    <row r="97" spans="1:48">
      <c r="A97" s="21" t="s">
        <v>240</v>
      </c>
      <c r="B97" t="s">
        <v>241</v>
      </c>
      <c r="C97" t="s">
        <v>221</v>
      </c>
      <c r="D97" s="31">
        <v>0</v>
      </c>
      <c r="E97" s="31">
        <v>0</v>
      </c>
      <c r="F97" s="31">
        <v>0</v>
      </c>
      <c r="G97" s="31">
        <v>0</v>
      </c>
      <c r="H97" s="32">
        <v>0</v>
      </c>
      <c r="I97">
        <v>0</v>
      </c>
      <c r="J97" s="33">
        <v>0</v>
      </c>
      <c r="K97" s="33">
        <v>0</v>
      </c>
      <c r="L97" s="33">
        <v>0</v>
      </c>
      <c r="M97">
        <v>0</v>
      </c>
      <c r="N97">
        <v>0</v>
      </c>
      <c r="O97">
        <v>0</v>
      </c>
      <c r="P97" t="s">
        <v>54</v>
      </c>
      <c r="Q97" t="s">
        <v>54</v>
      </c>
      <c r="R97" t="s">
        <v>54</v>
      </c>
      <c r="S97" t="s">
        <v>54</v>
      </c>
      <c r="T97" t="s">
        <v>54</v>
      </c>
      <c r="U97" t="s">
        <v>54</v>
      </c>
      <c r="V97" t="s">
        <v>54</v>
      </c>
      <c r="W97" t="s">
        <v>54</v>
      </c>
      <c r="X97" s="23" t="s">
        <v>54</v>
      </c>
      <c r="Y97" s="23" t="s">
        <v>54</v>
      </c>
      <c r="Z97" s="23" t="s">
        <v>54</v>
      </c>
      <c r="AA97" s="23" t="s">
        <v>54</v>
      </c>
      <c r="AB97" t="s">
        <v>54</v>
      </c>
      <c r="AC97" t="s">
        <v>54</v>
      </c>
      <c r="AD97" t="s">
        <v>54</v>
      </c>
      <c r="AE97" t="s">
        <v>54</v>
      </c>
      <c r="AF97" s="23" t="s">
        <v>54</v>
      </c>
      <c r="AG97" s="23" t="s">
        <v>54</v>
      </c>
      <c r="AH97" s="23" t="s">
        <v>54</v>
      </c>
      <c r="AI97" s="23" t="s">
        <v>54</v>
      </c>
      <c r="AJ97">
        <v>0</v>
      </c>
      <c r="AK97">
        <v>0</v>
      </c>
      <c r="AL97">
        <v>0</v>
      </c>
      <c r="AM97">
        <v>0</v>
      </c>
      <c r="AN97" s="23" t="s">
        <v>54</v>
      </c>
      <c r="AO97" s="23" t="s">
        <v>54</v>
      </c>
      <c r="AP97" s="23" t="s">
        <v>54</v>
      </c>
      <c r="AQ97" s="23" t="s">
        <v>54</v>
      </c>
      <c r="AR97" s="35">
        <v>0</v>
      </c>
      <c r="AS97" s="35">
        <v>0</v>
      </c>
      <c r="AT97" s="35">
        <v>0</v>
      </c>
      <c r="AU97" s="31" t="str">
        <f t="shared" si="4"/>
        <v>库存为0</v>
      </c>
      <c r="AV97" s="36" t="str">
        <f>IFERROR($A$2+AU97,"上周无销量")</f>
        <v>上周无销量</v>
      </c>
    </row>
    <row r="98" spans="1:48">
      <c r="A98" s="21" t="s">
        <v>242</v>
      </c>
      <c r="B98" t="s">
        <v>243</v>
      </c>
      <c r="C98" t="s">
        <v>221</v>
      </c>
      <c r="D98" s="31">
        <v>0</v>
      </c>
      <c r="E98" s="31">
        <v>0</v>
      </c>
      <c r="F98" s="31">
        <v>0</v>
      </c>
      <c r="G98" s="31">
        <v>0</v>
      </c>
      <c r="H98" s="32">
        <v>0</v>
      </c>
      <c r="I98">
        <v>0</v>
      </c>
      <c r="J98" s="33">
        <v>0</v>
      </c>
      <c r="K98" s="33">
        <v>0</v>
      </c>
      <c r="L98" s="33">
        <v>0</v>
      </c>
      <c r="M98">
        <v>0</v>
      </c>
      <c r="N98">
        <v>0</v>
      </c>
      <c r="O98">
        <v>0</v>
      </c>
      <c r="P98" t="s">
        <v>54</v>
      </c>
      <c r="Q98" t="s">
        <v>54</v>
      </c>
      <c r="R98" t="s">
        <v>54</v>
      </c>
      <c r="S98" t="s">
        <v>54</v>
      </c>
      <c r="T98" t="s">
        <v>54</v>
      </c>
      <c r="U98" t="s">
        <v>54</v>
      </c>
      <c r="V98" t="s">
        <v>54</v>
      </c>
      <c r="W98" t="s">
        <v>54</v>
      </c>
      <c r="X98" s="23" t="s">
        <v>54</v>
      </c>
      <c r="Y98" s="23" t="s">
        <v>54</v>
      </c>
      <c r="Z98" s="23" t="s">
        <v>54</v>
      </c>
      <c r="AA98" s="23" t="s">
        <v>54</v>
      </c>
      <c r="AB98" t="s">
        <v>54</v>
      </c>
      <c r="AC98" t="s">
        <v>54</v>
      </c>
      <c r="AD98" t="s">
        <v>54</v>
      </c>
      <c r="AE98" t="s">
        <v>54</v>
      </c>
      <c r="AF98" s="23" t="s">
        <v>54</v>
      </c>
      <c r="AG98" s="23" t="s">
        <v>54</v>
      </c>
      <c r="AH98" s="23" t="s">
        <v>54</v>
      </c>
      <c r="AI98" s="23" t="s">
        <v>54</v>
      </c>
      <c r="AJ98">
        <v>0</v>
      </c>
      <c r="AK98">
        <v>0</v>
      </c>
      <c r="AL98">
        <v>0</v>
      </c>
      <c r="AM98">
        <v>0</v>
      </c>
      <c r="AN98" s="23" t="s">
        <v>54</v>
      </c>
      <c r="AO98" s="23" t="s">
        <v>54</v>
      </c>
      <c r="AP98" s="23" t="s">
        <v>54</v>
      </c>
      <c r="AQ98" s="23" t="s">
        <v>54</v>
      </c>
      <c r="AR98" s="35">
        <v>0</v>
      </c>
      <c r="AS98" s="35">
        <v>0</v>
      </c>
      <c r="AT98" s="35">
        <v>0</v>
      </c>
      <c r="AU98" s="31" t="str">
        <f t="shared" si="4"/>
        <v>库存为0</v>
      </c>
      <c r="AV98" s="36" t="str">
        <f>IFERROR($A$2+AU98,"上周无销量")</f>
        <v>上周无销量</v>
      </c>
    </row>
    <row r="99" spans="1:48">
      <c r="A99" s="21" t="s">
        <v>244</v>
      </c>
      <c r="B99" t="s">
        <v>245</v>
      </c>
      <c r="C99" t="s">
        <v>221</v>
      </c>
      <c r="D99" s="31">
        <v>0</v>
      </c>
      <c r="E99" s="31">
        <v>0</v>
      </c>
      <c r="F99" s="31">
        <v>0</v>
      </c>
      <c r="G99" s="31">
        <v>0</v>
      </c>
      <c r="H99" s="32">
        <v>0</v>
      </c>
      <c r="I99">
        <v>0</v>
      </c>
      <c r="J99" s="33">
        <v>0</v>
      </c>
      <c r="K99" s="33">
        <v>0</v>
      </c>
      <c r="L99" s="33">
        <v>0</v>
      </c>
      <c r="M99">
        <v>0</v>
      </c>
      <c r="N99">
        <v>0</v>
      </c>
      <c r="O99">
        <v>0</v>
      </c>
      <c r="P99" t="s">
        <v>54</v>
      </c>
      <c r="Q99" t="s">
        <v>54</v>
      </c>
      <c r="R99" t="s">
        <v>54</v>
      </c>
      <c r="S99" t="s">
        <v>54</v>
      </c>
      <c r="T99" t="s">
        <v>54</v>
      </c>
      <c r="U99" t="s">
        <v>54</v>
      </c>
      <c r="V99" t="s">
        <v>54</v>
      </c>
      <c r="W99" t="s">
        <v>54</v>
      </c>
      <c r="X99" s="23" t="s">
        <v>54</v>
      </c>
      <c r="Y99" s="23" t="s">
        <v>54</v>
      </c>
      <c r="Z99" s="23" t="s">
        <v>54</v>
      </c>
      <c r="AA99" s="23" t="s">
        <v>54</v>
      </c>
      <c r="AB99" t="s">
        <v>54</v>
      </c>
      <c r="AC99" t="s">
        <v>54</v>
      </c>
      <c r="AD99" t="s">
        <v>54</v>
      </c>
      <c r="AE99" t="s">
        <v>54</v>
      </c>
      <c r="AF99" s="23" t="s">
        <v>54</v>
      </c>
      <c r="AG99" s="23" t="s">
        <v>54</v>
      </c>
      <c r="AH99" s="23" t="s">
        <v>54</v>
      </c>
      <c r="AI99" s="23" t="s">
        <v>54</v>
      </c>
      <c r="AJ99">
        <v>0</v>
      </c>
      <c r="AK99">
        <v>0</v>
      </c>
      <c r="AL99">
        <v>0</v>
      </c>
      <c r="AM99">
        <v>0</v>
      </c>
      <c r="AN99" s="23" t="s">
        <v>54</v>
      </c>
      <c r="AO99" s="23" t="s">
        <v>54</v>
      </c>
      <c r="AP99" s="23" t="s">
        <v>54</v>
      </c>
      <c r="AQ99" s="23" t="s">
        <v>54</v>
      </c>
      <c r="AR99" s="35">
        <v>0</v>
      </c>
      <c r="AS99" s="35">
        <v>0</v>
      </c>
      <c r="AT99" s="35">
        <v>0</v>
      </c>
      <c r="AU99" s="31" t="str">
        <f t="shared" si="4"/>
        <v>库存为0</v>
      </c>
      <c r="AV99" s="36" t="str">
        <f>IFERROR($A$2+AU99,"上周无销量")</f>
        <v>上周无销量</v>
      </c>
    </row>
    <row r="100" spans="1:48">
      <c r="A100" s="21" t="s">
        <v>246</v>
      </c>
      <c r="B100" t="s">
        <v>247</v>
      </c>
      <c r="C100" t="s">
        <v>221</v>
      </c>
      <c r="D100" s="31">
        <v>0</v>
      </c>
      <c r="E100" s="31">
        <v>0</v>
      </c>
      <c r="F100" s="31">
        <v>0</v>
      </c>
      <c r="G100" s="31">
        <v>0</v>
      </c>
      <c r="H100" s="32">
        <v>0</v>
      </c>
      <c r="I100">
        <v>0</v>
      </c>
      <c r="J100" s="33">
        <v>0</v>
      </c>
      <c r="K100" s="33">
        <v>0</v>
      </c>
      <c r="L100" s="33">
        <v>0</v>
      </c>
      <c r="M100">
        <v>0</v>
      </c>
      <c r="N100">
        <v>0</v>
      </c>
      <c r="O100">
        <v>0</v>
      </c>
      <c r="P100" t="s">
        <v>54</v>
      </c>
      <c r="Q100" t="s">
        <v>54</v>
      </c>
      <c r="R100" t="s">
        <v>54</v>
      </c>
      <c r="S100" t="s">
        <v>54</v>
      </c>
      <c r="T100" t="s">
        <v>54</v>
      </c>
      <c r="U100" t="s">
        <v>54</v>
      </c>
      <c r="V100" t="s">
        <v>54</v>
      </c>
      <c r="W100" t="s">
        <v>54</v>
      </c>
      <c r="X100" s="23" t="s">
        <v>54</v>
      </c>
      <c r="Y100" s="23" t="s">
        <v>54</v>
      </c>
      <c r="Z100" s="23" t="s">
        <v>54</v>
      </c>
      <c r="AA100" s="23" t="s">
        <v>54</v>
      </c>
      <c r="AB100" t="s">
        <v>54</v>
      </c>
      <c r="AC100" t="s">
        <v>54</v>
      </c>
      <c r="AD100" t="s">
        <v>54</v>
      </c>
      <c r="AE100" t="s">
        <v>54</v>
      </c>
      <c r="AF100" s="23" t="s">
        <v>54</v>
      </c>
      <c r="AG100" s="23" t="s">
        <v>54</v>
      </c>
      <c r="AH100" s="23" t="s">
        <v>54</v>
      </c>
      <c r="AI100" s="23" t="s">
        <v>54</v>
      </c>
      <c r="AJ100">
        <v>0</v>
      </c>
      <c r="AK100">
        <v>0</v>
      </c>
      <c r="AL100">
        <v>0</v>
      </c>
      <c r="AM100">
        <v>0</v>
      </c>
      <c r="AN100" s="23" t="s">
        <v>54</v>
      </c>
      <c r="AO100" s="23" t="s">
        <v>54</v>
      </c>
      <c r="AP100" s="23" t="s">
        <v>54</v>
      </c>
      <c r="AQ100" s="23" t="s">
        <v>54</v>
      </c>
      <c r="AR100" s="35">
        <v>0</v>
      </c>
      <c r="AS100" s="35">
        <v>0</v>
      </c>
      <c r="AT100" s="35">
        <v>0</v>
      </c>
      <c r="AU100" s="31" t="str">
        <f t="shared" si="4"/>
        <v>库存为0</v>
      </c>
      <c r="AV100" s="36" t="str">
        <f>IFERROR($A$2+AU100,"上周无销量")</f>
        <v>上周无销量</v>
      </c>
    </row>
    <row r="101" spans="1:48">
      <c r="A101" s="21" t="s">
        <v>248</v>
      </c>
      <c r="B101" t="s">
        <v>249</v>
      </c>
      <c r="C101" t="s">
        <v>221</v>
      </c>
      <c r="D101" s="31">
        <v>0</v>
      </c>
      <c r="E101" s="31">
        <v>0</v>
      </c>
      <c r="F101" s="31">
        <v>0</v>
      </c>
      <c r="G101" s="31">
        <v>0</v>
      </c>
      <c r="H101" s="32">
        <v>0</v>
      </c>
      <c r="I101">
        <v>0</v>
      </c>
      <c r="J101" s="33">
        <v>0</v>
      </c>
      <c r="K101" s="33">
        <v>0</v>
      </c>
      <c r="L101" s="33">
        <v>0</v>
      </c>
      <c r="M101">
        <v>0</v>
      </c>
      <c r="N101">
        <v>0</v>
      </c>
      <c r="O101">
        <v>0</v>
      </c>
      <c r="P101" t="s">
        <v>54</v>
      </c>
      <c r="Q101" t="s">
        <v>54</v>
      </c>
      <c r="R101" t="s">
        <v>54</v>
      </c>
      <c r="S101" t="s">
        <v>54</v>
      </c>
      <c r="T101" t="s">
        <v>54</v>
      </c>
      <c r="U101" t="s">
        <v>54</v>
      </c>
      <c r="V101" t="s">
        <v>54</v>
      </c>
      <c r="W101" t="s">
        <v>54</v>
      </c>
      <c r="X101" s="23" t="s">
        <v>54</v>
      </c>
      <c r="Y101" s="23" t="s">
        <v>54</v>
      </c>
      <c r="Z101" s="23" t="s">
        <v>54</v>
      </c>
      <c r="AA101" s="23" t="s">
        <v>54</v>
      </c>
      <c r="AB101" t="s">
        <v>54</v>
      </c>
      <c r="AC101" t="s">
        <v>54</v>
      </c>
      <c r="AD101" t="s">
        <v>54</v>
      </c>
      <c r="AE101" t="s">
        <v>54</v>
      </c>
      <c r="AF101" s="23" t="s">
        <v>54</v>
      </c>
      <c r="AG101" s="23" t="s">
        <v>54</v>
      </c>
      <c r="AH101" s="23" t="s">
        <v>54</v>
      </c>
      <c r="AI101" s="23" t="s">
        <v>54</v>
      </c>
      <c r="AJ101">
        <v>0</v>
      </c>
      <c r="AK101">
        <v>0</v>
      </c>
      <c r="AL101">
        <v>0</v>
      </c>
      <c r="AM101">
        <v>0</v>
      </c>
      <c r="AN101" s="23" t="s">
        <v>54</v>
      </c>
      <c r="AO101" s="23" t="s">
        <v>54</v>
      </c>
      <c r="AP101" s="23" t="s">
        <v>54</v>
      </c>
      <c r="AQ101" s="23" t="s">
        <v>54</v>
      </c>
      <c r="AR101" s="35">
        <v>0</v>
      </c>
      <c r="AS101" s="35">
        <v>0</v>
      </c>
      <c r="AT101" s="35">
        <v>0</v>
      </c>
      <c r="AU101" s="31" t="str">
        <f t="shared" si="4"/>
        <v>库存为0</v>
      </c>
      <c r="AV101" s="36" t="str">
        <f>IFERROR($A$2+AU101,"上周无销量")</f>
        <v>上周无销量</v>
      </c>
    </row>
    <row r="102" spans="1:48">
      <c r="A102" s="21" t="s">
        <v>250</v>
      </c>
      <c r="B102" t="s">
        <v>251</v>
      </c>
      <c r="C102" t="s">
        <v>252</v>
      </c>
      <c r="D102" s="31">
        <v>0</v>
      </c>
      <c r="E102" s="31">
        <v>0</v>
      </c>
      <c r="F102" s="31">
        <v>0</v>
      </c>
      <c r="G102" s="31">
        <v>0</v>
      </c>
      <c r="H102" s="32">
        <v>0</v>
      </c>
      <c r="I102">
        <v>0</v>
      </c>
      <c r="J102" s="33">
        <v>0</v>
      </c>
      <c r="K102" s="33">
        <v>0</v>
      </c>
      <c r="L102" s="33">
        <v>0</v>
      </c>
      <c r="M102">
        <v>0</v>
      </c>
      <c r="N102">
        <v>0</v>
      </c>
      <c r="O102">
        <v>0</v>
      </c>
      <c r="P102" t="s">
        <v>54</v>
      </c>
      <c r="Q102" t="s">
        <v>54</v>
      </c>
      <c r="R102" t="s">
        <v>54</v>
      </c>
      <c r="S102" t="s">
        <v>54</v>
      </c>
      <c r="T102" t="s">
        <v>54</v>
      </c>
      <c r="U102" t="s">
        <v>54</v>
      </c>
      <c r="V102" t="s">
        <v>54</v>
      </c>
      <c r="W102" t="s">
        <v>54</v>
      </c>
      <c r="X102" s="23" t="s">
        <v>54</v>
      </c>
      <c r="Y102" s="23" t="s">
        <v>54</v>
      </c>
      <c r="Z102" s="23" t="s">
        <v>54</v>
      </c>
      <c r="AA102" s="23" t="s">
        <v>54</v>
      </c>
      <c r="AB102" t="s">
        <v>54</v>
      </c>
      <c r="AC102" t="s">
        <v>54</v>
      </c>
      <c r="AD102" t="s">
        <v>54</v>
      </c>
      <c r="AE102" t="s">
        <v>54</v>
      </c>
      <c r="AF102" s="23" t="s">
        <v>54</v>
      </c>
      <c r="AG102" s="23" t="s">
        <v>54</v>
      </c>
      <c r="AH102" s="23" t="s">
        <v>54</v>
      </c>
      <c r="AI102" s="23" t="s">
        <v>54</v>
      </c>
      <c r="AJ102">
        <v>0</v>
      </c>
      <c r="AK102">
        <v>0</v>
      </c>
      <c r="AL102">
        <v>0</v>
      </c>
      <c r="AM102">
        <v>0</v>
      </c>
      <c r="AN102" s="23" t="s">
        <v>54</v>
      </c>
      <c r="AO102" s="23" t="s">
        <v>54</v>
      </c>
      <c r="AP102" s="23" t="s">
        <v>54</v>
      </c>
      <c r="AQ102" s="23" t="s">
        <v>54</v>
      </c>
      <c r="AR102" s="35">
        <v>0</v>
      </c>
      <c r="AS102" s="35">
        <v>0</v>
      </c>
      <c r="AT102" s="35">
        <v>0</v>
      </c>
      <c r="AU102" s="31" t="str">
        <f t="shared" si="4"/>
        <v>库存为0</v>
      </c>
      <c r="AV102" s="36" t="str">
        <f>IFERROR($A$2+AU102,"上周无销量")</f>
        <v>上周无销量</v>
      </c>
    </row>
    <row r="103" spans="1:48">
      <c r="A103" s="21" t="s">
        <v>253</v>
      </c>
      <c r="B103" t="s">
        <v>254</v>
      </c>
      <c r="C103" t="s">
        <v>252</v>
      </c>
      <c r="D103" s="31">
        <v>0</v>
      </c>
      <c r="E103" s="31">
        <v>0</v>
      </c>
      <c r="F103" s="31">
        <v>0</v>
      </c>
      <c r="G103" s="31">
        <v>0</v>
      </c>
      <c r="H103" s="32">
        <v>0</v>
      </c>
      <c r="I103">
        <v>0</v>
      </c>
      <c r="J103" s="33">
        <v>0</v>
      </c>
      <c r="K103" s="33">
        <v>0</v>
      </c>
      <c r="L103" s="33">
        <v>0</v>
      </c>
      <c r="M103">
        <v>0</v>
      </c>
      <c r="N103">
        <v>0</v>
      </c>
      <c r="O103">
        <v>0</v>
      </c>
      <c r="P103" t="s">
        <v>54</v>
      </c>
      <c r="Q103" t="s">
        <v>54</v>
      </c>
      <c r="R103" t="s">
        <v>54</v>
      </c>
      <c r="S103" t="s">
        <v>54</v>
      </c>
      <c r="T103" t="s">
        <v>54</v>
      </c>
      <c r="U103" t="s">
        <v>54</v>
      </c>
      <c r="V103" t="s">
        <v>54</v>
      </c>
      <c r="W103" t="s">
        <v>54</v>
      </c>
      <c r="X103" s="23" t="s">
        <v>54</v>
      </c>
      <c r="Y103" s="23" t="s">
        <v>54</v>
      </c>
      <c r="Z103" s="23" t="s">
        <v>54</v>
      </c>
      <c r="AA103" s="23" t="s">
        <v>54</v>
      </c>
      <c r="AB103" t="s">
        <v>54</v>
      </c>
      <c r="AC103" t="s">
        <v>54</v>
      </c>
      <c r="AD103" t="s">
        <v>54</v>
      </c>
      <c r="AE103" t="s">
        <v>54</v>
      </c>
      <c r="AF103" s="23" t="s">
        <v>54</v>
      </c>
      <c r="AG103" s="23" t="s">
        <v>54</v>
      </c>
      <c r="AH103" s="23" t="s">
        <v>54</v>
      </c>
      <c r="AI103" s="23" t="s">
        <v>54</v>
      </c>
      <c r="AJ103">
        <v>0</v>
      </c>
      <c r="AK103">
        <v>0</v>
      </c>
      <c r="AL103">
        <v>0</v>
      </c>
      <c r="AM103">
        <v>0</v>
      </c>
      <c r="AN103" s="23" t="s">
        <v>54</v>
      </c>
      <c r="AO103" s="23" t="s">
        <v>54</v>
      </c>
      <c r="AP103" s="23" t="s">
        <v>54</v>
      </c>
      <c r="AQ103" s="23" t="s">
        <v>54</v>
      </c>
      <c r="AR103" s="35">
        <v>0</v>
      </c>
      <c r="AS103" s="35">
        <v>0</v>
      </c>
      <c r="AT103" s="35">
        <v>0</v>
      </c>
      <c r="AU103" s="31" t="str">
        <f t="shared" si="4"/>
        <v>库存为0</v>
      </c>
      <c r="AV103" s="36" t="str">
        <f>IFERROR($A$2+AU103,"上周无销量")</f>
        <v>上周无销量</v>
      </c>
    </row>
    <row r="104" spans="1:48">
      <c r="A104" s="21" t="s">
        <v>255</v>
      </c>
      <c r="B104" t="s">
        <v>256</v>
      </c>
      <c r="C104" t="s">
        <v>252</v>
      </c>
      <c r="D104" s="31">
        <v>0</v>
      </c>
      <c r="E104" s="31">
        <v>0</v>
      </c>
      <c r="F104" s="31">
        <v>0</v>
      </c>
      <c r="G104" s="31">
        <v>0</v>
      </c>
      <c r="H104" s="32">
        <v>0</v>
      </c>
      <c r="I104">
        <v>0</v>
      </c>
      <c r="J104" s="33">
        <v>0</v>
      </c>
      <c r="K104" s="33">
        <v>0</v>
      </c>
      <c r="L104" s="33">
        <v>0</v>
      </c>
      <c r="M104">
        <v>0</v>
      </c>
      <c r="N104">
        <v>0</v>
      </c>
      <c r="O104">
        <v>0</v>
      </c>
      <c r="P104" t="s">
        <v>54</v>
      </c>
      <c r="Q104" t="s">
        <v>54</v>
      </c>
      <c r="R104" t="s">
        <v>54</v>
      </c>
      <c r="S104" t="s">
        <v>54</v>
      </c>
      <c r="T104" t="s">
        <v>54</v>
      </c>
      <c r="U104" t="s">
        <v>54</v>
      </c>
      <c r="V104" t="s">
        <v>54</v>
      </c>
      <c r="W104" t="s">
        <v>54</v>
      </c>
      <c r="X104" s="23" t="s">
        <v>54</v>
      </c>
      <c r="Y104" s="23" t="s">
        <v>54</v>
      </c>
      <c r="Z104" s="23" t="s">
        <v>54</v>
      </c>
      <c r="AA104" s="23" t="s">
        <v>54</v>
      </c>
      <c r="AB104" t="s">
        <v>54</v>
      </c>
      <c r="AC104" t="s">
        <v>54</v>
      </c>
      <c r="AD104" t="s">
        <v>54</v>
      </c>
      <c r="AE104" t="s">
        <v>54</v>
      </c>
      <c r="AF104" s="23" t="s">
        <v>54</v>
      </c>
      <c r="AG104" s="23" t="s">
        <v>54</v>
      </c>
      <c r="AH104" s="23" t="s">
        <v>54</v>
      </c>
      <c r="AI104" s="23" t="s">
        <v>54</v>
      </c>
      <c r="AJ104">
        <v>0</v>
      </c>
      <c r="AK104">
        <v>0</v>
      </c>
      <c r="AL104">
        <v>0</v>
      </c>
      <c r="AM104">
        <v>0</v>
      </c>
      <c r="AN104" s="23" t="s">
        <v>54</v>
      </c>
      <c r="AO104" s="23" t="s">
        <v>54</v>
      </c>
      <c r="AP104" s="23" t="s">
        <v>54</v>
      </c>
      <c r="AQ104" s="23" t="s">
        <v>54</v>
      </c>
      <c r="AR104" s="35">
        <v>0</v>
      </c>
      <c r="AS104" s="35">
        <v>0</v>
      </c>
      <c r="AT104" s="35">
        <v>0</v>
      </c>
      <c r="AU104" s="31" t="str">
        <f t="shared" si="4"/>
        <v>库存为0</v>
      </c>
      <c r="AV104" s="36" t="str">
        <f>IFERROR($A$2+AU104,"上周无销量")</f>
        <v>上周无销量</v>
      </c>
    </row>
    <row r="105" spans="1:48">
      <c r="A105" s="21" t="s">
        <v>257</v>
      </c>
      <c r="B105" t="s">
        <v>258</v>
      </c>
      <c r="C105" t="s">
        <v>252</v>
      </c>
      <c r="D105" s="31">
        <v>0</v>
      </c>
      <c r="E105" s="31">
        <v>0</v>
      </c>
      <c r="F105" s="31">
        <v>0</v>
      </c>
      <c r="G105" s="31">
        <v>0</v>
      </c>
      <c r="H105" s="32">
        <v>0</v>
      </c>
      <c r="I105">
        <v>0</v>
      </c>
      <c r="J105" s="33">
        <v>0</v>
      </c>
      <c r="K105" s="33">
        <v>0</v>
      </c>
      <c r="L105" s="33">
        <v>0</v>
      </c>
      <c r="M105">
        <v>0</v>
      </c>
      <c r="N105">
        <v>0</v>
      </c>
      <c r="O105">
        <v>0</v>
      </c>
      <c r="P105" t="s">
        <v>54</v>
      </c>
      <c r="Q105" t="s">
        <v>54</v>
      </c>
      <c r="R105" t="s">
        <v>54</v>
      </c>
      <c r="S105" t="s">
        <v>54</v>
      </c>
      <c r="T105" t="s">
        <v>54</v>
      </c>
      <c r="U105" t="s">
        <v>54</v>
      </c>
      <c r="V105" t="s">
        <v>54</v>
      </c>
      <c r="W105" t="s">
        <v>54</v>
      </c>
      <c r="X105" s="23" t="s">
        <v>54</v>
      </c>
      <c r="Y105" s="23" t="s">
        <v>54</v>
      </c>
      <c r="Z105" s="23" t="s">
        <v>54</v>
      </c>
      <c r="AA105" s="23" t="s">
        <v>54</v>
      </c>
      <c r="AB105" t="s">
        <v>54</v>
      </c>
      <c r="AC105" t="s">
        <v>54</v>
      </c>
      <c r="AD105" t="s">
        <v>54</v>
      </c>
      <c r="AE105" t="s">
        <v>54</v>
      </c>
      <c r="AF105" s="23" t="s">
        <v>54</v>
      </c>
      <c r="AG105" s="23" t="s">
        <v>54</v>
      </c>
      <c r="AH105" s="23" t="s">
        <v>54</v>
      </c>
      <c r="AI105" s="23" t="s">
        <v>54</v>
      </c>
      <c r="AJ105">
        <v>0</v>
      </c>
      <c r="AK105">
        <v>0</v>
      </c>
      <c r="AL105">
        <v>0</v>
      </c>
      <c r="AM105">
        <v>0</v>
      </c>
      <c r="AN105" s="23" t="s">
        <v>54</v>
      </c>
      <c r="AO105" s="23" t="s">
        <v>54</v>
      </c>
      <c r="AP105" s="23" t="s">
        <v>54</v>
      </c>
      <c r="AQ105" s="23" t="s">
        <v>54</v>
      </c>
      <c r="AR105" s="35">
        <v>0</v>
      </c>
      <c r="AS105" s="35">
        <v>0</v>
      </c>
      <c r="AT105" s="35">
        <v>0</v>
      </c>
      <c r="AU105" s="31" t="str">
        <f t="shared" si="4"/>
        <v>库存为0</v>
      </c>
      <c r="AV105" s="36" t="str">
        <f>IFERROR($A$2+AU105,"上周无销量")</f>
        <v>上周无销量</v>
      </c>
    </row>
    <row r="106" spans="1:48">
      <c r="A106" s="21" t="s">
        <v>259</v>
      </c>
      <c r="B106" t="s">
        <v>260</v>
      </c>
      <c r="C106" t="s">
        <v>252</v>
      </c>
      <c r="D106" s="31">
        <v>0</v>
      </c>
      <c r="E106" s="31">
        <v>0</v>
      </c>
      <c r="F106" s="31">
        <v>0</v>
      </c>
      <c r="G106" s="31">
        <v>0</v>
      </c>
      <c r="H106" s="32">
        <v>0</v>
      </c>
      <c r="I106">
        <v>0</v>
      </c>
      <c r="J106" s="33">
        <v>0</v>
      </c>
      <c r="K106" s="33">
        <v>0</v>
      </c>
      <c r="L106" s="33">
        <v>0</v>
      </c>
      <c r="M106">
        <v>0</v>
      </c>
      <c r="N106">
        <v>0</v>
      </c>
      <c r="O106">
        <v>0</v>
      </c>
      <c r="P106" t="s">
        <v>54</v>
      </c>
      <c r="Q106" t="s">
        <v>54</v>
      </c>
      <c r="R106" t="s">
        <v>54</v>
      </c>
      <c r="S106" t="s">
        <v>54</v>
      </c>
      <c r="T106" t="s">
        <v>54</v>
      </c>
      <c r="U106" t="s">
        <v>54</v>
      </c>
      <c r="V106" t="s">
        <v>54</v>
      </c>
      <c r="W106" t="s">
        <v>54</v>
      </c>
      <c r="X106" s="23" t="s">
        <v>54</v>
      </c>
      <c r="Y106" s="23" t="s">
        <v>54</v>
      </c>
      <c r="Z106" s="23" t="s">
        <v>54</v>
      </c>
      <c r="AA106" s="23" t="s">
        <v>54</v>
      </c>
      <c r="AB106" t="s">
        <v>54</v>
      </c>
      <c r="AC106" t="s">
        <v>54</v>
      </c>
      <c r="AD106" t="s">
        <v>54</v>
      </c>
      <c r="AE106" t="s">
        <v>54</v>
      </c>
      <c r="AF106" s="23" t="s">
        <v>54</v>
      </c>
      <c r="AG106" s="23" t="s">
        <v>54</v>
      </c>
      <c r="AH106" s="23" t="s">
        <v>54</v>
      </c>
      <c r="AI106" s="23" t="s">
        <v>54</v>
      </c>
      <c r="AJ106">
        <v>0</v>
      </c>
      <c r="AK106">
        <v>0</v>
      </c>
      <c r="AL106">
        <v>0</v>
      </c>
      <c r="AM106">
        <v>0</v>
      </c>
      <c r="AN106" s="23" t="s">
        <v>54</v>
      </c>
      <c r="AO106" s="23" t="s">
        <v>54</v>
      </c>
      <c r="AP106" s="23" t="s">
        <v>54</v>
      </c>
      <c r="AQ106" s="23" t="s">
        <v>54</v>
      </c>
      <c r="AR106" s="35">
        <v>0</v>
      </c>
      <c r="AS106" s="35">
        <v>0</v>
      </c>
      <c r="AT106" s="35">
        <v>0</v>
      </c>
      <c r="AU106" s="31" t="str">
        <f t="shared" si="4"/>
        <v>库存为0</v>
      </c>
      <c r="AV106" s="36" t="str">
        <f>IFERROR($A$2+AU106,"上周无销量")</f>
        <v>上周无销量</v>
      </c>
    </row>
    <row r="107" spans="1:48">
      <c r="A107" s="21" t="s">
        <v>261</v>
      </c>
      <c r="B107" t="s">
        <v>262</v>
      </c>
      <c r="C107" t="s">
        <v>252</v>
      </c>
      <c r="D107" s="31">
        <v>0</v>
      </c>
      <c r="E107" s="31">
        <v>0</v>
      </c>
      <c r="F107" s="31">
        <v>0</v>
      </c>
      <c r="G107" s="31">
        <v>0</v>
      </c>
      <c r="H107" s="32">
        <v>0</v>
      </c>
      <c r="I107">
        <v>0</v>
      </c>
      <c r="J107" s="33">
        <v>0</v>
      </c>
      <c r="K107" s="33">
        <v>0</v>
      </c>
      <c r="L107" s="33">
        <v>0</v>
      </c>
      <c r="M107">
        <v>0</v>
      </c>
      <c r="N107">
        <v>0</v>
      </c>
      <c r="O107">
        <v>0</v>
      </c>
      <c r="P107" t="s">
        <v>54</v>
      </c>
      <c r="Q107" t="s">
        <v>54</v>
      </c>
      <c r="R107" t="s">
        <v>54</v>
      </c>
      <c r="S107" t="s">
        <v>54</v>
      </c>
      <c r="T107" t="s">
        <v>54</v>
      </c>
      <c r="U107" t="s">
        <v>54</v>
      </c>
      <c r="V107" t="s">
        <v>54</v>
      </c>
      <c r="W107" t="s">
        <v>54</v>
      </c>
      <c r="X107" s="23" t="s">
        <v>54</v>
      </c>
      <c r="Y107" s="23" t="s">
        <v>54</v>
      </c>
      <c r="Z107" s="23" t="s">
        <v>54</v>
      </c>
      <c r="AA107" s="23" t="s">
        <v>54</v>
      </c>
      <c r="AB107" t="s">
        <v>54</v>
      </c>
      <c r="AC107" t="s">
        <v>54</v>
      </c>
      <c r="AD107" t="s">
        <v>54</v>
      </c>
      <c r="AE107" t="s">
        <v>54</v>
      </c>
      <c r="AF107" s="23" t="s">
        <v>54</v>
      </c>
      <c r="AG107" s="23" t="s">
        <v>54</v>
      </c>
      <c r="AH107" s="23" t="s">
        <v>54</v>
      </c>
      <c r="AI107" s="23" t="s">
        <v>54</v>
      </c>
      <c r="AJ107">
        <v>0</v>
      </c>
      <c r="AK107">
        <v>0</v>
      </c>
      <c r="AL107">
        <v>0</v>
      </c>
      <c r="AM107">
        <v>0</v>
      </c>
      <c r="AN107" s="23" t="s">
        <v>54</v>
      </c>
      <c r="AO107" s="23" t="s">
        <v>54</v>
      </c>
      <c r="AP107" s="23" t="s">
        <v>54</v>
      </c>
      <c r="AQ107" s="23" t="s">
        <v>54</v>
      </c>
      <c r="AR107" s="35">
        <v>0</v>
      </c>
      <c r="AS107" s="35">
        <v>0</v>
      </c>
      <c r="AT107" s="35">
        <v>0</v>
      </c>
      <c r="AU107" s="31" t="str">
        <f t="shared" si="4"/>
        <v>库存为0</v>
      </c>
      <c r="AV107" s="36" t="str">
        <f>IFERROR($A$2+AU107,"上周无销量")</f>
        <v>上周无销量</v>
      </c>
    </row>
    <row r="108" spans="1:48">
      <c r="A108" s="21" t="s">
        <v>263</v>
      </c>
      <c r="B108" t="s">
        <v>264</v>
      </c>
      <c r="C108" t="s">
        <v>252</v>
      </c>
      <c r="D108" s="31">
        <v>0</v>
      </c>
      <c r="E108" s="31">
        <v>0</v>
      </c>
      <c r="F108" s="31">
        <v>0</v>
      </c>
      <c r="G108" s="31">
        <v>0</v>
      </c>
      <c r="H108" s="32">
        <v>0</v>
      </c>
      <c r="I108">
        <v>0</v>
      </c>
      <c r="J108" s="33">
        <v>0</v>
      </c>
      <c r="K108" s="33">
        <v>0</v>
      </c>
      <c r="L108" s="33">
        <v>0</v>
      </c>
      <c r="M108">
        <v>0</v>
      </c>
      <c r="N108">
        <v>0</v>
      </c>
      <c r="O108">
        <v>0</v>
      </c>
      <c r="P108" t="s">
        <v>54</v>
      </c>
      <c r="Q108" t="s">
        <v>54</v>
      </c>
      <c r="R108" t="s">
        <v>54</v>
      </c>
      <c r="S108" t="s">
        <v>54</v>
      </c>
      <c r="T108" t="s">
        <v>54</v>
      </c>
      <c r="U108" t="s">
        <v>54</v>
      </c>
      <c r="V108" t="s">
        <v>54</v>
      </c>
      <c r="W108" t="s">
        <v>54</v>
      </c>
      <c r="X108" s="23" t="s">
        <v>54</v>
      </c>
      <c r="Y108" s="23" t="s">
        <v>54</v>
      </c>
      <c r="Z108" s="23" t="s">
        <v>54</v>
      </c>
      <c r="AA108" s="23" t="s">
        <v>54</v>
      </c>
      <c r="AB108" t="s">
        <v>54</v>
      </c>
      <c r="AC108" t="s">
        <v>54</v>
      </c>
      <c r="AD108" t="s">
        <v>54</v>
      </c>
      <c r="AE108" t="s">
        <v>54</v>
      </c>
      <c r="AF108" s="23" t="s">
        <v>54</v>
      </c>
      <c r="AG108" s="23" t="s">
        <v>54</v>
      </c>
      <c r="AH108" s="23" t="s">
        <v>54</v>
      </c>
      <c r="AI108" s="23" t="s">
        <v>54</v>
      </c>
      <c r="AJ108">
        <v>0</v>
      </c>
      <c r="AK108">
        <v>0</v>
      </c>
      <c r="AL108">
        <v>0</v>
      </c>
      <c r="AM108">
        <v>0</v>
      </c>
      <c r="AN108" s="23" t="s">
        <v>54</v>
      </c>
      <c r="AO108" s="23" t="s">
        <v>54</v>
      </c>
      <c r="AP108" s="23" t="s">
        <v>54</v>
      </c>
      <c r="AQ108" s="23" t="s">
        <v>54</v>
      </c>
      <c r="AR108" s="35">
        <v>0</v>
      </c>
      <c r="AS108" s="35">
        <v>0</v>
      </c>
      <c r="AT108" s="35">
        <v>0</v>
      </c>
      <c r="AU108" s="31" t="str">
        <f t="shared" si="4"/>
        <v>库存为0</v>
      </c>
      <c r="AV108" s="36" t="str">
        <f>IFERROR($A$2+AU108,"上周无销量")</f>
        <v>上周无销量</v>
      </c>
    </row>
    <row r="109" spans="1:48">
      <c r="A109" s="21" t="s">
        <v>265</v>
      </c>
      <c r="B109" t="s">
        <v>266</v>
      </c>
      <c r="C109" t="s">
        <v>252</v>
      </c>
      <c r="D109" s="31">
        <v>0</v>
      </c>
      <c r="E109" s="31">
        <v>0</v>
      </c>
      <c r="F109" s="31">
        <v>0</v>
      </c>
      <c r="G109" s="31">
        <v>0</v>
      </c>
      <c r="H109" s="32">
        <v>0</v>
      </c>
      <c r="I109">
        <v>0</v>
      </c>
      <c r="J109" s="33">
        <v>0</v>
      </c>
      <c r="K109" s="33">
        <v>0</v>
      </c>
      <c r="L109" s="33">
        <v>0</v>
      </c>
      <c r="M109">
        <v>0</v>
      </c>
      <c r="N109">
        <v>0</v>
      </c>
      <c r="O109">
        <v>0</v>
      </c>
      <c r="P109" t="s">
        <v>54</v>
      </c>
      <c r="Q109" t="s">
        <v>54</v>
      </c>
      <c r="R109" t="s">
        <v>54</v>
      </c>
      <c r="S109" t="s">
        <v>54</v>
      </c>
      <c r="T109" t="s">
        <v>54</v>
      </c>
      <c r="U109" t="s">
        <v>54</v>
      </c>
      <c r="V109" t="s">
        <v>54</v>
      </c>
      <c r="W109" t="s">
        <v>54</v>
      </c>
      <c r="X109" s="23" t="s">
        <v>54</v>
      </c>
      <c r="Y109" s="23" t="s">
        <v>54</v>
      </c>
      <c r="Z109" s="23" t="s">
        <v>54</v>
      </c>
      <c r="AA109" s="23" t="s">
        <v>54</v>
      </c>
      <c r="AB109" t="s">
        <v>54</v>
      </c>
      <c r="AC109" t="s">
        <v>54</v>
      </c>
      <c r="AD109" t="s">
        <v>54</v>
      </c>
      <c r="AE109" t="s">
        <v>54</v>
      </c>
      <c r="AF109" s="23" t="s">
        <v>54</v>
      </c>
      <c r="AG109" s="23" t="s">
        <v>54</v>
      </c>
      <c r="AH109" s="23" t="s">
        <v>54</v>
      </c>
      <c r="AI109" s="23" t="s">
        <v>54</v>
      </c>
      <c r="AJ109">
        <v>0</v>
      </c>
      <c r="AK109">
        <v>0</v>
      </c>
      <c r="AL109">
        <v>0</v>
      </c>
      <c r="AM109">
        <v>0</v>
      </c>
      <c r="AN109" s="23" t="s">
        <v>54</v>
      </c>
      <c r="AO109" s="23" t="s">
        <v>54</v>
      </c>
      <c r="AP109" s="23" t="s">
        <v>54</v>
      </c>
      <c r="AQ109" s="23" t="s">
        <v>54</v>
      </c>
      <c r="AR109" s="35">
        <v>0</v>
      </c>
      <c r="AS109" s="35">
        <v>0</v>
      </c>
      <c r="AT109" s="35">
        <v>0</v>
      </c>
      <c r="AU109" s="31" t="str">
        <f t="shared" si="4"/>
        <v>库存为0</v>
      </c>
      <c r="AV109" s="36" t="str">
        <f>IFERROR($A$2+AU109,"上周无销量")</f>
        <v>上周无销量</v>
      </c>
    </row>
    <row r="110" spans="1:48">
      <c r="A110" s="21" t="s">
        <v>267</v>
      </c>
      <c r="B110" t="s">
        <v>268</v>
      </c>
      <c r="C110" t="s">
        <v>252</v>
      </c>
      <c r="D110" s="31">
        <v>0</v>
      </c>
      <c r="E110" s="31">
        <v>0</v>
      </c>
      <c r="F110" s="31">
        <v>0</v>
      </c>
      <c r="G110" s="31">
        <v>0</v>
      </c>
      <c r="H110" s="32">
        <v>0</v>
      </c>
      <c r="I110">
        <v>0</v>
      </c>
      <c r="J110" s="33">
        <v>0</v>
      </c>
      <c r="K110" s="33">
        <v>0</v>
      </c>
      <c r="L110" s="33">
        <v>0</v>
      </c>
      <c r="M110">
        <v>0</v>
      </c>
      <c r="N110">
        <v>0</v>
      </c>
      <c r="O110">
        <v>0</v>
      </c>
      <c r="P110" t="s">
        <v>54</v>
      </c>
      <c r="Q110" t="s">
        <v>54</v>
      </c>
      <c r="R110" t="s">
        <v>54</v>
      </c>
      <c r="S110" t="s">
        <v>54</v>
      </c>
      <c r="T110" t="s">
        <v>54</v>
      </c>
      <c r="U110" t="s">
        <v>54</v>
      </c>
      <c r="V110" t="s">
        <v>54</v>
      </c>
      <c r="W110" t="s">
        <v>54</v>
      </c>
      <c r="X110" s="23" t="s">
        <v>54</v>
      </c>
      <c r="Y110" s="23" t="s">
        <v>54</v>
      </c>
      <c r="Z110" s="23" t="s">
        <v>54</v>
      </c>
      <c r="AA110" s="23" t="s">
        <v>54</v>
      </c>
      <c r="AB110" t="s">
        <v>54</v>
      </c>
      <c r="AC110" t="s">
        <v>54</v>
      </c>
      <c r="AD110" t="s">
        <v>54</v>
      </c>
      <c r="AE110" t="s">
        <v>54</v>
      </c>
      <c r="AF110" s="23" t="s">
        <v>54</v>
      </c>
      <c r="AG110" s="23" t="s">
        <v>54</v>
      </c>
      <c r="AH110" s="23" t="s">
        <v>54</v>
      </c>
      <c r="AI110" s="23" t="s">
        <v>54</v>
      </c>
      <c r="AJ110">
        <v>0</v>
      </c>
      <c r="AK110">
        <v>0</v>
      </c>
      <c r="AL110">
        <v>0</v>
      </c>
      <c r="AM110">
        <v>0</v>
      </c>
      <c r="AN110" s="23" t="s">
        <v>54</v>
      </c>
      <c r="AO110" s="23" t="s">
        <v>54</v>
      </c>
      <c r="AP110" s="23" t="s">
        <v>54</v>
      </c>
      <c r="AQ110" s="23" t="s">
        <v>54</v>
      </c>
      <c r="AR110" s="35">
        <v>0</v>
      </c>
      <c r="AS110" s="35">
        <v>0</v>
      </c>
      <c r="AT110" s="35">
        <v>0</v>
      </c>
      <c r="AU110" s="31" t="str">
        <f t="shared" si="4"/>
        <v>库存为0</v>
      </c>
      <c r="AV110" s="36" t="str">
        <f>IFERROR($A$2+AU110,"上周无销量")</f>
        <v>上周无销量</v>
      </c>
    </row>
    <row r="111" spans="1:48">
      <c r="A111" s="21" t="s">
        <v>269</v>
      </c>
      <c r="B111" t="s">
        <v>270</v>
      </c>
      <c r="C111" t="s">
        <v>252</v>
      </c>
      <c r="D111" s="31">
        <v>0</v>
      </c>
      <c r="E111" s="31">
        <v>0</v>
      </c>
      <c r="F111" s="31">
        <v>0</v>
      </c>
      <c r="G111" s="31">
        <v>0</v>
      </c>
      <c r="H111" s="32">
        <v>0</v>
      </c>
      <c r="I111">
        <v>0</v>
      </c>
      <c r="J111" s="33">
        <v>0</v>
      </c>
      <c r="K111" s="33">
        <v>0</v>
      </c>
      <c r="L111" s="33">
        <v>0</v>
      </c>
      <c r="M111">
        <v>0</v>
      </c>
      <c r="N111">
        <v>0</v>
      </c>
      <c r="O111">
        <v>0</v>
      </c>
      <c r="P111" t="s">
        <v>54</v>
      </c>
      <c r="Q111" t="s">
        <v>54</v>
      </c>
      <c r="R111" t="s">
        <v>54</v>
      </c>
      <c r="S111" t="s">
        <v>54</v>
      </c>
      <c r="T111" t="s">
        <v>54</v>
      </c>
      <c r="U111" t="s">
        <v>54</v>
      </c>
      <c r="V111" t="s">
        <v>54</v>
      </c>
      <c r="W111" t="s">
        <v>54</v>
      </c>
      <c r="X111" s="23" t="s">
        <v>54</v>
      </c>
      <c r="Y111" s="23" t="s">
        <v>54</v>
      </c>
      <c r="Z111" s="23" t="s">
        <v>54</v>
      </c>
      <c r="AA111" s="23" t="s">
        <v>54</v>
      </c>
      <c r="AB111" t="s">
        <v>54</v>
      </c>
      <c r="AC111" t="s">
        <v>54</v>
      </c>
      <c r="AD111" t="s">
        <v>54</v>
      </c>
      <c r="AE111" t="s">
        <v>54</v>
      </c>
      <c r="AF111" s="23" t="s">
        <v>54</v>
      </c>
      <c r="AG111" s="23" t="s">
        <v>54</v>
      </c>
      <c r="AH111" s="23" t="s">
        <v>54</v>
      </c>
      <c r="AI111" s="23" t="s">
        <v>54</v>
      </c>
      <c r="AJ111">
        <v>0</v>
      </c>
      <c r="AK111">
        <v>0</v>
      </c>
      <c r="AL111">
        <v>0</v>
      </c>
      <c r="AM111">
        <v>0</v>
      </c>
      <c r="AN111" s="23" t="s">
        <v>54</v>
      </c>
      <c r="AO111" s="23" t="s">
        <v>54</v>
      </c>
      <c r="AP111" s="23" t="s">
        <v>54</v>
      </c>
      <c r="AQ111" s="23" t="s">
        <v>54</v>
      </c>
      <c r="AR111" s="35">
        <v>0</v>
      </c>
      <c r="AS111" s="35">
        <v>0</v>
      </c>
      <c r="AT111" s="35">
        <v>0</v>
      </c>
      <c r="AU111" s="31" t="str">
        <f t="shared" si="4"/>
        <v>库存为0</v>
      </c>
      <c r="AV111" s="36" t="str">
        <f>IFERROR($A$2+AU111,"上周无销量")</f>
        <v>上周无销量</v>
      </c>
    </row>
    <row r="112" spans="1:48">
      <c r="A112" s="21" t="s">
        <v>271</v>
      </c>
      <c r="B112" t="s">
        <v>272</v>
      </c>
      <c r="C112" t="s">
        <v>252</v>
      </c>
      <c r="D112" s="31">
        <v>0</v>
      </c>
      <c r="E112" s="31">
        <v>0</v>
      </c>
      <c r="F112" s="31">
        <v>0</v>
      </c>
      <c r="G112" s="31">
        <v>0</v>
      </c>
      <c r="H112" s="32">
        <v>0</v>
      </c>
      <c r="I112">
        <v>0</v>
      </c>
      <c r="J112" s="33">
        <v>0</v>
      </c>
      <c r="K112" s="33">
        <v>0</v>
      </c>
      <c r="L112" s="33">
        <v>0</v>
      </c>
      <c r="M112">
        <v>0</v>
      </c>
      <c r="N112">
        <v>0</v>
      </c>
      <c r="O112">
        <v>0</v>
      </c>
      <c r="P112" t="s">
        <v>54</v>
      </c>
      <c r="Q112" t="s">
        <v>54</v>
      </c>
      <c r="R112" t="s">
        <v>54</v>
      </c>
      <c r="S112" t="s">
        <v>54</v>
      </c>
      <c r="T112" t="s">
        <v>54</v>
      </c>
      <c r="U112" t="s">
        <v>54</v>
      </c>
      <c r="V112" t="s">
        <v>54</v>
      </c>
      <c r="W112" t="s">
        <v>54</v>
      </c>
      <c r="X112" s="23" t="s">
        <v>54</v>
      </c>
      <c r="Y112" s="23" t="s">
        <v>54</v>
      </c>
      <c r="Z112" s="23" t="s">
        <v>54</v>
      </c>
      <c r="AA112" s="23" t="s">
        <v>54</v>
      </c>
      <c r="AB112" t="s">
        <v>54</v>
      </c>
      <c r="AC112" t="s">
        <v>54</v>
      </c>
      <c r="AD112" t="s">
        <v>54</v>
      </c>
      <c r="AE112" t="s">
        <v>54</v>
      </c>
      <c r="AF112" s="23" t="s">
        <v>54</v>
      </c>
      <c r="AG112" s="23" t="s">
        <v>54</v>
      </c>
      <c r="AH112" s="23" t="s">
        <v>54</v>
      </c>
      <c r="AI112" s="23" t="s">
        <v>54</v>
      </c>
      <c r="AJ112">
        <v>0</v>
      </c>
      <c r="AK112">
        <v>0</v>
      </c>
      <c r="AL112">
        <v>0</v>
      </c>
      <c r="AM112">
        <v>0</v>
      </c>
      <c r="AN112" s="23" t="s">
        <v>54</v>
      </c>
      <c r="AO112" s="23" t="s">
        <v>54</v>
      </c>
      <c r="AP112" s="23" t="s">
        <v>54</v>
      </c>
      <c r="AQ112" s="23" t="s">
        <v>54</v>
      </c>
      <c r="AR112" s="35">
        <v>0</v>
      </c>
      <c r="AS112" s="35">
        <v>0</v>
      </c>
      <c r="AT112" s="35">
        <v>0</v>
      </c>
      <c r="AU112" s="31" t="str">
        <f t="shared" si="4"/>
        <v>库存为0</v>
      </c>
      <c r="AV112" s="36" t="str">
        <f>IFERROR($A$2+AU112,"上周无销量")</f>
        <v>上周无销量</v>
      </c>
    </row>
    <row r="113" spans="1:48">
      <c r="A113" s="21" t="s">
        <v>273</v>
      </c>
      <c r="B113" t="s">
        <v>274</v>
      </c>
      <c r="C113" t="s">
        <v>252</v>
      </c>
      <c r="D113" s="31">
        <v>0</v>
      </c>
      <c r="E113" s="31">
        <v>0</v>
      </c>
      <c r="F113" s="31">
        <v>0</v>
      </c>
      <c r="G113" s="31">
        <v>0</v>
      </c>
      <c r="H113" s="32">
        <v>0</v>
      </c>
      <c r="I113">
        <v>0</v>
      </c>
      <c r="J113" s="33">
        <v>0</v>
      </c>
      <c r="K113" s="33">
        <v>0</v>
      </c>
      <c r="L113" s="33">
        <v>0</v>
      </c>
      <c r="M113">
        <v>0</v>
      </c>
      <c r="N113">
        <v>0</v>
      </c>
      <c r="O113">
        <v>0</v>
      </c>
      <c r="P113" t="s">
        <v>54</v>
      </c>
      <c r="Q113" t="s">
        <v>54</v>
      </c>
      <c r="R113" t="s">
        <v>54</v>
      </c>
      <c r="S113" t="s">
        <v>54</v>
      </c>
      <c r="T113" t="s">
        <v>54</v>
      </c>
      <c r="U113" t="s">
        <v>54</v>
      </c>
      <c r="V113" t="s">
        <v>54</v>
      </c>
      <c r="W113" t="s">
        <v>54</v>
      </c>
      <c r="X113" s="23" t="s">
        <v>54</v>
      </c>
      <c r="Y113" s="23" t="s">
        <v>54</v>
      </c>
      <c r="Z113" s="23" t="s">
        <v>54</v>
      </c>
      <c r="AA113" s="23" t="s">
        <v>54</v>
      </c>
      <c r="AB113" t="s">
        <v>54</v>
      </c>
      <c r="AC113" t="s">
        <v>54</v>
      </c>
      <c r="AD113" t="s">
        <v>54</v>
      </c>
      <c r="AE113" t="s">
        <v>54</v>
      </c>
      <c r="AF113" s="23" t="s">
        <v>54</v>
      </c>
      <c r="AG113" s="23" t="s">
        <v>54</v>
      </c>
      <c r="AH113" s="23" t="s">
        <v>54</v>
      </c>
      <c r="AI113" s="23" t="s">
        <v>54</v>
      </c>
      <c r="AJ113">
        <v>0</v>
      </c>
      <c r="AK113">
        <v>0</v>
      </c>
      <c r="AL113">
        <v>0</v>
      </c>
      <c r="AM113">
        <v>0</v>
      </c>
      <c r="AN113" s="23" t="s">
        <v>54</v>
      </c>
      <c r="AO113" s="23" t="s">
        <v>54</v>
      </c>
      <c r="AP113" s="23" t="s">
        <v>54</v>
      </c>
      <c r="AQ113" s="23" t="s">
        <v>54</v>
      </c>
      <c r="AR113" s="35">
        <v>0</v>
      </c>
      <c r="AS113" s="35">
        <v>0</v>
      </c>
      <c r="AT113" s="35">
        <v>0</v>
      </c>
      <c r="AU113" s="31" t="str">
        <f t="shared" si="4"/>
        <v>库存为0</v>
      </c>
      <c r="AV113" s="36" t="str">
        <f>IFERROR($A$2+AU113,"上周无销量")</f>
        <v>上周无销量</v>
      </c>
    </row>
    <row r="114" spans="1:48">
      <c r="A114" s="21" t="s">
        <v>275</v>
      </c>
      <c r="B114" t="s">
        <v>276</v>
      </c>
      <c r="C114" t="s">
        <v>277</v>
      </c>
      <c r="D114" s="31">
        <v>0</v>
      </c>
      <c r="E114" s="31">
        <v>0</v>
      </c>
      <c r="F114" s="31">
        <v>0</v>
      </c>
      <c r="G114" s="31">
        <v>0</v>
      </c>
      <c r="H114" s="32">
        <v>0</v>
      </c>
      <c r="I114">
        <v>0</v>
      </c>
      <c r="J114" s="33">
        <v>0</v>
      </c>
      <c r="K114" s="33">
        <v>0</v>
      </c>
      <c r="L114" s="33">
        <v>0</v>
      </c>
      <c r="M114">
        <v>0</v>
      </c>
      <c r="N114">
        <v>0</v>
      </c>
      <c r="O114">
        <v>0</v>
      </c>
      <c r="P114" t="s">
        <v>54</v>
      </c>
      <c r="Q114" t="s">
        <v>54</v>
      </c>
      <c r="R114" t="s">
        <v>54</v>
      </c>
      <c r="S114" t="s">
        <v>54</v>
      </c>
      <c r="T114" t="s">
        <v>54</v>
      </c>
      <c r="U114" t="s">
        <v>54</v>
      </c>
      <c r="V114" t="s">
        <v>54</v>
      </c>
      <c r="W114" t="s">
        <v>54</v>
      </c>
      <c r="X114" s="23" t="s">
        <v>54</v>
      </c>
      <c r="Y114" s="23" t="s">
        <v>54</v>
      </c>
      <c r="Z114" s="23" t="s">
        <v>54</v>
      </c>
      <c r="AA114" s="23" t="s">
        <v>54</v>
      </c>
      <c r="AB114" t="s">
        <v>54</v>
      </c>
      <c r="AC114" t="s">
        <v>54</v>
      </c>
      <c r="AD114" t="s">
        <v>54</v>
      </c>
      <c r="AE114" t="s">
        <v>54</v>
      </c>
      <c r="AF114" s="23" t="s">
        <v>54</v>
      </c>
      <c r="AG114" s="23" t="s">
        <v>54</v>
      </c>
      <c r="AH114" s="23" t="s">
        <v>54</v>
      </c>
      <c r="AI114" s="23" t="s">
        <v>54</v>
      </c>
      <c r="AJ114">
        <v>0</v>
      </c>
      <c r="AK114">
        <v>0</v>
      </c>
      <c r="AL114">
        <v>0</v>
      </c>
      <c r="AM114">
        <v>0</v>
      </c>
      <c r="AN114" s="23" t="s">
        <v>54</v>
      </c>
      <c r="AO114" s="23" t="s">
        <v>54</v>
      </c>
      <c r="AP114" s="23" t="s">
        <v>54</v>
      </c>
      <c r="AQ114" s="23" t="s">
        <v>54</v>
      </c>
      <c r="AR114" s="35">
        <v>0</v>
      </c>
      <c r="AS114" s="35">
        <v>0</v>
      </c>
      <c r="AT114" s="35">
        <v>0</v>
      </c>
      <c r="AU114" s="31" t="str">
        <f t="shared" si="4"/>
        <v>库存为0</v>
      </c>
      <c r="AV114" s="36" t="str">
        <f>IFERROR($A$2+AU114,"上周无销量")</f>
        <v>上周无销量</v>
      </c>
    </row>
    <row r="115" spans="1:48">
      <c r="A115" s="21" t="s">
        <v>278</v>
      </c>
      <c r="B115" t="s">
        <v>279</v>
      </c>
      <c r="C115" t="s">
        <v>277</v>
      </c>
      <c r="D115" s="31">
        <v>0</v>
      </c>
      <c r="E115" s="31">
        <v>0</v>
      </c>
      <c r="F115" s="31">
        <v>0</v>
      </c>
      <c r="G115" s="31">
        <v>0</v>
      </c>
      <c r="H115" s="32">
        <v>0</v>
      </c>
      <c r="I115">
        <v>0</v>
      </c>
      <c r="J115" s="33">
        <v>0</v>
      </c>
      <c r="K115" s="33">
        <v>0</v>
      </c>
      <c r="L115" s="33">
        <v>0</v>
      </c>
      <c r="M115">
        <v>0</v>
      </c>
      <c r="N115">
        <v>0</v>
      </c>
      <c r="O115">
        <v>0</v>
      </c>
      <c r="P115" t="s">
        <v>54</v>
      </c>
      <c r="Q115" t="s">
        <v>54</v>
      </c>
      <c r="R115" t="s">
        <v>54</v>
      </c>
      <c r="S115" t="s">
        <v>54</v>
      </c>
      <c r="T115" t="s">
        <v>54</v>
      </c>
      <c r="U115" t="s">
        <v>54</v>
      </c>
      <c r="V115" t="s">
        <v>54</v>
      </c>
      <c r="W115" t="s">
        <v>54</v>
      </c>
      <c r="X115" s="23" t="s">
        <v>54</v>
      </c>
      <c r="Y115" s="23" t="s">
        <v>54</v>
      </c>
      <c r="Z115" s="23" t="s">
        <v>54</v>
      </c>
      <c r="AA115" s="23" t="s">
        <v>54</v>
      </c>
      <c r="AB115" t="s">
        <v>54</v>
      </c>
      <c r="AC115" t="s">
        <v>54</v>
      </c>
      <c r="AD115" t="s">
        <v>54</v>
      </c>
      <c r="AE115" t="s">
        <v>54</v>
      </c>
      <c r="AF115" s="23" t="s">
        <v>54</v>
      </c>
      <c r="AG115" s="23" t="s">
        <v>54</v>
      </c>
      <c r="AH115" s="23" t="s">
        <v>54</v>
      </c>
      <c r="AI115" s="23" t="s">
        <v>54</v>
      </c>
      <c r="AJ115">
        <v>0</v>
      </c>
      <c r="AK115">
        <v>0</v>
      </c>
      <c r="AL115">
        <v>0</v>
      </c>
      <c r="AM115">
        <v>0</v>
      </c>
      <c r="AN115" s="23" t="s">
        <v>54</v>
      </c>
      <c r="AO115" s="23" t="s">
        <v>54</v>
      </c>
      <c r="AP115" s="23" t="s">
        <v>54</v>
      </c>
      <c r="AQ115" s="23" t="s">
        <v>54</v>
      </c>
      <c r="AR115" s="35">
        <v>0</v>
      </c>
      <c r="AS115" s="35">
        <v>0</v>
      </c>
      <c r="AT115" s="35">
        <v>0</v>
      </c>
      <c r="AU115" s="31" t="str">
        <f t="shared" si="4"/>
        <v>库存为0</v>
      </c>
      <c r="AV115" s="36" t="str">
        <f>IFERROR($A$2+AU115,"上周无销量")</f>
        <v>上周无销量</v>
      </c>
    </row>
    <row r="116" spans="1:48">
      <c r="A116" s="21" t="s">
        <v>280</v>
      </c>
      <c r="B116" t="s">
        <v>281</v>
      </c>
      <c r="C116" t="s">
        <v>277</v>
      </c>
      <c r="D116" s="31">
        <v>0</v>
      </c>
      <c r="E116" s="31">
        <v>0</v>
      </c>
      <c r="F116" s="31">
        <v>0</v>
      </c>
      <c r="G116" s="31">
        <v>0</v>
      </c>
      <c r="H116" s="32">
        <v>0</v>
      </c>
      <c r="I116">
        <v>0</v>
      </c>
      <c r="J116" s="33">
        <v>0</v>
      </c>
      <c r="K116" s="33">
        <v>0</v>
      </c>
      <c r="L116" s="33">
        <v>0</v>
      </c>
      <c r="M116">
        <v>0</v>
      </c>
      <c r="N116">
        <v>0</v>
      </c>
      <c r="O116">
        <v>0</v>
      </c>
      <c r="P116" t="s">
        <v>54</v>
      </c>
      <c r="Q116" t="s">
        <v>54</v>
      </c>
      <c r="R116" t="s">
        <v>54</v>
      </c>
      <c r="S116" t="s">
        <v>54</v>
      </c>
      <c r="T116" t="s">
        <v>54</v>
      </c>
      <c r="U116" t="s">
        <v>54</v>
      </c>
      <c r="V116" t="s">
        <v>54</v>
      </c>
      <c r="W116" t="s">
        <v>54</v>
      </c>
      <c r="X116" s="23" t="s">
        <v>54</v>
      </c>
      <c r="Y116" s="23" t="s">
        <v>54</v>
      </c>
      <c r="Z116" s="23" t="s">
        <v>54</v>
      </c>
      <c r="AA116" s="23" t="s">
        <v>54</v>
      </c>
      <c r="AB116" t="s">
        <v>54</v>
      </c>
      <c r="AC116" t="s">
        <v>54</v>
      </c>
      <c r="AD116" t="s">
        <v>54</v>
      </c>
      <c r="AE116" t="s">
        <v>54</v>
      </c>
      <c r="AF116" s="23" t="s">
        <v>54</v>
      </c>
      <c r="AG116" s="23" t="s">
        <v>54</v>
      </c>
      <c r="AH116" s="23" t="s">
        <v>54</v>
      </c>
      <c r="AI116" s="23" t="s">
        <v>54</v>
      </c>
      <c r="AJ116">
        <v>0</v>
      </c>
      <c r="AK116">
        <v>0</v>
      </c>
      <c r="AL116">
        <v>0</v>
      </c>
      <c r="AM116">
        <v>0</v>
      </c>
      <c r="AN116" s="23" t="s">
        <v>54</v>
      </c>
      <c r="AO116" s="23" t="s">
        <v>54</v>
      </c>
      <c r="AP116" s="23" t="s">
        <v>54</v>
      </c>
      <c r="AQ116" s="23" t="s">
        <v>54</v>
      </c>
      <c r="AR116" s="35">
        <v>0</v>
      </c>
      <c r="AS116" s="35">
        <v>0</v>
      </c>
      <c r="AT116" s="35">
        <v>0</v>
      </c>
      <c r="AU116" s="31" t="str">
        <f t="shared" si="4"/>
        <v>库存为0</v>
      </c>
      <c r="AV116" s="36" t="str">
        <f>IFERROR($A$2+AU116,"上周无销量")</f>
        <v>上周无销量</v>
      </c>
    </row>
    <row r="117" spans="1:48">
      <c r="A117" s="21" t="s">
        <v>282</v>
      </c>
      <c r="B117" t="s">
        <v>283</v>
      </c>
      <c r="C117" t="s">
        <v>277</v>
      </c>
      <c r="D117" s="31">
        <v>0</v>
      </c>
      <c r="E117" s="31">
        <v>0</v>
      </c>
      <c r="F117" s="31">
        <v>0</v>
      </c>
      <c r="G117" s="31">
        <v>0</v>
      </c>
      <c r="H117" s="32">
        <v>0</v>
      </c>
      <c r="I117">
        <v>0</v>
      </c>
      <c r="J117" s="33">
        <v>0</v>
      </c>
      <c r="K117" s="33">
        <v>0</v>
      </c>
      <c r="L117" s="33">
        <v>0</v>
      </c>
      <c r="M117">
        <v>0</v>
      </c>
      <c r="N117">
        <v>0</v>
      </c>
      <c r="O117">
        <v>0</v>
      </c>
      <c r="P117" t="s">
        <v>54</v>
      </c>
      <c r="Q117" t="s">
        <v>54</v>
      </c>
      <c r="R117" t="s">
        <v>54</v>
      </c>
      <c r="S117" t="s">
        <v>54</v>
      </c>
      <c r="T117" t="s">
        <v>54</v>
      </c>
      <c r="U117" t="s">
        <v>54</v>
      </c>
      <c r="V117" t="s">
        <v>54</v>
      </c>
      <c r="W117" t="s">
        <v>54</v>
      </c>
      <c r="X117" s="23" t="s">
        <v>54</v>
      </c>
      <c r="Y117" s="23" t="s">
        <v>54</v>
      </c>
      <c r="Z117" s="23" t="s">
        <v>54</v>
      </c>
      <c r="AA117" s="23" t="s">
        <v>54</v>
      </c>
      <c r="AB117" t="s">
        <v>54</v>
      </c>
      <c r="AC117" t="s">
        <v>54</v>
      </c>
      <c r="AD117" t="s">
        <v>54</v>
      </c>
      <c r="AE117" t="s">
        <v>54</v>
      </c>
      <c r="AF117" s="23" t="s">
        <v>54</v>
      </c>
      <c r="AG117" s="23" t="s">
        <v>54</v>
      </c>
      <c r="AH117" s="23" t="s">
        <v>54</v>
      </c>
      <c r="AI117" s="23" t="s">
        <v>54</v>
      </c>
      <c r="AJ117">
        <v>0</v>
      </c>
      <c r="AK117">
        <v>0</v>
      </c>
      <c r="AL117">
        <v>0</v>
      </c>
      <c r="AM117">
        <v>0</v>
      </c>
      <c r="AN117" s="23" t="s">
        <v>54</v>
      </c>
      <c r="AO117" s="23" t="s">
        <v>54</v>
      </c>
      <c r="AP117" s="23" t="s">
        <v>54</v>
      </c>
      <c r="AQ117" s="23" t="s">
        <v>54</v>
      </c>
      <c r="AR117" s="35">
        <v>0</v>
      </c>
      <c r="AS117" s="35">
        <v>0</v>
      </c>
      <c r="AT117" s="35">
        <v>0</v>
      </c>
      <c r="AU117" s="31" t="str">
        <f t="shared" si="4"/>
        <v>库存为0</v>
      </c>
      <c r="AV117" s="36" t="str">
        <f>IFERROR($A$2+AU117,"上周无销量")</f>
        <v>上周无销量</v>
      </c>
    </row>
    <row r="118" spans="1:48">
      <c r="A118" s="21" t="s">
        <v>284</v>
      </c>
      <c r="B118" t="s">
        <v>285</v>
      </c>
      <c r="C118" t="s">
        <v>277</v>
      </c>
      <c r="D118" s="31">
        <v>0</v>
      </c>
      <c r="E118" s="31">
        <v>0</v>
      </c>
      <c r="F118" s="31">
        <v>0</v>
      </c>
      <c r="G118" s="31">
        <v>0</v>
      </c>
      <c r="H118" s="32">
        <v>0</v>
      </c>
      <c r="I118">
        <v>0</v>
      </c>
      <c r="J118" s="33">
        <v>0</v>
      </c>
      <c r="K118" s="33">
        <v>0</v>
      </c>
      <c r="L118" s="33">
        <v>0</v>
      </c>
      <c r="M118">
        <v>0</v>
      </c>
      <c r="N118">
        <v>0</v>
      </c>
      <c r="O118">
        <v>0</v>
      </c>
      <c r="P118" t="s">
        <v>54</v>
      </c>
      <c r="Q118" t="s">
        <v>54</v>
      </c>
      <c r="R118" t="s">
        <v>54</v>
      </c>
      <c r="S118" t="s">
        <v>54</v>
      </c>
      <c r="T118" t="s">
        <v>54</v>
      </c>
      <c r="U118" t="s">
        <v>54</v>
      </c>
      <c r="V118" t="s">
        <v>54</v>
      </c>
      <c r="W118" t="s">
        <v>54</v>
      </c>
      <c r="X118" s="23" t="s">
        <v>54</v>
      </c>
      <c r="Y118" s="23" t="s">
        <v>54</v>
      </c>
      <c r="Z118" s="23" t="s">
        <v>54</v>
      </c>
      <c r="AA118" s="23" t="s">
        <v>54</v>
      </c>
      <c r="AB118" t="s">
        <v>54</v>
      </c>
      <c r="AC118" t="s">
        <v>54</v>
      </c>
      <c r="AD118" t="s">
        <v>54</v>
      </c>
      <c r="AE118" t="s">
        <v>54</v>
      </c>
      <c r="AF118" s="23" t="s">
        <v>54</v>
      </c>
      <c r="AG118" s="23" t="s">
        <v>54</v>
      </c>
      <c r="AH118" s="23" t="s">
        <v>54</v>
      </c>
      <c r="AI118" s="23" t="s">
        <v>54</v>
      </c>
      <c r="AJ118">
        <v>0</v>
      </c>
      <c r="AK118">
        <v>0</v>
      </c>
      <c r="AL118">
        <v>0</v>
      </c>
      <c r="AM118">
        <v>0</v>
      </c>
      <c r="AN118" s="23" t="s">
        <v>54</v>
      </c>
      <c r="AO118" s="23" t="s">
        <v>54</v>
      </c>
      <c r="AP118" s="23" t="s">
        <v>54</v>
      </c>
      <c r="AQ118" s="23" t="s">
        <v>54</v>
      </c>
      <c r="AR118" s="35">
        <v>0</v>
      </c>
      <c r="AS118" s="35">
        <v>0</v>
      </c>
      <c r="AT118" s="35">
        <v>0</v>
      </c>
      <c r="AU118" s="31" t="str">
        <f t="shared" si="4"/>
        <v>库存为0</v>
      </c>
      <c r="AV118" s="36" t="str">
        <f>IFERROR($A$2+AU118,"上周无销量")</f>
        <v>上周无销量</v>
      </c>
    </row>
    <row r="119" spans="1:48">
      <c r="A119" s="21" t="s">
        <v>286</v>
      </c>
      <c r="B119" t="s">
        <v>287</v>
      </c>
      <c r="C119" t="s">
        <v>277</v>
      </c>
      <c r="D119" s="31">
        <v>0</v>
      </c>
      <c r="E119" s="31">
        <v>0</v>
      </c>
      <c r="F119" s="31">
        <v>0</v>
      </c>
      <c r="G119" s="31">
        <v>0</v>
      </c>
      <c r="H119" s="32">
        <v>0</v>
      </c>
      <c r="I119">
        <v>0</v>
      </c>
      <c r="J119" s="33">
        <v>0</v>
      </c>
      <c r="K119" s="33">
        <v>0</v>
      </c>
      <c r="L119" s="33">
        <v>0</v>
      </c>
      <c r="M119">
        <v>0</v>
      </c>
      <c r="N119">
        <v>0</v>
      </c>
      <c r="O119">
        <v>0</v>
      </c>
      <c r="P119" t="s">
        <v>54</v>
      </c>
      <c r="Q119" t="s">
        <v>54</v>
      </c>
      <c r="R119" t="s">
        <v>54</v>
      </c>
      <c r="S119" t="s">
        <v>54</v>
      </c>
      <c r="T119" t="s">
        <v>54</v>
      </c>
      <c r="U119" t="s">
        <v>54</v>
      </c>
      <c r="V119" t="s">
        <v>54</v>
      </c>
      <c r="W119" t="s">
        <v>54</v>
      </c>
      <c r="X119" s="23" t="s">
        <v>54</v>
      </c>
      <c r="Y119" s="23" t="s">
        <v>54</v>
      </c>
      <c r="Z119" s="23" t="s">
        <v>54</v>
      </c>
      <c r="AA119" s="23" t="s">
        <v>54</v>
      </c>
      <c r="AB119" t="s">
        <v>54</v>
      </c>
      <c r="AC119" t="s">
        <v>54</v>
      </c>
      <c r="AD119" t="s">
        <v>54</v>
      </c>
      <c r="AE119" t="s">
        <v>54</v>
      </c>
      <c r="AF119" s="23" t="s">
        <v>54</v>
      </c>
      <c r="AG119" s="23" t="s">
        <v>54</v>
      </c>
      <c r="AH119" s="23" t="s">
        <v>54</v>
      </c>
      <c r="AI119" s="23" t="s">
        <v>54</v>
      </c>
      <c r="AJ119">
        <v>0</v>
      </c>
      <c r="AK119">
        <v>0</v>
      </c>
      <c r="AL119">
        <v>0</v>
      </c>
      <c r="AM119">
        <v>0</v>
      </c>
      <c r="AN119" s="23" t="s">
        <v>54</v>
      </c>
      <c r="AO119" s="23" t="s">
        <v>54</v>
      </c>
      <c r="AP119" s="23" t="s">
        <v>54</v>
      </c>
      <c r="AQ119" s="23" t="s">
        <v>54</v>
      </c>
      <c r="AR119" s="35">
        <v>0</v>
      </c>
      <c r="AS119" s="35">
        <v>0</v>
      </c>
      <c r="AT119" s="35">
        <v>0</v>
      </c>
      <c r="AU119" s="31" t="str">
        <f t="shared" si="4"/>
        <v>库存为0</v>
      </c>
      <c r="AV119" s="36" t="str">
        <f>IFERROR($A$2+AU119,"上周无销量")</f>
        <v>上周无销量</v>
      </c>
    </row>
    <row r="120" spans="1:48">
      <c r="A120" s="21" t="s">
        <v>288</v>
      </c>
      <c r="B120" t="s">
        <v>289</v>
      </c>
      <c r="C120" t="s">
        <v>277</v>
      </c>
      <c r="D120" s="31">
        <v>0</v>
      </c>
      <c r="E120" s="31">
        <v>0</v>
      </c>
      <c r="F120" s="31">
        <v>0</v>
      </c>
      <c r="G120" s="31">
        <v>0</v>
      </c>
      <c r="H120" s="32">
        <v>0</v>
      </c>
      <c r="I120">
        <v>0</v>
      </c>
      <c r="J120" s="33">
        <v>0</v>
      </c>
      <c r="K120" s="33">
        <v>0</v>
      </c>
      <c r="L120" s="33">
        <v>0</v>
      </c>
      <c r="M120">
        <v>0</v>
      </c>
      <c r="N120">
        <v>0</v>
      </c>
      <c r="O120">
        <v>0</v>
      </c>
      <c r="P120" t="s">
        <v>54</v>
      </c>
      <c r="Q120" t="s">
        <v>54</v>
      </c>
      <c r="R120" t="s">
        <v>54</v>
      </c>
      <c r="S120" t="s">
        <v>54</v>
      </c>
      <c r="T120" t="s">
        <v>54</v>
      </c>
      <c r="U120" t="s">
        <v>54</v>
      </c>
      <c r="V120" t="s">
        <v>54</v>
      </c>
      <c r="W120" t="s">
        <v>54</v>
      </c>
      <c r="X120" s="23" t="s">
        <v>54</v>
      </c>
      <c r="Y120" s="23" t="s">
        <v>54</v>
      </c>
      <c r="Z120" s="23" t="s">
        <v>54</v>
      </c>
      <c r="AA120" s="23" t="s">
        <v>54</v>
      </c>
      <c r="AB120" t="s">
        <v>54</v>
      </c>
      <c r="AC120" t="s">
        <v>54</v>
      </c>
      <c r="AD120" t="s">
        <v>54</v>
      </c>
      <c r="AE120" t="s">
        <v>54</v>
      </c>
      <c r="AF120" s="23" t="s">
        <v>54</v>
      </c>
      <c r="AG120" s="23" t="s">
        <v>54</v>
      </c>
      <c r="AH120" s="23" t="s">
        <v>54</v>
      </c>
      <c r="AI120" s="23" t="s">
        <v>54</v>
      </c>
      <c r="AJ120">
        <v>0</v>
      </c>
      <c r="AK120">
        <v>0</v>
      </c>
      <c r="AL120">
        <v>0</v>
      </c>
      <c r="AM120">
        <v>0</v>
      </c>
      <c r="AN120" s="23" t="s">
        <v>54</v>
      </c>
      <c r="AO120" s="23" t="s">
        <v>54</v>
      </c>
      <c r="AP120" s="23" t="s">
        <v>54</v>
      </c>
      <c r="AQ120" s="23" t="s">
        <v>54</v>
      </c>
      <c r="AR120" s="35">
        <v>0</v>
      </c>
      <c r="AS120" s="35">
        <v>0</v>
      </c>
      <c r="AT120" s="35">
        <v>0</v>
      </c>
      <c r="AU120" s="31" t="str">
        <f t="shared" si="4"/>
        <v>库存为0</v>
      </c>
      <c r="AV120" s="36" t="str">
        <f>IFERROR($A$2+AU120,"上周无销量")</f>
        <v>上周无销量</v>
      </c>
    </row>
    <row r="121" spans="1:48">
      <c r="A121" s="21" t="s">
        <v>290</v>
      </c>
      <c r="B121" t="s">
        <v>291</v>
      </c>
      <c r="C121" t="s">
        <v>277</v>
      </c>
      <c r="D121" s="31">
        <v>0</v>
      </c>
      <c r="E121" s="31">
        <v>0</v>
      </c>
      <c r="F121" s="31">
        <v>0</v>
      </c>
      <c r="G121" s="31">
        <v>0</v>
      </c>
      <c r="H121" s="32">
        <v>0</v>
      </c>
      <c r="I121">
        <v>0</v>
      </c>
      <c r="J121" s="33">
        <v>0</v>
      </c>
      <c r="K121" s="33">
        <v>0</v>
      </c>
      <c r="L121" s="33">
        <v>0</v>
      </c>
      <c r="M121">
        <v>0</v>
      </c>
      <c r="N121">
        <v>0</v>
      </c>
      <c r="O121">
        <v>0</v>
      </c>
      <c r="P121" t="s">
        <v>54</v>
      </c>
      <c r="Q121" t="s">
        <v>54</v>
      </c>
      <c r="R121" t="s">
        <v>54</v>
      </c>
      <c r="S121" t="s">
        <v>54</v>
      </c>
      <c r="T121" t="s">
        <v>54</v>
      </c>
      <c r="U121" t="s">
        <v>54</v>
      </c>
      <c r="V121" t="s">
        <v>54</v>
      </c>
      <c r="W121" t="s">
        <v>54</v>
      </c>
      <c r="X121" s="23" t="s">
        <v>54</v>
      </c>
      <c r="Y121" s="23" t="s">
        <v>54</v>
      </c>
      <c r="Z121" s="23" t="s">
        <v>54</v>
      </c>
      <c r="AA121" s="23" t="s">
        <v>54</v>
      </c>
      <c r="AB121" t="s">
        <v>54</v>
      </c>
      <c r="AC121" t="s">
        <v>54</v>
      </c>
      <c r="AD121" t="s">
        <v>54</v>
      </c>
      <c r="AE121" t="s">
        <v>54</v>
      </c>
      <c r="AF121" s="23" t="s">
        <v>54</v>
      </c>
      <c r="AG121" s="23" t="s">
        <v>54</v>
      </c>
      <c r="AH121" s="23" t="s">
        <v>54</v>
      </c>
      <c r="AI121" s="23" t="s">
        <v>54</v>
      </c>
      <c r="AJ121">
        <v>0</v>
      </c>
      <c r="AK121">
        <v>0</v>
      </c>
      <c r="AL121">
        <v>0</v>
      </c>
      <c r="AM121">
        <v>0</v>
      </c>
      <c r="AN121" s="23" t="s">
        <v>54</v>
      </c>
      <c r="AO121" s="23" t="s">
        <v>54</v>
      </c>
      <c r="AP121" s="23" t="s">
        <v>54</v>
      </c>
      <c r="AQ121" s="23" t="s">
        <v>54</v>
      </c>
      <c r="AR121" s="35">
        <v>0</v>
      </c>
      <c r="AS121" s="35">
        <v>0</v>
      </c>
      <c r="AT121" s="35">
        <v>0</v>
      </c>
      <c r="AU121" s="31" t="str">
        <f t="shared" si="4"/>
        <v>库存为0</v>
      </c>
      <c r="AV121" s="36" t="str">
        <f>IFERROR($A$2+AU121,"上周无销量")</f>
        <v>上周无销量</v>
      </c>
    </row>
    <row r="122" spans="1:48">
      <c r="A122" s="21" t="s">
        <v>292</v>
      </c>
      <c r="B122" t="s">
        <v>293</v>
      </c>
      <c r="C122" t="s">
        <v>277</v>
      </c>
      <c r="D122" s="31">
        <v>0</v>
      </c>
      <c r="E122" s="31">
        <v>0</v>
      </c>
      <c r="F122" s="31">
        <v>0</v>
      </c>
      <c r="G122" s="31">
        <v>0</v>
      </c>
      <c r="H122" s="32">
        <v>0</v>
      </c>
      <c r="I122">
        <v>0</v>
      </c>
      <c r="J122" s="33">
        <v>0</v>
      </c>
      <c r="K122" s="33">
        <v>0</v>
      </c>
      <c r="L122" s="33">
        <v>0</v>
      </c>
      <c r="M122">
        <v>0</v>
      </c>
      <c r="N122">
        <v>0</v>
      </c>
      <c r="O122">
        <v>0</v>
      </c>
      <c r="P122" t="s">
        <v>54</v>
      </c>
      <c r="Q122" t="s">
        <v>54</v>
      </c>
      <c r="R122" t="s">
        <v>54</v>
      </c>
      <c r="S122" t="s">
        <v>54</v>
      </c>
      <c r="T122" t="s">
        <v>54</v>
      </c>
      <c r="U122" t="s">
        <v>54</v>
      </c>
      <c r="V122" t="s">
        <v>54</v>
      </c>
      <c r="W122" t="s">
        <v>54</v>
      </c>
      <c r="X122" s="23" t="s">
        <v>54</v>
      </c>
      <c r="Y122" s="23" t="s">
        <v>54</v>
      </c>
      <c r="Z122" s="23" t="s">
        <v>54</v>
      </c>
      <c r="AA122" s="23" t="s">
        <v>54</v>
      </c>
      <c r="AB122" t="s">
        <v>54</v>
      </c>
      <c r="AC122" t="s">
        <v>54</v>
      </c>
      <c r="AD122" t="s">
        <v>54</v>
      </c>
      <c r="AE122" t="s">
        <v>54</v>
      </c>
      <c r="AF122" s="23" t="s">
        <v>54</v>
      </c>
      <c r="AG122" s="23" t="s">
        <v>54</v>
      </c>
      <c r="AH122" s="23" t="s">
        <v>54</v>
      </c>
      <c r="AI122" s="23" t="s">
        <v>54</v>
      </c>
      <c r="AJ122">
        <v>0</v>
      </c>
      <c r="AK122">
        <v>0</v>
      </c>
      <c r="AL122">
        <v>0</v>
      </c>
      <c r="AM122">
        <v>0</v>
      </c>
      <c r="AN122" s="23" t="s">
        <v>54</v>
      </c>
      <c r="AO122" s="23" t="s">
        <v>54</v>
      </c>
      <c r="AP122" s="23" t="s">
        <v>54</v>
      </c>
      <c r="AQ122" s="23" t="s">
        <v>54</v>
      </c>
      <c r="AR122" s="35">
        <v>0</v>
      </c>
      <c r="AS122" s="35">
        <v>0</v>
      </c>
      <c r="AT122" s="35">
        <v>0</v>
      </c>
      <c r="AU122" s="31" t="str">
        <f t="shared" si="4"/>
        <v>库存为0</v>
      </c>
      <c r="AV122" s="36" t="str">
        <f>IFERROR($A$2+AU122,"上周无销量")</f>
        <v>上周无销量</v>
      </c>
    </row>
    <row r="123" spans="1:48">
      <c r="A123" s="21" t="s">
        <v>294</v>
      </c>
      <c r="B123" t="s">
        <v>295</v>
      </c>
      <c r="C123" t="s">
        <v>277</v>
      </c>
      <c r="D123" s="31">
        <v>0</v>
      </c>
      <c r="E123" s="31">
        <v>0</v>
      </c>
      <c r="F123" s="31">
        <v>0</v>
      </c>
      <c r="G123" s="31">
        <v>0</v>
      </c>
      <c r="H123" s="32">
        <v>0</v>
      </c>
      <c r="I123">
        <v>0</v>
      </c>
      <c r="J123" s="33">
        <v>0</v>
      </c>
      <c r="K123" s="33">
        <v>0</v>
      </c>
      <c r="L123" s="33">
        <v>0</v>
      </c>
      <c r="M123">
        <v>0</v>
      </c>
      <c r="N123">
        <v>0</v>
      </c>
      <c r="O123">
        <v>0</v>
      </c>
      <c r="P123" t="s">
        <v>54</v>
      </c>
      <c r="Q123" t="s">
        <v>54</v>
      </c>
      <c r="R123" t="s">
        <v>54</v>
      </c>
      <c r="S123" t="s">
        <v>54</v>
      </c>
      <c r="T123" t="s">
        <v>54</v>
      </c>
      <c r="U123" t="s">
        <v>54</v>
      </c>
      <c r="V123" t="s">
        <v>54</v>
      </c>
      <c r="W123" t="s">
        <v>54</v>
      </c>
      <c r="X123" s="23" t="s">
        <v>54</v>
      </c>
      <c r="Y123" s="23" t="s">
        <v>54</v>
      </c>
      <c r="Z123" s="23" t="s">
        <v>54</v>
      </c>
      <c r="AA123" s="23" t="s">
        <v>54</v>
      </c>
      <c r="AB123" t="s">
        <v>54</v>
      </c>
      <c r="AC123" t="s">
        <v>54</v>
      </c>
      <c r="AD123" t="s">
        <v>54</v>
      </c>
      <c r="AE123" t="s">
        <v>54</v>
      </c>
      <c r="AF123" s="23" t="s">
        <v>54</v>
      </c>
      <c r="AG123" s="23" t="s">
        <v>54</v>
      </c>
      <c r="AH123" s="23" t="s">
        <v>54</v>
      </c>
      <c r="AI123" s="23" t="s">
        <v>54</v>
      </c>
      <c r="AJ123">
        <v>0</v>
      </c>
      <c r="AK123">
        <v>0</v>
      </c>
      <c r="AL123">
        <v>0</v>
      </c>
      <c r="AM123">
        <v>0</v>
      </c>
      <c r="AN123" s="23" t="s">
        <v>54</v>
      </c>
      <c r="AO123" s="23" t="s">
        <v>54</v>
      </c>
      <c r="AP123" s="23" t="s">
        <v>54</v>
      </c>
      <c r="AQ123" s="23" t="s">
        <v>54</v>
      </c>
      <c r="AR123" s="35">
        <v>0</v>
      </c>
      <c r="AS123" s="35">
        <v>0</v>
      </c>
      <c r="AT123" s="35">
        <v>0</v>
      </c>
      <c r="AU123" s="31" t="str">
        <f t="shared" si="4"/>
        <v>库存为0</v>
      </c>
      <c r="AV123" s="36" t="str">
        <f>IFERROR($A$2+AU123,"上周无销量")</f>
        <v>上周无销量</v>
      </c>
    </row>
    <row r="124" spans="1:48">
      <c r="A124" s="21" t="s">
        <v>296</v>
      </c>
      <c r="B124" t="s">
        <v>297</v>
      </c>
      <c r="C124" t="s">
        <v>277</v>
      </c>
      <c r="D124" s="31">
        <v>0</v>
      </c>
      <c r="E124" s="31">
        <v>0</v>
      </c>
      <c r="F124" s="31">
        <v>0</v>
      </c>
      <c r="G124" s="31">
        <v>0</v>
      </c>
      <c r="H124" s="32">
        <v>0</v>
      </c>
      <c r="I124">
        <v>0</v>
      </c>
      <c r="J124" s="33">
        <v>0</v>
      </c>
      <c r="K124" s="33">
        <v>0</v>
      </c>
      <c r="L124" s="33">
        <v>0</v>
      </c>
      <c r="M124">
        <v>0</v>
      </c>
      <c r="N124">
        <v>0</v>
      </c>
      <c r="O124">
        <v>0</v>
      </c>
      <c r="P124" t="s">
        <v>54</v>
      </c>
      <c r="Q124" t="s">
        <v>54</v>
      </c>
      <c r="R124" t="s">
        <v>54</v>
      </c>
      <c r="S124" t="s">
        <v>54</v>
      </c>
      <c r="T124" t="s">
        <v>54</v>
      </c>
      <c r="U124" t="s">
        <v>54</v>
      </c>
      <c r="V124" t="s">
        <v>54</v>
      </c>
      <c r="W124" t="s">
        <v>54</v>
      </c>
      <c r="X124" s="23" t="s">
        <v>54</v>
      </c>
      <c r="Y124" s="23" t="s">
        <v>54</v>
      </c>
      <c r="Z124" s="23" t="s">
        <v>54</v>
      </c>
      <c r="AA124" s="23" t="s">
        <v>54</v>
      </c>
      <c r="AB124" t="s">
        <v>54</v>
      </c>
      <c r="AC124" t="s">
        <v>54</v>
      </c>
      <c r="AD124" t="s">
        <v>54</v>
      </c>
      <c r="AE124" t="s">
        <v>54</v>
      </c>
      <c r="AF124" s="23" t="s">
        <v>54</v>
      </c>
      <c r="AG124" s="23" t="s">
        <v>54</v>
      </c>
      <c r="AH124" s="23" t="s">
        <v>54</v>
      </c>
      <c r="AI124" s="23" t="s">
        <v>54</v>
      </c>
      <c r="AJ124">
        <v>0</v>
      </c>
      <c r="AK124">
        <v>0</v>
      </c>
      <c r="AL124">
        <v>0</v>
      </c>
      <c r="AM124">
        <v>0</v>
      </c>
      <c r="AN124" s="23" t="s">
        <v>54</v>
      </c>
      <c r="AO124" s="23" t="s">
        <v>54</v>
      </c>
      <c r="AP124" s="23" t="s">
        <v>54</v>
      </c>
      <c r="AQ124" s="23" t="s">
        <v>54</v>
      </c>
      <c r="AR124" s="35">
        <v>0</v>
      </c>
      <c r="AS124" s="35">
        <v>0</v>
      </c>
      <c r="AT124" s="35">
        <v>0</v>
      </c>
      <c r="AU124" s="31" t="str">
        <f t="shared" si="4"/>
        <v>库存为0</v>
      </c>
      <c r="AV124" s="36" t="str">
        <f>IFERROR($A$2+AU124,"上周无销量")</f>
        <v>上周无销量</v>
      </c>
    </row>
    <row r="125" spans="1:48">
      <c r="A125" s="21" t="s">
        <v>298</v>
      </c>
      <c r="B125" t="s">
        <v>299</v>
      </c>
      <c r="C125" t="s">
        <v>277</v>
      </c>
      <c r="D125" s="31">
        <v>0</v>
      </c>
      <c r="E125" s="31">
        <v>0</v>
      </c>
      <c r="F125" s="31">
        <v>0</v>
      </c>
      <c r="G125" s="31">
        <v>0</v>
      </c>
      <c r="H125" s="32">
        <v>0</v>
      </c>
      <c r="I125">
        <v>0</v>
      </c>
      <c r="J125" s="33">
        <v>0</v>
      </c>
      <c r="K125" s="33">
        <v>0</v>
      </c>
      <c r="L125" s="33">
        <v>0</v>
      </c>
      <c r="M125">
        <v>0</v>
      </c>
      <c r="N125">
        <v>0</v>
      </c>
      <c r="O125">
        <v>0</v>
      </c>
      <c r="P125" t="s">
        <v>54</v>
      </c>
      <c r="Q125" t="s">
        <v>54</v>
      </c>
      <c r="R125" t="s">
        <v>54</v>
      </c>
      <c r="S125" t="s">
        <v>54</v>
      </c>
      <c r="T125" t="s">
        <v>54</v>
      </c>
      <c r="U125" t="s">
        <v>54</v>
      </c>
      <c r="V125" t="s">
        <v>54</v>
      </c>
      <c r="W125" t="s">
        <v>54</v>
      </c>
      <c r="X125" s="23" t="s">
        <v>54</v>
      </c>
      <c r="Y125" s="23" t="s">
        <v>54</v>
      </c>
      <c r="Z125" s="23" t="s">
        <v>54</v>
      </c>
      <c r="AA125" s="23" t="s">
        <v>54</v>
      </c>
      <c r="AB125" t="s">
        <v>54</v>
      </c>
      <c r="AC125" t="s">
        <v>54</v>
      </c>
      <c r="AD125" t="s">
        <v>54</v>
      </c>
      <c r="AE125" t="s">
        <v>54</v>
      </c>
      <c r="AF125" s="23" t="s">
        <v>54</v>
      </c>
      <c r="AG125" s="23" t="s">
        <v>54</v>
      </c>
      <c r="AH125" s="23" t="s">
        <v>54</v>
      </c>
      <c r="AI125" s="23" t="s">
        <v>54</v>
      </c>
      <c r="AJ125">
        <v>0</v>
      </c>
      <c r="AK125">
        <v>0</v>
      </c>
      <c r="AL125">
        <v>0</v>
      </c>
      <c r="AM125">
        <v>0</v>
      </c>
      <c r="AN125" s="23" t="s">
        <v>54</v>
      </c>
      <c r="AO125" s="23" t="s">
        <v>54</v>
      </c>
      <c r="AP125" s="23" t="s">
        <v>54</v>
      </c>
      <c r="AQ125" s="23" t="s">
        <v>54</v>
      </c>
      <c r="AR125" s="35">
        <v>0</v>
      </c>
      <c r="AS125" s="35">
        <v>0</v>
      </c>
      <c r="AT125" s="35">
        <v>0</v>
      </c>
      <c r="AU125" s="31" t="str">
        <f t="shared" si="4"/>
        <v>库存为0</v>
      </c>
      <c r="AV125" s="36" t="str">
        <f>IFERROR($A$2+AU125,"上周无销量")</f>
        <v>上周无销量</v>
      </c>
    </row>
    <row r="126" spans="1:48">
      <c r="A126" s="21" t="s">
        <v>300</v>
      </c>
      <c r="B126" t="s">
        <v>301</v>
      </c>
      <c r="C126" t="s">
        <v>277</v>
      </c>
      <c r="D126" s="31">
        <v>0</v>
      </c>
      <c r="E126" s="31">
        <v>0</v>
      </c>
      <c r="F126" s="31">
        <v>0</v>
      </c>
      <c r="G126" s="31">
        <v>0</v>
      </c>
      <c r="H126" s="32">
        <v>0</v>
      </c>
      <c r="I126">
        <v>0</v>
      </c>
      <c r="J126" s="33">
        <v>0</v>
      </c>
      <c r="K126" s="33">
        <v>0</v>
      </c>
      <c r="L126" s="33">
        <v>0</v>
      </c>
      <c r="M126">
        <v>0</v>
      </c>
      <c r="N126">
        <v>0</v>
      </c>
      <c r="O126">
        <v>0</v>
      </c>
      <c r="P126" t="s">
        <v>54</v>
      </c>
      <c r="Q126" t="s">
        <v>54</v>
      </c>
      <c r="R126" t="s">
        <v>54</v>
      </c>
      <c r="S126" t="s">
        <v>54</v>
      </c>
      <c r="T126" t="s">
        <v>54</v>
      </c>
      <c r="U126" t="s">
        <v>54</v>
      </c>
      <c r="V126" t="s">
        <v>54</v>
      </c>
      <c r="W126" t="s">
        <v>54</v>
      </c>
      <c r="X126" s="23" t="s">
        <v>54</v>
      </c>
      <c r="Y126" s="23" t="s">
        <v>54</v>
      </c>
      <c r="Z126" s="23" t="s">
        <v>54</v>
      </c>
      <c r="AA126" s="23" t="s">
        <v>54</v>
      </c>
      <c r="AB126" t="s">
        <v>54</v>
      </c>
      <c r="AC126" t="s">
        <v>54</v>
      </c>
      <c r="AD126" t="s">
        <v>54</v>
      </c>
      <c r="AE126" t="s">
        <v>54</v>
      </c>
      <c r="AF126" s="23" t="s">
        <v>54</v>
      </c>
      <c r="AG126" s="23" t="s">
        <v>54</v>
      </c>
      <c r="AH126" s="23" t="s">
        <v>54</v>
      </c>
      <c r="AI126" s="23" t="s">
        <v>54</v>
      </c>
      <c r="AJ126">
        <v>0</v>
      </c>
      <c r="AK126">
        <v>0</v>
      </c>
      <c r="AL126">
        <v>0</v>
      </c>
      <c r="AM126">
        <v>0</v>
      </c>
      <c r="AN126" s="23" t="s">
        <v>54</v>
      </c>
      <c r="AO126" s="23" t="s">
        <v>54</v>
      </c>
      <c r="AP126" s="23" t="s">
        <v>54</v>
      </c>
      <c r="AQ126" s="23" t="s">
        <v>54</v>
      </c>
      <c r="AR126" s="35">
        <v>0</v>
      </c>
      <c r="AS126" s="35">
        <v>0</v>
      </c>
      <c r="AT126" s="35">
        <v>0</v>
      </c>
      <c r="AU126" s="31" t="str">
        <f t="shared" si="4"/>
        <v>库存为0</v>
      </c>
      <c r="AV126" s="36" t="str">
        <f>IFERROR($A$2+AU126,"上周无销量")</f>
        <v>上周无销量</v>
      </c>
    </row>
    <row r="127" spans="1:48">
      <c r="A127" s="21" t="s">
        <v>302</v>
      </c>
      <c r="B127" t="s">
        <v>303</v>
      </c>
      <c r="C127" t="s">
        <v>277</v>
      </c>
      <c r="D127" s="31">
        <v>0</v>
      </c>
      <c r="E127" s="31">
        <v>0</v>
      </c>
      <c r="F127" s="31">
        <v>0</v>
      </c>
      <c r="G127" s="31">
        <v>0</v>
      </c>
      <c r="H127" s="32">
        <v>0</v>
      </c>
      <c r="I127">
        <v>0</v>
      </c>
      <c r="J127" s="33">
        <v>0</v>
      </c>
      <c r="K127" s="33">
        <v>0</v>
      </c>
      <c r="L127" s="33">
        <v>0</v>
      </c>
      <c r="M127">
        <v>0</v>
      </c>
      <c r="N127">
        <v>0</v>
      </c>
      <c r="O127">
        <v>0</v>
      </c>
      <c r="P127" t="s">
        <v>54</v>
      </c>
      <c r="Q127" t="s">
        <v>54</v>
      </c>
      <c r="R127" t="s">
        <v>54</v>
      </c>
      <c r="S127" t="s">
        <v>54</v>
      </c>
      <c r="T127" t="s">
        <v>54</v>
      </c>
      <c r="U127" t="s">
        <v>54</v>
      </c>
      <c r="V127" t="s">
        <v>54</v>
      </c>
      <c r="W127" t="s">
        <v>54</v>
      </c>
      <c r="X127" s="23" t="s">
        <v>54</v>
      </c>
      <c r="Y127" s="23" t="s">
        <v>54</v>
      </c>
      <c r="Z127" s="23" t="s">
        <v>54</v>
      </c>
      <c r="AA127" s="23" t="s">
        <v>54</v>
      </c>
      <c r="AB127" t="s">
        <v>54</v>
      </c>
      <c r="AC127" t="s">
        <v>54</v>
      </c>
      <c r="AD127" t="s">
        <v>54</v>
      </c>
      <c r="AE127" t="s">
        <v>54</v>
      </c>
      <c r="AF127" s="23" t="s">
        <v>54</v>
      </c>
      <c r="AG127" s="23" t="s">
        <v>54</v>
      </c>
      <c r="AH127" s="23" t="s">
        <v>54</v>
      </c>
      <c r="AI127" s="23" t="s">
        <v>54</v>
      </c>
      <c r="AJ127">
        <v>0</v>
      </c>
      <c r="AK127">
        <v>0</v>
      </c>
      <c r="AL127">
        <v>0</v>
      </c>
      <c r="AM127">
        <v>0</v>
      </c>
      <c r="AN127" s="23" t="s">
        <v>54</v>
      </c>
      <c r="AO127" s="23" t="s">
        <v>54</v>
      </c>
      <c r="AP127" s="23" t="s">
        <v>54</v>
      </c>
      <c r="AQ127" s="23" t="s">
        <v>54</v>
      </c>
      <c r="AR127" s="35">
        <v>0</v>
      </c>
      <c r="AS127" s="35">
        <v>0</v>
      </c>
      <c r="AT127" s="35">
        <v>0</v>
      </c>
      <c r="AU127" s="31" t="str">
        <f t="shared" si="4"/>
        <v>库存为0</v>
      </c>
      <c r="AV127" s="36" t="str">
        <f>IFERROR($A$2+AU127,"上周无销量")</f>
        <v>上周无销量</v>
      </c>
    </row>
    <row r="128" spans="1:48">
      <c r="A128" s="21" t="s">
        <v>304</v>
      </c>
      <c r="B128" t="s">
        <v>305</v>
      </c>
      <c r="C128" t="s">
        <v>277</v>
      </c>
      <c r="D128" s="31">
        <v>0</v>
      </c>
      <c r="E128" s="31">
        <v>0</v>
      </c>
      <c r="F128" s="31">
        <v>0</v>
      </c>
      <c r="G128" s="31">
        <v>0</v>
      </c>
      <c r="H128" s="32">
        <v>0</v>
      </c>
      <c r="I128">
        <v>0</v>
      </c>
      <c r="J128" s="33">
        <v>0</v>
      </c>
      <c r="K128" s="33">
        <v>0</v>
      </c>
      <c r="L128" s="33">
        <v>0</v>
      </c>
      <c r="M128">
        <v>0</v>
      </c>
      <c r="N128">
        <v>0</v>
      </c>
      <c r="O128">
        <v>0</v>
      </c>
      <c r="P128" t="s">
        <v>54</v>
      </c>
      <c r="Q128" t="s">
        <v>54</v>
      </c>
      <c r="R128" t="s">
        <v>54</v>
      </c>
      <c r="S128" t="s">
        <v>54</v>
      </c>
      <c r="T128" t="s">
        <v>54</v>
      </c>
      <c r="U128" t="s">
        <v>54</v>
      </c>
      <c r="V128" t="s">
        <v>54</v>
      </c>
      <c r="W128" t="s">
        <v>54</v>
      </c>
      <c r="X128" s="23" t="s">
        <v>54</v>
      </c>
      <c r="Y128" s="23" t="s">
        <v>54</v>
      </c>
      <c r="Z128" s="23" t="s">
        <v>54</v>
      </c>
      <c r="AA128" s="23" t="s">
        <v>54</v>
      </c>
      <c r="AB128" t="s">
        <v>54</v>
      </c>
      <c r="AC128" t="s">
        <v>54</v>
      </c>
      <c r="AD128" t="s">
        <v>54</v>
      </c>
      <c r="AE128" t="s">
        <v>54</v>
      </c>
      <c r="AF128" s="23" t="s">
        <v>54</v>
      </c>
      <c r="AG128" s="23" t="s">
        <v>54</v>
      </c>
      <c r="AH128" s="23" t="s">
        <v>54</v>
      </c>
      <c r="AI128" s="23" t="s">
        <v>54</v>
      </c>
      <c r="AJ128">
        <v>0</v>
      </c>
      <c r="AK128">
        <v>0</v>
      </c>
      <c r="AL128">
        <v>0</v>
      </c>
      <c r="AM128">
        <v>0</v>
      </c>
      <c r="AN128" s="23" t="s">
        <v>54</v>
      </c>
      <c r="AO128" s="23" t="s">
        <v>54</v>
      </c>
      <c r="AP128" s="23" t="s">
        <v>54</v>
      </c>
      <c r="AQ128" s="23" t="s">
        <v>54</v>
      </c>
      <c r="AR128" s="35">
        <v>0</v>
      </c>
      <c r="AS128" s="35">
        <v>0</v>
      </c>
      <c r="AT128" s="35">
        <v>0</v>
      </c>
      <c r="AU128" s="31" t="str">
        <f t="shared" si="4"/>
        <v>库存为0</v>
      </c>
      <c r="AV128" s="36" t="str">
        <f>IFERROR($A$2+AU128,"上周无销量")</f>
        <v>上周无销量</v>
      </c>
    </row>
    <row r="129" spans="1:48">
      <c r="A129" s="21" t="s">
        <v>306</v>
      </c>
      <c r="B129" t="s">
        <v>307</v>
      </c>
      <c r="C129" t="s">
        <v>277</v>
      </c>
      <c r="D129" s="31">
        <v>0</v>
      </c>
      <c r="E129" s="31">
        <v>0</v>
      </c>
      <c r="F129" s="31">
        <v>0</v>
      </c>
      <c r="G129" s="31">
        <v>0</v>
      </c>
      <c r="H129" s="32">
        <v>0</v>
      </c>
      <c r="I129">
        <v>0</v>
      </c>
      <c r="J129" s="33">
        <v>0</v>
      </c>
      <c r="K129" s="33">
        <v>0</v>
      </c>
      <c r="L129" s="33">
        <v>0</v>
      </c>
      <c r="M129">
        <v>0</v>
      </c>
      <c r="N129">
        <v>0</v>
      </c>
      <c r="O129">
        <v>0</v>
      </c>
      <c r="P129" t="s">
        <v>54</v>
      </c>
      <c r="Q129" t="s">
        <v>54</v>
      </c>
      <c r="R129" t="s">
        <v>54</v>
      </c>
      <c r="S129" t="s">
        <v>54</v>
      </c>
      <c r="T129" t="s">
        <v>54</v>
      </c>
      <c r="U129" t="s">
        <v>54</v>
      </c>
      <c r="V129" t="s">
        <v>54</v>
      </c>
      <c r="W129" t="s">
        <v>54</v>
      </c>
      <c r="X129" s="23" t="s">
        <v>54</v>
      </c>
      <c r="Y129" s="23" t="s">
        <v>54</v>
      </c>
      <c r="Z129" s="23" t="s">
        <v>54</v>
      </c>
      <c r="AA129" s="23" t="s">
        <v>54</v>
      </c>
      <c r="AB129" t="s">
        <v>54</v>
      </c>
      <c r="AC129" t="s">
        <v>54</v>
      </c>
      <c r="AD129" t="s">
        <v>54</v>
      </c>
      <c r="AE129" t="s">
        <v>54</v>
      </c>
      <c r="AF129" s="23" t="s">
        <v>54</v>
      </c>
      <c r="AG129" s="23" t="s">
        <v>54</v>
      </c>
      <c r="AH129" s="23" t="s">
        <v>54</v>
      </c>
      <c r="AI129" s="23" t="s">
        <v>54</v>
      </c>
      <c r="AJ129">
        <v>0</v>
      </c>
      <c r="AK129">
        <v>0</v>
      </c>
      <c r="AL129">
        <v>0</v>
      </c>
      <c r="AM129">
        <v>0</v>
      </c>
      <c r="AN129" s="23" t="s">
        <v>54</v>
      </c>
      <c r="AO129" s="23" t="s">
        <v>54</v>
      </c>
      <c r="AP129" s="23" t="s">
        <v>54</v>
      </c>
      <c r="AQ129" s="23" t="s">
        <v>54</v>
      </c>
      <c r="AR129" s="35">
        <v>0</v>
      </c>
      <c r="AS129" s="35">
        <v>0</v>
      </c>
      <c r="AT129" s="35">
        <v>0</v>
      </c>
      <c r="AU129" s="31" t="str">
        <f t="shared" si="4"/>
        <v>库存为0</v>
      </c>
      <c r="AV129" s="36" t="str">
        <f>IFERROR($A$2+AU129,"上周无销量")</f>
        <v>上周无销量</v>
      </c>
    </row>
    <row r="130" spans="1:48">
      <c r="A130" s="21" t="s">
        <v>308</v>
      </c>
      <c r="B130" t="s">
        <v>309</v>
      </c>
      <c r="C130" t="s">
        <v>277</v>
      </c>
      <c r="D130" s="31">
        <v>0</v>
      </c>
      <c r="E130" s="31">
        <v>0</v>
      </c>
      <c r="F130" s="31">
        <v>0</v>
      </c>
      <c r="G130" s="31">
        <v>0</v>
      </c>
      <c r="H130" s="32">
        <v>0</v>
      </c>
      <c r="I130">
        <v>0</v>
      </c>
      <c r="J130" s="33">
        <v>0</v>
      </c>
      <c r="K130" s="33">
        <v>0</v>
      </c>
      <c r="L130" s="33">
        <v>0</v>
      </c>
      <c r="M130">
        <v>0</v>
      </c>
      <c r="N130">
        <v>0</v>
      </c>
      <c r="O130">
        <v>0</v>
      </c>
      <c r="P130" t="s">
        <v>54</v>
      </c>
      <c r="Q130" t="s">
        <v>54</v>
      </c>
      <c r="R130" t="s">
        <v>54</v>
      </c>
      <c r="S130" t="s">
        <v>54</v>
      </c>
      <c r="T130" t="s">
        <v>54</v>
      </c>
      <c r="U130" t="s">
        <v>54</v>
      </c>
      <c r="V130" t="s">
        <v>54</v>
      </c>
      <c r="W130" t="s">
        <v>54</v>
      </c>
      <c r="X130" s="23" t="s">
        <v>54</v>
      </c>
      <c r="Y130" s="23" t="s">
        <v>54</v>
      </c>
      <c r="Z130" s="23" t="s">
        <v>54</v>
      </c>
      <c r="AA130" s="23" t="s">
        <v>54</v>
      </c>
      <c r="AB130" t="s">
        <v>54</v>
      </c>
      <c r="AC130" t="s">
        <v>54</v>
      </c>
      <c r="AD130" t="s">
        <v>54</v>
      </c>
      <c r="AE130" t="s">
        <v>54</v>
      </c>
      <c r="AF130" s="23" t="s">
        <v>54</v>
      </c>
      <c r="AG130" s="23" t="s">
        <v>54</v>
      </c>
      <c r="AH130" s="23" t="s">
        <v>54</v>
      </c>
      <c r="AI130" s="23" t="s">
        <v>54</v>
      </c>
      <c r="AJ130">
        <v>0</v>
      </c>
      <c r="AK130">
        <v>0</v>
      </c>
      <c r="AL130">
        <v>0</v>
      </c>
      <c r="AM130">
        <v>0</v>
      </c>
      <c r="AN130" s="23" t="s">
        <v>54</v>
      </c>
      <c r="AO130" s="23" t="s">
        <v>54</v>
      </c>
      <c r="AP130" s="23" t="s">
        <v>54</v>
      </c>
      <c r="AQ130" s="23" t="s">
        <v>54</v>
      </c>
      <c r="AR130" s="35">
        <v>0</v>
      </c>
      <c r="AS130" s="35">
        <v>0</v>
      </c>
      <c r="AT130" s="35">
        <v>0</v>
      </c>
      <c r="AU130" s="31" t="str">
        <f t="shared" si="4"/>
        <v>库存为0</v>
      </c>
      <c r="AV130" s="36" t="str">
        <f>IFERROR($A$2+AU130,"上周无销量")</f>
        <v>上周无销量</v>
      </c>
    </row>
    <row r="131" spans="1:48">
      <c r="A131" s="21" t="s">
        <v>310</v>
      </c>
      <c r="B131" t="s">
        <v>311</v>
      </c>
      <c r="C131" t="s">
        <v>277</v>
      </c>
      <c r="D131" s="31">
        <v>0</v>
      </c>
      <c r="E131" s="31">
        <v>0</v>
      </c>
      <c r="F131" s="31">
        <v>0</v>
      </c>
      <c r="G131" s="31">
        <v>0</v>
      </c>
      <c r="H131" s="32">
        <v>0</v>
      </c>
      <c r="I131">
        <v>0</v>
      </c>
      <c r="J131" s="33">
        <v>0</v>
      </c>
      <c r="K131" s="33">
        <v>0</v>
      </c>
      <c r="L131" s="33">
        <v>0</v>
      </c>
      <c r="M131">
        <v>0</v>
      </c>
      <c r="N131">
        <v>0</v>
      </c>
      <c r="O131">
        <v>0</v>
      </c>
      <c r="P131" t="s">
        <v>54</v>
      </c>
      <c r="Q131" t="s">
        <v>54</v>
      </c>
      <c r="R131" t="s">
        <v>54</v>
      </c>
      <c r="S131" t="s">
        <v>54</v>
      </c>
      <c r="T131" t="s">
        <v>54</v>
      </c>
      <c r="U131" t="s">
        <v>54</v>
      </c>
      <c r="V131" t="s">
        <v>54</v>
      </c>
      <c r="W131" t="s">
        <v>54</v>
      </c>
      <c r="X131" s="23" t="s">
        <v>54</v>
      </c>
      <c r="Y131" s="23" t="s">
        <v>54</v>
      </c>
      <c r="Z131" s="23" t="s">
        <v>54</v>
      </c>
      <c r="AA131" s="23" t="s">
        <v>54</v>
      </c>
      <c r="AB131" t="s">
        <v>54</v>
      </c>
      <c r="AC131" t="s">
        <v>54</v>
      </c>
      <c r="AD131" t="s">
        <v>54</v>
      </c>
      <c r="AE131" t="s">
        <v>54</v>
      </c>
      <c r="AF131" s="23" t="s">
        <v>54</v>
      </c>
      <c r="AG131" s="23" t="s">
        <v>54</v>
      </c>
      <c r="AH131" s="23" t="s">
        <v>54</v>
      </c>
      <c r="AI131" s="23" t="s">
        <v>54</v>
      </c>
      <c r="AJ131">
        <v>0</v>
      </c>
      <c r="AK131">
        <v>0</v>
      </c>
      <c r="AL131">
        <v>0</v>
      </c>
      <c r="AM131">
        <v>0</v>
      </c>
      <c r="AN131" s="23" t="s">
        <v>54</v>
      </c>
      <c r="AO131" s="23" t="s">
        <v>54</v>
      </c>
      <c r="AP131" s="23" t="s">
        <v>54</v>
      </c>
      <c r="AQ131" s="23" t="s">
        <v>54</v>
      </c>
      <c r="AR131" s="35">
        <v>0</v>
      </c>
      <c r="AS131" s="35">
        <v>0</v>
      </c>
      <c r="AT131" s="35">
        <v>0</v>
      </c>
      <c r="AU131" s="31" t="str">
        <f t="shared" si="4"/>
        <v>库存为0</v>
      </c>
      <c r="AV131" s="36" t="str">
        <f>IFERROR($A$2+AU131,"上周无销量")</f>
        <v>上周无销量</v>
      </c>
    </row>
    <row r="132" spans="1:48">
      <c r="A132" s="21" t="s">
        <v>312</v>
      </c>
      <c r="B132" t="s">
        <v>313</v>
      </c>
      <c r="C132" t="s">
        <v>277</v>
      </c>
      <c r="D132" s="31">
        <v>0</v>
      </c>
      <c r="E132" s="31">
        <v>0</v>
      </c>
      <c r="F132" s="31">
        <v>0</v>
      </c>
      <c r="G132" s="31">
        <v>0</v>
      </c>
      <c r="H132" s="32">
        <v>0</v>
      </c>
      <c r="I132">
        <v>0</v>
      </c>
      <c r="J132" s="33">
        <v>0</v>
      </c>
      <c r="K132" s="33">
        <v>0</v>
      </c>
      <c r="L132" s="33">
        <v>0</v>
      </c>
      <c r="M132">
        <v>0</v>
      </c>
      <c r="N132">
        <v>0</v>
      </c>
      <c r="O132">
        <v>0</v>
      </c>
      <c r="P132" t="s">
        <v>54</v>
      </c>
      <c r="Q132" t="s">
        <v>54</v>
      </c>
      <c r="R132" t="s">
        <v>54</v>
      </c>
      <c r="S132" t="s">
        <v>54</v>
      </c>
      <c r="T132" t="s">
        <v>54</v>
      </c>
      <c r="U132" t="s">
        <v>54</v>
      </c>
      <c r="V132" t="s">
        <v>54</v>
      </c>
      <c r="W132" t="s">
        <v>54</v>
      </c>
      <c r="X132" s="23" t="s">
        <v>54</v>
      </c>
      <c r="Y132" s="23" t="s">
        <v>54</v>
      </c>
      <c r="Z132" s="23" t="s">
        <v>54</v>
      </c>
      <c r="AA132" s="23" t="s">
        <v>54</v>
      </c>
      <c r="AB132" t="s">
        <v>54</v>
      </c>
      <c r="AC132" t="s">
        <v>54</v>
      </c>
      <c r="AD132" t="s">
        <v>54</v>
      </c>
      <c r="AE132" t="s">
        <v>54</v>
      </c>
      <c r="AF132" s="23" t="s">
        <v>54</v>
      </c>
      <c r="AG132" s="23" t="s">
        <v>54</v>
      </c>
      <c r="AH132" s="23" t="s">
        <v>54</v>
      </c>
      <c r="AI132" s="23" t="s">
        <v>54</v>
      </c>
      <c r="AJ132">
        <v>0</v>
      </c>
      <c r="AK132">
        <v>0</v>
      </c>
      <c r="AL132">
        <v>0</v>
      </c>
      <c r="AM132">
        <v>0</v>
      </c>
      <c r="AN132" s="23" t="s">
        <v>54</v>
      </c>
      <c r="AO132" s="23" t="s">
        <v>54</v>
      </c>
      <c r="AP132" s="23" t="s">
        <v>54</v>
      </c>
      <c r="AQ132" s="23" t="s">
        <v>54</v>
      </c>
      <c r="AR132" s="35">
        <v>0</v>
      </c>
      <c r="AS132" s="35">
        <v>0</v>
      </c>
      <c r="AT132" s="35">
        <v>0</v>
      </c>
      <c r="AU132" s="31" t="str">
        <f t="shared" si="4"/>
        <v>库存为0</v>
      </c>
      <c r="AV132" s="36" t="str">
        <f>IFERROR($A$2+AU132,"上周无销量")</f>
        <v>上周无销量</v>
      </c>
    </row>
    <row r="133" spans="1:48">
      <c r="A133" s="21" t="s">
        <v>314</v>
      </c>
      <c r="B133" t="s">
        <v>315</v>
      </c>
      <c r="C133" t="s">
        <v>277</v>
      </c>
      <c r="D133" s="31">
        <v>0</v>
      </c>
      <c r="E133" s="31">
        <v>0</v>
      </c>
      <c r="F133" s="31">
        <v>0</v>
      </c>
      <c r="G133" s="31">
        <v>0</v>
      </c>
      <c r="H133" s="32">
        <v>0</v>
      </c>
      <c r="I133">
        <v>0</v>
      </c>
      <c r="J133" s="33">
        <v>0</v>
      </c>
      <c r="K133" s="33">
        <v>0</v>
      </c>
      <c r="L133" s="33">
        <v>0</v>
      </c>
      <c r="M133">
        <v>0</v>
      </c>
      <c r="N133">
        <v>0</v>
      </c>
      <c r="O133">
        <v>0</v>
      </c>
      <c r="P133" t="s">
        <v>54</v>
      </c>
      <c r="Q133" t="s">
        <v>54</v>
      </c>
      <c r="R133" t="s">
        <v>54</v>
      </c>
      <c r="S133" t="s">
        <v>54</v>
      </c>
      <c r="T133" t="s">
        <v>54</v>
      </c>
      <c r="U133" t="s">
        <v>54</v>
      </c>
      <c r="V133" t="s">
        <v>54</v>
      </c>
      <c r="W133" t="s">
        <v>54</v>
      </c>
      <c r="X133" s="23" t="s">
        <v>54</v>
      </c>
      <c r="Y133" s="23" t="s">
        <v>54</v>
      </c>
      <c r="Z133" s="23" t="s">
        <v>54</v>
      </c>
      <c r="AA133" s="23" t="s">
        <v>54</v>
      </c>
      <c r="AB133" t="s">
        <v>54</v>
      </c>
      <c r="AC133" t="s">
        <v>54</v>
      </c>
      <c r="AD133" t="s">
        <v>54</v>
      </c>
      <c r="AE133" t="s">
        <v>54</v>
      </c>
      <c r="AF133" s="23" t="s">
        <v>54</v>
      </c>
      <c r="AG133" s="23" t="s">
        <v>54</v>
      </c>
      <c r="AH133" s="23" t="s">
        <v>54</v>
      </c>
      <c r="AI133" s="23" t="s">
        <v>54</v>
      </c>
      <c r="AJ133">
        <v>0</v>
      </c>
      <c r="AK133">
        <v>0</v>
      </c>
      <c r="AL133">
        <v>0</v>
      </c>
      <c r="AM133">
        <v>0</v>
      </c>
      <c r="AN133" s="23" t="s">
        <v>54</v>
      </c>
      <c r="AO133" s="23" t="s">
        <v>54</v>
      </c>
      <c r="AP133" s="23" t="s">
        <v>54</v>
      </c>
      <c r="AQ133" s="23" t="s">
        <v>54</v>
      </c>
      <c r="AR133" s="35">
        <v>0</v>
      </c>
      <c r="AS133" s="35">
        <v>0</v>
      </c>
      <c r="AT133" s="35">
        <v>0</v>
      </c>
      <c r="AU133" s="31" t="str">
        <f t="shared" ref="AU133:AU196" si="5">IF(AR133="","库存为"&amp;M133,IF(AS133=0,"库存为"&amp;M133,INT(M133/AR133)))</f>
        <v>库存为0</v>
      </c>
      <c r="AV133" s="36" t="str">
        <f>IFERROR($A$2+AU133,"上周无销量")</f>
        <v>上周无销量</v>
      </c>
    </row>
    <row r="134" spans="1:48">
      <c r="A134" s="21" t="s">
        <v>316</v>
      </c>
      <c r="B134" t="s">
        <v>317</v>
      </c>
      <c r="C134" t="s">
        <v>277</v>
      </c>
      <c r="D134" s="31">
        <v>0</v>
      </c>
      <c r="E134" s="31">
        <v>0</v>
      </c>
      <c r="F134" s="31">
        <v>0</v>
      </c>
      <c r="G134" s="31">
        <v>0</v>
      </c>
      <c r="H134" s="32">
        <v>0</v>
      </c>
      <c r="I134">
        <v>0</v>
      </c>
      <c r="J134" s="33">
        <v>0</v>
      </c>
      <c r="K134" s="33">
        <v>0</v>
      </c>
      <c r="L134" s="33">
        <v>0</v>
      </c>
      <c r="M134">
        <v>0</v>
      </c>
      <c r="N134">
        <v>0</v>
      </c>
      <c r="O134">
        <v>0</v>
      </c>
      <c r="P134" t="s">
        <v>54</v>
      </c>
      <c r="Q134" t="s">
        <v>54</v>
      </c>
      <c r="R134" t="s">
        <v>54</v>
      </c>
      <c r="S134" t="s">
        <v>54</v>
      </c>
      <c r="T134" t="s">
        <v>54</v>
      </c>
      <c r="U134" t="s">
        <v>54</v>
      </c>
      <c r="V134" t="s">
        <v>54</v>
      </c>
      <c r="W134" t="s">
        <v>54</v>
      </c>
      <c r="X134" s="23" t="s">
        <v>54</v>
      </c>
      <c r="Y134" s="23" t="s">
        <v>54</v>
      </c>
      <c r="Z134" s="23" t="s">
        <v>54</v>
      </c>
      <c r="AA134" s="23" t="s">
        <v>54</v>
      </c>
      <c r="AB134" t="s">
        <v>54</v>
      </c>
      <c r="AC134" t="s">
        <v>54</v>
      </c>
      <c r="AD134" t="s">
        <v>54</v>
      </c>
      <c r="AE134" t="s">
        <v>54</v>
      </c>
      <c r="AF134" s="23" t="s">
        <v>54</v>
      </c>
      <c r="AG134" s="23" t="s">
        <v>54</v>
      </c>
      <c r="AH134" s="23" t="s">
        <v>54</v>
      </c>
      <c r="AI134" s="23" t="s">
        <v>54</v>
      </c>
      <c r="AJ134">
        <v>0</v>
      </c>
      <c r="AK134">
        <v>0</v>
      </c>
      <c r="AL134">
        <v>0</v>
      </c>
      <c r="AM134">
        <v>0</v>
      </c>
      <c r="AN134" s="23" t="s">
        <v>54</v>
      </c>
      <c r="AO134" s="23" t="s">
        <v>54</v>
      </c>
      <c r="AP134" s="23" t="s">
        <v>54</v>
      </c>
      <c r="AQ134" s="23" t="s">
        <v>54</v>
      </c>
      <c r="AR134" s="35">
        <v>0</v>
      </c>
      <c r="AS134" s="35">
        <v>0</v>
      </c>
      <c r="AT134" s="35">
        <v>0</v>
      </c>
      <c r="AU134" s="31" t="str">
        <f t="shared" si="5"/>
        <v>库存为0</v>
      </c>
      <c r="AV134" s="36" t="str">
        <f>IFERROR($A$2+AU134,"上周无销量")</f>
        <v>上周无销量</v>
      </c>
    </row>
    <row r="135" spans="1:48">
      <c r="A135" s="21" t="s">
        <v>318</v>
      </c>
      <c r="B135" t="s">
        <v>319</v>
      </c>
      <c r="C135" t="s">
        <v>277</v>
      </c>
      <c r="D135" s="31">
        <v>0</v>
      </c>
      <c r="E135" s="31">
        <v>0</v>
      </c>
      <c r="F135" s="31">
        <v>0</v>
      </c>
      <c r="G135" s="31">
        <v>0</v>
      </c>
      <c r="H135" s="32">
        <v>0</v>
      </c>
      <c r="I135">
        <v>0</v>
      </c>
      <c r="J135" s="33">
        <v>0</v>
      </c>
      <c r="K135" s="33">
        <v>0</v>
      </c>
      <c r="L135" s="33">
        <v>0</v>
      </c>
      <c r="M135">
        <v>0</v>
      </c>
      <c r="N135">
        <v>0</v>
      </c>
      <c r="O135">
        <v>0</v>
      </c>
      <c r="P135" t="s">
        <v>54</v>
      </c>
      <c r="Q135" t="s">
        <v>54</v>
      </c>
      <c r="R135" t="s">
        <v>54</v>
      </c>
      <c r="S135" t="s">
        <v>54</v>
      </c>
      <c r="T135" t="s">
        <v>54</v>
      </c>
      <c r="U135" t="s">
        <v>54</v>
      </c>
      <c r="V135" t="s">
        <v>54</v>
      </c>
      <c r="W135" t="s">
        <v>54</v>
      </c>
      <c r="X135" s="23" t="s">
        <v>54</v>
      </c>
      <c r="Y135" s="23" t="s">
        <v>54</v>
      </c>
      <c r="Z135" s="23" t="s">
        <v>54</v>
      </c>
      <c r="AA135" s="23" t="s">
        <v>54</v>
      </c>
      <c r="AB135" t="s">
        <v>54</v>
      </c>
      <c r="AC135" t="s">
        <v>54</v>
      </c>
      <c r="AD135" t="s">
        <v>54</v>
      </c>
      <c r="AE135" t="s">
        <v>54</v>
      </c>
      <c r="AF135" s="23" t="s">
        <v>54</v>
      </c>
      <c r="AG135" s="23" t="s">
        <v>54</v>
      </c>
      <c r="AH135" s="23" t="s">
        <v>54</v>
      </c>
      <c r="AI135" s="23" t="s">
        <v>54</v>
      </c>
      <c r="AJ135">
        <v>0</v>
      </c>
      <c r="AK135">
        <v>0</v>
      </c>
      <c r="AL135">
        <v>0</v>
      </c>
      <c r="AM135">
        <v>0</v>
      </c>
      <c r="AN135" s="23" t="s">
        <v>54</v>
      </c>
      <c r="AO135" s="23" t="s">
        <v>54</v>
      </c>
      <c r="AP135" s="23" t="s">
        <v>54</v>
      </c>
      <c r="AQ135" s="23" t="s">
        <v>54</v>
      </c>
      <c r="AR135" s="35">
        <v>0</v>
      </c>
      <c r="AS135" s="35">
        <v>0</v>
      </c>
      <c r="AT135" s="35">
        <v>0</v>
      </c>
      <c r="AU135" s="31" t="str">
        <f t="shared" si="5"/>
        <v>库存为0</v>
      </c>
      <c r="AV135" s="36" t="str">
        <f>IFERROR($A$2+AU135,"上周无销量")</f>
        <v>上周无销量</v>
      </c>
    </row>
    <row r="136" spans="1:48">
      <c r="A136" s="21" t="s">
        <v>320</v>
      </c>
      <c r="B136" t="s">
        <v>321</v>
      </c>
      <c r="C136" t="s">
        <v>277</v>
      </c>
      <c r="D136" s="31">
        <v>0</v>
      </c>
      <c r="E136" s="31">
        <v>0</v>
      </c>
      <c r="F136" s="31">
        <v>0</v>
      </c>
      <c r="G136" s="31">
        <v>0</v>
      </c>
      <c r="H136" s="32">
        <v>0</v>
      </c>
      <c r="I136">
        <v>0</v>
      </c>
      <c r="J136" s="33">
        <v>0</v>
      </c>
      <c r="K136" s="33">
        <v>0</v>
      </c>
      <c r="L136" s="33">
        <v>0</v>
      </c>
      <c r="M136">
        <v>0</v>
      </c>
      <c r="N136">
        <v>0</v>
      </c>
      <c r="O136">
        <v>0</v>
      </c>
      <c r="P136" t="s">
        <v>54</v>
      </c>
      <c r="Q136" t="s">
        <v>54</v>
      </c>
      <c r="R136" t="s">
        <v>54</v>
      </c>
      <c r="S136" t="s">
        <v>54</v>
      </c>
      <c r="T136" t="s">
        <v>54</v>
      </c>
      <c r="U136" t="s">
        <v>54</v>
      </c>
      <c r="V136" t="s">
        <v>54</v>
      </c>
      <c r="W136" t="s">
        <v>54</v>
      </c>
      <c r="X136" s="23" t="s">
        <v>54</v>
      </c>
      <c r="Y136" s="23" t="s">
        <v>54</v>
      </c>
      <c r="Z136" s="23" t="s">
        <v>54</v>
      </c>
      <c r="AA136" s="23" t="s">
        <v>54</v>
      </c>
      <c r="AB136" t="s">
        <v>54</v>
      </c>
      <c r="AC136" t="s">
        <v>54</v>
      </c>
      <c r="AD136" t="s">
        <v>54</v>
      </c>
      <c r="AE136" t="s">
        <v>54</v>
      </c>
      <c r="AF136" s="23" t="s">
        <v>54</v>
      </c>
      <c r="AG136" s="23" t="s">
        <v>54</v>
      </c>
      <c r="AH136" s="23" t="s">
        <v>54</v>
      </c>
      <c r="AI136" s="23" t="s">
        <v>54</v>
      </c>
      <c r="AJ136">
        <v>0</v>
      </c>
      <c r="AK136">
        <v>0</v>
      </c>
      <c r="AL136">
        <v>0</v>
      </c>
      <c r="AM136">
        <v>0</v>
      </c>
      <c r="AN136" s="23" t="s">
        <v>54</v>
      </c>
      <c r="AO136" s="23" t="s">
        <v>54</v>
      </c>
      <c r="AP136" s="23" t="s">
        <v>54</v>
      </c>
      <c r="AQ136" s="23" t="s">
        <v>54</v>
      </c>
      <c r="AR136" s="35">
        <v>0</v>
      </c>
      <c r="AS136" s="35">
        <v>0</v>
      </c>
      <c r="AT136" s="35">
        <v>0</v>
      </c>
      <c r="AU136" s="31" t="str">
        <f t="shared" si="5"/>
        <v>库存为0</v>
      </c>
      <c r="AV136" s="36" t="str">
        <f>IFERROR($A$2+AU136,"上周无销量")</f>
        <v>上周无销量</v>
      </c>
    </row>
    <row r="137" spans="1:48">
      <c r="A137" s="21" t="s">
        <v>322</v>
      </c>
      <c r="B137" t="s">
        <v>323</v>
      </c>
      <c r="C137" t="s">
        <v>277</v>
      </c>
      <c r="D137" s="31">
        <v>0</v>
      </c>
      <c r="E137" s="31">
        <v>0</v>
      </c>
      <c r="F137" s="31">
        <v>0</v>
      </c>
      <c r="G137" s="31">
        <v>0</v>
      </c>
      <c r="H137" s="32">
        <v>0</v>
      </c>
      <c r="I137">
        <v>0</v>
      </c>
      <c r="J137" s="33">
        <v>0</v>
      </c>
      <c r="K137" s="33">
        <v>0</v>
      </c>
      <c r="L137" s="33">
        <v>0</v>
      </c>
      <c r="M137">
        <v>0</v>
      </c>
      <c r="N137">
        <v>0</v>
      </c>
      <c r="O137">
        <v>0</v>
      </c>
      <c r="P137" t="s">
        <v>54</v>
      </c>
      <c r="Q137" t="s">
        <v>54</v>
      </c>
      <c r="R137" t="s">
        <v>54</v>
      </c>
      <c r="S137" t="s">
        <v>54</v>
      </c>
      <c r="T137" t="s">
        <v>54</v>
      </c>
      <c r="U137" t="s">
        <v>54</v>
      </c>
      <c r="V137" t="s">
        <v>54</v>
      </c>
      <c r="W137" t="s">
        <v>54</v>
      </c>
      <c r="X137" s="23" t="s">
        <v>54</v>
      </c>
      <c r="Y137" s="23" t="s">
        <v>54</v>
      </c>
      <c r="Z137" s="23" t="s">
        <v>54</v>
      </c>
      <c r="AA137" s="23" t="s">
        <v>54</v>
      </c>
      <c r="AB137" t="s">
        <v>54</v>
      </c>
      <c r="AC137" t="s">
        <v>54</v>
      </c>
      <c r="AD137" t="s">
        <v>54</v>
      </c>
      <c r="AE137" t="s">
        <v>54</v>
      </c>
      <c r="AF137" s="23" t="s">
        <v>54</v>
      </c>
      <c r="AG137" s="23" t="s">
        <v>54</v>
      </c>
      <c r="AH137" s="23" t="s">
        <v>54</v>
      </c>
      <c r="AI137" s="23" t="s">
        <v>54</v>
      </c>
      <c r="AJ137">
        <v>0</v>
      </c>
      <c r="AK137">
        <v>0</v>
      </c>
      <c r="AL137">
        <v>0</v>
      </c>
      <c r="AM137">
        <v>0</v>
      </c>
      <c r="AN137" s="23" t="s">
        <v>54</v>
      </c>
      <c r="AO137" s="23" t="s">
        <v>54</v>
      </c>
      <c r="AP137" s="23" t="s">
        <v>54</v>
      </c>
      <c r="AQ137" s="23" t="s">
        <v>54</v>
      </c>
      <c r="AR137" s="35">
        <v>0</v>
      </c>
      <c r="AS137" s="35">
        <v>0</v>
      </c>
      <c r="AT137" s="35">
        <v>0</v>
      </c>
      <c r="AU137" s="31" t="str">
        <f t="shared" si="5"/>
        <v>库存为0</v>
      </c>
      <c r="AV137" s="36" t="str">
        <f>IFERROR($A$2+AU137,"上周无销量")</f>
        <v>上周无销量</v>
      </c>
    </row>
    <row r="138" spans="1:48">
      <c r="A138" s="21" t="s">
        <v>324</v>
      </c>
      <c r="B138" t="s">
        <v>325</v>
      </c>
      <c r="C138" t="s">
        <v>277</v>
      </c>
      <c r="D138" s="31">
        <v>0</v>
      </c>
      <c r="E138" s="31">
        <v>0</v>
      </c>
      <c r="F138" s="31">
        <v>0</v>
      </c>
      <c r="G138" s="31">
        <v>0</v>
      </c>
      <c r="H138" s="32">
        <v>0</v>
      </c>
      <c r="I138">
        <v>0</v>
      </c>
      <c r="J138" s="33">
        <v>0</v>
      </c>
      <c r="K138" s="33">
        <v>0</v>
      </c>
      <c r="L138" s="33">
        <v>0</v>
      </c>
      <c r="M138">
        <v>0</v>
      </c>
      <c r="N138">
        <v>0</v>
      </c>
      <c r="O138">
        <v>0</v>
      </c>
      <c r="P138" t="s">
        <v>54</v>
      </c>
      <c r="Q138" t="s">
        <v>54</v>
      </c>
      <c r="R138" t="s">
        <v>54</v>
      </c>
      <c r="S138" t="s">
        <v>54</v>
      </c>
      <c r="T138" t="s">
        <v>54</v>
      </c>
      <c r="U138" t="s">
        <v>54</v>
      </c>
      <c r="V138" t="s">
        <v>54</v>
      </c>
      <c r="W138" t="s">
        <v>54</v>
      </c>
      <c r="X138" s="23" t="s">
        <v>54</v>
      </c>
      <c r="Y138" s="23" t="s">
        <v>54</v>
      </c>
      <c r="Z138" s="23" t="s">
        <v>54</v>
      </c>
      <c r="AA138" s="23" t="s">
        <v>54</v>
      </c>
      <c r="AB138" t="s">
        <v>54</v>
      </c>
      <c r="AC138" t="s">
        <v>54</v>
      </c>
      <c r="AD138" t="s">
        <v>54</v>
      </c>
      <c r="AE138" t="s">
        <v>54</v>
      </c>
      <c r="AF138" s="23" t="s">
        <v>54</v>
      </c>
      <c r="AG138" s="23" t="s">
        <v>54</v>
      </c>
      <c r="AH138" s="23" t="s">
        <v>54</v>
      </c>
      <c r="AI138" s="23" t="s">
        <v>54</v>
      </c>
      <c r="AJ138">
        <v>0</v>
      </c>
      <c r="AK138">
        <v>0</v>
      </c>
      <c r="AL138">
        <v>0</v>
      </c>
      <c r="AM138">
        <v>0</v>
      </c>
      <c r="AN138" s="23" t="s">
        <v>54</v>
      </c>
      <c r="AO138" s="23" t="s">
        <v>54</v>
      </c>
      <c r="AP138" s="23" t="s">
        <v>54</v>
      </c>
      <c r="AQ138" s="23" t="s">
        <v>54</v>
      </c>
      <c r="AR138" s="35">
        <v>0</v>
      </c>
      <c r="AS138" s="35">
        <v>0</v>
      </c>
      <c r="AT138" s="35">
        <v>0</v>
      </c>
      <c r="AU138" s="31" t="str">
        <f t="shared" si="5"/>
        <v>库存为0</v>
      </c>
      <c r="AV138" s="36" t="str">
        <f>IFERROR($A$2+AU138,"上周无销量")</f>
        <v>上周无销量</v>
      </c>
    </row>
    <row r="139" spans="1:48">
      <c r="A139" s="21" t="s">
        <v>326</v>
      </c>
      <c r="B139" t="s">
        <v>327</v>
      </c>
      <c r="C139" t="s">
        <v>277</v>
      </c>
      <c r="D139" s="31">
        <v>0</v>
      </c>
      <c r="E139" s="31">
        <v>0</v>
      </c>
      <c r="F139" s="31">
        <v>0</v>
      </c>
      <c r="G139" s="31">
        <v>0</v>
      </c>
      <c r="H139" s="32">
        <v>0</v>
      </c>
      <c r="I139">
        <v>0</v>
      </c>
      <c r="J139" s="33">
        <v>0</v>
      </c>
      <c r="K139" s="33">
        <v>0</v>
      </c>
      <c r="L139" s="33">
        <v>0</v>
      </c>
      <c r="M139">
        <v>0</v>
      </c>
      <c r="N139">
        <v>0</v>
      </c>
      <c r="O139">
        <v>0</v>
      </c>
      <c r="P139" t="s">
        <v>54</v>
      </c>
      <c r="Q139" t="s">
        <v>54</v>
      </c>
      <c r="R139" t="s">
        <v>54</v>
      </c>
      <c r="S139" t="s">
        <v>54</v>
      </c>
      <c r="T139" t="s">
        <v>54</v>
      </c>
      <c r="U139" t="s">
        <v>54</v>
      </c>
      <c r="V139" t="s">
        <v>54</v>
      </c>
      <c r="W139" t="s">
        <v>54</v>
      </c>
      <c r="X139" s="23" t="s">
        <v>54</v>
      </c>
      <c r="Y139" s="23" t="s">
        <v>54</v>
      </c>
      <c r="Z139" s="23" t="s">
        <v>54</v>
      </c>
      <c r="AA139" s="23" t="s">
        <v>54</v>
      </c>
      <c r="AB139" t="s">
        <v>54</v>
      </c>
      <c r="AC139" t="s">
        <v>54</v>
      </c>
      <c r="AD139" t="s">
        <v>54</v>
      </c>
      <c r="AE139" t="s">
        <v>54</v>
      </c>
      <c r="AF139" s="23" t="s">
        <v>54</v>
      </c>
      <c r="AG139" s="23" t="s">
        <v>54</v>
      </c>
      <c r="AH139" s="23" t="s">
        <v>54</v>
      </c>
      <c r="AI139" s="23" t="s">
        <v>54</v>
      </c>
      <c r="AJ139">
        <v>0</v>
      </c>
      <c r="AK139">
        <v>0</v>
      </c>
      <c r="AL139">
        <v>0</v>
      </c>
      <c r="AM139">
        <v>0</v>
      </c>
      <c r="AN139" s="23" t="s">
        <v>54</v>
      </c>
      <c r="AO139" s="23" t="s">
        <v>54</v>
      </c>
      <c r="AP139" s="23" t="s">
        <v>54</v>
      </c>
      <c r="AQ139" s="23" t="s">
        <v>54</v>
      </c>
      <c r="AR139" s="35">
        <v>0</v>
      </c>
      <c r="AS139" s="35">
        <v>0</v>
      </c>
      <c r="AT139" s="35">
        <v>0</v>
      </c>
      <c r="AU139" s="31" t="str">
        <f t="shared" si="5"/>
        <v>库存为0</v>
      </c>
      <c r="AV139" s="36" t="str">
        <f>IFERROR($A$2+AU139,"上周无销量")</f>
        <v>上周无销量</v>
      </c>
    </row>
    <row r="140" spans="1:48">
      <c r="A140" s="21" t="s">
        <v>328</v>
      </c>
      <c r="B140" t="s">
        <v>329</v>
      </c>
      <c r="C140" t="s">
        <v>277</v>
      </c>
      <c r="D140" s="31">
        <v>0</v>
      </c>
      <c r="E140" s="31">
        <v>0</v>
      </c>
      <c r="F140" s="31">
        <v>0</v>
      </c>
      <c r="G140" s="31">
        <v>0</v>
      </c>
      <c r="H140" s="32">
        <v>0</v>
      </c>
      <c r="I140">
        <v>0</v>
      </c>
      <c r="J140" s="33">
        <v>0</v>
      </c>
      <c r="K140" s="33">
        <v>0</v>
      </c>
      <c r="L140" s="33">
        <v>0</v>
      </c>
      <c r="M140">
        <v>0</v>
      </c>
      <c r="N140">
        <v>0</v>
      </c>
      <c r="O140">
        <v>0</v>
      </c>
      <c r="P140" t="s">
        <v>54</v>
      </c>
      <c r="Q140" t="s">
        <v>54</v>
      </c>
      <c r="R140" t="s">
        <v>54</v>
      </c>
      <c r="S140" t="s">
        <v>54</v>
      </c>
      <c r="T140" t="s">
        <v>54</v>
      </c>
      <c r="U140" t="s">
        <v>54</v>
      </c>
      <c r="V140" t="s">
        <v>54</v>
      </c>
      <c r="W140" t="s">
        <v>54</v>
      </c>
      <c r="X140" s="23" t="s">
        <v>54</v>
      </c>
      <c r="Y140" s="23" t="s">
        <v>54</v>
      </c>
      <c r="Z140" s="23" t="s">
        <v>54</v>
      </c>
      <c r="AA140" s="23" t="s">
        <v>54</v>
      </c>
      <c r="AB140" t="s">
        <v>54</v>
      </c>
      <c r="AC140" t="s">
        <v>54</v>
      </c>
      <c r="AD140" t="s">
        <v>54</v>
      </c>
      <c r="AE140" t="s">
        <v>54</v>
      </c>
      <c r="AF140" s="23" t="s">
        <v>54</v>
      </c>
      <c r="AG140" s="23" t="s">
        <v>54</v>
      </c>
      <c r="AH140" s="23" t="s">
        <v>54</v>
      </c>
      <c r="AI140" s="23" t="s">
        <v>54</v>
      </c>
      <c r="AJ140">
        <v>0</v>
      </c>
      <c r="AK140">
        <v>0</v>
      </c>
      <c r="AL140">
        <v>0</v>
      </c>
      <c r="AM140">
        <v>0</v>
      </c>
      <c r="AN140" s="23" t="s">
        <v>54</v>
      </c>
      <c r="AO140" s="23" t="s">
        <v>54</v>
      </c>
      <c r="AP140" s="23" t="s">
        <v>54</v>
      </c>
      <c r="AQ140" s="23" t="s">
        <v>54</v>
      </c>
      <c r="AR140" s="35">
        <v>0</v>
      </c>
      <c r="AS140" s="35">
        <v>0</v>
      </c>
      <c r="AT140" s="35">
        <v>0</v>
      </c>
      <c r="AU140" s="31" t="str">
        <f t="shared" si="5"/>
        <v>库存为0</v>
      </c>
      <c r="AV140" s="36" t="str">
        <f>IFERROR($A$2+AU140,"上周无销量")</f>
        <v>上周无销量</v>
      </c>
    </row>
    <row r="141" spans="1:48">
      <c r="A141" s="21" t="s">
        <v>330</v>
      </c>
      <c r="B141" t="s">
        <v>331</v>
      </c>
      <c r="C141" t="s">
        <v>277</v>
      </c>
      <c r="D141" s="31">
        <v>0</v>
      </c>
      <c r="E141" s="31">
        <v>0</v>
      </c>
      <c r="F141" s="31">
        <v>0</v>
      </c>
      <c r="G141" s="31">
        <v>0</v>
      </c>
      <c r="H141" s="32">
        <v>0</v>
      </c>
      <c r="I141">
        <v>0</v>
      </c>
      <c r="J141" s="33">
        <v>0</v>
      </c>
      <c r="K141" s="33">
        <v>0</v>
      </c>
      <c r="L141" s="33">
        <v>0</v>
      </c>
      <c r="M141">
        <v>0</v>
      </c>
      <c r="N141">
        <v>0</v>
      </c>
      <c r="O141">
        <v>0</v>
      </c>
      <c r="P141" t="s">
        <v>54</v>
      </c>
      <c r="Q141" t="s">
        <v>54</v>
      </c>
      <c r="R141" t="s">
        <v>54</v>
      </c>
      <c r="S141" t="s">
        <v>54</v>
      </c>
      <c r="T141" t="s">
        <v>54</v>
      </c>
      <c r="U141" t="s">
        <v>54</v>
      </c>
      <c r="V141" t="s">
        <v>54</v>
      </c>
      <c r="W141" t="s">
        <v>54</v>
      </c>
      <c r="X141" s="23" t="s">
        <v>54</v>
      </c>
      <c r="Y141" s="23" t="s">
        <v>54</v>
      </c>
      <c r="Z141" s="23" t="s">
        <v>54</v>
      </c>
      <c r="AA141" s="23" t="s">
        <v>54</v>
      </c>
      <c r="AB141" t="s">
        <v>54</v>
      </c>
      <c r="AC141" t="s">
        <v>54</v>
      </c>
      <c r="AD141" t="s">
        <v>54</v>
      </c>
      <c r="AE141" t="s">
        <v>54</v>
      </c>
      <c r="AF141" s="23" t="s">
        <v>54</v>
      </c>
      <c r="AG141" s="23" t="s">
        <v>54</v>
      </c>
      <c r="AH141" s="23" t="s">
        <v>54</v>
      </c>
      <c r="AI141" s="23" t="s">
        <v>54</v>
      </c>
      <c r="AJ141">
        <v>0</v>
      </c>
      <c r="AK141">
        <v>0</v>
      </c>
      <c r="AL141">
        <v>0</v>
      </c>
      <c r="AM141">
        <v>0</v>
      </c>
      <c r="AN141" s="23" t="s">
        <v>54</v>
      </c>
      <c r="AO141" s="23" t="s">
        <v>54</v>
      </c>
      <c r="AP141" s="23" t="s">
        <v>54</v>
      </c>
      <c r="AQ141" s="23" t="s">
        <v>54</v>
      </c>
      <c r="AR141" s="35">
        <v>0</v>
      </c>
      <c r="AS141" s="35">
        <v>0</v>
      </c>
      <c r="AT141" s="35">
        <v>0</v>
      </c>
      <c r="AU141" s="31" t="str">
        <f t="shared" si="5"/>
        <v>库存为0</v>
      </c>
      <c r="AV141" s="36" t="str">
        <f>IFERROR($A$2+AU141,"上周无销量")</f>
        <v>上周无销量</v>
      </c>
    </row>
    <row r="142" spans="1:48">
      <c r="A142" s="21" t="s">
        <v>332</v>
      </c>
      <c r="B142" t="s">
        <v>333</v>
      </c>
      <c r="C142" t="s">
        <v>277</v>
      </c>
      <c r="D142" s="31">
        <v>0</v>
      </c>
      <c r="E142" s="31">
        <v>0</v>
      </c>
      <c r="F142" s="31">
        <v>0</v>
      </c>
      <c r="G142" s="31">
        <v>0</v>
      </c>
      <c r="H142" s="32">
        <v>0</v>
      </c>
      <c r="I142">
        <v>0</v>
      </c>
      <c r="J142" s="33">
        <v>0</v>
      </c>
      <c r="K142" s="33">
        <v>0</v>
      </c>
      <c r="L142" s="33">
        <v>0</v>
      </c>
      <c r="M142">
        <v>0</v>
      </c>
      <c r="N142">
        <v>0</v>
      </c>
      <c r="O142">
        <v>0</v>
      </c>
      <c r="P142" t="s">
        <v>54</v>
      </c>
      <c r="Q142" t="s">
        <v>54</v>
      </c>
      <c r="R142" t="s">
        <v>54</v>
      </c>
      <c r="S142" t="s">
        <v>54</v>
      </c>
      <c r="T142" t="s">
        <v>54</v>
      </c>
      <c r="U142" t="s">
        <v>54</v>
      </c>
      <c r="V142" t="s">
        <v>54</v>
      </c>
      <c r="W142" t="s">
        <v>54</v>
      </c>
      <c r="X142" s="23" t="s">
        <v>54</v>
      </c>
      <c r="Y142" s="23" t="s">
        <v>54</v>
      </c>
      <c r="Z142" s="23" t="s">
        <v>54</v>
      </c>
      <c r="AA142" s="23" t="s">
        <v>54</v>
      </c>
      <c r="AB142" t="s">
        <v>54</v>
      </c>
      <c r="AC142" t="s">
        <v>54</v>
      </c>
      <c r="AD142" t="s">
        <v>54</v>
      </c>
      <c r="AE142" t="s">
        <v>54</v>
      </c>
      <c r="AF142" s="23" t="s">
        <v>54</v>
      </c>
      <c r="AG142" s="23" t="s">
        <v>54</v>
      </c>
      <c r="AH142" s="23" t="s">
        <v>54</v>
      </c>
      <c r="AI142" s="23" t="s">
        <v>54</v>
      </c>
      <c r="AJ142">
        <v>0</v>
      </c>
      <c r="AK142">
        <v>0</v>
      </c>
      <c r="AL142">
        <v>0</v>
      </c>
      <c r="AM142">
        <v>0</v>
      </c>
      <c r="AN142" s="23" t="s">
        <v>54</v>
      </c>
      <c r="AO142" s="23" t="s">
        <v>54</v>
      </c>
      <c r="AP142" s="23" t="s">
        <v>54</v>
      </c>
      <c r="AQ142" s="23" t="s">
        <v>54</v>
      </c>
      <c r="AR142" s="35">
        <v>0</v>
      </c>
      <c r="AS142" s="35">
        <v>0</v>
      </c>
      <c r="AT142" s="35">
        <v>0</v>
      </c>
      <c r="AU142" s="31" t="str">
        <f t="shared" si="5"/>
        <v>库存为0</v>
      </c>
      <c r="AV142" s="36" t="str">
        <f>IFERROR($A$2+AU142,"上周无销量")</f>
        <v>上周无销量</v>
      </c>
    </row>
    <row r="143" spans="1:48">
      <c r="A143" s="21" t="s">
        <v>334</v>
      </c>
      <c r="B143" t="s">
        <v>335</v>
      </c>
      <c r="C143" t="s">
        <v>277</v>
      </c>
      <c r="D143" s="31">
        <v>0</v>
      </c>
      <c r="E143" s="31">
        <v>0</v>
      </c>
      <c r="F143" s="31">
        <v>0</v>
      </c>
      <c r="G143" s="31">
        <v>0</v>
      </c>
      <c r="H143" s="32">
        <v>0</v>
      </c>
      <c r="I143">
        <v>0</v>
      </c>
      <c r="J143" s="33">
        <v>0</v>
      </c>
      <c r="K143" s="33">
        <v>0</v>
      </c>
      <c r="L143" s="33">
        <v>0</v>
      </c>
      <c r="M143">
        <v>0</v>
      </c>
      <c r="N143">
        <v>0</v>
      </c>
      <c r="O143">
        <v>0</v>
      </c>
      <c r="P143" t="s">
        <v>54</v>
      </c>
      <c r="Q143" t="s">
        <v>54</v>
      </c>
      <c r="R143" t="s">
        <v>54</v>
      </c>
      <c r="S143" t="s">
        <v>54</v>
      </c>
      <c r="T143" t="s">
        <v>54</v>
      </c>
      <c r="U143" t="s">
        <v>54</v>
      </c>
      <c r="V143" t="s">
        <v>54</v>
      </c>
      <c r="W143" t="s">
        <v>54</v>
      </c>
      <c r="X143" s="23" t="s">
        <v>54</v>
      </c>
      <c r="Y143" s="23" t="s">
        <v>54</v>
      </c>
      <c r="Z143" s="23" t="s">
        <v>54</v>
      </c>
      <c r="AA143" s="23" t="s">
        <v>54</v>
      </c>
      <c r="AB143" t="s">
        <v>54</v>
      </c>
      <c r="AC143" t="s">
        <v>54</v>
      </c>
      <c r="AD143" t="s">
        <v>54</v>
      </c>
      <c r="AE143" t="s">
        <v>54</v>
      </c>
      <c r="AF143" s="23" t="s">
        <v>54</v>
      </c>
      <c r="AG143" s="23" t="s">
        <v>54</v>
      </c>
      <c r="AH143" s="23" t="s">
        <v>54</v>
      </c>
      <c r="AI143" s="23" t="s">
        <v>54</v>
      </c>
      <c r="AJ143">
        <v>0</v>
      </c>
      <c r="AK143">
        <v>0</v>
      </c>
      <c r="AL143">
        <v>0</v>
      </c>
      <c r="AM143">
        <v>0</v>
      </c>
      <c r="AN143" s="23" t="s">
        <v>54</v>
      </c>
      <c r="AO143" s="23" t="s">
        <v>54</v>
      </c>
      <c r="AP143" s="23" t="s">
        <v>54</v>
      </c>
      <c r="AQ143" s="23" t="s">
        <v>54</v>
      </c>
      <c r="AR143" s="35">
        <v>0</v>
      </c>
      <c r="AS143" s="35">
        <v>0</v>
      </c>
      <c r="AT143" s="35">
        <v>0</v>
      </c>
      <c r="AU143" s="31" t="str">
        <f t="shared" si="5"/>
        <v>库存为0</v>
      </c>
      <c r="AV143" s="36" t="str">
        <f>IFERROR($A$2+AU143,"上周无销量")</f>
        <v>上周无销量</v>
      </c>
    </row>
    <row r="144" spans="1:48">
      <c r="A144" s="21" t="s">
        <v>336</v>
      </c>
      <c r="B144" t="s">
        <v>337</v>
      </c>
      <c r="C144" t="s">
        <v>277</v>
      </c>
      <c r="D144" s="31">
        <v>0</v>
      </c>
      <c r="E144" s="31">
        <v>0</v>
      </c>
      <c r="F144" s="31">
        <v>0</v>
      </c>
      <c r="G144" s="31">
        <v>0</v>
      </c>
      <c r="H144" s="32">
        <v>0</v>
      </c>
      <c r="I144">
        <v>0</v>
      </c>
      <c r="J144" s="33">
        <v>0</v>
      </c>
      <c r="K144" s="33">
        <v>0</v>
      </c>
      <c r="L144" s="33">
        <v>0</v>
      </c>
      <c r="M144">
        <v>0</v>
      </c>
      <c r="N144">
        <v>0</v>
      </c>
      <c r="O144">
        <v>0</v>
      </c>
      <c r="P144" t="s">
        <v>54</v>
      </c>
      <c r="Q144" t="s">
        <v>54</v>
      </c>
      <c r="R144" t="s">
        <v>54</v>
      </c>
      <c r="S144" t="s">
        <v>54</v>
      </c>
      <c r="T144" t="s">
        <v>54</v>
      </c>
      <c r="U144" t="s">
        <v>54</v>
      </c>
      <c r="V144" t="s">
        <v>54</v>
      </c>
      <c r="W144" t="s">
        <v>54</v>
      </c>
      <c r="X144" s="23" t="s">
        <v>54</v>
      </c>
      <c r="Y144" s="23" t="s">
        <v>54</v>
      </c>
      <c r="Z144" s="23" t="s">
        <v>54</v>
      </c>
      <c r="AA144" s="23" t="s">
        <v>54</v>
      </c>
      <c r="AB144" t="s">
        <v>54</v>
      </c>
      <c r="AC144" t="s">
        <v>54</v>
      </c>
      <c r="AD144" t="s">
        <v>54</v>
      </c>
      <c r="AE144" t="s">
        <v>54</v>
      </c>
      <c r="AF144" s="23" t="s">
        <v>54</v>
      </c>
      <c r="AG144" s="23" t="s">
        <v>54</v>
      </c>
      <c r="AH144" s="23" t="s">
        <v>54</v>
      </c>
      <c r="AI144" s="23" t="s">
        <v>54</v>
      </c>
      <c r="AJ144">
        <v>0</v>
      </c>
      <c r="AK144">
        <v>0</v>
      </c>
      <c r="AL144">
        <v>0</v>
      </c>
      <c r="AM144">
        <v>0</v>
      </c>
      <c r="AN144" s="23" t="s">
        <v>54</v>
      </c>
      <c r="AO144" s="23" t="s">
        <v>54</v>
      </c>
      <c r="AP144" s="23" t="s">
        <v>54</v>
      </c>
      <c r="AQ144" s="23" t="s">
        <v>54</v>
      </c>
      <c r="AR144" s="35">
        <v>0</v>
      </c>
      <c r="AS144" s="35">
        <v>0</v>
      </c>
      <c r="AT144" s="35">
        <v>0</v>
      </c>
      <c r="AU144" s="31" t="str">
        <f t="shared" si="5"/>
        <v>库存为0</v>
      </c>
      <c r="AV144" s="36" t="str">
        <f>IFERROR($A$2+AU144,"上周无销量")</f>
        <v>上周无销量</v>
      </c>
    </row>
    <row r="145" spans="1:48">
      <c r="A145" s="21" t="s">
        <v>338</v>
      </c>
      <c r="B145" t="s">
        <v>339</v>
      </c>
      <c r="C145" t="s">
        <v>277</v>
      </c>
      <c r="D145" s="31">
        <v>0</v>
      </c>
      <c r="E145" s="31">
        <v>0</v>
      </c>
      <c r="F145" s="31">
        <v>0</v>
      </c>
      <c r="G145" s="31">
        <v>0</v>
      </c>
      <c r="H145" s="32">
        <v>0</v>
      </c>
      <c r="I145">
        <v>0</v>
      </c>
      <c r="J145" s="33">
        <v>0</v>
      </c>
      <c r="K145" s="33">
        <v>0</v>
      </c>
      <c r="L145" s="33">
        <v>0</v>
      </c>
      <c r="M145">
        <v>0</v>
      </c>
      <c r="N145">
        <v>0</v>
      </c>
      <c r="O145">
        <v>0</v>
      </c>
      <c r="P145" t="s">
        <v>54</v>
      </c>
      <c r="Q145" t="s">
        <v>54</v>
      </c>
      <c r="R145" t="s">
        <v>54</v>
      </c>
      <c r="S145" t="s">
        <v>54</v>
      </c>
      <c r="T145" t="s">
        <v>54</v>
      </c>
      <c r="U145" t="s">
        <v>54</v>
      </c>
      <c r="V145" t="s">
        <v>54</v>
      </c>
      <c r="W145" t="s">
        <v>54</v>
      </c>
      <c r="X145" s="23" t="s">
        <v>54</v>
      </c>
      <c r="Y145" s="23" t="s">
        <v>54</v>
      </c>
      <c r="Z145" s="23" t="s">
        <v>54</v>
      </c>
      <c r="AA145" s="23" t="s">
        <v>54</v>
      </c>
      <c r="AB145" t="s">
        <v>54</v>
      </c>
      <c r="AC145" t="s">
        <v>54</v>
      </c>
      <c r="AD145" t="s">
        <v>54</v>
      </c>
      <c r="AE145" t="s">
        <v>54</v>
      </c>
      <c r="AF145" s="23" t="s">
        <v>54</v>
      </c>
      <c r="AG145" s="23" t="s">
        <v>54</v>
      </c>
      <c r="AH145" s="23" t="s">
        <v>54</v>
      </c>
      <c r="AI145" s="23" t="s">
        <v>54</v>
      </c>
      <c r="AJ145">
        <v>0</v>
      </c>
      <c r="AK145">
        <v>0</v>
      </c>
      <c r="AL145">
        <v>0</v>
      </c>
      <c r="AM145">
        <v>0</v>
      </c>
      <c r="AN145" s="23" t="s">
        <v>54</v>
      </c>
      <c r="AO145" s="23" t="s">
        <v>54</v>
      </c>
      <c r="AP145" s="23" t="s">
        <v>54</v>
      </c>
      <c r="AQ145" s="23" t="s">
        <v>54</v>
      </c>
      <c r="AR145" s="35">
        <v>0</v>
      </c>
      <c r="AS145" s="35">
        <v>0</v>
      </c>
      <c r="AT145" s="35">
        <v>0</v>
      </c>
      <c r="AU145" s="31" t="str">
        <f t="shared" si="5"/>
        <v>库存为0</v>
      </c>
      <c r="AV145" s="36" t="str">
        <f>IFERROR($A$2+AU145,"上周无销量")</f>
        <v>上周无销量</v>
      </c>
    </row>
    <row r="146" spans="1:48">
      <c r="A146" s="21" t="s">
        <v>340</v>
      </c>
      <c r="B146" t="s">
        <v>341</v>
      </c>
      <c r="C146" t="s">
        <v>277</v>
      </c>
      <c r="D146" s="31">
        <v>0</v>
      </c>
      <c r="E146" s="31">
        <v>0</v>
      </c>
      <c r="F146" s="31">
        <v>0</v>
      </c>
      <c r="G146" s="31">
        <v>0</v>
      </c>
      <c r="H146" s="32">
        <v>0</v>
      </c>
      <c r="I146">
        <v>0</v>
      </c>
      <c r="J146" s="33">
        <v>0</v>
      </c>
      <c r="K146" s="33">
        <v>0</v>
      </c>
      <c r="L146" s="33">
        <v>0</v>
      </c>
      <c r="M146">
        <v>0</v>
      </c>
      <c r="N146">
        <v>0</v>
      </c>
      <c r="O146">
        <v>0</v>
      </c>
      <c r="P146" t="s">
        <v>54</v>
      </c>
      <c r="Q146" t="s">
        <v>54</v>
      </c>
      <c r="R146" t="s">
        <v>54</v>
      </c>
      <c r="S146" t="s">
        <v>54</v>
      </c>
      <c r="T146" t="s">
        <v>54</v>
      </c>
      <c r="U146" t="s">
        <v>54</v>
      </c>
      <c r="V146" t="s">
        <v>54</v>
      </c>
      <c r="W146" t="s">
        <v>54</v>
      </c>
      <c r="X146" s="23" t="s">
        <v>54</v>
      </c>
      <c r="Y146" s="23" t="s">
        <v>54</v>
      </c>
      <c r="Z146" s="23" t="s">
        <v>54</v>
      </c>
      <c r="AA146" s="23" t="s">
        <v>54</v>
      </c>
      <c r="AB146" t="s">
        <v>54</v>
      </c>
      <c r="AC146" t="s">
        <v>54</v>
      </c>
      <c r="AD146" t="s">
        <v>54</v>
      </c>
      <c r="AE146" t="s">
        <v>54</v>
      </c>
      <c r="AF146" s="23" t="s">
        <v>54</v>
      </c>
      <c r="AG146" s="23" t="s">
        <v>54</v>
      </c>
      <c r="AH146" s="23" t="s">
        <v>54</v>
      </c>
      <c r="AI146" s="23" t="s">
        <v>54</v>
      </c>
      <c r="AJ146">
        <v>0</v>
      </c>
      <c r="AK146">
        <v>0</v>
      </c>
      <c r="AL146">
        <v>0</v>
      </c>
      <c r="AM146">
        <v>0</v>
      </c>
      <c r="AN146" s="23" t="s">
        <v>54</v>
      </c>
      <c r="AO146" s="23" t="s">
        <v>54</v>
      </c>
      <c r="AP146" s="23" t="s">
        <v>54</v>
      </c>
      <c r="AQ146" s="23" t="s">
        <v>54</v>
      </c>
      <c r="AR146" s="35">
        <v>0</v>
      </c>
      <c r="AS146" s="35">
        <v>0</v>
      </c>
      <c r="AT146" s="35">
        <v>0</v>
      </c>
      <c r="AU146" s="31" t="str">
        <f t="shared" si="5"/>
        <v>库存为0</v>
      </c>
      <c r="AV146" s="36" t="str">
        <f>IFERROR($A$2+AU146,"上周无销量")</f>
        <v>上周无销量</v>
      </c>
    </row>
    <row r="147" spans="1:48">
      <c r="A147" s="21" t="s">
        <v>342</v>
      </c>
      <c r="B147" t="s">
        <v>343</v>
      </c>
      <c r="C147" t="s">
        <v>277</v>
      </c>
      <c r="D147" s="31">
        <v>0</v>
      </c>
      <c r="E147" s="31">
        <v>0</v>
      </c>
      <c r="F147" s="31">
        <v>0</v>
      </c>
      <c r="G147" s="31">
        <v>0</v>
      </c>
      <c r="H147" s="32">
        <v>0</v>
      </c>
      <c r="I147">
        <v>0</v>
      </c>
      <c r="J147" s="33">
        <v>0</v>
      </c>
      <c r="K147" s="33">
        <v>0</v>
      </c>
      <c r="L147" s="33">
        <v>0</v>
      </c>
      <c r="M147">
        <v>0</v>
      </c>
      <c r="N147">
        <v>0</v>
      </c>
      <c r="O147">
        <v>0</v>
      </c>
      <c r="P147" t="s">
        <v>54</v>
      </c>
      <c r="Q147" t="s">
        <v>54</v>
      </c>
      <c r="R147" t="s">
        <v>54</v>
      </c>
      <c r="S147" t="s">
        <v>54</v>
      </c>
      <c r="T147" t="s">
        <v>54</v>
      </c>
      <c r="U147" t="s">
        <v>54</v>
      </c>
      <c r="V147" t="s">
        <v>54</v>
      </c>
      <c r="W147" t="s">
        <v>54</v>
      </c>
      <c r="X147" s="23" t="s">
        <v>54</v>
      </c>
      <c r="Y147" s="23" t="s">
        <v>54</v>
      </c>
      <c r="Z147" s="23" t="s">
        <v>54</v>
      </c>
      <c r="AA147" s="23" t="s">
        <v>54</v>
      </c>
      <c r="AB147" t="s">
        <v>54</v>
      </c>
      <c r="AC147" t="s">
        <v>54</v>
      </c>
      <c r="AD147" t="s">
        <v>54</v>
      </c>
      <c r="AE147" t="s">
        <v>54</v>
      </c>
      <c r="AF147" s="23" t="s">
        <v>54</v>
      </c>
      <c r="AG147" s="23" t="s">
        <v>54</v>
      </c>
      <c r="AH147" s="23" t="s">
        <v>54</v>
      </c>
      <c r="AI147" s="23" t="s">
        <v>54</v>
      </c>
      <c r="AJ147">
        <v>0</v>
      </c>
      <c r="AK147">
        <v>0</v>
      </c>
      <c r="AL147">
        <v>0</v>
      </c>
      <c r="AM147">
        <v>0</v>
      </c>
      <c r="AN147" s="23" t="s">
        <v>54</v>
      </c>
      <c r="AO147" s="23" t="s">
        <v>54</v>
      </c>
      <c r="AP147" s="23" t="s">
        <v>54</v>
      </c>
      <c r="AQ147" s="23" t="s">
        <v>54</v>
      </c>
      <c r="AR147" s="35">
        <v>0</v>
      </c>
      <c r="AS147" s="35">
        <v>0</v>
      </c>
      <c r="AT147" s="35">
        <v>0</v>
      </c>
      <c r="AU147" s="31" t="str">
        <f t="shared" si="5"/>
        <v>库存为0</v>
      </c>
      <c r="AV147" s="36" t="str">
        <f>IFERROR($A$2+AU147,"上周无销量")</f>
        <v>上周无销量</v>
      </c>
    </row>
    <row r="148" spans="1:48">
      <c r="A148" s="21" t="s">
        <v>344</v>
      </c>
      <c r="B148" t="s">
        <v>345</v>
      </c>
      <c r="C148" t="s">
        <v>277</v>
      </c>
      <c r="D148" s="31">
        <v>0</v>
      </c>
      <c r="E148" s="31">
        <v>0</v>
      </c>
      <c r="F148" s="31">
        <v>0</v>
      </c>
      <c r="G148" s="31">
        <v>0</v>
      </c>
      <c r="H148" s="32">
        <v>0</v>
      </c>
      <c r="I148">
        <v>0</v>
      </c>
      <c r="J148" s="33">
        <v>0</v>
      </c>
      <c r="K148" s="33">
        <v>0</v>
      </c>
      <c r="L148" s="33">
        <v>0</v>
      </c>
      <c r="M148">
        <v>0</v>
      </c>
      <c r="N148">
        <v>0</v>
      </c>
      <c r="O148">
        <v>0</v>
      </c>
      <c r="P148" t="s">
        <v>54</v>
      </c>
      <c r="Q148" t="s">
        <v>54</v>
      </c>
      <c r="R148" t="s">
        <v>54</v>
      </c>
      <c r="S148" t="s">
        <v>54</v>
      </c>
      <c r="T148" t="s">
        <v>54</v>
      </c>
      <c r="U148" t="s">
        <v>54</v>
      </c>
      <c r="V148" t="s">
        <v>54</v>
      </c>
      <c r="W148" t="s">
        <v>54</v>
      </c>
      <c r="X148" s="23" t="s">
        <v>54</v>
      </c>
      <c r="Y148" s="23" t="s">
        <v>54</v>
      </c>
      <c r="Z148" s="23" t="s">
        <v>54</v>
      </c>
      <c r="AA148" s="23" t="s">
        <v>54</v>
      </c>
      <c r="AB148" t="s">
        <v>54</v>
      </c>
      <c r="AC148" t="s">
        <v>54</v>
      </c>
      <c r="AD148" t="s">
        <v>54</v>
      </c>
      <c r="AE148" t="s">
        <v>54</v>
      </c>
      <c r="AF148" s="23" t="s">
        <v>54</v>
      </c>
      <c r="AG148" s="23" t="s">
        <v>54</v>
      </c>
      <c r="AH148" s="23" t="s">
        <v>54</v>
      </c>
      <c r="AI148" s="23" t="s">
        <v>54</v>
      </c>
      <c r="AJ148">
        <v>0</v>
      </c>
      <c r="AK148">
        <v>0</v>
      </c>
      <c r="AL148">
        <v>0</v>
      </c>
      <c r="AM148">
        <v>0</v>
      </c>
      <c r="AN148" s="23" t="s">
        <v>54</v>
      </c>
      <c r="AO148" s="23" t="s">
        <v>54</v>
      </c>
      <c r="AP148" s="23" t="s">
        <v>54</v>
      </c>
      <c r="AQ148" s="23" t="s">
        <v>54</v>
      </c>
      <c r="AR148" s="35">
        <v>0</v>
      </c>
      <c r="AS148" s="35">
        <v>0</v>
      </c>
      <c r="AT148" s="35">
        <v>0</v>
      </c>
      <c r="AU148" s="31" t="str">
        <f t="shared" si="5"/>
        <v>库存为0</v>
      </c>
      <c r="AV148" s="36" t="str">
        <f>IFERROR($A$2+AU148,"上周无销量")</f>
        <v>上周无销量</v>
      </c>
    </row>
    <row r="149" spans="1:48">
      <c r="A149" s="21" t="s">
        <v>346</v>
      </c>
      <c r="B149" t="s">
        <v>347</v>
      </c>
      <c r="C149" t="s">
        <v>277</v>
      </c>
      <c r="D149" s="31">
        <v>0</v>
      </c>
      <c r="E149" s="31">
        <v>0</v>
      </c>
      <c r="F149" s="31">
        <v>0</v>
      </c>
      <c r="G149" s="31">
        <v>0</v>
      </c>
      <c r="H149" s="32">
        <v>0</v>
      </c>
      <c r="I149">
        <v>0</v>
      </c>
      <c r="J149" s="33">
        <v>0</v>
      </c>
      <c r="K149" s="33">
        <v>0</v>
      </c>
      <c r="L149" s="33">
        <v>0</v>
      </c>
      <c r="M149">
        <v>0</v>
      </c>
      <c r="N149">
        <v>0</v>
      </c>
      <c r="O149">
        <v>0</v>
      </c>
      <c r="P149" t="s">
        <v>54</v>
      </c>
      <c r="Q149" t="s">
        <v>54</v>
      </c>
      <c r="R149" t="s">
        <v>54</v>
      </c>
      <c r="S149" t="s">
        <v>54</v>
      </c>
      <c r="T149" t="s">
        <v>54</v>
      </c>
      <c r="U149" t="s">
        <v>54</v>
      </c>
      <c r="V149" t="s">
        <v>54</v>
      </c>
      <c r="W149" t="s">
        <v>54</v>
      </c>
      <c r="X149" s="23" t="s">
        <v>54</v>
      </c>
      <c r="Y149" s="23" t="s">
        <v>54</v>
      </c>
      <c r="Z149" s="23" t="s">
        <v>54</v>
      </c>
      <c r="AA149" s="23" t="s">
        <v>54</v>
      </c>
      <c r="AB149" t="s">
        <v>54</v>
      </c>
      <c r="AC149" t="s">
        <v>54</v>
      </c>
      <c r="AD149" t="s">
        <v>54</v>
      </c>
      <c r="AE149" t="s">
        <v>54</v>
      </c>
      <c r="AF149" s="23" t="s">
        <v>54</v>
      </c>
      <c r="AG149" s="23" t="s">
        <v>54</v>
      </c>
      <c r="AH149" s="23" t="s">
        <v>54</v>
      </c>
      <c r="AI149" s="23" t="s">
        <v>54</v>
      </c>
      <c r="AJ149">
        <v>0</v>
      </c>
      <c r="AK149">
        <v>0</v>
      </c>
      <c r="AL149">
        <v>0</v>
      </c>
      <c r="AM149">
        <v>0</v>
      </c>
      <c r="AN149" s="23" t="s">
        <v>54</v>
      </c>
      <c r="AO149" s="23" t="s">
        <v>54</v>
      </c>
      <c r="AP149" s="23" t="s">
        <v>54</v>
      </c>
      <c r="AQ149" s="23" t="s">
        <v>54</v>
      </c>
      <c r="AR149" s="35">
        <v>0</v>
      </c>
      <c r="AS149" s="35">
        <v>0</v>
      </c>
      <c r="AT149" s="35">
        <v>0</v>
      </c>
      <c r="AU149" s="31" t="str">
        <f t="shared" si="5"/>
        <v>库存为0</v>
      </c>
      <c r="AV149" s="36" t="str">
        <f>IFERROR($A$2+AU149,"上周无销量")</f>
        <v>上周无销量</v>
      </c>
    </row>
    <row r="150" spans="1:48">
      <c r="A150" s="21" t="s">
        <v>348</v>
      </c>
      <c r="B150" t="s">
        <v>349</v>
      </c>
      <c r="C150" t="s">
        <v>277</v>
      </c>
      <c r="D150" s="31">
        <v>0</v>
      </c>
      <c r="E150" s="31">
        <v>0</v>
      </c>
      <c r="F150" s="31">
        <v>0</v>
      </c>
      <c r="G150" s="31">
        <v>0</v>
      </c>
      <c r="H150" s="32">
        <v>0</v>
      </c>
      <c r="I150">
        <v>0</v>
      </c>
      <c r="J150" s="33">
        <v>0</v>
      </c>
      <c r="K150" s="33">
        <v>0</v>
      </c>
      <c r="L150" s="33">
        <v>0</v>
      </c>
      <c r="M150">
        <v>0</v>
      </c>
      <c r="N150">
        <v>0</v>
      </c>
      <c r="O150">
        <v>0</v>
      </c>
      <c r="P150" t="s">
        <v>54</v>
      </c>
      <c r="Q150" t="s">
        <v>54</v>
      </c>
      <c r="R150" t="s">
        <v>54</v>
      </c>
      <c r="S150" t="s">
        <v>54</v>
      </c>
      <c r="T150" t="s">
        <v>54</v>
      </c>
      <c r="U150" t="s">
        <v>54</v>
      </c>
      <c r="V150" t="s">
        <v>54</v>
      </c>
      <c r="W150" t="s">
        <v>54</v>
      </c>
      <c r="X150" s="23" t="s">
        <v>54</v>
      </c>
      <c r="Y150" s="23" t="s">
        <v>54</v>
      </c>
      <c r="Z150" s="23" t="s">
        <v>54</v>
      </c>
      <c r="AA150" s="23" t="s">
        <v>54</v>
      </c>
      <c r="AB150" t="s">
        <v>54</v>
      </c>
      <c r="AC150" t="s">
        <v>54</v>
      </c>
      <c r="AD150" t="s">
        <v>54</v>
      </c>
      <c r="AE150" t="s">
        <v>54</v>
      </c>
      <c r="AF150" s="23" t="s">
        <v>54</v>
      </c>
      <c r="AG150" s="23" t="s">
        <v>54</v>
      </c>
      <c r="AH150" s="23" t="s">
        <v>54</v>
      </c>
      <c r="AI150" s="23" t="s">
        <v>54</v>
      </c>
      <c r="AJ150">
        <v>0</v>
      </c>
      <c r="AK150">
        <v>0</v>
      </c>
      <c r="AL150">
        <v>0</v>
      </c>
      <c r="AM150">
        <v>0</v>
      </c>
      <c r="AN150" s="23" t="s">
        <v>54</v>
      </c>
      <c r="AO150" s="23" t="s">
        <v>54</v>
      </c>
      <c r="AP150" s="23" t="s">
        <v>54</v>
      </c>
      <c r="AQ150" s="23" t="s">
        <v>54</v>
      </c>
      <c r="AR150" s="35">
        <v>0</v>
      </c>
      <c r="AS150" s="35">
        <v>0</v>
      </c>
      <c r="AT150" s="35">
        <v>0</v>
      </c>
      <c r="AU150" s="31" t="str">
        <f t="shared" si="5"/>
        <v>库存为0</v>
      </c>
      <c r="AV150" s="36" t="str">
        <f>IFERROR($A$2+AU150,"上周无销量")</f>
        <v>上周无销量</v>
      </c>
    </row>
    <row r="151" spans="1:48">
      <c r="A151" s="21" t="s">
        <v>350</v>
      </c>
      <c r="B151" t="s">
        <v>351</v>
      </c>
      <c r="C151" t="s">
        <v>277</v>
      </c>
      <c r="D151" s="31">
        <v>0</v>
      </c>
      <c r="E151" s="31">
        <v>0</v>
      </c>
      <c r="F151" s="31">
        <v>0</v>
      </c>
      <c r="G151" s="31">
        <v>0</v>
      </c>
      <c r="H151" s="32">
        <v>0</v>
      </c>
      <c r="I151">
        <v>0</v>
      </c>
      <c r="J151" s="33">
        <v>0</v>
      </c>
      <c r="K151" s="33">
        <v>0</v>
      </c>
      <c r="L151" s="33">
        <v>0</v>
      </c>
      <c r="M151">
        <v>0</v>
      </c>
      <c r="N151">
        <v>0</v>
      </c>
      <c r="O151">
        <v>0</v>
      </c>
      <c r="P151" t="s">
        <v>54</v>
      </c>
      <c r="Q151" t="s">
        <v>54</v>
      </c>
      <c r="R151" t="s">
        <v>54</v>
      </c>
      <c r="S151" t="s">
        <v>54</v>
      </c>
      <c r="T151" t="s">
        <v>54</v>
      </c>
      <c r="U151" t="s">
        <v>54</v>
      </c>
      <c r="V151" t="s">
        <v>54</v>
      </c>
      <c r="W151" t="s">
        <v>54</v>
      </c>
      <c r="X151" s="23" t="s">
        <v>54</v>
      </c>
      <c r="Y151" s="23" t="s">
        <v>54</v>
      </c>
      <c r="Z151" s="23" t="s">
        <v>54</v>
      </c>
      <c r="AA151" s="23" t="s">
        <v>54</v>
      </c>
      <c r="AB151" t="s">
        <v>54</v>
      </c>
      <c r="AC151" t="s">
        <v>54</v>
      </c>
      <c r="AD151" t="s">
        <v>54</v>
      </c>
      <c r="AE151" t="s">
        <v>54</v>
      </c>
      <c r="AF151" s="23" t="s">
        <v>54</v>
      </c>
      <c r="AG151" s="23" t="s">
        <v>54</v>
      </c>
      <c r="AH151" s="23" t="s">
        <v>54</v>
      </c>
      <c r="AI151" s="23" t="s">
        <v>54</v>
      </c>
      <c r="AJ151">
        <v>0</v>
      </c>
      <c r="AK151">
        <v>0</v>
      </c>
      <c r="AL151">
        <v>0</v>
      </c>
      <c r="AM151">
        <v>0</v>
      </c>
      <c r="AN151" s="23" t="s">
        <v>54</v>
      </c>
      <c r="AO151" s="23" t="s">
        <v>54</v>
      </c>
      <c r="AP151" s="23" t="s">
        <v>54</v>
      </c>
      <c r="AQ151" s="23" t="s">
        <v>54</v>
      </c>
      <c r="AR151" s="35">
        <v>0</v>
      </c>
      <c r="AS151" s="35">
        <v>0</v>
      </c>
      <c r="AT151" s="35">
        <v>0</v>
      </c>
      <c r="AU151" s="31" t="str">
        <f t="shared" si="5"/>
        <v>库存为0</v>
      </c>
      <c r="AV151" s="36" t="str">
        <f>IFERROR($A$2+AU151,"上周无销量")</f>
        <v>上周无销量</v>
      </c>
    </row>
    <row r="152" spans="1:48">
      <c r="A152" s="21" t="s">
        <v>352</v>
      </c>
      <c r="B152" t="s">
        <v>353</v>
      </c>
      <c r="C152" t="s">
        <v>277</v>
      </c>
      <c r="D152" s="31">
        <v>0</v>
      </c>
      <c r="E152" s="31">
        <v>0</v>
      </c>
      <c r="F152" s="31">
        <v>0</v>
      </c>
      <c r="G152" s="31">
        <v>0</v>
      </c>
      <c r="H152" s="32">
        <v>0</v>
      </c>
      <c r="I152">
        <v>0</v>
      </c>
      <c r="J152" s="33">
        <v>0</v>
      </c>
      <c r="K152" s="33">
        <v>0</v>
      </c>
      <c r="L152" s="33">
        <v>0</v>
      </c>
      <c r="M152">
        <v>0</v>
      </c>
      <c r="N152">
        <v>0</v>
      </c>
      <c r="O152">
        <v>0</v>
      </c>
      <c r="P152" t="s">
        <v>54</v>
      </c>
      <c r="Q152" t="s">
        <v>54</v>
      </c>
      <c r="R152" t="s">
        <v>54</v>
      </c>
      <c r="S152" t="s">
        <v>54</v>
      </c>
      <c r="T152" t="s">
        <v>54</v>
      </c>
      <c r="U152" t="s">
        <v>54</v>
      </c>
      <c r="V152" t="s">
        <v>54</v>
      </c>
      <c r="W152" t="s">
        <v>54</v>
      </c>
      <c r="X152" s="23" t="s">
        <v>54</v>
      </c>
      <c r="Y152" s="23" t="s">
        <v>54</v>
      </c>
      <c r="Z152" s="23" t="s">
        <v>54</v>
      </c>
      <c r="AA152" s="23" t="s">
        <v>54</v>
      </c>
      <c r="AB152" t="s">
        <v>54</v>
      </c>
      <c r="AC152" t="s">
        <v>54</v>
      </c>
      <c r="AD152" t="s">
        <v>54</v>
      </c>
      <c r="AE152" t="s">
        <v>54</v>
      </c>
      <c r="AF152" s="23" t="s">
        <v>54</v>
      </c>
      <c r="AG152" s="23" t="s">
        <v>54</v>
      </c>
      <c r="AH152" s="23" t="s">
        <v>54</v>
      </c>
      <c r="AI152" s="23" t="s">
        <v>54</v>
      </c>
      <c r="AJ152">
        <v>0</v>
      </c>
      <c r="AK152">
        <v>0</v>
      </c>
      <c r="AL152">
        <v>0</v>
      </c>
      <c r="AM152">
        <v>0</v>
      </c>
      <c r="AN152" s="23" t="s">
        <v>54</v>
      </c>
      <c r="AO152" s="23" t="s">
        <v>54</v>
      </c>
      <c r="AP152" s="23" t="s">
        <v>54</v>
      </c>
      <c r="AQ152" s="23" t="s">
        <v>54</v>
      </c>
      <c r="AR152" s="35">
        <v>0</v>
      </c>
      <c r="AS152" s="35">
        <v>0</v>
      </c>
      <c r="AT152" s="35">
        <v>0</v>
      </c>
      <c r="AU152" s="31" t="str">
        <f t="shared" si="5"/>
        <v>库存为0</v>
      </c>
      <c r="AV152" s="36" t="str">
        <f>IFERROR($A$2+AU152,"上周无销量")</f>
        <v>上周无销量</v>
      </c>
    </row>
    <row r="153" spans="1:48">
      <c r="A153" s="21" t="s">
        <v>354</v>
      </c>
      <c r="B153" t="s">
        <v>355</v>
      </c>
      <c r="C153" t="s">
        <v>277</v>
      </c>
      <c r="D153" s="31">
        <v>0</v>
      </c>
      <c r="E153" s="31">
        <v>0</v>
      </c>
      <c r="F153" s="31">
        <v>0</v>
      </c>
      <c r="G153" s="31">
        <v>0</v>
      </c>
      <c r="H153" s="32">
        <v>0</v>
      </c>
      <c r="I153">
        <v>0</v>
      </c>
      <c r="J153" s="33">
        <v>0</v>
      </c>
      <c r="K153" s="33">
        <v>0</v>
      </c>
      <c r="L153" s="33">
        <v>0</v>
      </c>
      <c r="M153">
        <v>0</v>
      </c>
      <c r="N153">
        <v>0</v>
      </c>
      <c r="O153">
        <v>0</v>
      </c>
      <c r="P153" t="s">
        <v>54</v>
      </c>
      <c r="Q153" t="s">
        <v>54</v>
      </c>
      <c r="R153" t="s">
        <v>54</v>
      </c>
      <c r="S153" t="s">
        <v>54</v>
      </c>
      <c r="T153" t="s">
        <v>54</v>
      </c>
      <c r="U153" t="s">
        <v>54</v>
      </c>
      <c r="V153" t="s">
        <v>54</v>
      </c>
      <c r="W153" t="s">
        <v>54</v>
      </c>
      <c r="X153" s="23" t="s">
        <v>54</v>
      </c>
      <c r="Y153" s="23" t="s">
        <v>54</v>
      </c>
      <c r="Z153" s="23" t="s">
        <v>54</v>
      </c>
      <c r="AA153" s="23" t="s">
        <v>54</v>
      </c>
      <c r="AB153" t="s">
        <v>54</v>
      </c>
      <c r="AC153" t="s">
        <v>54</v>
      </c>
      <c r="AD153" t="s">
        <v>54</v>
      </c>
      <c r="AE153" t="s">
        <v>54</v>
      </c>
      <c r="AF153" s="23" t="s">
        <v>54</v>
      </c>
      <c r="AG153" s="23" t="s">
        <v>54</v>
      </c>
      <c r="AH153" s="23" t="s">
        <v>54</v>
      </c>
      <c r="AI153" s="23" t="s">
        <v>54</v>
      </c>
      <c r="AJ153">
        <v>0</v>
      </c>
      <c r="AK153">
        <v>0</v>
      </c>
      <c r="AL153">
        <v>0</v>
      </c>
      <c r="AM153">
        <v>0</v>
      </c>
      <c r="AN153" s="23" t="s">
        <v>54</v>
      </c>
      <c r="AO153" s="23" t="s">
        <v>54</v>
      </c>
      <c r="AP153" s="23" t="s">
        <v>54</v>
      </c>
      <c r="AQ153" s="23" t="s">
        <v>54</v>
      </c>
      <c r="AR153" s="35">
        <v>0</v>
      </c>
      <c r="AS153" s="35">
        <v>0</v>
      </c>
      <c r="AT153" s="35">
        <v>0</v>
      </c>
      <c r="AU153" s="31" t="str">
        <f t="shared" si="5"/>
        <v>库存为0</v>
      </c>
      <c r="AV153" s="36" t="str">
        <f>IFERROR($A$2+AU153,"上周无销量")</f>
        <v>上周无销量</v>
      </c>
    </row>
    <row r="154" spans="1:48">
      <c r="A154" s="21" t="s">
        <v>356</v>
      </c>
      <c r="B154" t="s">
        <v>357</v>
      </c>
      <c r="C154" t="s">
        <v>277</v>
      </c>
      <c r="D154" s="31">
        <v>0</v>
      </c>
      <c r="E154" s="31">
        <v>0</v>
      </c>
      <c r="F154" s="31">
        <v>0</v>
      </c>
      <c r="G154" s="31">
        <v>0</v>
      </c>
      <c r="H154" s="32">
        <v>0</v>
      </c>
      <c r="I154">
        <v>0</v>
      </c>
      <c r="J154" s="33">
        <v>0</v>
      </c>
      <c r="K154" s="33">
        <v>0</v>
      </c>
      <c r="L154" s="33">
        <v>0</v>
      </c>
      <c r="M154">
        <v>0</v>
      </c>
      <c r="N154">
        <v>0</v>
      </c>
      <c r="O154">
        <v>0</v>
      </c>
      <c r="P154" t="s">
        <v>54</v>
      </c>
      <c r="Q154" t="s">
        <v>54</v>
      </c>
      <c r="R154" t="s">
        <v>54</v>
      </c>
      <c r="S154" t="s">
        <v>54</v>
      </c>
      <c r="T154" t="s">
        <v>54</v>
      </c>
      <c r="U154" t="s">
        <v>54</v>
      </c>
      <c r="V154" t="s">
        <v>54</v>
      </c>
      <c r="W154" t="s">
        <v>54</v>
      </c>
      <c r="X154" s="23" t="s">
        <v>54</v>
      </c>
      <c r="Y154" s="23" t="s">
        <v>54</v>
      </c>
      <c r="Z154" s="23" t="s">
        <v>54</v>
      </c>
      <c r="AA154" s="23" t="s">
        <v>54</v>
      </c>
      <c r="AB154" t="s">
        <v>54</v>
      </c>
      <c r="AC154" t="s">
        <v>54</v>
      </c>
      <c r="AD154" t="s">
        <v>54</v>
      </c>
      <c r="AE154" t="s">
        <v>54</v>
      </c>
      <c r="AF154" s="23" t="s">
        <v>54</v>
      </c>
      <c r="AG154" s="23" t="s">
        <v>54</v>
      </c>
      <c r="AH154" s="23" t="s">
        <v>54</v>
      </c>
      <c r="AI154" s="23" t="s">
        <v>54</v>
      </c>
      <c r="AJ154">
        <v>0</v>
      </c>
      <c r="AK154">
        <v>0</v>
      </c>
      <c r="AL154">
        <v>0</v>
      </c>
      <c r="AM154">
        <v>0</v>
      </c>
      <c r="AN154" s="23" t="s">
        <v>54</v>
      </c>
      <c r="AO154" s="23" t="s">
        <v>54</v>
      </c>
      <c r="AP154" s="23" t="s">
        <v>54</v>
      </c>
      <c r="AQ154" s="23" t="s">
        <v>54</v>
      </c>
      <c r="AR154" s="35">
        <v>0</v>
      </c>
      <c r="AS154" s="35">
        <v>0</v>
      </c>
      <c r="AT154" s="35">
        <v>0</v>
      </c>
      <c r="AU154" s="31" t="str">
        <f t="shared" si="5"/>
        <v>库存为0</v>
      </c>
      <c r="AV154" s="36" t="str">
        <f>IFERROR($A$2+AU154,"上周无销量")</f>
        <v>上周无销量</v>
      </c>
    </row>
    <row r="155" spans="1:48">
      <c r="A155" s="21" t="s">
        <v>358</v>
      </c>
      <c r="B155" t="s">
        <v>359</v>
      </c>
      <c r="C155" t="s">
        <v>277</v>
      </c>
      <c r="D155" s="31">
        <v>0</v>
      </c>
      <c r="E155" s="31">
        <v>0</v>
      </c>
      <c r="F155" s="31">
        <v>0</v>
      </c>
      <c r="G155" s="31">
        <v>0</v>
      </c>
      <c r="H155" s="32">
        <v>0</v>
      </c>
      <c r="I155">
        <v>0</v>
      </c>
      <c r="J155" s="33">
        <v>0</v>
      </c>
      <c r="K155" s="33">
        <v>0</v>
      </c>
      <c r="L155" s="33">
        <v>0</v>
      </c>
      <c r="M155">
        <v>0</v>
      </c>
      <c r="N155">
        <v>0</v>
      </c>
      <c r="O155">
        <v>0</v>
      </c>
      <c r="P155" t="s">
        <v>54</v>
      </c>
      <c r="Q155" t="s">
        <v>54</v>
      </c>
      <c r="R155" t="s">
        <v>54</v>
      </c>
      <c r="S155" t="s">
        <v>54</v>
      </c>
      <c r="T155" t="s">
        <v>54</v>
      </c>
      <c r="U155" t="s">
        <v>54</v>
      </c>
      <c r="V155" t="s">
        <v>54</v>
      </c>
      <c r="W155" t="s">
        <v>54</v>
      </c>
      <c r="X155" s="23" t="s">
        <v>54</v>
      </c>
      <c r="Y155" s="23" t="s">
        <v>54</v>
      </c>
      <c r="Z155" s="23" t="s">
        <v>54</v>
      </c>
      <c r="AA155" s="23" t="s">
        <v>54</v>
      </c>
      <c r="AB155" t="s">
        <v>54</v>
      </c>
      <c r="AC155" t="s">
        <v>54</v>
      </c>
      <c r="AD155" t="s">
        <v>54</v>
      </c>
      <c r="AE155" t="s">
        <v>54</v>
      </c>
      <c r="AF155" s="23" t="s">
        <v>54</v>
      </c>
      <c r="AG155" s="23" t="s">
        <v>54</v>
      </c>
      <c r="AH155" s="23" t="s">
        <v>54</v>
      </c>
      <c r="AI155" s="23" t="s">
        <v>54</v>
      </c>
      <c r="AJ155">
        <v>0</v>
      </c>
      <c r="AK155">
        <v>0</v>
      </c>
      <c r="AL155">
        <v>0</v>
      </c>
      <c r="AM155">
        <v>0</v>
      </c>
      <c r="AN155" s="23" t="s">
        <v>54</v>
      </c>
      <c r="AO155" s="23" t="s">
        <v>54</v>
      </c>
      <c r="AP155" s="23" t="s">
        <v>54</v>
      </c>
      <c r="AQ155" s="23" t="s">
        <v>54</v>
      </c>
      <c r="AR155" s="35">
        <v>0</v>
      </c>
      <c r="AS155" s="35">
        <v>0</v>
      </c>
      <c r="AT155" s="35">
        <v>0</v>
      </c>
      <c r="AU155" s="31" t="str">
        <f t="shared" si="5"/>
        <v>库存为0</v>
      </c>
      <c r="AV155" s="36" t="str">
        <f>IFERROR($A$2+AU155,"上周无销量")</f>
        <v>上周无销量</v>
      </c>
    </row>
    <row r="156" spans="1:48">
      <c r="A156" s="21" t="s">
        <v>360</v>
      </c>
      <c r="B156" t="s">
        <v>361</v>
      </c>
      <c r="C156" t="s">
        <v>277</v>
      </c>
      <c r="D156" s="31">
        <v>0</v>
      </c>
      <c r="E156" s="31">
        <v>0</v>
      </c>
      <c r="F156" s="31">
        <v>0</v>
      </c>
      <c r="G156" s="31">
        <v>0</v>
      </c>
      <c r="H156" s="32">
        <v>0</v>
      </c>
      <c r="I156">
        <v>0</v>
      </c>
      <c r="J156" s="33">
        <v>0</v>
      </c>
      <c r="K156" s="33">
        <v>0</v>
      </c>
      <c r="L156" s="33">
        <v>0</v>
      </c>
      <c r="M156">
        <v>0</v>
      </c>
      <c r="N156">
        <v>0</v>
      </c>
      <c r="O156">
        <v>0</v>
      </c>
      <c r="P156" t="s">
        <v>54</v>
      </c>
      <c r="Q156" t="s">
        <v>54</v>
      </c>
      <c r="R156" t="s">
        <v>54</v>
      </c>
      <c r="S156" t="s">
        <v>54</v>
      </c>
      <c r="T156" t="s">
        <v>54</v>
      </c>
      <c r="U156" t="s">
        <v>54</v>
      </c>
      <c r="V156" t="s">
        <v>54</v>
      </c>
      <c r="W156" t="s">
        <v>54</v>
      </c>
      <c r="X156" s="23" t="s">
        <v>54</v>
      </c>
      <c r="Y156" s="23" t="s">
        <v>54</v>
      </c>
      <c r="Z156" s="23" t="s">
        <v>54</v>
      </c>
      <c r="AA156" s="23" t="s">
        <v>54</v>
      </c>
      <c r="AB156" t="s">
        <v>54</v>
      </c>
      <c r="AC156" t="s">
        <v>54</v>
      </c>
      <c r="AD156" t="s">
        <v>54</v>
      </c>
      <c r="AE156" t="s">
        <v>54</v>
      </c>
      <c r="AF156" s="23" t="s">
        <v>54</v>
      </c>
      <c r="AG156" s="23" t="s">
        <v>54</v>
      </c>
      <c r="AH156" s="23" t="s">
        <v>54</v>
      </c>
      <c r="AI156" s="23" t="s">
        <v>54</v>
      </c>
      <c r="AJ156">
        <v>0</v>
      </c>
      <c r="AK156">
        <v>0</v>
      </c>
      <c r="AL156">
        <v>0</v>
      </c>
      <c r="AM156">
        <v>0</v>
      </c>
      <c r="AN156" s="23" t="s">
        <v>54</v>
      </c>
      <c r="AO156" s="23" t="s">
        <v>54</v>
      </c>
      <c r="AP156" s="23" t="s">
        <v>54</v>
      </c>
      <c r="AQ156" s="23" t="s">
        <v>54</v>
      </c>
      <c r="AR156" s="35">
        <v>0</v>
      </c>
      <c r="AS156" s="35">
        <v>0</v>
      </c>
      <c r="AT156" s="35">
        <v>0</v>
      </c>
      <c r="AU156" s="31" t="str">
        <f t="shared" si="5"/>
        <v>库存为0</v>
      </c>
      <c r="AV156" s="36" t="str">
        <f>IFERROR($A$2+AU156,"上周无销量")</f>
        <v>上周无销量</v>
      </c>
    </row>
    <row r="157" spans="1:48">
      <c r="A157" s="21" t="s">
        <v>362</v>
      </c>
      <c r="B157" t="s">
        <v>363</v>
      </c>
      <c r="C157" t="s">
        <v>277</v>
      </c>
      <c r="D157" s="31">
        <v>0</v>
      </c>
      <c r="E157" s="31">
        <v>0</v>
      </c>
      <c r="F157" s="31">
        <v>0</v>
      </c>
      <c r="G157" s="31">
        <v>0</v>
      </c>
      <c r="H157" s="32">
        <v>0</v>
      </c>
      <c r="I157">
        <v>0</v>
      </c>
      <c r="J157" s="33">
        <v>0</v>
      </c>
      <c r="K157" s="33">
        <v>0</v>
      </c>
      <c r="L157" s="33">
        <v>0</v>
      </c>
      <c r="M157">
        <v>0</v>
      </c>
      <c r="N157">
        <v>0</v>
      </c>
      <c r="O157">
        <v>0</v>
      </c>
      <c r="P157" t="s">
        <v>54</v>
      </c>
      <c r="Q157" t="s">
        <v>54</v>
      </c>
      <c r="R157" t="s">
        <v>54</v>
      </c>
      <c r="S157" t="s">
        <v>54</v>
      </c>
      <c r="T157" t="s">
        <v>54</v>
      </c>
      <c r="U157" t="s">
        <v>54</v>
      </c>
      <c r="V157" t="s">
        <v>54</v>
      </c>
      <c r="W157" t="s">
        <v>54</v>
      </c>
      <c r="X157" s="23" t="s">
        <v>54</v>
      </c>
      <c r="Y157" s="23" t="s">
        <v>54</v>
      </c>
      <c r="Z157" s="23" t="s">
        <v>54</v>
      </c>
      <c r="AA157" s="23" t="s">
        <v>54</v>
      </c>
      <c r="AB157" t="s">
        <v>54</v>
      </c>
      <c r="AC157" t="s">
        <v>54</v>
      </c>
      <c r="AD157" t="s">
        <v>54</v>
      </c>
      <c r="AE157" t="s">
        <v>54</v>
      </c>
      <c r="AF157" s="23" t="s">
        <v>54</v>
      </c>
      <c r="AG157" s="23" t="s">
        <v>54</v>
      </c>
      <c r="AH157" s="23" t="s">
        <v>54</v>
      </c>
      <c r="AI157" s="23" t="s">
        <v>54</v>
      </c>
      <c r="AJ157">
        <v>0</v>
      </c>
      <c r="AK157">
        <v>0</v>
      </c>
      <c r="AL157">
        <v>0</v>
      </c>
      <c r="AM157">
        <v>0</v>
      </c>
      <c r="AN157" s="23" t="s">
        <v>54</v>
      </c>
      <c r="AO157" s="23" t="s">
        <v>54</v>
      </c>
      <c r="AP157" s="23" t="s">
        <v>54</v>
      </c>
      <c r="AQ157" s="23" t="s">
        <v>54</v>
      </c>
      <c r="AR157" s="35">
        <v>0</v>
      </c>
      <c r="AS157" s="35">
        <v>0</v>
      </c>
      <c r="AT157" s="35">
        <v>0</v>
      </c>
      <c r="AU157" s="31" t="str">
        <f t="shared" si="5"/>
        <v>库存为0</v>
      </c>
      <c r="AV157" s="36" t="str">
        <f>IFERROR($A$2+AU157,"上周无销量")</f>
        <v>上周无销量</v>
      </c>
    </row>
    <row r="158" spans="1:48">
      <c r="A158" s="21" t="s">
        <v>364</v>
      </c>
      <c r="B158" t="s">
        <v>365</v>
      </c>
      <c r="C158" t="s">
        <v>277</v>
      </c>
      <c r="D158" s="31">
        <v>0</v>
      </c>
      <c r="E158" s="31">
        <v>0</v>
      </c>
      <c r="F158" s="31">
        <v>0</v>
      </c>
      <c r="G158" s="31">
        <v>0</v>
      </c>
      <c r="H158" s="32">
        <v>0</v>
      </c>
      <c r="I158">
        <v>0</v>
      </c>
      <c r="J158" s="33">
        <v>0</v>
      </c>
      <c r="K158" s="33">
        <v>0</v>
      </c>
      <c r="L158" s="33">
        <v>0</v>
      </c>
      <c r="M158">
        <v>0</v>
      </c>
      <c r="N158">
        <v>0</v>
      </c>
      <c r="O158">
        <v>0</v>
      </c>
      <c r="P158" t="s">
        <v>54</v>
      </c>
      <c r="Q158" t="s">
        <v>54</v>
      </c>
      <c r="R158" t="s">
        <v>54</v>
      </c>
      <c r="S158" t="s">
        <v>54</v>
      </c>
      <c r="T158" t="s">
        <v>54</v>
      </c>
      <c r="U158" t="s">
        <v>54</v>
      </c>
      <c r="V158" t="s">
        <v>54</v>
      </c>
      <c r="W158" t="s">
        <v>54</v>
      </c>
      <c r="X158" s="23" t="s">
        <v>54</v>
      </c>
      <c r="Y158" s="23" t="s">
        <v>54</v>
      </c>
      <c r="Z158" s="23" t="s">
        <v>54</v>
      </c>
      <c r="AA158" s="23" t="s">
        <v>54</v>
      </c>
      <c r="AB158" t="s">
        <v>54</v>
      </c>
      <c r="AC158" t="s">
        <v>54</v>
      </c>
      <c r="AD158" t="s">
        <v>54</v>
      </c>
      <c r="AE158" t="s">
        <v>54</v>
      </c>
      <c r="AF158" s="23" t="s">
        <v>54</v>
      </c>
      <c r="AG158" s="23" t="s">
        <v>54</v>
      </c>
      <c r="AH158" s="23" t="s">
        <v>54</v>
      </c>
      <c r="AI158" s="23" t="s">
        <v>54</v>
      </c>
      <c r="AJ158">
        <v>0</v>
      </c>
      <c r="AK158">
        <v>0</v>
      </c>
      <c r="AL158">
        <v>0</v>
      </c>
      <c r="AM158">
        <v>0</v>
      </c>
      <c r="AN158" s="23" t="s">
        <v>54</v>
      </c>
      <c r="AO158" s="23" t="s">
        <v>54</v>
      </c>
      <c r="AP158" s="23" t="s">
        <v>54</v>
      </c>
      <c r="AQ158" s="23" t="s">
        <v>54</v>
      </c>
      <c r="AR158" s="35">
        <v>0</v>
      </c>
      <c r="AS158" s="35">
        <v>0</v>
      </c>
      <c r="AT158" s="35">
        <v>0</v>
      </c>
      <c r="AU158" s="31" t="str">
        <f t="shared" si="5"/>
        <v>库存为0</v>
      </c>
      <c r="AV158" s="36" t="str">
        <f>IFERROR($A$2+AU158,"上周无销量")</f>
        <v>上周无销量</v>
      </c>
    </row>
    <row r="159" spans="1:48">
      <c r="A159" s="21" t="s">
        <v>366</v>
      </c>
      <c r="B159" t="s">
        <v>367</v>
      </c>
      <c r="C159" t="s">
        <v>277</v>
      </c>
      <c r="D159" s="31">
        <v>0</v>
      </c>
      <c r="E159" s="31">
        <v>0</v>
      </c>
      <c r="F159" s="31">
        <v>0</v>
      </c>
      <c r="G159" s="31">
        <v>0</v>
      </c>
      <c r="H159" s="32">
        <v>0</v>
      </c>
      <c r="I159">
        <v>0</v>
      </c>
      <c r="J159" s="33">
        <v>0</v>
      </c>
      <c r="K159" s="33">
        <v>0</v>
      </c>
      <c r="L159" s="33">
        <v>0</v>
      </c>
      <c r="M159">
        <v>0</v>
      </c>
      <c r="N159">
        <v>0</v>
      </c>
      <c r="O159">
        <v>0</v>
      </c>
      <c r="P159" t="s">
        <v>54</v>
      </c>
      <c r="Q159" t="s">
        <v>54</v>
      </c>
      <c r="R159" t="s">
        <v>54</v>
      </c>
      <c r="S159" t="s">
        <v>54</v>
      </c>
      <c r="T159" t="s">
        <v>54</v>
      </c>
      <c r="U159" t="s">
        <v>54</v>
      </c>
      <c r="V159" t="s">
        <v>54</v>
      </c>
      <c r="W159" t="s">
        <v>54</v>
      </c>
      <c r="X159" s="23" t="s">
        <v>54</v>
      </c>
      <c r="Y159" s="23" t="s">
        <v>54</v>
      </c>
      <c r="Z159" s="23" t="s">
        <v>54</v>
      </c>
      <c r="AA159" s="23" t="s">
        <v>54</v>
      </c>
      <c r="AB159" t="s">
        <v>54</v>
      </c>
      <c r="AC159" t="s">
        <v>54</v>
      </c>
      <c r="AD159" t="s">
        <v>54</v>
      </c>
      <c r="AE159" t="s">
        <v>54</v>
      </c>
      <c r="AF159" s="23" t="s">
        <v>54</v>
      </c>
      <c r="AG159" s="23" t="s">
        <v>54</v>
      </c>
      <c r="AH159" s="23" t="s">
        <v>54</v>
      </c>
      <c r="AI159" s="23" t="s">
        <v>54</v>
      </c>
      <c r="AJ159">
        <v>0</v>
      </c>
      <c r="AK159">
        <v>0</v>
      </c>
      <c r="AL159">
        <v>0</v>
      </c>
      <c r="AM159">
        <v>0</v>
      </c>
      <c r="AN159" s="23" t="s">
        <v>54</v>
      </c>
      <c r="AO159" s="23" t="s">
        <v>54</v>
      </c>
      <c r="AP159" s="23" t="s">
        <v>54</v>
      </c>
      <c r="AQ159" s="23" t="s">
        <v>54</v>
      </c>
      <c r="AR159" s="35">
        <v>0</v>
      </c>
      <c r="AS159" s="35">
        <v>0</v>
      </c>
      <c r="AT159" s="35">
        <v>0</v>
      </c>
      <c r="AU159" s="31" t="str">
        <f t="shared" si="5"/>
        <v>库存为0</v>
      </c>
      <c r="AV159" s="36" t="str">
        <f>IFERROR($A$2+AU159,"上周无销量")</f>
        <v>上周无销量</v>
      </c>
    </row>
    <row r="160" spans="1:48">
      <c r="A160" s="21" t="s">
        <v>368</v>
      </c>
      <c r="B160" t="s">
        <v>369</v>
      </c>
      <c r="C160" t="s">
        <v>277</v>
      </c>
      <c r="D160" s="31">
        <v>0</v>
      </c>
      <c r="E160" s="31">
        <v>0</v>
      </c>
      <c r="F160" s="31">
        <v>0</v>
      </c>
      <c r="G160" s="31">
        <v>0</v>
      </c>
      <c r="H160" s="32">
        <v>0</v>
      </c>
      <c r="I160">
        <v>0</v>
      </c>
      <c r="J160" s="33">
        <v>0</v>
      </c>
      <c r="K160" s="33">
        <v>0</v>
      </c>
      <c r="L160" s="33">
        <v>0</v>
      </c>
      <c r="M160">
        <v>0</v>
      </c>
      <c r="N160">
        <v>0</v>
      </c>
      <c r="O160">
        <v>0</v>
      </c>
      <c r="P160" t="s">
        <v>54</v>
      </c>
      <c r="Q160" t="s">
        <v>54</v>
      </c>
      <c r="R160" t="s">
        <v>54</v>
      </c>
      <c r="S160" t="s">
        <v>54</v>
      </c>
      <c r="T160" t="s">
        <v>54</v>
      </c>
      <c r="U160" t="s">
        <v>54</v>
      </c>
      <c r="V160" t="s">
        <v>54</v>
      </c>
      <c r="W160" t="s">
        <v>54</v>
      </c>
      <c r="X160" s="23" t="s">
        <v>54</v>
      </c>
      <c r="Y160" s="23" t="s">
        <v>54</v>
      </c>
      <c r="Z160" s="23" t="s">
        <v>54</v>
      </c>
      <c r="AA160" s="23" t="s">
        <v>54</v>
      </c>
      <c r="AB160" t="s">
        <v>54</v>
      </c>
      <c r="AC160" t="s">
        <v>54</v>
      </c>
      <c r="AD160" t="s">
        <v>54</v>
      </c>
      <c r="AE160" t="s">
        <v>54</v>
      </c>
      <c r="AF160" s="23" t="s">
        <v>54</v>
      </c>
      <c r="AG160" s="23" t="s">
        <v>54</v>
      </c>
      <c r="AH160" s="23" t="s">
        <v>54</v>
      </c>
      <c r="AI160" s="23" t="s">
        <v>54</v>
      </c>
      <c r="AJ160">
        <v>0</v>
      </c>
      <c r="AK160">
        <v>0</v>
      </c>
      <c r="AL160">
        <v>0</v>
      </c>
      <c r="AM160">
        <v>0</v>
      </c>
      <c r="AN160" s="23" t="s">
        <v>54</v>
      </c>
      <c r="AO160" s="23" t="s">
        <v>54</v>
      </c>
      <c r="AP160" s="23" t="s">
        <v>54</v>
      </c>
      <c r="AQ160" s="23" t="s">
        <v>54</v>
      </c>
      <c r="AR160" s="35">
        <v>0</v>
      </c>
      <c r="AS160" s="35">
        <v>0</v>
      </c>
      <c r="AT160" s="35">
        <v>0</v>
      </c>
      <c r="AU160" s="31" t="str">
        <f t="shared" si="5"/>
        <v>库存为0</v>
      </c>
      <c r="AV160" s="36" t="str">
        <f>IFERROR($A$2+AU160,"上周无销量")</f>
        <v>上周无销量</v>
      </c>
    </row>
    <row r="161" spans="1:48">
      <c r="A161" s="21" t="s">
        <v>370</v>
      </c>
      <c r="B161" t="s">
        <v>371</v>
      </c>
      <c r="C161" t="s">
        <v>277</v>
      </c>
      <c r="D161" s="31">
        <v>0</v>
      </c>
      <c r="E161" s="31">
        <v>0</v>
      </c>
      <c r="F161" s="31">
        <v>0</v>
      </c>
      <c r="G161" s="31">
        <v>0</v>
      </c>
      <c r="H161" s="32">
        <v>0</v>
      </c>
      <c r="I161">
        <v>0</v>
      </c>
      <c r="J161" s="33">
        <v>0</v>
      </c>
      <c r="K161" s="33">
        <v>0</v>
      </c>
      <c r="L161" s="33">
        <v>0</v>
      </c>
      <c r="M161">
        <v>0</v>
      </c>
      <c r="N161">
        <v>0</v>
      </c>
      <c r="O161">
        <v>0</v>
      </c>
      <c r="P161" t="s">
        <v>54</v>
      </c>
      <c r="Q161" t="s">
        <v>54</v>
      </c>
      <c r="R161" t="s">
        <v>54</v>
      </c>
      <c r="S161" t="s">
        <v>54</v>
      </c>
      <c r="T161" t="s">
        <v>54</v>
      </c>
      <c r="U161" t="s">
        <v>54</v>
      </c>
      <c r="V161" t="s">
        <v>54</v>
      </c>
      <c r="W161" t="s">
        <v>54</v>
      </c>
      <c r="X161" s="23" t="s">
        <v>54</v>
      </c>
      <c r="Y161" s="23" t="s">
        <v>54</v>
      </c>
      <c r="Z161" s="23" t="s">
        <v>54</v>
      </c>
      <c r="AA161" s="23" t="s">
        <v>54</v>
      </c>
      <c r="AB161" t="s">
        <v>54</v>
      </c>
      <c r="AC161" t="s">
        <v>54</v>
      </c>
      <c r="AD161" t="s">
        <v>54</v>
      </c>
      <c r="AE161" t="s">
        <v>54</v>
      </c>
      <c r="AF161" s="23" t="s">
        <v>54</v>
      </c>
      <c r="AG161" s="23" t="s">
        <v>54</v>
      </c>
      <c r="AH161" s="23" t="s">
        <v>54</v>
      </c>
      <c r="AI161" s="23" t="s">
        <v>54</v>
      </c>
      <c r="AJ161">
        <v>0</v>
      </c>
      <c r="AK161">
        <v>0</v>
      </c>
      <c r="AL161">
        <v>0</v>
      </c>
      <c r="AM161">
        <v>0</v>
      </c>
      <c r="AN161" s="23" t="s">
        <v>54</v>
      </c>
      <c r="AO161" s="23" t="s">
        <v>54</v>
      </c>
      <c r="AP161" s="23" t="s">
        <v>54</v>
      </c>
      <c r="AQ161" s="23" t="s">
        <v>54</v>
      </c>
      <c r="AR161" s="35">
        <v>0</v>
      </c>
      <c r="AS161" s="35">
        <v>0</v>
      </c>
      <c r="AT161" s="35">
        <v>0</v>
      </c>
      <c r="AU161" s="31" t="str">
        <f t="shared" si="5"/>
        <v>库存为0</v>
      </c>
      <c r="AV161" s="36" t="str">
        <f>IFERROR($A$2+AU161,"上周无销量")</f>
        <v>上周无销量</v>
      </c>
    </row>
    <row r="162" spans="1:48">
      <c r="A162" s="21" t="s">
        <v>372</v>
      </c>
      <c r="B162" t="s">
        <v>373</v>
      </c>
      <c r="C162" t="s">
        <v>277</v>
      </c>
      <c r="D162" s="31">
        <v>0</v>
      </c>
      <c r="E162" s="31">
        <v>0</v>
      </c>
      <c r="F162" s="31">
        <v>0</v>
      </c>
      <c r="G162" s="31">
        <v>0</v>
      </c>
      <c r="H162" s="32">
        <v>0</v>
      </c>
      <c r="I162">
        <v>0</v>
      </c>
      <c r="J162" s="33">
        <v>0</v>
      </c>
      <c r="K162" s="33">
        <v>0</v>
      </c>
      <c r="L162" s="33">
        <v>0</v>
      </c>
      <c r="M162">
        <v>0</v>
      </c>
      <c r="N162">
        <v>0</v>
      </c>
      <c r="O162">
        <v>0</v>
      </c>
      <c r="P162" t="s">
        <v>54</v>
      </c>
      <c r="Q162" t="s">
        <v>54</v>
      </c>
      <c r="R162" t="s">
        <v>54</v>
      </c>
      <c r="S162" t="s">
        <v>54</v>
      </c>
      <c r="T162" t="s">
        <v>54</v>
      </c>
      <c r="U162" t="s">
        <v>54</v>
      </c>
      <c r="V162" t="s">
        <v>54</v>
      </c>
      <c r="W162" t="s">
        <v>54</v>
      </c>
      <c r="X162" s="23" t="s">
        <v>54</v>
      </c>
      <c r="Y162" s="23" t="s">
        <v>54</v>
      </c>
      <c r="Z162" s="23" t="s">
        <v>54</v>
      </c>
      <c r="AA162" s="23" t="s">
        <v>54</v>
      </c>
      <c r="AB162" t="s">
        <v>54</v>
      </c>
      <c r="AC162" t="s">
        <v>54</v>
      </c>
      <c r="AD162" t="s">
        <v>54</v>
      </c>
      <c r="AE162" t="s">
        <v>54</v>
      </c>
      <c r="AF162" s="23" t="s">
        <v>54</v>
      </c>
      <c r="AG162" s="23" t="s">
        <v>54</v>
      </c>
      <c r="AH162" s="23" t="s">
        <v>54</v>
      </c>
      <c r="AI162" s="23" t="s">
        <v>54</v>
      </c>
      <c r="AJ162">
        <v>0</v>
      </c>
      <c r="AK162">
        <v>0</v>
      </c>
      <c r="AL162">
        <v>0</v>
      </c>
      <c r="AM162">
        <v>0</v>
      </c>
      <c r="AN162" s="23" t="s">
        <v>54</v>
      </c>
      <c r="AO162" s="23" t="s">
        <v>54</v>
      </c>
      <c r="AP162" s="23" t="s">
        <v>54</v>
      </c>
      <c r="AQ162" s="23" t="s">
        <v>54</v>
      </c>
      <c r="AR162" s="35">
        <v>0</v>
      </c>
      <c r="AS162" s="35">
        <v>0</v>
      </c>
      <c r="AT162" s="35">
        <v>0</v>
      </c>
      <c r="AU162" s="31" t="str">
        <f t="shared" si="5"/>
        <v>库存为0</v>
      </c>
      <c r="AV162" s="36" t="str">
        <f>IFERROR($A$2+AU162,"上周无销量")</f>
        <v>上周无销量</v>
      </c>
    </row>
    <row r="163" spans="1:48">
      <c r="A163" s="21" t="s">
        <v>374</v>
      </c>
      <c r="B163" t="s">
        <v>375</v>
      </c>
      <c r="C163" t="s">
        <v>277</v>
      </c>
      <c r="D163" s="31">
        <v>0</v>
      </c>
      <c r="E163" s="31">
        <v>0</v>
      </c>
      <c r="F163" s="31">
        <v>0</v>
      </c>
      <c r="G163" s="31">
        <v>0</v>
      </c>
      <c r="H163" s="32">
        <v>0</v>
      </c>
      <c r="I163">
        <v>0</v>
      </c>
      <c r="J163" s="33">
        <v>0</v>
      </c>
      <c r="K163" s="33">
        <v>0</v>
      </c>
      <c r="L163" s="33">
        <v>0</v>
      </c>
      <c r="M163">
        <v>0</v>
      </c>
      <c r="N163">
        <v>0</v>
      </c>
      <c r="O163">
        <v>0</v>
      </c>
      <c r="P163" t="s">
        <v>54</v>
      </c>
      <c r="Q163" t="s">
        <v>54</v>
      </c>
      <c r="R163" t="s">
        <v>54</v>
      </c>
      <c r="S163" t="s">
        <v>54</v>
      </c>
      <c r="T163" t="s">
        <v>54</v>
      </c>
      <c r="U163" t="s">
        <v>54</v>
      </c>
      <c r="V163" t="s">
        <v>54</v>
      </c>
      <c r="W163" t="s">
        <v>54</v>
      </c>
      <c r="X163" s="23" t="s">
        <v>54</v>
      </c>
      <c r="Y163" s="23" t="s">
        <v>54</v>
      </c>
      <c r="Z163" s="23" t="s">
        <v>54</v>
      </c>
      <c r="AA163" s="23" t="s">
        <v>54</v>
      </c>
      <c r="AB163" t="s">
        <v>54</v>
      </c>
      <c r="AC163" t="s">
        <v>54</v>
      </c>
      <c r="AD163" t="s">
        <v>54</v>
      </c>
      <c r="AE163" t="s">
        <v>54</v>
      </c>
      <c r="AF163" s="23" t="s">
        <v>54</v>
      </c>
      <c r="AG163" s="23" t="s">
        <v>54</v>
      </c>
      <c r="AH163" s="23" t="s">
        <v>54</v>
      </c>
      <c r="AI163" s="23" t="s">
        <v>54</v>
      </c>
      <c r="AJ163">
        <v>0</v>
      </c>
      <c r="AK163">
        <v>0</v>
      </c>
      <c r="AL163">
        <v>0</v>
      </c>
      <c r="AM163">
        <v>0</v>
      </c>
      <c r="AN163" s="23" t="s">
        <v>54</v>
      </c>
      <c r="AO163" s="23" t="s">
        <v>54</v>
      </c>
      <c r="AP163" s="23" t="s">
        <v>54</v>
      </c>
      <c r="AQ163" s="23" t="s">
        <v>54</v>
      </c>
      <c r="AR163" s="35">
        <v>0</v>
      </c>
      <c r="AS163" s="35">
        <v>0</v>
      </c>
      <c r="AT163" s="35">
        <v>0</v>
      </c>
      <c r="AU163" s="31" t="str">
        <f t="shared" si="5"/>
        <v>库存为0</v>
      </c>
      <c r="AV163" s="36" t="str">
        <f>IFERROR($A$2+AU163,"上周无销量")</f>
        <v>上周无销量</v>
      </c>
    </row>
    <row r="164" spans="1:48">
      <c r="A164" s="21" t="s">
        <v>376</v>
      </c>
      <c r="B164" t="s">
        <v>377</v>
      </c>
      <c r="C164" t="s">
        <v>277</v>
      </c>
      <c r="D164" s="31">
        <v>0</v>
      </c>
      <c r="E164" s="31">
        <v>0</v>
      </c>
      <c r="F164" s="31">
        <v>0</v>
      </c>
      <c r="G164" s="31">
        <v>0</v>
      </c>
      <c r="H164" s="32">
        <v>0</v>
      </c>
      <c r="I164">
        <v>0</v>
      </c>
      <c r="J164" s="33">
        <v>0</v>
      </c>
      <c r="K164" s="33">
        <v>0</v>
      </c>
      <c r="L164" s="33">
        <v>0</v>
      </c>
      <c r="M164">
        <v>0</v>
      </c>
      <c r="N164">
        <v>0</v>
      </c>
      <c r="O164">
        <v>0</v>
      </c>
      <c r="P164" t="s">
        <v>54</v>
      </c>
      <c r="Q164" t="s">
        <v>54</v>
      </c>
      <c r="R164" t="s">
        <v>54</v>
      </c>
      <c r="S164" t="s">
        <v>54</v>
      </c>
      <c r="T164" t="s">
        <v>54</v>
      </c>
      <c r="U164" t="s">
        <v>54</v>
      </c>
      <c r="V164" t="s">
        <v>54</v>
      </c>
      <c r="W164" t="s">
        <v>54</v>
      </c>
      <c r="X164" s="23" t="s">
        <v>54</v>
      </c>
      <c r="Y164" s="23" t="s">
        <v>54</v>
      </c>
      <c r="Z164" s="23" t="s">
        <v>54</v>
      </c>
      <c r="AA164" s="23" t="s">
        <v>54</v>
      </c>
      <c r="AB164" t="s">
        <v>54</v>
      </c>
      <c r="AC164" t="s">
        <v>54</v>
      </c>
      <c r="AD164" t="s">
        <v>54</v>
      </c>
      <c r="AE164" t="s">
        <v>54</v>
      </c>
      <c r="AF164" s="23" t="s">
        <v>54</v>
      </c>
      <c r="AG164" s="23" t="s">
        <v>54</v>
      </c>
      <c r="AH164" s="23" t="s">
        <v>54</v>
      </c>
      <c r="AI164" s="23" t="s">
        <v>54</v>
      </c>
      <c r="AJ164">
        <v>0</v>
      </c>
      <c r="AK164">
        <v>0</v>
      </c>
      <c r="AL164">
        <v>0</v>
      </c>
      <c r="AM164">
        <v>0</v>
      </c>
      <c r="AN164" s="23" t="s">
        <v>54</v>
      </c>
      <c r="AO164" s="23" t="s">
        <v>54</v>
      </c>
      <c r="AP164" s="23" t="s">
        <v>54</v>
      </c>
      <c r="AQ164" s="23" t="s">
        <v>54</v>
      </c>
      <c r="AR164" s="35">
        <v>0</v>
      </c>
      <c r="AS164" s="35">
        <v>0</v>
      </c>
      <c r="AT164" s="35">
        <v>0</v>
      </c>
      <c r="AU164" s="31" t="str">
        <f t="shared" si="5"/>
        <v>库存为0</v>
      </c>
      <c r="AV164" s="36" t="str">
        <f>IFERROR($A$2+AU164,"上周无销量")</f>
        <v>上周无销量</v>
      </c>
    </row>
    <row r="165" spans="1:48">
      <c r="A165" s="21" t="s">
        <v>378</v>
      </c>
      <c r="B165" t="s">
        <v>379</v>
      </c>
      <c r="C165" t="s">
        <v>277</v>
      </c>
      <c r="D165" s="31">
        <v>0</v>
      </c>
      <c r="E165" s="31">
        <v>0</v>
      </c>
      <c r="F165" s="31">
        <v>0</v>
      </c>
      <c r="G165" s="31">
        <v>0</v>
      </c>
      <c r="H165" s="32">
        <v>0</v>
      </c>
      <c r="I165">
        <v>0</v>
      </c>
      <c r="J165" s="33">
        <v>0</v>
      </c>
      <c r="K165" s="33">
        <v>0</v>
      </c>
      <c r="L165" s="33">
        <v>0</v>
      </c>
      <c r="M165">
        <v>0</v>
      </c>
      <c r="N165">
        <v>0</v>
      </c>
      <c r="O165">
        <v>0</v>
      </c>
      <c r="P165" t="s">
        <v>54</v>
      </c>
      <c r="Q165" t="s">
        <v>54</v>
      </c>
      <c r="R165" t="s">
        <v>54</v>
      </c>
      <c r="S165" t="s">
        <v>54</v>
      </c>
      <c r="T165" t="s">
        <v>54</v>
      </c>
      <c r="U165" t="s">
        <v>54</v>
      </c>
      <c r="V165" t="s">
        <v>54</v>
      </c>
      <c r="W165" t="s">
        <v>54</v>
      </c>
      <c r="X165" s="23" t="s">
        <v>54</v>
      </c>
      <c r="Y165" s="23" t="s">
        <v>54</v>
      </c>
      <c r="Z165" s="23" t="s">
        <v>54</v>
      </c>
      <c r="AA165" s="23" t="s">
        <v>54</v>
      </c>
      <c r="AB165" t="s">
        <v>54</v>
      </c>
      <c r="AC165" t="s">
        <v>54</v>
      </c>
      <c r="AD165" t="s">
        <v>54</v>
      </c>
      <c r="AE165" t="s">
        <v>54</v>
      </c>
      <c r="AF165" s="23" t="s">
        <v>54</v>
      </c>
      <c r="AG165" s="23" t="s">
        <v>54</v>
      </c>
      <c r="AH165" s="23" t="s">
        <v>54</v>
      </c>
      <c r="AI165" s="23" t="s">
        <v>54</v>
      </c>
      <c r="AJ165">
        <v>0</v>
      </c>
      <c r="AK165">
        <v>0</v>
      </c>
      <c r="AL165">
        <v>0</v>
      </c>
      <c r="AM165">
        <v>0</v>
      </c>
      <c r="AN165" s="23" t="s">
        <v>54</v>
      </c>
      <c r="AO165" s="23" t="s">
        <v>54</v>
      </c>
      <c r="AP165" s="23" t="s">
        <v>54</v>
      </c>
      <c r="AQ165" s="23" t="s">
        <v>54</v>
      </c>
      <c r="AR165" s="35">
        <v>0</v>
      </c>
      <c r="AS165" s="35">
        <v>0</v>
      </c>
      <c r="AT165" s="35">
        <v>0</v>
      </c>
      <c r="AU165" s="31" t="str">
        <f t="shared" si="5"/>
        <v>库存为0</v>
      </c>
      <c r="AV165" s="36" t="str">
        <f>IFERROR($A$2+AU165,"上周无销量")</f>
        <v>上周无销量</v>
      </c>
    </row>
    <row r="166" spans="1:48">
      <c r="A166" s="21" t="s">
        <v>380</v>
      </c>
      <c r="B166" t="s">
        <v>381</v>
      </c>
      <c r="C166" t="s">
        <v>277</v>
      </c>
      <c r="D166" s="31">
        <v>0</v>
      </c>
      <c r="E166" s="31">
        <v>0</v>
      </c>
      <c r="F166" s="31">
        <v>0</v>
      </c>
      <c r="G166" s="31">
        <v>0</v>
      </c>
      <c r="H166" s="32">
        <v>0</v>
      </c>
      <c r="I166">
        <v>0</v>
      </c>
      <c r="J166" s="33">
        <v>0</v>
      </c>
      <c r="K166" s="33">
        <v>0</v>
      </c>
      <c r="L166" s="33">
        <v>0</v>
      </c>
      <c r="M166">
        <v>0</v>
      </c>
      <c r="N166">
        <v>0</v>
      </c>
      <c r="O166">
        <v>0</v>
      </c>
      <c r="P166" t="s">
        <v>54</v>
      </c>
      <c r="Q166" t="s">
        <v>54</v>
      </c>
      <c r="R166" t="s">
        <v>54</v>
      </c>
      <c r="S166" t="s">
        <v>54</v>
      </c>
      <c r="T166" t="s">
        <v>54</v>
      </c>
      <c r="U166" t="s">
        <v>54</v>
      </c>
      <c r="V166" t="s">
        <v>54</v>
      </c>
      <c r="W166" t="s">
        <v>54</v>
      </c>
      <c r="X166" s="23" t="s">
        <v>54</v>
      </c>
      <c r="Y166" s="23" t="s">
        <v>54</v>
      </c>
      <c r="Z166" s="23" t="s">
        <v>54</v>
      </c>
      <c r="AA166" s="23" t="s">
        <v>54</v>
      </c>
      <c r="AB166" t="s">
        <v>54</v>
      </c>
      <c r="AC166" t="s">
        <v>54</v>
      </c>
      <c r="AD166" t="s">
        <v>54</v>
      </c>
      <c r="AE166" t="s">
        <v>54</v>
      </c>
      <c r="AF166" s="23" t="s">
        <v>54</v>
      </c>
      <c r="AG166" s="23" t="s">
        <v>54</v>
      </c>
      <c r="AH166" s="23" t="s">
        <v>54</v>
      </c>
      <c r="AI166" s="23" t="s">
        <v>54</v>
      </c>
      <c r="AJ166">
        <v>0</v>
      </c>
      <c r="AK166">
        <v>0</v>
      </c>
      <c r="AL166">
        <v>0</v>
      </c>
      <c r="AM166">
        <v>0</v>
      </c>
      <c r="AN166" s="23" t="s">
        <v>54</v>
      </c>
      <c r="AO166" s="23" t="s">
        <v>54</v>
      </c>
      <c r="AP166" s="23" t="s">
        <v>54</v>
      </c>
      <c r="AQ166" s="23" t="s">
        <v>54</v>
      </c>
      <c r="AR166" s="35">
        <v>0</v>
      </c>
      <c r="AS166" s="35">
        <v>0</v>
      </c>
      <c r="AT166" s="35">
        <v>0</v>
      </c>
      <c r="AU166" s="31" t="str">
        <f t="shared" si="5"/>
        <v>库存为0</v>
      </c>
      <c r="AV166" s="36" t="str">
        <f>IFERROR($A$2+AU166,"上周无销量")</f>
        <v>上周无销量</v>
      </c>
    </row>
    <row r="167" spans="1:48">
      <c r="A167" s="21" t="s">
        <v>382</v>
      </c>
      <c r="B167" t="s">
        <v>383</v>
      </c>
      <c r="C167" t="s">
        <v>277</v>
      </c>
      <c r="D167" s="31">
        <v>0</v>
      </c>
      <c r="E167" s="31">
        <v>0</v>
      </c>
      <c r="F167" s="31">
        <v>0</v>
      </c>
      <c r="G167" s="31">
        <v>0</v>
      </c>
      <c r="H167" s="32">
        <v>0</v>
      </c>
      <c r="I167">
        <v>0</v>
      </c>
      <c r="J167" s="33">
        <v>0</v>
      </c>
      <c r="K167" s="33">
        <v>0</v>
      </c>
      <c r="L167" s="33">
        <v>0</v>
      </c>
      <c r="M167">
        <v>0</v>
      </c>
      <c r="N167">
        <v>0</v>
      </c>
      <c r="O167">
        <v>0</v>
      </c>
      <c r="P167" t="s">
        <v>54</v>
      </c>
      <c r="Q167" t="s">
        <v>54</v>
      </c>
      <c r="R167" t="s">
        <v>54</v>
      </c>
      <c r="S167" t="s">
        <v>54</v>
      </c>
      <c r="T167" t="s">
        <v>54</v>
      </c>
      <c r="U167" t="s">
        <v>54</v>
      </c>
      <c r="V167" t="s">
        <v>54</v>
      </c>
      <c r="W167" t="s">
        <v>54</v>
      </c>
      <c r="X167" s="23" t="s">
        <v>54</v>
      </c>
      <c r="Y167" s="23" t="s">
        <v>54</v>
      </c>
      <c r="Z167" s="23" t="s">
        <v>54</v>
      </c>
      <c r="AA167" s="23" t="s">
        <v>54</v>
      </c>
      <c r="AB167" t="s">
        <v>54</v>
      </c>
      <c r="AC167" t="s">
        <v>54</v>
      </c>
      <c r="AD167" t="s">
        <v>54</v>
      </c>
      <c r="AE167" t="s">
        <v>54</v>
      </c>
      <c r="AF167" s="23" t="s">
        <v>54</v>
      </c>
      <c r="AG167" s="23" t="s">
        <v>54</v>
      </c>
      <c r="AH167" s="23" t="s">
        <v>54</v>
      </c>
      <c r="AI167" s="23" t="s">
        <v>54</v>
      </c>
      <c r="AJ167">
        <v>0</v>
      </c>
      <c r="AK167">
        <v>0</v>
      </c>
      <c r="AL167">
        <v>0</v>
      </c>
      <c r="AM167">
        <v>0</v>
      </c>
      <c r="AN167" s="23" t="s">
        <v>54</v>
      </c>
      <c r="AO167" s="23" t="s">
        <v>54</v>
      </c>
      <c r="AP167" s="23" t="s">
        <v>54</v>
      </c>
      <c r="AQ167" s="23" t="s">
        <v>54</v>
      </c>
      <c r="AR167" s="35">
        <v>0</v>
      </c>
      <c r="AS167" s="35">
        <v>0</v>
      </c>
      <c r="AT167" s="35">
        <v>0</v>
      </c>
      <c r="AU167" s="31" t="str">
        <f t="shared" si="5"/>
        <v>库存为0</v>
      </c>
      <c r="AV167" s="36" t="str">
        <f>IFERROR($A$2+AU167,"上周无销量")</f>
        <v>上周无销量</v>
      </c>
    </row>
    <row r="168" spans="1:48">
      <c r="A168" s="21" t="s">
        <v>384</v>
      </c>
      <c r="B168" t="s">
        <v>385</v>
      </c>
      <c r="C168" t="s">
        <v>386</v>
      </c>
      <c r="D168" s="31">
        <v>0</v>
      </c>
      <c r="E168" s="31">
        <v>0</v>
      </c>
      <c r="F168" s="31">
        <v>1</v>
      </c>
      <c r="G168" s="31">
        <v>0</v>
      </c>
      <c r="H168" s="32">
        <v>20.99</v>
      </c>
      <c r="I168">
        <v>8</v>
      </c>
      <c r="J168" s="33">
        <v>0</v>
      </c>
      <c r="K168" s="33">
        <v>0</v>
      </c>
      <c r="L168" s="33">
        <v>0</v>
      </c>
      <c r="M168">
        <v>8</v>
      </c>
      <c r="N168">
        <v>0</v>
      </c>
      <c r="O168">
        <v>8</v>
      </c>
      <c r="P168" t="s">
        <v>54</v>
      </c>
      <c r="Q168" t="s">
        <v>54</v>
      </c>
      <c r="R168" t="s">
        <v>54</v>
      </c>
      <c r="S168" t="s">
        <v>54</v>
      </c>
      <c r="T168" t="s">
        <v>54</v>
      </c>
      <c r="U168" t="s">
        <v>54</v>
      </c>
      <c r="V168" t="s">
        <v>54</v>
      </c>
      <c r="W168" t="s">
        <v>54</v>
      </c>
      <c r="X168" s="23" t="s">
        <v>54</v>
      </c>
      <c r="Y168" s="23" t="s">
        <v>54</v>
      </c>
      <c r="Z168" s="23" t="s">
        <v>54</v>
      </c>
      <c r="AA168" s="23" t="s">
        <v>54</v>
      </c>
      <c r="AB168" t="s">
        <v>54</v>
      </c>
      <c r="AC168" t="s">
        <v>54</v>
      </c>
      <c r="AD168" t="s">
        <v>54</v>
      </c>
      <c r="AE168" t="s">
        <v>54</v>
      </c>
      <c r="AF168" s="23" t="s">
        <v>54</v>
      </c>
      <c r="AG168" s="23" t="s">
        <v>54</v>
      </c>
      <c r="AH168" s="23" t="s">
        <v>54</v>
      </c>
      <c r="AI168" s="23" t="s">
        <v>54</v>
      </c>
      <c r="AJ168">
        <v>4</v>
      </c>
      <c r="AK168">
        <v>6</v>
      </c>
      <c r="AL168">
        <v>3</v>
      </c>
      <c r="AM168">
        <v>3</v>
      </c>
      <c r="AN168" s="23">
        <v>0</v>
      </c>
      <c r="AO168" s="23">
        <v>0</v>
      </c>
      <c r="AP168" s="23">
        <v>0.333333333333333</v>
      </c>
      <c r="AQ168" s="23">
        <v>0</v>
      </c>
      <c r="AR168" s="35">
        <v>0</v>
      </c>
      <c r="AS168" s="35">
        <v>0</v>
      </c>
      <c r="AT168" s="35">
        <v>8</v>
      </c>
      <c r="AU168" s="31" t="str">
        <f t="shared" si="5"/>
        <v>库存为8</v>
      </c>
      <c r="AV168" s="36" t="str">
        <f>IFERROR($A$2+AU168,"上周无销量")</f>
        <v>上周无销量</v>
      </c>
    </row>
    <row r="169" spans="1:48">
      <c r="A169" s="21" t="s">
        <v>387</v>
      </c>
      <c r="B169" t="s">
        <v>388</v>
      </c>
      <c r="C169" t="s">
        <v>386</v>
      </c>
      <c r="D169" s="31">
        <v>0</v>
      </c>
      <c r="E169" s="31">
        <v>0</v>
      </c>
      <c r="F169" s="31">
        <v>0</v>
      </c>
      <c r="G169" s="31">
        <v>1</v>
      </c>
      <c r="H169" s="32">
        <v>20.99</v>
      </c>
      <c r="I169">
        <v>4</v>
      </c>
      <c r="J169" s="33">
        <v>0</v>
      </c>
      <c r="K169" s="33">
        <v>0</v>
      </c>
      <c r="L169" s="33">
        <v>0</v>
      </c>
      <c r="M169">
        <v>4</v>
      </c>
      <c r="N169">
        <v>0</v>
      </c>
      <c r="O169">
        <v>4</v>
      </c>
      <c r="P169" t="s">
        <v>54</v>
      </c>
      <c r="Q169" t="s">
        <v>54</v>
      </c>
      <c r="R169" t="s">
        <v>54</v>
      </c>
      <c r="S169" t="s">
        <v>54</v>
      </c>
      <c r="T169" t="s">
        <v>54</v>
      </c>
      <c r="U169" t="s">
        <v>54</v>
      </c>
      <c r="V169" t="s">
        <v>54</v>
      </c>
      <c r="W169" t="s">
        <v>54</v>
      </c>
      <c r="X169" s="23" t="s">
        <v>54</v>
      </c>
      <c r="Y169" s="23" t="s">
        <v>54</v>
      </c>
      <c r="Z169" s="23" t="s">
        <v>54</v>
      </c>
      <c r="AA169" s="23" t="s">
        <v>54</v>
      </c>
      <c r="AB169" t="s">
        <v>54</v>
      </c>
      <c r="AC169" t="s">
        <v>54</v>
      </c>
      <c r="AD169" t="s">
        <v>54</v>
      </c>
      <c r="AE169" t="s">
        <v>54</v>
      </c>
      <c r="AF169" s="23" t="s">
        <v>54</v>
      </c>
      <c r="AG169" s="23" t="s">
        <v>54</v>
      </c>
      <c r="AH169" s="23" t="s">
        <v>54</v>
      </c>
      <c r="AI169" s="23" t="s">
        <v>54</v>
      </c>
      <c r="AJ169">
        <v>7</v>
      </c>
      <c r="AK169">
        <v>4</v>
      </c>
      <c r="AL169">
        <v>2</v>
      </c>
      <c r="AM169">
        <v>5</v>
      </c>
      <c r="AN169" s="23">
        <v>0</v>
      </c>
      <c r="AO169" s="23">
        <v>0</v>
      </c>
      <c r="AP169" s="23">
        <v>0</v>
      </c>
      <c r="AQ169" s="23">
        <v>0.2</v>
      </c>
      <c r="AR169" s="35">
        <v>0</v>
      </c>
      <c r="AS169" s="35">
        <v>0</v>
      </c>
      <c r="AT169" s="35">
        <v>4</v>
      </c>
      <c r="AU169" s="31" t="str">
        <f t="shared" si="5"/>
        <v>库存为4</v>
      </c>
      <c r="AV169" s="36" t="str">
        <f>IFERROR($A$2+AU169,"上周无销量")</f>
        <v>上周无销量</v>
      </c>
    </row>
    <row r="170" spans="1:48">
      <c r="A170" s="21" t="s">
        <v>389</v>
      </c>
      <c r="B170" t="s">
        <v>390</v>
      </c>
      <c r="C170" t="s">
        <v>391</v>
      </c>
      <c r="D170" s="31">
        <v>0</v>
      </c>
      <c r="E170" s="31">
        <v>0</v>
      </c>
      <c r="F170" s="31">
        <v>0</v>
      </c>
      <c r="G170" s="31">
        <v>1</v>
      </c>
      <c r="H170" s="32">
        <v>25.99</v>
      </c>
      <c r="I170">
        <v>0</v>
      </c>
      <c r="J170" s="33">
        <v>0</v>
      </c>
      <c r="K170" s="33">
        <v>0</v>
      </c>
      <c r="L170" s="33">
        <v>0</v>
      </c>
      <c r="M170">
        <v>0</v>
      </c>
      <c r="N170">
        <v>0</v>
      </c>
      <c r="O170">
        <v>0</v>
      </c>
      <c r="P170" t="s">
        <v>54</v>
      </c>
      <c r="Q170" t="s">
        <v>54</v>
      </c>
      <c r="R170" t="s">
        <v>54</v>
      </c>
      <c r="S170" t="s">
        <v>54</v>
      </c>
      <c r="T170" t="s">
        <v>54</v>
      </c>
      <c r="U170" t="s">
        <v>54</v>
      </c>
      <c r="V170" t="s">
        <v>54</v>
      </c>
      <c r="W170" t="s">
        <v>54</v>
      </c>
      <c r="X170" s="23" t="s">
        <v>54</v>
      </c>
      <c r="Y170" s="23" t="s">
        <v>54</v>
      </c>
      <c r="Z170" s="23" t="s">
        <v>54</v>
      </c>
      <c r="AA170" s="23" t="s">
        <v>54</v>
      </c>
      <c r="AB170" t="s">
        <v>54</v>
      </c>
      <c r="AC170" t="s">
        <v>54</v>
      </c>
      <c r="AD170" t="s">
        <v>54</v>
      </c>
      <c r="AE170" t="s">
        <v>54</v>
      </c>
      <c r="AF170" s="23" t="s">
        <v>54</v>
      </c>
      <c r="AG170" s="23" t="s">
        <v>54</v>
      </c>
      <c r="AH170" s="23" t="s">
        <v>54</v>
      </c>
      <c r="AI170" s="23" t="s">
        <v>54</v>
      </c>
      <c r="AJ170">
        <v>0</v>
      </c>
      <c r="AK170">
        <v>0</v>
      </c>
      <c r="AL170">
        <v>0</v>
      </c>
      <c r="AM170">
        <v>5</v>
      </c>
      <c r="AN170" s="23" t="s">
        <v>54</v>
      </c>
      <c r="AO170" s="23" t="s">
        <v>54</v>
      </c>
      <c r="AP170" s="23" t="s">
        <v>54</v>
      </c>
      <c r="AQ170" s="23">
        <v>0.2</v>
      </c>
      <c r="AR170" s="35">
        <v>0</v>
      </c>
      <c r="AS170" s="35">
        <v>0</v>
      </c>
      <c r="AT170" s="35">
        <v>0</v>
      </c>
      <c r="AU170" s="31" t="str">
        <f t="shared" si="5"/>
        <v>库存为0</v>
      </c>
      <c r="AV170" s="36" t="str">
        <f>IFERROR($A$2+AU170,"上周无销量")</f>
        <v>上周无销量</v>
      </c>
    </row>
    <row r="171" spans="1:48">
      <c r="A171" s="21" t="s">
        <v>392</v>
      </c>
      <c r="B171" t="s">
        <v>393</v>
      </c>
      <c r="C171" t="s">
        <v>394</v>
      </c>
      <c r="D171" s="31">
        <v>0</v>
      </c>
      <c r="E171" s="31">
        <v>0</v>
      </c>
      <c r="F171" s="31">
        <v>0</v>
      </c>
      <c r="G171" s="31">
        <v>0</v>
      </c>
      <c r="H171" s="32">
        <v>0</v>
      </c>
      <c r="I171">
        <v>0</v>
      </c>
      <c r="J171" s="33">
        <v>0</v>
      </c>
      <c r="K171" s="33">
        <v>0</v>
      </c>
      <c r="L171" s="33">
        <v>0</v>
      </c>
      <c r="M171">
        <v>0</v>
      </c>
      <c r="N171">
        <v>0</v>
      </c>
      <c r="O171">
        <v>0</v>
      </c>
      <c r="P171" t="s">
        <v>54</v>
      </c>
      <c r="Q171" t="s">
        <v>54</v>
      </c>
      <c r="R171" t="s">
        <v>54</v>
      </c>
      <c r="S171" t="s">
        <v>54</v>
      </c>
      <c r="T171" t="s">
        <v>54</v>
      </c>
      <c r="U171" t="s">
        <v>54</v>
      </c>
      <c r="V171" t="s">
        <v>54</v>
      </c>
      <c r="W171" t="s">
        <v>54</v>
      </c>
      <c r="X171" s="23" t="s">
        <v>54</v>
      </c>
      <c r="Y171" s="23" t="s">
        <v>54</v>
      </c>
      <c r="Z171" s="23" t="s">
        <v>54</v>
      </c>
      <c r="AA171" s="23" t="s">
        <v>54</v>
      </c>
      <c r="AB171" t="s">
        <v>54</v>
      </c>
      <c r="AC171" t="s">
        <v>54</v>
      </c>
      <c r="AD171" t="s">
        <v>54</v>
      </c>
      <c r="AE171" t="s">
        <v>54</v>
      </c>
      <c r="AF171" s="23" t="s">
        <v>54</v>
      </c>
      <c r="AG171" s="23" t="s">
        <v>54</v>
      </c>
      <c r="AH171" s="23" t="s">
        <v>54</v>
      </c>
      <c r="AI171" s="23" t="s">
        <v>54</v>
      </c>
      <c r="AJ171">
        <v>0</v>
      </c>
      <c r="AK171">
        <v>0</v>
      </c>
      <c r="AL171">
        <v>0</v>
      </c>
      <c r="AM171">
        <v>0</v>
      </c>
      <c r="AN171" s="23" t="s">
        <v>54</v>
      </c>
      <c r="AO171" s="23" t="s">
        <v>54</v>
      </c>
      <c r="AP171" s="23" t="s">
        <v>54</v>
      </c>
      <c r="AQ171" s="23" t="s">
        <v>54</v>
      </c>
      <c r="AR171" s="35">
        <v>0</v>
      </c>
      <c r="AS171" s="35">
        <v>0</v>
      </c>
      <c r="AT171" s="35">
        <v>0</v>
      </c>
      <c r="AU171" s="31" t="str">
        <f t="shared" si="5"/>
        <v>库存为0</v>
      </c>
      <c r="AV171" s="36" t="str">
        <f>IFERROR($A$2+AU171,"上周无销量")</f>
        <v>上周无销量</v>
      </c>
    </row>
    <row r="172" spans="1:48">
      <c r="A172" s="21" t="s">
        <v>395</v>
      </c>
      <c r="B172" t="s">
        <v>396</v>
      </c>
      <c r="C172" t="s">
        <v>394</v>
      </c>
      <c r="D172" s="31">
        <v>0</v>
      </c>
      <c r="E172" s="31">
        <v>0</v>
      </c>
      <c r="F172" s="31">
        <v>0</v>
      </c>
      <c r="G172" s="31">
        <v>0</v>
      </c>
      <c r="H172" s="32">
        <v>0</v>
      </c>
      <c r="I172">
        <v>0</v>
      </c>
      <c r="J172" s="33">
        <v>0</v>
      </c>
      <c r="K172" s="33">
        <v>0</v>
      </c>
      <c r="L172" s="33">
        <v>0</v>
      </c>
      <c r="M172">
        <v>0</v>
      </c>
      <c r="N172">
        <v>0</v>
      </c>
      <c r="O172">
        <v>0</v>
      </c>
      <c r="P172" t="s">
        <v>54</v>
      </c>
      <c r="Q172" t="s">
        <v>54</v>
      </c>
      <c r="R172" t="s">
        <v>54</v>
      </c>
      <c r="S172" t="s">
        <v>54</v>
      </c>
      <c r="T172" t="s">
        <v>54</v>
      </c>
      <c r="U172" t="s">
        <v>54</v>
      </c>
      <c r="V172" t="s">
        <v>54</v>
      </c>
      <c r="W172" t="s">
        <v>54</v>
      </c>
      <c r="X172" s="23" t="s">
        <v>54</v>
      </c>
      <c r="Y172" s="23" t="s">
        <v>54</v>
      </c>
      <c r="Z172" s="23" t="s">
        <v>54</v>
      </c>
      <c r="AA172" s="23" t="s">
        <v>54</v>
      </c>
      <c r="AB172" t="s">
        <v>54</v>
      </c>
      <c r="AC172" t="s">
        <v>54</v>
      </c>
      <c r="AD172" t="s">
        <v>54</v>
      </c>
      <c r="AE172" t="s">
        <v>54</v>
      </c>
      <c r="AF172" s="23" t="s">
        <v>54</v>
      </c>
      <c r="AG172" s="23" t="s">
        <v>54</v>
      </c>
      <c r="AH172" s="23" t="s">
        <v>54</v>
      </c>
      <c r="AI172" s="23" t="s">
        <v>54</v>
      </c>
      <c r="AJ172">
        <v>0</v>
      </c>
      <c r="AK172">
        <v>0</v>
      </c>
      <c r="AL172">
        <v>0</v>
      </c>
      <c r="AM172">
        <v>0</v>
      </c>
      <c r="AN172" s="23" t="s">
        <v>54</v>
      </c>
      <c r="AO172" s="23" t="s">
        <v>54</v>
      </c>
      <c r="AP172" s="23" t="s">
        <v>54</v>
      </c>
      <c r="AQ172" s="23" t="s">
        <v>54</v>
      </c>
      <c r="AR172" s="35">
        <v>0</v>
      </c>
      <c r="AS172" s="35">
        <v>0</v>
      </c>
      <c r="AT172" s="35">
        <v>0</v>
      </c>
      <c r="AU172" s="31" t="str">
        <f t="shared" si="5"/>
        <v>库存为0</v>
      </c>
      <c r="AV172" s="36" t="str">
        <f>IFERROR($A$2+AU172,"上周无销量")</f>
        <v>上周无销量</v>
      </c>
    </row>
    <row r="173" spans="1:48">
      <c r="A173" s="21" t="s">
        <v>397</v>
      </c>
      <c r="B173" t="s">
        <v>398</v>
      </c>
      <c r="C173" t="s">
        <v>397</v>
      </c>
      <c r="D173" s="31">
        <v>0</v>
      </c>
      <c r="E173" s="31">
        <v>0</v>
      </c>
      <c r="F173" s="31">
        <v>0</v>
      </c>
      <c r="G173" s="31">
        <v>0</v>
      </c>
      <c r="H173" s="32">
        <v>0</v>
      </c>
      <c r="I173">
        <v>2</v>
      </c>
      <c r="J173" s="33">
        <v>0</v>
      </c>
      <c r="K173" s="33">
        <v>0</v>
      </c>
      <c r="L173" s="33">
        <v>0</v>
      </c>
      <c r="M173">
        <v>2</v>
      </c>
      <c r="N173">
        <v>0</v>
      </c>
      <c r="O173">
        <v>2</v>
      </c>
      <c r="P173" t="s">
        <v>54</v>
      </c>
      <c r="Q173" t="s">
        <v>54</v>
      </c>
      <c r="R173" t="s">
        <v>54</v>
      </c>
      <c r="S173" t="s">
        <v>54</v>
      </c>
      <c r="T173" t="s">
        <v>54</v>
      </c>
      <c r="U173" t="s">
        <v>54</v>
      </c>
      <c r="V173" t="s">
        <v>54</v>
      </c>
      <c r="W173" t="s">
        <v>54</v>
      </c>
      <c r="X173" s="23" t="s">
        <v>54</v>
      </c>
      <c r="Y173" s="23" t="s">
        <v>54</v>
      </c>
      <c r="Z173" s="23" t="s">
        <v>54</v>
      </c>
      <c r="AA173" s="23" t="s">
        <v>54</v>
      </c>
      <c r="AB173" t="s">
        <v>54</v>
      </c>
      <c r="AC173" t="s">
        <v>54</v>
      </c>
      <c r="AD173" t="s">
        <v>54</v>
      </c>
      <c r="AE173" t="s">
        <v>54</v>
      </c>
      <c r="AF173" s="23" t="s">
        <v>54</v>
      </c>
      <c r="AG173" s="23" t="s">
        <v>54</v>
      </c>
      <c r="AH173" s="23" t="s">
        <v>54</v>
      </c>
      <c r="AI173" s="23" t="s">
        <v>54</v>
      </c>
      <c r="AJ173">
        <v>3</v>
      </c>
      <c r="AK173">
        <v>3</v>
      </c>
      <c r="AL173">
        <v>2</v>
      </c>
      <c r="AM173">
        <v>3</v>
      </c>
      <c r="AN173" s="23">
        <v>0</v>
      </c>
      <c r="AO173" s="23">
        <v>0</v>
      </c>
      <c r="AP173" s="23">
        <v>0</v>
      </c>
      <c r="AQ173" s="23">
        <v>0</v>
      </c>
      <c r="AR173" s="35">
        <v>0</v>
      </c>
      <c r="AS173" s="35">
        <v>0</v>
      </c>
      <c r="AT173" s="35">
        <v>2</v>
      </c>
      <c r="AU173" s="31" t="str">
        <f t="shared" si="5"/>
        <v>库存为2</v>
      </c>
      <c r="AV173" s="36" t="str">
        <f>IFERROR($A$2+AU173,"上周无销量")</f>
        <v>上周无销量</v>
      </c>
    </row>
    <row r="174" spans="1:48">
      <c r="A174" s="21" t="s">
        <v>399</v>
      </c>
      <c r="B174" t="s">
        <v>400</v>
      </c>
      <c r="C174" t="s">
        <v>401</v>
      </c>
      <c r="D174" s="31">
        <v>0</v>
      </c>
      <c r="E174" s="31">
        <v>0</v>
      </c>
      <c r="F174" s="31">
        <v>0</v>
      </c>
      <c r="G174" s="31">
        <v>0</v>
      </c>
      <c r="H174" s="32">
        <v>0</v>
      </c>
      <c r="I174">
        <v>3</v>
      </c>
      <c r="J174" s="33">
        <v>0</v>
      </c>
      <c r="K174" s="33">
        <v>0</v>
      </c>
      <c r="L174" s="33">
        <v>0</v>
      </c>
      <c r="M174">
        <v>3</v>
      </c>
      <c r="N174">
        <v>0</v>
      </c>
      <c r="O174">
        <v>3</v>
      </c>
      <c r="P174" t="s">
        <v>54</v>
      </c>
      <c r="Q174" t="s">
        <v>54</v>
      </c>
      <c r="R174" t="s">
        <v>54</v>
      </c>
      <c r="S174" t="s">
        <v>54</v>
      </c>
      <c r="T174" t="s">
        <v>54</v>
      </c>
      <c r="U174" t="s">
        <v>54</v>
      </c>
      <c r="V174" t="s">
        <v>54</v>
      </c>
      <c r="W174" t="s">
        <v>54</v>
      </c>
      <c r="X174" s="23" t="s">
        <v>54</v>
      </c>
      <c r="Y174" s="23" t="s">
        <v>54</v>
      </c>
      <c r="Z174" s="23" t="s">
        <v>54</v>
      </c>
      <c r="AA174" s="23" t="s">
        <v>54</v>
      </c>
      <c r="AB174" t="s">
        <v>54</v>
      </c>
      <c r="AC174" t="s">
        <v>54</v>
      </c>
      <c r="AD174" t="s">
        <v>54</v>
      </c>
      <c r="AE174" t="s">
        <v>54</v>
      </c>
      <c r="AF174" s="23" t="s">
        <v>54</v>
      </c>
      <c r="AG174" s="23" t="s">
        <v>54</v>
      </c>
      <c r="AH174" s="23" t="s">
        <v>54</v>
      </c>
      <c r="AI174" s="23" t="s">
        <v>54</v>
      </c>
      <c r="AJ174">
        <v>2</v>
      </c>
      <c r="AK174">
        <v>3</v>
      </c>
      <c r="AL174">
        <v>1</v>
      </c>
      <c r="AM174">
        <v>4</v>
      </c>
      <c r="AN174" s="23">
        <v>0</v>
      </c>
      <c r="AO174" s="23">
        <v>0</v>
      </c>
      <c r="AP174" s="23">
        <v>0</v>
      </c>
      <c r="AQ174" s="23">
        <v>0</v>
      </c>
      <c r="AR174" s="35">
        <v>0</v>
      </c>
      <c r="AS174" s="35">
        <v>0</v>
      </c>
      <c r="AT174" s="35">
        <v>3</v>
      </c>
      <c r="AU174" s="31" t="str">
        <f t="shared" si="5"/>
        <v>库存为3</v>
      </c>
      <c r="AV174" s="36" t="str">
        <f>IFERROR($A$2+AU174,"上周无销量")</f>
        <v>上周无销量</v>
      </c>
    </row>
    <row r="175" spans="1:48">
      <c r="A175" s="21" t="s">
        <v>402</v>
      </c>
      <c r="B175" t="s">
        <v>403</v>
      </c>
      <c r="C175" t="s">
        <v>401</v>
      </c>
      <c r="D175" s="31">
        <v>0</v>
      </c>
      <c r="E175" s="31">
        <v>0</v>
      </c>
      <c r="F175" s="31">
        <v>0</v>
      </c>
      <c r="G175" s="31">
        <v>0</v>
      </c>
      <c r="H175" s="32">
        <v>0</v>
      </c>
      <c r="I175">
        <v>3</v>
      </c>
      <c r="J175" s="33">
        <v>0</v>
      </c>
      <c r="K175" s="33">
        <v>0</v>
      </c>
      <c r="L175" s="33">
        <v>0</v>
      </c>
      <c r="M175">
        <v>3</v>
      </c>
      <c r="N175">
        <v>0</v>
      </c>
      <c r="O175">
        <v>3</v>
      </c>
      <c r="P175" t="s">
        <v>54</v>
      </c>
      <c r="Q175" t="s">
        <v>54</v>
      </c>
      <c r="R175" t="s">
        <v>54</v>
      </c>
      <c r="S175" t="s">
        <v>54</v>
      </c>
      <c r="T175" t="s">
        <v>54</v>
      </c>
      <c r="U175" t="s">
        <v>54</v>
      </c>
      <c r="V175" t="s">
        <v>54</v>
      </c>
      <c r="W175" t="s">
        <v>54</v>
      </c>
      <c r="X175" s="23" t="s">
        <v>54</v>
      </c>
      <c r="Y175" s="23" t="s">
        <v>54</v>
      </c>
      <c r="Z175" s="23" t="s">
        <v>54</v>
      </c>
      <c r="AA175" s="23" t="s">
        <v>54</v>
      </c>
      <c r="AB175" t="s">
        <v>54</v>
      </c>
      <c r="AC175" t="s">
        <v>54</v>
      </c>
      <c r="AD175" t="s">
        <v>54</v>
      </c>
      <c r="AE175" t="s">
        <v>54</v>
      </c>
      <c r="AF175" s="23" t="s">
        <v>54</v>
      </c>
      <c r="AG175" s="23" t="s">
        <v>54</v>
      </c>
      <c r="AH175" s="23" t="s">
        <v>54</v>
      </c>
      <c r="AI175" s="23" t="s">
        <v>54</v>
      </c>
      <c r="AJ175">
        <v>2</v>
      </c>
      <c r="AK175">
        <v>4</v>
      </c>
      <c r="AL175">
        <v>3</v>
      </c>
      <c r="AM175">
        <v>4</v>
      </c>
      <c r="AN175" s="23">
        <v>0</v>
      </c>
      <c r="AO175" s="23">
        <v>0</v>
      </c>
      <c r="AP175" s="23">
        <v>0</v>
      </c>
      <c r="AQ175" s="23">
        <v>0</v>
      </c>
      <c r="AR175" s="35">
        <v>0</v>
      </c>
      <c r="AS175" s="35">
        <v>0</v>
      </c>
      <c r="AT175" s="35">
        <v>3</v>
      </c>
      <c r="AU175" s="31" t="str">
        <f t="shared" si="5"/>
        <v>库存为3</v>
      </c>
      <c r="AV175" s="36" t="str">
        <f>IFERROR($A$2+AU175,"上周无销量")</f>
        <v>上周无销量</v>
      </c>
    </row>
    <row r="176" spans="1:48">
      <c r="A176" s="21" t="s">
        <v>404</v>
      </c>
      <c r="B176" t="s">
        <v>405</v>
      </c>
      <c r="C176" t="s">
        <v>401</v>
      </c>
      <c r="D176" s="31">
        <v>0</v>
      </c>
      <c r="E176" s="31">
        <v>0</v>
      </c>
      <c r="F176" s="31">
        <v>0</v>
      </c>
      <c r="G176" s="31">
        <v>0</v>
      </c>
      <c r="H176" s="32">
        <v>0</v>
      </c>
      <c r="I176">
        <v>3</v>
      </c>
      <c r="J176" s="33">
        <v>0</v>
      </c>
      <c r="K176" s="33">
        <v>0</v>
      </c>
      <c r="L176" s="33">
        <v>0</v>
      </c>
      <c r="M176">
        <v>3</v>
      </c>
      <c r="N176">
        <v>0</v>
      </c>
      <c r="O176">
        <v>3</v>
      </c>
      <c r="P176" t="s">
        <v>54</v>
      </c>
      <c r="Q176" t="s">
        <v>54</v>
      </c>
      <c r="R176" t="s">
        <v>54</v>
      </c>
      <c r="S176" t="s">
        <v>54</v>
      </c>
      <c r="T176" t="s">
        <v>54</v>
      </c>
      <c r="U176" t="s">
        <v>54</v>
      </c>
      <c r="V176" t="s">
        <v>54</v>
      </c>
      <c r="W176" t="s">
        <v>54</v>
      </c>
      <c r="X176" s="23" t="s">
        <v>54</v>
      </c>
      <c r="Y176" s="23" t="s">
        <v>54</v>
      </c>
      <c r="Z176" s="23" t="s">
        <v>54</v>
      </c>
      <c r="AA176" s="23" t="s">
        <v>54</v>
      </c>
      <c r="AB176" t="s">
        <v>54</v>
      </c>
      <c r="AC176" t="s">
        <v>54</v>
      </c>
      <c r="AD176" t="s">
        <v>54</v>
      </c>
      <c r="AE176" t="s">
        <v>54</v>
      </c>
      <c r="AF176" s="23" t="s">
        <v>54</v>
      </c>
      <c r="AG176" s="23" t="s">
        <v>54</v>
      </c>
      <c r="AH176" s="23" t="s">
        <v>54</v>
      </c>
      <c r="AI176" s="23" t="s">
        <v>54</v>
      </c>
      <c r="AJ176">
        <v>2</v>
      </c>
      <c r="AK176">
        <v>3</v>
      </c>
      <c r="AL176">
        <v>3</v>
      </c>
      <c r="AM176">
        <v>4</v>
      </c>
      <c r="AN176" s="23">
        <v>0</v>
      </c>
      <c r="AO176" s="23">
        <v>0</v>
      </c>
      <c r="AP176" s="23">
        <v>0</v>
      </c>
      <c r="AQ176" s="23">
        <v>0</v>
      </c>
      <c r="AR176" s="35">
        <v>0</v>
      </c>
      <c r="AS176" s="35">
        <v>0</v>
      </c>
      <c r="AT176" s="35">
        <v>3</v>
      </c>
      <c r="AU176" s="31" t="str">
        <f t="shared" si="5"/>
        <v>库存为3</v>
      </c>
      <c r="AV176" s="36" t="str">
        <f>IFERROR($A$2+AU176,"上周无销量")</f>
        <v>上周无销量</v>
      </c>
    </row>
    <row r="177" spans="1:48">
      <c r="A177" s="21" t="s">
        <v>406</v>
      </c>
      <c r="B177" t="s">
        <v>407</v>
      </c>
      <c r="C177" t="s">
        <v>408</v>
      </c>
      <c r="D177" s="31">
        <v>0</v>
      </c>
      <c r="E177" s="31">
        <v>0</v>
      </c>
      <c r="F177" s="31">
        <v>0</v>
      </c>
      <c r="G177" s="31">
        <v>0</v>
      </c>
      <c r="H177" s="32">
        <v>0</v>
      </c>
      <c r="I177">
        <v>0</v>
      </c>
      <c r="J177" s="33">
        <v>0</v>
      </c>
      <c r="K177" s="33">
        <v>0</v>
      </c>
      <c r="L177" s="33">
        <v>0</v>
      </c>
      <c r="M177">
        <v>0</v>
      </c>
      <c r="N177">
        <v>0</v>
      </c>
      <c r="O177">
        <v>0</v>
      </c>
      <c r="P177" t="s">
        <v>54</v>
      </c>
      <c r="Q177" t="s">
        <v>54</v>
      </c>
      <c r="R177" t="s">
        <v>54</v>
      </c>
      <c r="S177" t="s">
        <v>54</v>
      </c>
      <c r="T177" t="s">
        <v>54</v>
      </c>
      <c r="U177" t="s">
        <v>54</v>
      </c>
      <c r="V177" t="s">
        <v>54</v>
      </c>
      <c r="W177" t="s">
        <v>54</v>
      </c>
      <c r="X177" s="23" t="s">
        <v>54</v>
      </c>
      <c r="Y177" s="23" t="s">
        <v>54</v>
      </c>
      <c r="Z177" s="23" t="s">
        <v>54</v>
      </c>
      <c r="AA177" s="23" t="s">
        <v>54</v>
      </c>
      <c r="AB177" t="s">
        <v>54</v>
      </c>
      <c r="AC177" t="s">
        <v>54</v>
      </c>
      <c r="AD177" t="s">
        <v>54</v>
      </c>
      <c r="AE177" t="s">
        <v>54</v>
      </c>
      <c r="AF177" s="23" t="s">
        <v>54</v>
      </c>
      <c r="AG177" s="23" t="s">
        <v>54</v>
      </c>
      <c r="AH177" s="23" t="s">
        <v>54</v>
      </c>
      <c r="AI177" s="23" t="s">
        <v>54</v>
      </c>
      <c r="AJ177">
        <v>0</v>
      </c>
      <c r="AK177">
        <v>0</v>
      </c>
      <c r="AL177">
        <v>0</v>
      </c>
      <c r="AM177">
        <v>0</v>
      </c>
      <c r="AN177" s="23" t="s">
        <v>54</v>
      </c>
      <c r="AO177" s="23" t="s">
        <v>54</v>
      </c>
      <c r="AP177" s="23" t="s">
        <v>54</v>
      </c>
      <c r="AQ177" s="23" t="s">
        <v>54</v>
      </c>
      <c r="AR177" s="35">
        <v>0</v>
      </c>
      <c r="AS177" s="35">
        <v>0</v>
      </c>
      <c r="AT177" s="35">
        <v>0</v>
      </c>
      <c r="AU177" s="31" t="str">
        <f t="shared" si="5"/>
        <v>库存为0</v>
      </c>
      <c r="AV177" s="36" t="str">
        <f>IFERROR($A$2+AU177,"上周无销量")</f>
        <v>上周无销量</v>
      </c>
    </row>
    <row r="178" spans="1:48">
      <c r="A178" s="21" t="s">
        <v>409</v>
      </c>
      <c r="B178" t="s">
        <v>410</v>
      </c>
      <c r="C178" t="s">
        <v>408</v>
      </c>
      <c r="D178" s="31">
        <v>0</v>
      </c>
      <c r="E178" s="31">
        <v>0</v>
      </c>
      <c r="F178" s="31">
        <v>0</v>
      </c>
      <c r="G178" s="31">
        <v>0</v>
      </c>
      <c r="H178" s="32">
        <v>0</v>
      </c>
      <c r="I178">
        <v>0</v>
      </c>
      <c r="J178" s="33">
        <v>0</v>
      </c>
      <c r="K178" s="33">
        <v>0</v>
      </c>
      <c r="L178" s="33">
        <v>0</v>
      </c>
      <c r="M178">
        <v>0</v>
      </c>
      <c r="N178">
        <v>0</v>
      </c>
      <c r="O178">
        <v>0</v>
      </c>
      <c r="P178" t="s">
        <v>54</v>
      </c>
      <c r="Q178" t="s">
        <v>54</v>
      </c>
      <c r="R178" t="s">
        <v>54</v>
      </c>
      <c r="S178" t="s">
        <v>54</v>
      </c>
      <c r="T178" t="s">
        <v>54</v>
      </c>
      <c r="U178" t="s">
        <v>54</v>
      </c>
      <c r="V178" t="s">
        <v>54</v>
      </c>
      <c r="W178" t="s">
        <v>54</v>
      </c>
      <c r="X178" s="23" t="s">
        <v>54</v>
      </c>
      <c r="Y178" s="23" t="s">
        <v>54</v>
      </c>
      <c r="Z178" s="23" t="s">
        <v>54</v>
      </c>
      <c r="AA178" s="23" t="s">
        <v>54</v>
      </c>
      <c r="AB178" t="s">
        <v>54</v>
      </c>
      <c r="AC178" t="s">
        <v>54</v>
      </c>
      <c r="AD178" t="s">
        <v>54</v>
      </c>
      <c r="AE178" t="s">
        <v>54</v>
      </c>
      <c r="AF178" s="23" t="s">
        <v>54</v>
      </c>
      <c r="AG178" s="23" t="s">
        <v>54</v>
      </c>
      <c r="AH178" s="23" t="s">
        <v>54</v>
      </c>
      <c r="AI178" s="23" t="s">
        <v>54</v>
      </c>
      <c r="AJ178">
        <v>0</v>
      </c>
      <c r="AK178">
        <v>0</v>
      </c>
      <c r="AL178">
        <v>0</v>
      </c>
      <c r="AM178">
        <v>0</v>
      </c>
      <c r="AN178" s="23" t="s">
        <v>54</v>
      </c>
      <c r="AO178" s="23" t="s">
        <v>54</v>
      </c>
      <c r="AP178" s="23" t="s">
        <v>54</v>
      </c>
      <c r="AQ178" s="23" t="s">
        <v>54</v>
      </c>
      <c r="AR178" s="35">
        <v>0</v>
      </c>
      <c r="AS178" s="35">
        <v>0</v>
      </c>
      <c r="AT178" s="35">
        <v>0</v>
      </c>
      <c r="AU178" s="31" t="str">
        <f t="shared" si="5"/>
        <v>库存为0</v>
      </c>
      <c r="AV178" s="36" t="str">
        <f>IFERROR($A$2+AU178,"上周无销量")</f>
        <v>上周无销量</v>
      </c>
    </row>
    <row r="179" spans="1:48">
      <c r="A179" s="21" t="s">
        <v>411</v>
      </c>
      <c r="B179" t="s">
        <v>412</v>
      </c>
      <c r="C179" t="s">
        <v>408</v>
      </c>
      <c r="D179" s="31">
        <v>0</v>
      </c>
      <c r="E179" s="31">
        <v>0</v>
      </c>
      <c r="F179" s="31">
        <v>0</v>
      </c>
      <c r="G179" s="31">
        <v>0</v>
      </c>
      <c r="H179" s="32">
        <v>0</v>
      </c>
      <c r="I179">
        <v>0</v>
      </c>
      <c r="J179" s="33">
        <v>0</v>
      </c>
      <c r="K179" s="33">
        <v>0</v>
      </c>
      <c r="L179" s="33">
        <v>0</v>
      </c>
      <c r="M179">
        <v>0</v>
      </c>
      <c r="N179">
        <v>0</v>
      </c>
      <c r="O179">
        <v>0</v>
      </c>
      <c r="P179" t="s">
        <v>54</v>
      </c>
      <c r="Q179" t="s">
        <v>54</v>
      </c>
      <c r="R179" t="s">
        <v>54</v>
      </c>
      <c r="S179" t="s">
        <v>54</v>
      </c>
      <c r="T179" t="s">
        <v>54</v>
      </c>
      <c r="U179" t="s">
        <v>54</v>
      </c>
      <c r="V179" t="s">
        <v>54</v>
      </c>
      <c r="W179" t="s">
        <v>54</v>
      </c>
      <c r="X179" s="23" t="s">
        <v>54</v>
      </c>
      <c r="Y179" s="23" t="s">
        <v>54</v>
      </c>
      <c r="Z179" s="23" t="s">
        <v>54</v>
      </c>
      <c r="AA179" s="23" t="s">
        <v>54</v>
      </c>
      <c r="AB179" t="s">
        <v>54</v>
      </c>
      <c r="AC179" t="s">
        <v>54</v>
      </c>
      <c r="AD179" t="s">
        <v>54</v>
      </c>
      <c r="AE179" t="s">
        <v>54</v>
      </c>
      <c r="AF179" s="23" t="s">
        <v>54</v>
      </c>
      <c r="AG179" s="23" t="s">
        <v>54</v>
      </c>
      <c r="AH179" s="23" t="s">
        <v>54</v>
      </c>
      <c r="AI179" s="23" t="s">
        <v>54</v>
      </c>
      <c r="AJ179">
        <v>0</v>
      </c>
      <c r="AK179">
        <v>0</v>
      </c>
      <c r="AL179">
        <v>0</v>
      </c>
      <c r="AM179">
        <v>0</v>
      </c>
      <c r="AN179" s="23" t="s">
        <v>54</v>
      </c>
      <c r="AO179" s="23" t="s">
        <v>54</v>
      </c>
      <c r="AP179" s="23" t="s">
        <v>54</v>
      </c>
      <c r="AQ179" s="23" t="s">
        <v>54</v>
      </c>
      <c r="AR179" s="35">
        <v>0</v>
      </c>
      <c r="AS179" s="35">
        <v>0</v>
      </c>
      <c r="AT179" s="35">
        <v>0</v>
      </c>
      <c r="AU179" s="31" t="str">
        <f t="shared" si="5"/>
        <v>库存为0</v>
      </c>
      <c r="AV179" s="36" t="str">
        <f>IFERROR($A$2+AU179,"上周无销量")</f>
        <v>上周无销量</v>
      </c>
    </row>
    <row r="180" spans="1:48">
      <c r="A180" s="21" t="s">
        <v>413</v>
      </c>
      <c r="B180" t="s">
        <v>414</v>
      </c>
      <c r="C180" t="s">
        <v>408</v>
      </c>
      <c r="D180" s="31">
        <v>0</v>
      </c>
      <c r="E180" s="31">
        <v>0</v>
      </c>
      <c r="F180" s="31">
        <v>0</v>
      </c>
      <c r="G180" s="31">
        <v>0</v>
      </c>
      <c r="H180" s="32">
        <v>0</v>
      </c>
      <c r="I180">
        <v>0</v>
      </c>
      <c r="J180" s="33">
        <v>0</v>
      </c>
      <c r="K180" s="33">
        <v>0</v>
      </c>
      <c r="L180" s="33">
        <v>0</v>
      </c>
      <c r="M180">
        <v>0</v>
      </c>
      <c r="N180">
        <v>0</v>
      </c>
      <c r="O180">
        <v>0</v>
      </c>
      <c r="P180" t="s">
        <v>54</v>
      </c>
      <c r="Q180" t="s">
        <v>54</v>
      </c>
      <c r="R180" t="s">
        <v>54</v>
      </c>
      <c r="S180" t="s">
        <v>54</v>
      </c>
      <c r="T180" t="s">
        <v>54</v>
      </c>
      <c r="U180" t="s">
        <v>54</v>
      </c>
      <c r="V180" t="s">
        <v>54</v>
      </c>
      <c r="W180" t="s">
        <v>54</v>
      </c>
      <c r="X180" s="23" t="s">
        <v>54</v>
      </c>
      <c r="Y180" s="23" t="s">
        <v>54</v>
      </c>
      <c r="Z180" s="23" t="s">
        <v>54</v>
      </c>
      <c r="AA180" s="23" t="s">
        <v>54</v>
      </c>
      <c r="AB180" t="s">
        <v>54</v>
      </c>
      <c r="AC180" t="s">
        <v>54</v>
      </c>
      <c r="AD180" t="s">
        <v>54</v>
      </c>
      <c r="AE180" t="s">
        <v>54</v>
      </c>
      <c r="AF180" s="23" t="s">
        <v>54</v>
      </c>
      <c r="AG180" s="23" t="s">
        <v>54</v>
      </c>
      <c r="AH180" s="23" t="s">
        <v>54</v>
      </c>
      <c r="AI180" s="23" t="s">
        <v>54</v>
      </c>
      <c r="AJ180">
        <v>0</v>
      </c>
      <c r="AK180">
        <v>0</v>
      </c>
      <c r="AL180">
        <v>0</v>
      </c>
      <c r="AM180">
        <v>0</v>
      </c>
      <c r="AN180" s="23" t="s">
        <v>54</v>
      </c>
      <c r="AO180" s="23" t="s">
        <v>54</v>
      </c>
      <c r="AP180" s="23" t="s">
        <v>54</v>
      </c>
      <c r="AQ180" s="23" t="s">
        <v>54</v>
      </c>
      <c r="AR180" s="35">
        <v>0</v>
      </c>
      <c r="AS180" s="35">
        <v>0</v>
      </c>
      <c r="AT180" s="35">
        <v>0</v>
      </c>
      <c r="AU180" s="31" t="str">
        <f t="shared" si="5"/>
        <v>库存为0</v>
      </c>
      <c r="AV180" s="36" t="str">
        <f>IFERROR($A$2+AU180,"上周无销量")</f>
        <v>上周无销量</v>
      </c>
    </row>
    <row r="181" spans="1:48">
      <c r="A181" s="21" t="s">
        <v>415</v>
      </c>
      <c r="B181" t="s">
        <v>416</v>
      </c>
      <c r="C181" t="s">
        <v>408</v>
      </c>
      <c r="D181" s="31">
        <v>0</v>
      </c>
      <c r="E181" s="31">
        <v>0</v>
      </c>
      <c r="F181" s="31">
        <v>0</v>
      </c>
      <c r="G181" s="31">
        <v>0</v>
      </c>
      <c r="H181" s="32">
        <v>0</v>
      </c>
      <c r="I181">
        <v>0</v>
      </c>
      <c r="J181" s="33">
        <v>0</v>
      </c>
      <c r="K181" s="33">
        <v>0</v>
      </c>
      <c r="L181" s="33">
        <v>0</v>
      </c>
      <c r="M181">
        <v>0</v>
      </c>
      <c r="N181">
        <v>0</v>
      </c>
      <c r="O181">
        <v>0</v>
      </c>
      <c r="P181" t="s">
        <v>54</v>
      </c>
      <c r="Q181" t="s">
        <v>54</v>
      </c>
      <c r="R181" t="s">
        <v>54</v>
      </c>
      <c r="S181" t="s">
        <v>54</v>
      </c>
      <c r="T181" t="s">
        <v>54</v>
      </c>
      <c r="U181" t="s">
        <v>54</v>
      </c>
      <c r="V181" t="s">
        <v>54</v>
      </c>
      <c r="W181" t="s">
        <v>54</v>
      </c>
      <c r="X181" s="23" t="s">
        <v>54</v>
      </c>
      <c r="Y181" s="23" t="s">
        <v>54</v>
      </c>
      <c r="Z181" s="23" t="s">
        <v>54</v>
      </c>
      <c r="AA181" s="23" t="s">
        <v>54</v>
      </c>
      <c r="AB181" t="s">
        <v>54</v>
      </c>
      <c r="AC181" t="s">
        <v>54</v>
      </c>
      <c r="AD181" t="s">
        <v>54</v>
      </c>
      <c r="AE181" t="s">
        <v>54</v>
      </c>
      <c r="AF181" s="23" t="s">
        <v>54</v>
      </c>
      <c r="AG181" s="23" t="s">
        <v>54</v>
      </c>
      <c r="AH181" s="23" t="s">
        <v>54</v>
      </c>
      <c r="AI181" s="23" t="s">
        <v>54</v>
      </c>
      <c r="AJ181">
        <v>0</v>
      </c>
      <c r="AK181">
        <v>0</v>
      </c>
      <c r="AL181">
        <v>0</v>
      </c>
      <c r="AM181">
        <v>0</v>
      </c>
      <c r="AN181" s="23" t="s">
        <v>54</v>
      </c>
      <c r="AO181" s="23" t="s">
        <v>54</v>
      </c>
      <c r="AP181" s="23" t="s">
        <v>54</v>
      </c>
      <c r="AQ181" s="23" t="s">
        <v>54</v>
      </c>
      <c r="AR181" s="35">
        <v>0</v>
      </c>
      <c r="AS181" s="35">
        <v>0</v>
      </c>
      <c r="AT181" s="35">
        <v>0</v>
      </c>
      <c r="AU181" s="31" t="str">
        <f t="shared" si="5"/>
        <v>库存为0</v>
      </c>
      <c r="AV181" s="36" t="str">
        <f>IFERROR($A$2+AU181,"上周无销量")</f>
        <v>上周无销量</v>
      </c>
    </row>
    <row r="182" spans="1:48">
      <c r="A182" s="21" t="s">
        <v>417</v>
      </c>
      <c r="B182" t="s">
        <v>418</v>
      </c>
      <c r="C182" t="s">
        <v>408</v>
      </c>
      <c r="D182" s="31">
        <v>0</v>
      </c>
      <c r="E182" s="31">
        <v>0</v>
      </c>
      <c r="F182" s="31">
        <v>0</v>
      </c>
      <c r="G182" s="31">
        <v>0</v>
      </c>
      <c r="H182" s="32">
        <v>0</v>
      </c>
      <c r="I182">
        <v>0</v>
      </c>
      <c r="J182" s="33">
        <v>0</v>
      </c>
      <c r="K182" s="33">
        <v>0</v>
      </c>
      <c r="L182" s="33">
        <v>0</v>
      </c>
      <c r="M182">
        <v>0</v>
      </c>
      <c r="N182">
        <v>0</v>
      </c>
      <c r="O182">
        <v>0</v>
      </c>
      <c r="P182" t="s">
        <v>54</v>
      </c>
      <c r="Q182" t="s">
        <v>54</v>
      </c>
      <c r="R182" t="s">
        <v>54</v>
      </c>
      <c r="S182" t="s">
        <v>54</v>
      </c>
      <c r="T182" t="s">
        <v>54</v>
      </c>
      <c r="U182" t="s">
        <v>54</v>
      </c>
      <c r="V182" t="s">
        <v>54</v>
      </c>
      <c r="W182" t="s">
        <v>54</v>
      </c>
      <c r="X182" s="23" t="s">
        <v>54</v>
      </c>
      <c r="Y182" s="23" t="s">
        <v>54</v>
      </c>
      <c r="Z182" s="23" t="s">
        <v>54</v>
      </c>
      <c r="AA182" s="23" t="s">
        <v>54</v>
      </c>
      <c r="AB182" t="s">
        <v>54</v>
      </c>
      <c r="AC182" t="s">
        <v>54</v>
      </c>
      <c r="AD182" t="s">
        <v>54</v>
      </c>
      <c r="AE182" t="s">
        <v>54</v>
      </c>
      <c r="AF182" s="23" t="s">
        <v>54</v>
      </c>
      <c r="AG182" s="23" t="s">
        <v>54</v>
      </c>
      <c r="AH182" s="23" t="s">
        <v>54</v>
      </c>
      <c r="AI182" s="23" t="s">
        <v>54</v>
      </c>
      <c r="AJ182">
        <v>0</v>
      </c>
      <c r="AK182">
        <v>0</v>
      </c>
      <c r="AL182">
        <v>0</v>
      </c>
      <c r="AM182">
        <v>0</v>
      </c>
      <c r="AN182" s="23" t="s">
        <v>54</v>
      </c>
      <c r="AO182" s="23" t="s">
        <v>54</v>
      </c>
      <c r="AP182" s="23" t="s">
        <v>54</v>
      </c>
      <c r="AQ182" s="23" t="s">
        <v>54</v>
      </c>
      <c r="AR182" s="35">
        <v>0</v>
      </c>
      <c r="AS182" s="35">
        <v>0</v>
      </c>
      <c r="AT182" s="35">
        <v>0</v>
      </c>
      <c r="AU182" s="31" t="str">
        <f t="shared" si="5"/>
        <v>库存为0</v>
      </c>
      <c r="AV182" s="36" t="str">
        <f>IFERROR($A$2+AU182,"上周无销量")</f>
        <v>上周无销量</v>
      </c>
    </row>
    <row r="183" spans="1:48">
      <c r="A183" s="21" t="s">
        <v>419</v>
      </c>
      <c r="B183" t="s">
        <v>420</v>
      </c>
      <c r="C183" t="s">
        <v>408</v>
      </c>
      <c r="D183" s="31">
        <v>0</v>
      </c>
      <c r="E183" s="31">
        <v>0</v>
      </c>
      <c r="F183" s="31">
        <v>0</v>
      </c>
      <c r="G183" s="31">
        <v>0</v>
      </c>
      <c r="H183" s="32">
        <v>0</v>
      </c>
      <c r="I183">
        <v>0</v>
      </c>
      <c r="J183" s="33">
        <v>0</v>
      </c>
      <c r="K183" s="33">
        <v>0</v>
      </c>
      <c r="L183" s="33">
        <v>0</v>
      </c>
      <c r="M183">
        <v>0</v>
      </c>
      <c r="N183">
        <v>0</v>
      </c>
      <c r="O183">
        <v>0</v>
      </c>
      <c r="P183" t="s">
        <v>54</v>
      </c>
      <c r="Q183" t="s">
        <v>54</v>
      </c>
      <c r="R183" t="s">
        <v>54</v>
      </c>
      <c r="S183" t="s">
        <v>54</v>
      </c>
      <c r="T183" t="s">
        <v>54</v>
      </c>
      <c r="U183" t="s">
        <v>54</v>
      </c>
      <c r="V183" t="s">
        <v>54</v>
      </c>
      <c r="W183" t="s">
        <v>54</v>
      </c>
      <c r="X183" s="23" t="s">
        <v>54</v>
      </c>
      <c r="Y183" s="23" t="s">
        <v>54</v>
      </c>
      <c r="Z183" s="23" t="s">
        <v>54</v>
      </c>
      <c r="AA183" s="23" t="s">
        <v>54</v>
      </c>
      <c r="AB183" t="s">
        <v>54</v>
      </c>
      <c r="AC183" t="s">
        <v>54</v>
      </c>
      <c r="AD183" t="s">
        <v>54</v>
      </c>
      <c r="AE183" t="s">
        <v>54</v>
      </c>
      <c r="AF183" s="23" t="s">
        <v>54</v>
      </c>
      <c r="AG183" s="23" t="s">
        <v>54</v>
      </c>
      <c r="AH183" s="23" t="s">
        <v>54</v>
      </c>
      <c r="AI183" s="23" t="s">
        <v>54</v>
      </c>
      <c r="AJ183">
        <v>0</v>
      </c>
      <c r="AK183">
        <v>0</v>
      </c>
      <c r="AL183">
        <v>0</v>
      </c>
      <c r="AM183">
        <v>0</v>
      </c>
      <c r="AN183" s="23" t="s">
        <v>54</v>
      </c>
      <c r="AO183" s="23" t="s">
        <v>54</v>
      </c>
      <c r="AP183" s="23" t="s">
        <v>54</v>
      </c>
      <c r="AQ183" s="23" t="s">
        <v>54</v>
      </c>
      <c r="AR183" s="35">
        <v>0</v>
      </c>
      <c r="AS183" s="35">
        <v>0</v>
      </c>
      <c r="AT183" s="35">
        <v>0</v>
      </c>
      <c r="AU183" s="31" t="str">
        <f t="shared" si="5"/>
        <v>库存为0</v>
      </c>
      <c r="AV183" s="36" t="str">
        <f>IFERROR($A$2+AU183,"上周无销量")</f>
        <v>上周无销量</v>
      </c>
    </row>
    <row r="184" spans="1:48">
      <c r="A184" s="21" t="s">
        <v>421</v>
      </c>
      <c r="B184" t="s">
        <v>422</v>
      </c>
      <c r="C184" t="s">
        <v>408</v>
      </c>
      <c r="D184" s="31">
        <v>0</v>
      </c>
      <c r="E184" s="31">
        <v>0</v>
      </c>
      <c r="F184" s="31">
        <v>0</v>
      </c>
      <c r="G184" s="31">
        <v>0</v>
      </c>
      <c r="H184" s="32">
        <v>0</v>
      </c>
      <c r="I184">
        <v>0</v>
      </c>
      <c r="J184" s="33">
        <v>0</v>
      </c>
      <c r="K184" s="33">
        <v>0</v>
      </c>
      <c r="L184" s="33">
        <v>0</v>
      </c>
      <c r="M184">
        <v>0</v>
      </c>
      <c r="N184">
        <v>0</v>
      </c>
      <c r="O184">
        <v>0</v>
      </c>
      <c r="P184" t="s">
        <v>54</v>
      </c>
      <c r="Q184" t="s">
        <v>54</v>
      </c>
      <c r="R184" t="s">
        <v>54</v>
      </c>
      <c r="S184" t="s">
        <v>54</v>
      </c>
      <c r="T184" t="s">
        <v>54</v>
      </c>
      <c r="U184" t="s">
        <v>54</v>
      </c>
      <c r="V184" t="s">
        <v>54</v>
      </c>
      <c r="W184" t="s">
        <v>54</v>
      </c>
      <c r="X184" s="23" t="s">
        <v>54</v>
      </c>
      <c r="Y184" s="23" t="s">
        <v>54</v>
      </c>
      <c r="Z184" s="23" t="s">
        <v>54</v>
      </c>
      <c r="AA184" s="23" t="s">
        <v>54</v>
      </c>
      <c r="AB184" t="s">
        <v>54</v>
      </c>
      <c r="AC184" t="s">
        <v>54</v>
      </c>
      <c r="AD184" t="s">
        <v>54</v>
      </c>
      <c r="AE184" t="s">
        <v>54</v>
      </c>
      <c r="AF184" s="23" t="s">
        <v>54</v>
      </c>
      <c r="AG184" s="23" t="s">
        <v>54</v>
      </c>
      <c r="AH184" s="23" t="s">
        <v>54</v>
      </c>
      <c r="AI184" s="23" t="s">
        <v>54</v>
      </c>
      <c r="AJ184">
        <v>0</v>
      </c>
      <c r="AK184">
        <v>0</v>
      </c>
      <c r="AL184">
        <v>0</v>
      </c>
      <c r="AM184">
        <v>0</v>
      </c>
      <c r="AN184" s="23" t="s">
        <v>54</v>
      </c>
      <c r="AO184" s="23" t="s">
        <v>54</v>
      </c>
      <c r="AP184" s="23" t="s">
        <v>54</v>
      </c>
      <c r="AQ184" s="23" t="s">
        <v>54</v>
      </c>
      <c r="AR184" s="35">
        <v>0</v>
      </c>
      <c r="AS184" s="35">
        <v>0</v>
      </c>
      <c r="AT184" s="35">
        <v>0</v>
      </c>
      <c r="AU184" s="31" t="str">
        <f t="shared" si="5"/>
        <v>库存为0</v>
      </c>
      <c r="AV184" s="36" t="str">
        <f>IFERROR($A$2+AU184,"上周无销量")</f>
        <v>上周无销量</v>
      </c>
    </row>
    <row r="185" spans="1:48">
      <c r="A185" s="21" t="s">
        <v>423</v>
      </c>
      <c r="B185" t="s">
        <v>424</v>
      </c>
      <c r="C185" t="s">
        <v>408</v>
      </c>
      <c r="D185" s="31">
        <v>0</v>
      </c>
      <c r="E185" s="31">
        <v>0</v>
      </c>
      <c r="F185" s="31">
        <v>0</v>
      </c>
      <c r="G185" s="31">
        <v>0</v>
      </c>
      <c r="H185" s="32">
        <v>0</v>
      </c>
      <c r="I185">
        <v>0</v>
      </c>
      <c r="J185" s="33">
        <v>0</v>
      </c>
      <c r="K185" s="33">
        <v>0</v>
      </c>
      <c r="L185" s="33">
        <v>0</v>
      </c>
      <c r="M185">
        <v>0</v>
      </c>
      <c r="N185">
        <v>0</v>
      </c>
      <c r="O185">
        <v>0</v>
      </c>
      <c r="P185" t="s">
        <v>54</v>
      </c>
      <c r="Q185" t="s">
        <v>54</v>
      </c>
      <c r="R185" t="s">
        <v>54</v>
      </c>
      <c r="S185" t="s">
        <v>54</v>
      </c>
      <c r="T185" t="s">
        <v>54</v>
      </c>
      <c r="U185" t="s">
        <v>54</v>
      </c>
      <c r="V185" t="s">
        <v>54</v>
      </c>
      <c r="W185" t="s">
        <v>54</v>
      </c>
      <c r="X185" s="23" t="s">
        <v>54</v>
      </c>
      <c r="Y185" s="23" t="s">
        <v>54</v>
      </c>
      <c r="Z185" s="23" t="s">
        <v>54</v>
      </c>
      <c r="AA185" s="23" t="s">
        <v>54</v>
      </c>
      <c r="AB185" t="s">
        <v>54</v>
      </c>
      <c r="AC185" t="s">
        <v>54</v>
      </c>
      <c r="AD185" t="s">
        <v>54</v>
      </c>
      <c r="AE185" t="s">
        <v>54</v>
      </c>
      <c r="AF185" s="23" t="s">
        <v>54</v>
      </c>
      <c r="AG185" s="23" t="s">
        <v>54</v>
      </c>
      <c r="AH185" s="23" t="s">
        <v>54</v>
      </c>
      <c r="AI185" s="23" t="s">
        <v>54</v>
      </c>
      <c r="AJ185">
        <v>0</v>
      </c>
      <c r="AK185">
        <v>0</v>
      </c>
      <c r="AL185">
        <v>0</v>
      </c>
      <c r="AM185">
        <v>0</v>
      </c>
      <c r="AN185" s="23" t="s">
        <v>54</v>
      </c>
      <c r="AO185" s="23" t="s">
        <v>54</v>
      </c>
      <c r="AP185" s="23" t="s">
        <v>54</v>
      </c>
      <c r="AQ185" s="23" t="s">
        <v>54</v>
      </c>
      <c r="AR185" s="35">
        <v>0</v>
      </c>
      <c r="AS185" s="35">
        <v>0</v>
      </c>
      <c r="AT185" s="35">
        <v>0</v>
      </c>
      <c r="AU185" s="31" t="str">
        <f t="shared" si="5"/>
        <v>库存为0</v>
      </c>
      <c r="AV185" s="36" t="str">
        <f>IFERROR($A$2+AU185,"上周无销量")</f>
        <v>上周无销量</v>
      </c>
    </row>
    <row r="186" spans="1:48">
      <c r="A186" s="21" t="s">
        <v>425</v>
      </c>
      <c r="B186" t="s">
        <v>426</v>
      </c>
      <c r="C186" t="s">
        <v>408</v>
      </c>
      <c r="D186" s="31">
        <v>0</v>
      </c>
      <c r="E186" s="31">
        <v>0</v>
      </c>
      <c r="F186" s="31">
        <v>0</v>
      </c>
      <c r="G186" s="31">
        <v>0</v>
      </c>
      <c r="H186" s="32">
        <v>0</v>
      </c>
      <c r="I186">
        <v>0</v>
      </c>
      <c r="J186" s="33">
        <v>0</v>
      </c>
      <c r="K186" s="33">
        <v>0</v>
      </c>
      <c r="L186" s="33">
        <v>0</v>
      </c>
      <c r="M186">
        <v>0</v>
      </c>
      <c r="N186">
        <v>0</v>
      </c>
      <c r="O186">
        <v>0</v>
      </c>
      <c r="P186" t="s">
        <v>54</v>
      </c>
      <c r="Q186" t="s">
        <v>54</v>
      </c>
      <c r="R186" t="s">
        <v>54</v>
      </c>
      <c r="S186" t="s">
        <v>54</v>
      </c>
      <c r="T186" t="s">
        <v>54</v>
      </c>
      <c r="U186" t="s">
        <v>54</v>
      </c>
      <c r="V186" t="s">
        <v>54</v>
      </c>
      <c r="W186" t="s">
        <v>54</v>
      </c>
      <c r="X186" s="23" t="s">
        <v>54</v>
      </c>
      <c r="Y186" s="23" t="s">
        <v>54</v>
      </c>
      <c r="Z186" s="23" t="s">
        <v>54</v>
      </c>
      <c r="AA186" s="23" t="s">
        <v>54</v>
      </c>
      <c r="AB186" t="s">
        <v>54</v>
      </c>
      <c r="AC186" t="s">
        <v>54</v>
      </c>
      <c r="AD186" t="s">
        <v>54</v>
      </c>
      <c r="AE186" t="s">
        <v>54</v>
      </c>
      <c r="AF186" s="23" t="s">
        <v>54</v>
      </c>
      <c r="AG186" s="23" t="s">
        <v>54</v>
      </c>
      <c r="AH186" s="23" t="s">
        <v>54</v>
      </c>
      <c r="AI186" s="23" t="s">
        <v>54</v>
      </c>
      <c r="AJ186">
        <v>0</v>
      </c>
      <c r="AK186">
        <v>0</v>
      </c>
      <c r="AL186">
        <v>0</v>
      </c>
      <c r="AM186">
        <v>0</v>
      </c>
      <c r="AN186" s="23" t="s">
        <v>54</v>
      </c>
      <c r="AO186" s="23" t="s">
        <v>54</v>
      </c>
      <c r="AP186" s="23" t="s">
        <v>54</v>
      </c>
      <c r="AQ186" s="23" t="s">
        <v>54</v>
      </c>
      <c r="AR186" s="35">
        <v>0</v>
      </c>
      <c r="AS186" s="35">
        <v>0</v>
      </c>
      <c r="AT186" s="35">
        <v>0</v>
      </c>
      <c r="AU186" s="31" t="str">
        <f t="shared" si="5"/>
        <v>库存为0</v>
      </c>
      <c r="AV186" s="36" t="str">
        <f>IFERROR($A$2+AU186,"上周无销量")</f>
        <v>上周无销量</v>
      </c>
    </row>
    <row r="187" spans="1:48">
      <c r="A187" s="21" t="s">
        <v>427</v>
      </c>
      <c r="B187" t="s">
        <v>428</v>
      </c>
      <c r="C187" t="s">
        <v>408</v>
      </c>
      <c r="D187" s="31">
        <v>0</v>
      </c>
      <c r="E187" s="31">
        <v>0</v>
      </c>
      <c r="F187" s="31">
        <v>0</v>
      </c>
      <c r="G187" s="31">
        <v>0</v>
      </c>
      <c r="H187" s="32">
        <v>0</v>
      </c>
      <c r="I187">
        <v>0</v>
      </c>
      <c r="J187" s="33">
        <v>0</v>
      </c>
      <c r="K187" s="33">
        <v>0</v>
      </c>
      <c r="L187" s="33">
        <v>0</v>
      </c>
      <c r="M187">
        <v>0</v>
      </c>
      <c r="N187">
        <v>0</v>
      </c>
      <c r="O187">
        <v>0</v>
      </c>
      <c r="P187" t="s">
        <v>54</v>
      </c>
      <c r="Q187" t="s">
        <v>54</v>
      </c>
      <c r="R187" t="s">
        <v>54</v>
      </c>
      <c r="S187" t="s">
        <v>54</v>
      </c>
      <c r="T187" t="s">
        <v>54</v>
      </c>
      <c r="U187" t="s">
        <v>54</v>
      </c>
      <c r="V187" t="s">
        <v>54</v>
      </c>
      <c r="W187" t="s">
        <v>54</v>
      </c>
      <c r="X187" s="23" t="s">
        <v>54</v>
      </c>
      <c r="Y187" s="23" t="s">
        <v>54</v>
      </c>
      <c r="Z187" s="23" t="s">
        <v>54</v>
      </c>
      <c r="AA187" s="23" t="s">
        <v>54</v>
      </c>
      <c r="AB187" t="s">
        <v>54</v>
      </c>
      <c r="AC187" t="s">
        <v>54</v>
      </c>
      <c r="AD187" t="s">
        <v>54</v>
      </c>
      <c r="AE187" t="s">
        <v>54</v>
      </c>
      <c r="AF187" s="23" t="s">
        <v>54</v>
      </c>
      <c r="AG187" s="23" t="s">
        <v>54</v>
      </c>
      <c r="AH187" s="23" t="s">
        <v>54</v>
      </c>
      <c r="AI187" s="23" t="s">
        <v>54</v>
      </c>
      <c r="AJ187">
        <v>0</v>
      </c>
      <c r="AK187">
        <v>0</v>
      </c>
      <c r="AL187">
        <v>0</v>
      </c>
      <c r="AM187">
        <v>0</v>
      </c>
      <c r="AN187" s="23" t="s">
        <v>54</v>
      </c>
      <c r="AO187" s="23" t="s">
        <v>54</v>
      </c>
      <c r="AP187" s="23" t="s">
        <v>54</v>
      </c>
      <c r="AQ187" s="23" t="s">
        <v>54</v>
      </c>
      <c r="AR187" s="35">
        <v>0</v>
      </c>
      <c r="AS187" s="35">
        <v>0</v>
      </c>
      <c r="AT187" s="35">
        <v>0</v>
      </c>
      <c r="AU187" s="31" t="str">
        <f t="shared" si="5"/>
        <v>库存为0</v>
      </c>
      <c r="AV187" s="36" t="str">
        <f>IFERROR($A$2+AU187,"上周无销量")</f>
        <v>上周无销量</v>
      </c>
    </row>
    <row r="188" spans="1:48">
      <c r="A188" s="21" t="s">
        <v>429</v>
      </c>
      <c r="B188" t="s">
        <v>430</v>
      </c>
      <c r="C188" t="s">
        <v>408</v>
      </c>
      <c r="D188" s="31">
        <v>0</v>
      </c>
      <c r="E188" s="31">
        <v>0</v>
      </c>
      <c r="F188" s="31">
        <v>0</v>
      </c>
      <c r="G188" s="31">
        <v>0</v>
      </c>
      <c r="H188" s="32">
        <v>0</v>
      </c>
      <c r="I188">
        <v>0</v>
      </c>
      <c r="J188" s="33">
        <v>0</v>
      </c>
      <c r="K188" s="33">
        <v>0</v>
      </c>
      <c r="L188" s="33">
        <v>0</v>
      </c>
      <c r="M188">
        <v>0</v>
      </c>
      <c r="N188">
        <v>0</v>
      </c>
      <c r="O188">
        <v>0</v>
      </c>
      <c r="P188" t="s">
        <v>54</v>
      </c>
      <c r="Q188" t="s">
        <v>54</v>
      </c>
      <c r="R188" t="s">
        <v>54</v>
      </c>
      <c r="S188" t="s">
        <v>54</v>
      </c>
      <c r="T188" t="s">
        <v>54</v>
      </c>
      <c r="U188" t="s">
        <v>54</v>
      </c>
      <c r="V188" t="s">
        <v>54</v>
      </c>
      <c r="W188" t="s">
        <v>54</v>
      </c>
      <c r="X188" s="23" t="s">
        <v>54</v>
      </c>
      <c r="Y188" s="23" t="s">
        <v>54</v>
      </c>
      <c r="Z188" s="23" t="s">
        <v>54</v>
      </c>
      <c r="AA188" s="23" t="s">
        <v>54</v>
      </c>
      <c r="AB188" t="s">
        <v>54</v>
      </c>
      <c r="AC188" t="s">
        <v>54</v>
      </c>
      <c r="AD188" t="s">
        <v>54</v>
      </c>
      <c r="AE188" t="s">
        <v>54</v>
      </c>
      <c r="AF188" s="23" t="s">
        <v>54</v>
      </c>
      <c r="AG188" s="23" t="s">
        <v>54</v>
      </c>
      <c r="AH188" s="23" t="s">
        <v>54</v>
      </c>
      <c r="AI188" s="23" t="s">
        <v>54</v>
      </c>
      <c r="AJ188">
        <v>0</v>
      </c>
      <c r="AK188">
        <v>0</v>
      </c>
      <c r="AL188">
        <v>0</v>
      </c>
      <c r="AM188">
        <v>0</v>
      </c>
      <c r="AN188" s="23" t="s">
        <v>54</v>
      </c>
      <c r="AO188" s="23" t="s">
        <v>54</v>
      </c>
      <c r="AP188" s="23" t="s">
        <v>54</v>
      </c>
      <c r="AQ188" s="23" t="s">
        <v>54</v>
      </c>
      <c r="AR188" s="35">
        <v>0</v>
      </c>
      <c r="AS188" s="35">
        <v>0</v>
      </c>
      <c r="AT188" s="35">
        <v>0</v>
      </c>
      <c r="AU188" s="31" t="str">
        <f t="shared" si="5"/>
        <v>库存为0</v>
      </c>
      <c r="AV188" s="36" t="str">
        <f>IFERROR($A$2+AU188,"上周无销量")</f>
        <v>上周无销量</v>
      </c>
    </row>
    <row r="189" spans="1:48">
      <c r="A189" s="21" t="s">
        <v>431</v>
      </c>
      <c r="B189" t="s">
        <v>432</v>
      </c>
      <c r="C189" t="s">
        <v>433</v>
      </c>
      <c r="D189" s="31">
        <v>0</v>
      </c>
      <c r="E189" s="31">
        <v>0</v>
      </c>
      <c r="F189" s="31">
        <v>0</v>
      </c>
      <c r="G189" s="31">
        <v>0</v>
      </c>
      <c r="H189" s="32">
        <v>0</v>
      </c>
      <c r="I189">
        <v>0</v>
      </c>
      <c r="J189" s="33">
        <v>30</v>
      </c>
      <c r="K189" s="33">
        <v>0</v>
      </c>
      <c r="L189" s="33">
        <v>0</v>
      </c>
      <c r="M189">
        <v>30</v>
      </c>
      <c r="N189">
        <v>0</v>
      </c>
      <c r="O189">
        <v>0</v>
      </c>
      <c r="P189" t="s">
        <v>54</v>
      </c>
      <c r="Q189" t="s">
        <v>54</v>
      </c>
      <c r="R189" t="s">
        <v>54</v>
      </c>
      <c r="S189" t="s">
        <v>54</v>
      </c>
      <c r="T189" t="s">
        <v>54</v>
      </c>
      <c r="U189" t="s">
        <v>54</v>
      </c>
      <c r="V189" t="s">
        <v>54</v>
      </c>
      <c r="W189" t="s">
        <v>54</v>
      </c>
      <c r="X189" s="23" t="s">
        <v>54</v>
      </c>
      <c r="Y189" s="23" t="s">
        <v>54</v>
      </c>
      <c r="Z189" s="23" t="s">
        <v>54</v>
      </c>
      <c r="AA189" s="23" t="s">
        <v>54</v>
      </c>
      <c r="AB189" t="s">
        <v>54</v>
      </c>
      <c r="AC189" t="s">
        <v>54</v>
      </c>
      <c r="AD189" t="s">
        <v>54</v>
      </c>
      <c r="AE189" t="s">
        <v>54</v>
      </c>
      <c r="AF189" s="23" t="s">
        <v>54</v>
      </c>
      <c r="AG189" s="23" t="s">
        <v>54</v>
      </c>
      <c r="AH189" s="23" t="s">
        <v>54</v>
      </c>
      <c r="AI189" s="23" t="s">
        <v>54</v>
      </c>
      <c r="AJ189">
        <v>0</v>
      </c>
      <c r="AK189">
        <v>0</v>
      </c>
      <c r="AL189">
        <v>0</v>
      </c>
      <c r="AM189">
        <v>0</v>
      </c>
      <c r="AN189" s="23" t="s">
        <v>54</v>
      </c>
      <c r="AO189" s="23" t="s">
        <v>54</v>
      </c>
      <c r="AP189" s="23" t="s">
        <v>54</v>
      </c>
      <c r="AQ189" s="23" t="s">
        <v>54</v>
      </c>
      <c r="AR189" s="35">
        <v>0</v>
      </c>
      <c r="AS189" s="35">
        <v>0</v>
      </c>
      <c r="AT189" s="35">
        <v>30</v>
      </c>
      <c r="AU189" s="31" t="str">
        <f t="shared" si="5"/>
        <v>库存为30</v>
      </c>
      <c r="AV189" s="36" t="str">
        <f>IFERROR($A$2+AU189,"上周无销量")</f>
        <v>上周无销量</v>
      </c>
    </row>
    <row r="190" spans="1:48">
      <c r="A190" s="21" t="s">
        <v>434</v>
      </c>
      <c r="B190" t="s">
        <v>435</v>
      </c>
      <c r="C190" t="s">
        <v>433</v>
      </c>
      <c r="D190" s="31">
        <v>0</v>
      </c>
      <c r="E190" s="31">
        <v>0</v>
      </c>
      <c r="F190" s="31">
        <v>0</v>
      </c>
      <c r="G190" s="31">
        <v>0</v>
      </c>
      <c r="H190" s="32">
        <v>0</v>
      </c>
      <c r="I190">
        <v>0</v>
      </c>
      <c r="J190" s="33">
        <v>30</v>
      </c>
      <c r="K190" s="33">
        <v>0</v>
      </c>
      <c r="L190" s="33">
        <v>0</v>
      </c>
      <c r="M190">
        <v>30</v>
      </c>
      <c r="N190">
        <v>0</v>
      </c>
      <c r="O190">
        <v>0</v>
      </c>
      <c r="P190" t="s">
        <v>54</v>
      </c>
      <c r="Q190" t="s">
        <v>54</v>
      </c>
      <c r="R190" t="s">
        <v>54</v>
      </c>
      <c r="S190" t="s">
        <v>54</v>
      </c>
      <c r="T190" t="s">
        <v>54</v>
      </c>
      <c r="U190" t="s">
        <v>54</v>
      </c>
      <c r="V190" t="s">
        <v>54</v>
      </c>
      <c r="W190" t="s">
        <v>54</v>
      </c>
      <c r="X190" s="23" t="s">
        <v>54</v>
      </c>
      <c r="Y190" s="23" t="s">
        <v>54</v>
      </c>
      <c r="Z190" s="23" t="s">
        <v>54</v>
      </c>
      <c r="AA190" s="23" t="s">
        <v>54</v>
      </c>
      <c r="AB190" t="s">
        <v>54</v>
      </c>
      <c r="AC190" t="s">
        <v>54</v>
      </c>
      <c r="AD190" t="s">
        <v>54</v>
      </c>
      <c r="AE190" t="s">
        <v>54</v>
      </c>
      <c r="AF190" s="23" t="s">
        <v>54</v>
      </c>
      <c r="AG190" s="23" t="s">
        <v>54</v>
      </c>
      <c r="AH190" s="23" t="s">
        <v>54</v>
      </c>
      <c r="AI190" s="23" t="s">
        <v>54</v>
      </c>
      <c r="AJ190">
        <v>0</v>
      </c>
      <c r="AK190">
        <v>0</v>
      </c>
      <c r="AL190">
        <v>0</v>
      </c>
      <c r="AM190">
        <v>0</v>
      </c>
      <c r="AN190" s="23" t="s">
        <v>54</v>
      </c>
      <c r="AO190" s="23" t="s">
        <v>54</v>
      </c>
      <c r="AP190" s="23" t="s">
        <v>54</v>
      </c>
      <c r="AQ190" s="23" t="s">
        <v>54</v>
      </c>
      <c r="AR190" s="35">
        <v>0</v>
      </c>
      <c r="AS190" s="35">
        <v>0</v>
      </c>
      <c r="AT190" s="35">
        <v>30</v>
      </c>
      <c r="AU190" s="31" t="str">
        <f t="shared" si="5"/>
        <v>库存为30</v>
      </c>
      <c r="AV190" s="36" t="str">
        <f>IFERROR($A$2+AU190,"上周无销量")</f>
        <v>上周无销量</v>
      </c>
    </row>
    <row r="191" spans="1:48">
      <c r="A191" s="21" t="s">
        <v>436</v>
      </c>
      <c r="B191" t="s">
        <v>437</v>
      </c>
      <c r="C191" t="s">
        <v>433</v>
      </c>
      <c r="D191" s="31">
        <v>0</v>
      </c>
      <c r="E191" s="31">
        <v>0</v>
      </c>
      <c r="F191" s="31">
        <v>0</v>
      </c>
      <c r="G191" s="31">
        <v>0</v>
      </c>
      <c r="H191" s="32">
        <v>0</v>
      </c>
      <c r="I191">
        <v>0</v>
      </c>
      <c r="J191" s="33">
        <v>30</v>
      </c>
      <c r="K191" s="33">
        <v>0</v>
      </c>
      <c r="L191" s="33">
        <v>0</v>
      </c>
      <c r="M191">
        <v>30</v>
      </c>
      <c r="N191">
        <v>0</v>
      </c>
      <c r="O191">
        <v>0</v>
      </c>
      <c r="P191" t="s">
        <v>54</v>
      </c>
      <c r="Q191" t="s">
        <v>54</v>
      </c>
      <c r="R191" t="s">
        <v>54</v>
      </c>
      <c r="S191" t="s">
        <v>54</v>
      </c>
      <c r="T191" t="s">
        <v>54</v>
      </c>
      <c r="U191" t="s">
        <v>54</v>
      </c>
      <c r="V191" t="s">
        <v>54</v>
      </c>
      <c r="W191" t="s">
        <v>54</v>
      </c>
      <c r="X191" s="23" t="s">
        <v>54</v>
      </c>
      <c r="Y191" s="23" t="s">
        <v>54</v>
      </c>
      <c r="Z191" s="23" t="s">
        <v>54</v>
      </c>
      <c r="AA191" s="23" t="s">
        <v>54</v>
      </c>
      <c r="AB191" t="s">
        <v>54</v>
      </c>
      <c r="AC191" t="s">
        <v>54</v>
      </c>
      <c r="AD191" t="s">
        <v>54</v>
      </c>
      <c r="AE191" t="s">
        <v>54</v>
      </c>
      <c r="AF191" s="23" t="s">
        <v>54</v>
      </c>
      <c r="AG191" s="23" t="s">
        <v>54</v>
      </c>
      <c r="AH191" s="23" t="s">
        <v>54</v>
      </c>
      <c r="AI191" s="23" t="s">
        <v>54</v>
      </c>
      <c r="AJ191">
        <v>0</v>
      </c>
      <c r="AK191">
        <v>0</v>
      </c>
      <c r="AL191">
        <v>0</v>
      </c>
      <c r="AM191">
        <v>0</v>
      </c>
      <c r="AN191" s="23" t="s">
        <v>54</v>
      </c>
      <c r="AO191" s="23" t="s">
        <v>54</v>
      </c>
      <c r="AP191" s="23" t="s">
        <v>54</v>
      </c>
      <c r="AQ191" s="23" t="s">
        <v>54</v>
      </c>
      <c r="AR191" s="35">
        <v>0</v>
      </c>
      <c r="AS191" s="35">
        <v>0</v>
      </c>
      <c r="AT191" s="35">
        <v>30</v>
      </c>
      <c r="AU191" s="31" t="str">
        <f t="shared" si="5"/>
        <v>库存为30</v>
      </c>
      <c r="AV191" s="36" t="str">
        <f>IFERROR($A$2+AU191,"上周无销量")</f>
        <v>上周无销量</v>
      </c>
    </row>
    <row r="192" spans="1:48">
      <c r="A192" s="21" t="s">
        <v>438</v>
      </c>
      <c r="B192" t="s">
        <v>439</v>
      </c>
      <c r="C192" t="s">
        <v>433</v>
      </c>
      <c r="D192" s="31">
        <v>0</v>
      </c>
      <c r="E192" s="31">
        <v>0</v>
      </c>
      <c r="F192" s="31">
        <v>0</v>
      </c>
      <c r="G192" s="31">
        <v>0</v>
      </c>
      <c r="H192" s="32">
        <v>0</v>
      </c>
      <c r="I192">
        <v>0</v>
      </c>
      <c r="J192" s="33">
        <v>20</v>
      </c>
      <c r="K192" s="33">
        <v>0</v>
      </c>
      <c r="L192" s="33">
        <v>0</v>
      </c>
      <c r="M192">
        <v>20</v>
      </c>
      <c r="N192">
        <v>0</v>
      </c>
      <c r="O192">
        <v>0</v>
      </c>
      <c r="P192" t="s">
        <v>54</v>
      </c>
      <c r="Q192" t="s">
        <v>54</v>
      </c>
      <c r="R192" t="s">
        <v>54</v>
      </c>
      <c r="S192" t="s">
        <v>54</v>
      </c>
      <c r="T192" t="s">
        <v>54</v>
      </c>
      <c r="U192" t="s">
        <v>54</v>
      </c>
      <c r="V192" t="s">
        <v>54</v>
      </c>
      <c r="W192" t="s">
        <v>54</v>
      </c>
      <c r="X192" s="23" t="s">
        <v>54</v>
      </c>
      <c r="Y192" s="23" t="s">
        <v>54</v>
      </c>
      <c r="Z192" s="23" t="s">
        <v>54</v>
      </c>
      <c r="AA192" s="23" t="s">
        <v>54</v>
      </c>
      <c r="AB192" t="s">
        <v>54</v>
      </c>
      <c r="AC192" t="s">
        <v>54</v>
      </c>
      <c r="AD192" t="s">
        <v>54</v>
      </c>
      <c r="AE192" t="s">
        <v>54</v>
      </c>
      <c r="AF192" s="23" t="s">
        <v>54</v>
      </c>
      <c r="AG192" s="23" t="s">
        <v>54</v>
      </c>
      <c r="AH192" s="23" t="s">
        <v>54</v>
      </c>
      <c r="AI192" s="23" t="s">
        <v>54</v>
      </c>
      <c r="AJ192">
        <v>0</v>
      </c>
      <c r="AK192">
        <v>0</v>
      </c>
      <c r="AL192">
        <v>0</v>
      </c>
      <c r="AM192">
        <v>0</v>
      </c>
      <c r="AN192" s="23" t="s">
        <v>54</v>
      </c>
      <c r="AO192" s="23" t="s">
        <v>54</v>
      </c>
      <c r="AP192" s="23" t="s">
        <v>54</v>
      </c>
      <c r="AQ192" s="23" t="s">
        <v>54</v>
      </c>
      <c r="AR192" s="35">
        <v>0</v>
      </c>
      <c r="AS192" s="35">
        <v>0</v>
      </c>
      <c r="AT192" s="35">
        <v>20</v>
      </c>
      <c r="AU192" s="31" t="str">
        <f t="shared" si="5"/>
        <v>库存为20</v>
      </c>
      <c r="AV192" s="36" t="str">
        <f>IFERROR($A$2+AU192,"上周无销量")</f>
        <v>上周无销量</v>
      </c>
    </row>
    <row r="193" spans="1:48">
      <c r="A193" s="21" t="s">
        <v>440</v>
      </c>
      <c r="B193" t="s">
        <v>441</v>
      </c>
      <c r="C193" t="s">
        <v>433</v>
      </c>
      <c r="D193" s="31">
        <v>0</v>
      </c>
      <c r="E193" s="31">
        <v>0</v>
      </c>
      <c r="F193" s="31">
        <v>0</v>
      </c>
      <c r="G193" s="31">
        <v>0</v>
      </c>
      <c r="H193" s="32">
        <v>0</v>
      </c>
      <c r="I193">
        <v>0</v>
      </c>
      <c r="J193" s="33">
        <v>30</v>
      </c>
      <c r="K193" s="33">
        <v>0</v>
      </c>
      <c r="L193" s="33">
        <v>0</v>
      </c>
      <c r="M193">
        <v>30</v>
      </c>
      <c r="N193">
        <v>0</v>
      </c>
      <c r="O193">
        <v>0</v>
      </c>
      <c r="P193" t="s">
        <v>54</v>
      </c>
      <c r="Q193" t="s">
        <v>54</v>
      </c>
      <c r="R193" t="s">
        <v>54</v>
      </c>
      <c r="S193" t="s">
        <v>54</v>
      </c>
      <c r="T193" t="s">
        <v>54</v>
      </c>
      <c r="U193" t="s">
        <v>54</v>
      </c>
      <c r="V193" t="s">
        <v>54</v>
      </c>
      <c r="W193" t="s">
        <v>54</v>
      </c>
      <c r="X193" s="23" t="s">
        <v>54</v>
      </c>
      <c r="Y193" s="23" t="s">
        <v>54</v>
      </c>
      <c r="Z193" s="23" t="s">
        <v>54</v>
      </c>
      <c r="AA193" s="23" t="s">
        <v>54</v>
      </c>
      <c r="AB193" t="s">
        <v>54</v>
      </c>
      <c r="AC193" t="s">
        <v>54</v>
      </c>
      <c r="AD193" t="s">
        <v>54</v>
      </c>
      <c r="AE193" t="s">
        <v>54</v>
      </c>
      <c r="AF193" s="23" t="s">
        <v>54</v>
      </c>
      <c r="AG193" s="23" t="s">
        <v>54</v>
      </c>
      <c r="AH193" s="23" t="s">
        <v>54</v>
      </c>
      <c r="AI193" s="23" t="s">
        <v>54</v>
      </c>
      <c r="AJ193">
        <v>0</v>
      </c>
      <c r="AK193">
        <v>0</v>
      </c>
      <c r="AL193">
        <v>0</v>
      </c>
      <c r="AM193">
        <v>0</v>
      </c>
      <c r="AN193" s="23" t="s">
        <v>54</v>
      </c>
      <c r="AO193" s="23" t="s">
        <v>54</v>
      </c>
      <c r="AP193" s="23" t="s">
        <v>54</v>
      </c>
      <c r="AQ193" s="23" t="s">
        <v>54</v>
      </c>
      <c r="AR193" s="35">
        <v>0</v>
      </c>
      <c r="AS193" s="35">
        <v>0</v>
      </c>
      <c r="AT193" s="35">
        <v>30</v>
      </c>
      <c r="AU193" s="31" t="str">
        <f t="shared" si="5"/>
        <v>库存为30</v>
      </c>
      <c r="AV193" s="36" t="str">
        <f>IFERROR($A$2+AU193,"上周无销量")</f>
        <v>上周无销量</v>
      </c>
    </row>
    <row r="194" spans="1:48">
      <c r="A194" s="21" t="s">
        <v>442</v>
      </c>
      <c r="B194" t="s">
        <v>443</v>
      </c>
      <c r="C194" t="s">
        <v>433</v>
      </c>
      <c r="D194" s="31">
        <v>0</v>
      </c>
      <c r="E194" s="31">
        <v>0</v>
      </c>
      <c r="F194" s="31">
        <v>0</v>
      </c>
      <c r="G194" s="31">
        <v>0</v>
      </c>
      <c r="H194" s="32">
        <v>0</v>
      </c>
      <c r="I194">
        <v>0</v>
      </c>
      <c r="J194" s="33">
        <v>61</v>
      </c>
      <c r="K194" s="33">
        <v>0</v>
      </c>
      <c r="L194" s="33">
        <v>0</v>
      </c>
      <c r="M194">
        <v>61</v>
      </c>
      <c r="N194">
        <v>0</v>
      </c>
      <c r="O194">
        <v>0</v>
      </c>
      <c r="P194" t="s">
        <v>54</v>
      </c>
      <c r="Q194" t="s">
        <v>54</v>
      </c>
      <c r="R194" t="s">
        <v>54</v>
      </c>
      <c r="S194" t="s">
        <v>54</v>
      </c>
      <c r="T194" t="s">
        <v>54</v>
      </c>
      <c r="U194" t="s">
        <v>54</v>
      </c>
      <c r="V194" t="s">
        <v>54</v>
      </c>
      <c r="W194" t="s">
        <v>54</v>
      </c>
      <c r="X194" s="23" t="s">
        <v>54</v>
      </c>
      <c r="Y194" s="23" t="s">
        <v>54</v>
      </c>
      <c r="Z194" s="23" t="s">
        <v>54</v>
      </c>
      <c r="AA194" s="23" t="s">
        <v>54</v>
      </c>
      <c r="AB194" t="s">
        <v>54</v>
      </c>
      <c r="AC194" t="s">
        <v>54</v>
      </c>
      <c r="AD194" t="s">
        <v>54</v>
      </c>
      <c r="AE194" t="s">
        <v>54</v>
      </c>
      <c r="AF194" s="23" t="s">
        <v>54</v>
      </c>
      <c r="AG194" s="23" t="s">
        <v>54</v>
      </c>
      <c r="AH194" s="23" t="s">
        <v>54</v>
      </c>
      <c r="AI194" s="23" t="s">
        <v>54</v>
      </c>
      <c r="AJ194">
        <v>0</v>
      </c>
      <c r="AK194">
        <v>0</v>
      </c>
      <c r="AL194">
        <v>0</v>
      </c>
      <c r="AM194">
        <v>0</v>
      </c>
      <c r="AN194" s="23" t="s">
        <v>54</v>
      </c>
      <c r="AO194" s="23" t="s">
        <v>54</v>
      </c>
      <c r="AP194" s="23" t="s">
        <v>54</v>
      </c>
      <c r="AQ194" s="23" t="s">
        <v>54</v>
      </c>
      <c r="AR194" s="35">
        <v>0</v>
      </c>
      <c r="AS194" s="35">
        <v>0</v>
      </c>
      <c r="AT194" s="35">
        <v>61</v>
      </c>
      <c r="AU194" s="31" t="str">
        <f t="shared" si="5"/>
        <v>库存为61</v>
      </c>
      <c r="AV194" s="36" t="str">
        <f>IFERROR($A$2+AU194,"上周无销量")</f>
        <v>上周无销量</v>
      </c>
    </row>
    <row r="195" spans="1:48">
      <c r="A195" s="21" t="s">
        <v>444</v>
      </c>
      <c r="B195" t="s">
        <v>445</v>
      </c>
      <c r="C195" t="s">
        <v>433</v>
      </c>
      <c r="D195" s="31">
        <v>0</v>
      </c>
      <c r="E195" s="31">
        <v>0</v>
      </c>
      <c r="F195" s="31">
        <v>0</v>
      </c>
      <c r="G195" s="31">
        <v>0</v>
      </c>
      <c r="H195" s="32">
        <v>0</v>
      </c>
      <c r="I195">
        <v>0</v>
      </c>
      <c r="J195" s="33">
        <v>30</v>
      </c>
      <c r="K195" s="33">
        <v>0</v>
      </c>
      <c r="L195" s="33">
        <v>0</v>
      </c>
      <c r="M195">
        <v>30</v>
      </c>
      <c r="N195">
        <v>0</v>
      </c>
      <c r="O195">
        <v>0</v>
      </c>
      <c r="P195" t="s">
        <v>54</v>
      </c>
      <c r="Q195" t="s">
        <v>54</v>
      </c>
      <c r="R195" t="s">
        <v>54</v>
      </c>
      <c r="S195" t="s">
        <v>54</v>
      </c>
      <c r="T195" t="s">
        <v>54</v>
      </c>
      <c r="U195" t="s">
        <v>54</v>
      </c>
      <c r="V195" t="s">
        <v>54</v>
      </c>
      <c r="W195" t="s">
        <v>54</v>
      </c>
      <c r="X195" s="23" t="s">
        <v>54</v>
      </c>
      <c r="Y195" s="23" t="s">
        <v>54</v>
      </c>
      <c r="Z195" s="23" t="s">
        <v>54</v>
      </c>
      <c r="AA195" s="23" t="s">
        <v>54</v>
      </c>
      <c r="AB195" t="s">
        <v>54</v>
      </c>
      <c r="AC195" t="s">
        <v>54</v>
      </c>
      <c r="AD195" t="s">
        <v>54</v>
      </c>
      <c r="AE195" t="s">
        <v>54</v>
      </c>
      <c r="AF195" s="23" t="s">
        <v>54</v>
      </c>
      <c r="AG195" s="23" t="s">
        <v>54</v>
      </c>
      <c r="AH195" s="23" t="s">
        <v>54</v>
      </c>
      <c r="AI195" s="23" t="s">
        <v>54</v>
      </c>
      <c r="AJ195">
        <v>0</v>
      </c>
      <c r="AK195">
        <v>0</v>
      </c>
      <c r="AL195">
        <v>0</v>
      </c>
      <c r="AM195">
        <v>0</v>
      </c>
      <c r="AN195" s="23" t="s">
        <v>54</v>
      </c>
      <c r="AO195" s="23" t="s">
        <v>54</v>
      </c>
      <c r="AP195" s="23" t="s">
        <v>54</v>
      </c>
      <c r="AQ195" s="23" t="s">
        <v>54</v>
      </c>
      <c r="AR195" s="35">
        <v>0</v>
      </c>
      <c r="AS195" s="35">
        <v>0</v>
      </c>
      <c r="AT195" s="35">
        <v>30</v>
      </c>
      <c r="AU195" s="31" t="str">
        <f t="shared" si="5"/>
        <v>库存为30</v>
      </c>
      <c r="AV195" s="36" t="str">
        <f>IFERROR($A$2+AU195,"上周无销量")</f>
        <v>上周无销量</v>
      </c>
    </row>
    <row r="196" spans="1:48">
      <c r="A196" s="21" t="s">
        <v>446</v>
      </c>
      <c r="B196" t="s">
        <v>447</v>
      </c>
      <c r="C196" t="s">
        <v>433</v>
      </c>
      <c r="D196" s="31">
        <v>0</v>
      </c>
      <c r="E196" s="31">
        <v>0</v>
      </c>
      <c r="F196" s="31">
        <v>0</v>
      </c>
      <c r="G196" s="31">
        <v>0</v>
      </c>
      <c r="H196" s="32">
        <v>0</v>
      </c>
      <c r="I196">
        <v>0</v>
      </c>
      <c r="J196" s="33">
        <v>19</v>
      </c>
      <c r="K196" s="33">
        <v>0</v>
      </c>
      <c r="L196" s="33">
        <v>0</v>
      </c>
      <c r="M196">
        <v>19</v>
      </c>
      <c r="N196">
        <v>0</v>
      </c>
      <c r="O196">
        <v>0</v>
      </c>
      <c r="P196" t="s">
        <v>54</v>
      </c>
      <c r="Q196" t="s">
        <v>54</v>
      </c>
      <c r="R196" t="s">
        <v>54</v>
      </c>
      <c r="S196" t="s">
        <v>54</v>
      </c>
      <c r="T196" t="s">
        <v>54</v>
      </c>
      <c r="U196" t="s">
        <v>54</v>
      </c>
      <c r="V196" t="s">
        <v>54</v>
      </c>
      <c r="W196" t="s">
        <v>54</v>
      </c>
      <c r="X196" s="23" t="s">
        <v>54</v>
      </c>
      <c r="Y196" s="23" t="s">
        <v>54</v>
      </c>
      <c r="Z196" s="23" t="s">
        <v>54</v>
      </c>
      <c r="AA196" s="23" t="s">
        <v>54</v>
      </c>
      <c r="AB196" t="s">
        <v>54</v>
      </c>
      <c r="AC196" t="s">
        <v>54</v>
      </c>
      <c r="AD196" t="s">
        <v>54</v>
      </c>
      <c r="AE196" t="s">
        <v>54</v>
      </c>
      <c r="AF196" s="23" t="s">
        <v>54</v>
      </c>
      <c r="AG196" s="23" t="s">
        <v>54</v>
      </c>
      <c r="AH196" s="23" t="s">
        <v>54</v>
      </c>
      <c r="AI196" s="23" t="s">
        <v>54</v>
      </c>
      <c r="AJ196">
        <v>0</v>
      </c>
      <c r="AK196">
        <v>0</v>
      </c>
      <c r="AL196">
        <v>0</v>
      </c>
      <c r="AM196">
        <v>0</v>
      </c>
      <c r="AN196" s="23" t="s">
        <v>54</v>
      </c>
      <c r="AO196" s="23" t="s">
        <v>54</v>
      </c>
      <c r="AP196" s="23" t="s">
        <v>54</v>
      </c>
      <c r="AQ196" s="23" t="s">
        <v>54</v>
      </c>
      <c r="AR196" s="35">
        <v>0</v>
      </c>
      <c r="AS196" s="35">
        <v>0</v>
      </c>
      <c r="AT196" s="35">
        <v>19</v>
      </c>
      <c r="AU196" s="31" t="str">
        <f t="shared" si="5"/>
        <v>库存为19</v>
      </c>
      <c r="AV196" s="36" t="str">
        <f>IFERROR($A$2+AU196,"上周无销量")</f>
        <v>上周无销量</v>
      </c>
    </row>
    <row r="197" spans="1:48">
      <c r="A197" s="21" t="s">
        <v>448</v>
      </c>
      <c r="B197" t="s">
        <v>449</v>
      </c>
      <c r="C197" t="s">
        <v>433</v>
      </c>
      <c r="D197" s="31">
        <v>0</v>
      </c>
      <c r="E197" s="31">
        <v>0</v>
      </c>
      <c r="F197" s="31">
        <v>0</v>
      </c>
      <c r="G197" s="31">
        <v>0</v>
      </c>
      <c r="H197" s="32">
        <v>0</v>
      </c>
      <c r="I197">
        <v>0</v>
      </c>
      <c r="J197" s="33">
        <v>30</v>
      </c>
      <c r="K197" s="33">
        <v>0</v>
      </c>
      <c r="L197" s="33">
        <v>0</v>
      </c>
      <c r="M197">
        <v>30</v>
      </c>
      <c r="N197">
        <v>0</v>
      </c>
      <c r="O197">
        <v>0</v>
      </c>
      <c r="P197" t="s">
        <v>54</v>
      </c>
      <c r="Q197" t="s">
        <v>54</v>
      </c>
      <c r="R197" t="s">
        <v>54</v>
      </c>
      <c r="S197" t="s">
        <v>54</v>
      </c>
      <c r="T197" t="s">
        <v>54</v>
      </c>
      <c r="U197" t="s">
        <v>54</v>
      </c>
      <c r="V197" t="s">
        <v>54</v>
      </c>
      <c r="W197" t="s">
        <v>54</v>
      </c>
      <c r="X197" s="23" t="s">
        <v>54</v>
      </c>
      <c r="Y197" s="23" t="s">
        <v>54</v>
      </c>
      <c r="Z197" s="23" t="s">
        <v>54</v>
      </c>
      <c r="AA197" s="23" t="s">
        <v>54</v>
      </c>
      <c r="AB197" t="s">
        <v>54</v>
      </c>
      <c r="AC197" t="s">
        <v>54</v>
      </c>
      <c r="AD197" t="s">
        <v>54</v>
      </c>
      <c r="AE197" t="s">
        <v>54</v>
      </c>
      <c r="AF197" s="23" t="s">
        <v>54</v>
      </c>
      <c r="AG197" s="23" t="s">
        <v>54</v>
      </c>
      <c r="AH197" s="23" t="s">
        <v>54</v>
      </c>
      <c r="AI197" s="23" t="s">
        <v>54</v>
      </c>
      <c r="AJ197">
        <v>0</v>
      </c>
      <c r="AK197">
        <v>0</v>
      </c>
      <c r="AL197">
        <v>0</v>
      </c>
      <c r="AM197">
        <v>0</v>
      </c>
      <c r="AN197" s="23" t="s">
        <v>54</v>
      </c>
      <c r="AO197" s="23" t="s">
        <v>54</v>
      </c>
      <c r="AP197" s="23" t="s">
        <v>54</v>
      </c>
      <c r="AQ197" s="23" t="s">
        <v>54</v>
      </c>
      <c r="AR197" s="35">
        <v>0</v>
      </c>
      <c r="AS197" s="35">
        <v>0</v>
      </c>
      <c r="AT197" s="35">
        <v>30</v>
      </c>
      <c r="AU197" s="31" t="str">
        <f t="shared" ref="AU197:AU260" si="6">IF(AR197="","库存为"&amp;M197,IF(AS197=0,"库存为"&amp;M197,INT(M197/AR197)))</f>
        <v>库存为30</v>
      </c>
      <c r="AV197" s="36" t="str">
        <f>IFERROR($A$2+AU197,"上周无销量")</f>
        <v>上周无销量</v>
      </c>
    </row>
    <row r="198" spans="1:48">
      <c r="A198" s="21" t="s">
        <v>450</v>
      </c>
      <c r="B198" t="s">
        <v>451</v>
      </c>
      <c r="C198" t="s">
        <v>433</v>
      </c>
      <c r="D198" s="31">
        <v>0</v>
      </c>
      <c r="E198" s="31">
        <v>0</v>
      </c>
      <c r="F198" s="31">
        <v>0</v>
      </c>
      <c r="G198" s="31">
        <v>0</v>
      </c>
      <c r="H198" s="32">
        <v>0</v>
      </c>
      <c r="I198">
        <v>0</v>
      </c>
      <c r="J198" s="33">
        <v>30</v>
      </c>
      <c r="K198" s="33">
        <v>0</v>
      </c>
      <c r="L198" s="33">
        <v>0</v>
      </c>
      <c r="M198">
        <v>30</v>
      </c>
      <c r="N198">
        <v>0</v>
      </c>
      <c r="O198">
        <v>0</v>
      </c>
      <c r="P198" t="s">
        <v>54</v>
      </c>
      <c r="Q198" t="s">
        <v>54</v>
      </c>
      <c r="R198" t="s">
        <v>54</v>
      </c>
      <c r="S198" t="s">
        <v>54</v>
      </c>
      <c r="T198" t="s">
        <v>54</v>
      </c>
      <c r="U198" t="s">
        <v>54</v>
      </c>
      <c r="V198" t="s">
        <v>54</v>
      </c>
      <c r="W198" t="s">
        <v>54</v>
      </c>
      <c r="X198" s="23" t="s">
        <v>54</v>
      </c>
      <c r="Y198" s="23" t="s">
        <v>54</v>
      </c>
      <c r="Z198" s="23" t="s">
        <v>54</v>
      </c>
      <c r="AA198" s="23" t="s">
        <v>54</v>
      </c>
      <c r="AB198" t="s">
        <v>54</v>
      </c>
      <c r="AC198" t="s">
        <v>54</v>
      </c>
      <c r="AD198" t="s">
        <v>54</v>
      </c>
      <c r="AE198" t="s">
        <v>54</v>
      </c>
      <c r="AF198" s="23" t="s">
        <v>54</v>
      </c>
      <c r="AG198" s="23" t="s">
        <v>54</v>
      </c>
      <c r="AH198" s="23" t="s">
        <v>54</v>
      </c>
      <c r="AI198" s="23" t="s">
        <v>54</v>
      </c>
      <c r="AJ198">
        <v>0</v>
      </c>
      <c r="AK198">
        <v>0</v>
      </c>
      <c r="AL198">
        <v>0</v>
      </c>
      <c r="AM198">
        <v>0</v>
      </c>
      <c r="AN198" s="23" t="s">
        <v>54</v>
      </c>
      <c r="AO198" s="23" t="s">
        <v>54</v>
      </c>
      <c r="AP198" s="23" t="s">
        <v>54</v>
      </c>
      <c r="AQ198" s="23" t="s">
        <v>54</v>
      </c>
      <c r="AR198" s="35">
        <v>0</v>
      </c>
      <c r="AS198" s="35">
        <v>0</v>
      </c>
      <c r="AT198" s="35">
        <v>30</v>
      </c>
      <c r="AU198" s="31" t="str">
        <f t="shared" si="6"/>
        <v>库存为30</v>
      </c>
      <c r="AV198" s="36" t="str">
        <f>IFERROR($A$2+AU198,"上周无销量")</f>
        <v>上周无销量</v>
      </c>
    </row>
    <row r="199" spans="1:48">
      <c r="A199" s="21" t="s">
        <v>452</v>
      </c>
      <c r="B199" t="s">
        <v>453</v>
      </c>
      <c r="C199" t="s">
        <v>433</v>
      </c>
      <c r="D199" s="31">
        <v>0</v>
      </c>
      <c r="E199" s="31">
        <v>0</v>
      </c>
      <c r="F199" s="31">
        <v>0</v>
      </c>
      <c r="G199" s="31">
        <v>0</v>
      </c>
      <c r="H199" s="32">
        <v>0</v>
      </c>
      <c r="I199">
        <v>0</v>
      </c>
      <c r="J199" s="33">
        <v>30</v>
      </c>
      <c r="K199" s="33">
        <v>0</v>
      </c>
      <c r="L199" s="33">
        <v>0</v>
      </c>
      <c r="M199">
        <v>30</v>
      </c>
      <c r="N199">
        <v>0</v>
      </c>
      <c r="O199">
        <v>0</v>
      </c>
      <c r="P199" t="s">
        <v>54</v>
      </c>
      <c r="Q199" t="s">
        <v>54</v>
      </c>
      <c r="R199" t="s">
        <v>54</v>
      </c>
      <c r="S199" t="s">
        <v>54</v>
      </c>
      <c r="T199" t="s">
        <v>54</v>
      </c>
      <c r="U199" t="s">
        <v>54</v>
      </c>
      <c r="V199" t="s">
        <v>54</v>
      </c>
      <c r="W199" t="s">
        <v>54</v>
      </c>
      <c r="X199" s="23" t="s">
        <v>54</v>
      </c>
      <c r="Y199" s="23" t="s">
        <v>54</v>
      </c>
      <c r="Z199" s="23" t="s">
        <v>54</v>
      </c>
      <c r="AA199" s="23" t="s">
        <v>54</v>
      </c>
      <c r="AB199" t="s">
        <v>54</v>
      </c>
      <c r="AC199" t="s">
        <v>54</v>
      </c>
      <c r="AD199" t="s">
        <v>54</v>
      </c>
      <c r="AE199" t="s">
        <v>54</v>
      </c>
      <c r="AF199" s="23" t="s">
        <v>54</v>
      </c>
      <c r="AG199" s="23" t="s">
        <v>54</v>
      </c>
      <c r="AH199" s="23" t="s">
        <v>54</v>
      </c>
      <c r="AI199" s="23" t="s">
        <v>54</v>
      </c>
      <c r="AJ199">
        <v>0</v>
      </c>
      <c r="AK199">
        <v>0</v>
      </c>
      <c r="AL199">
        <v>0</v>
      </c>
      <c r="AM199">
        <v>0</v>
      </c>
      <c r="AN199" s="23" t="s">
        <v>54</v>
      </c>
      <c r="AO199" s="23" t="s">
        <v>54</v>
      </c>
      <c r="AP199" s="23" t="s">
        <v>54</v>
      </c>
      <c r="AQ199" s="23" t="s">
        <v>54</v>
      </c>
      <c r="AR199" s="35">
        <v>0</v>
      </c>
      <c r="AS199" s="35">
        <v>0</v>
      </c>
      <c r="AT199" s="35">
        <v>30</v>
      </c>
      <c r="AU199" s="31" t="str">
        <f t="shared" si="6"/>
        <v>库存为30</v>
      </c>
      <c r="AV199" s="36" t="str">
        <f>IFERROR($A$2+AU199,"上周无销量")</f>
        <v>上周无销量</v>
      </c>
    </row>
    <row r="200" spans="1:48">
      <c r="A200" s="21" t="s">
        <v>454</v>
      </c>
      <c r="B200" t="s">
        <v>455</v>
      </c>
      <c r="C200" t="s">
        <v>433</v>
      </c>
      <c r="D200" s="31">
        <v>0</v>
      </c>
      <c r="E200" s="31">
        <v>0</v>
      </c>
      <c r="F200" s="31">
        <v>0</v>
      </c>
      <c r="G200" s="31">
        <v>0</v>
      </c>
      <c r="H200" s="32">
        <v>0</v>
      </c>
      <c r="I200">
        <v>0</v>
      </c>
      <c r="J200" s="33">
        <v>20</v>
      </c>
      <c r="K200" s="33">
        <v>0</v>
      </c>
      <c r="L200" s="33">
        <v>0</v>
      </c>
      <c r="M200">
        <v>20</v>
      </c>
      <c r="N200">
        <v>0</v>
      </c>
      <c r="O200">
        <v>0</v>
      </c>
      <c r="P200" t="s">
        <v>54</v>
      </c>
      <c r="Q200" t="s">
        <v>54</v>
      </c>
      <c r="R200" t="s">
        <v>54</v>
      </c>
      <c r="S200" t="s">
        <v>54</v>
      </c>
      <c r="T200" t="s">
        <v>54</v>
      </c>
      <c r="U200" t="s">
        <v>54</v>
      </c>
      <c r="V200" t="s">
        <v>54</v>
      </c>
      <c r="W200" t="s">
        <v>54</v>
      </c>
      <c r="X200" s="23" t="s">
        <v>54</v>
      </c>
      <c r="Y200" s="23" t="s">
        <v>54</v>
      </c>
      <c r="Z200" s="23" t="s">
        <v>54</v>
      </c>
      <c r="AA200" s="23" t="s">
        <v>54</v>
      </c>
      <c r="AB200" t="s">
        <v>54</v>
      </c>
      <c r="AC200" t="s">
        <v>54</v>
      </c>
      <c r="AD200" t="s">
        <v>54</v>
      </c>
      <c r="AE200" t="s">
        <v>54</v>
      </c>
      <c r="AF200" s="23" t="s">
        <v>54</v>
      </c>
      <c r="AG200" s="23" t="s">
        <v>54</v>
      </c>
      <c r="AH200" s="23" t="s">
        <v>54</v>
      </c>
      <c r="AI200" s="23" t="s">
        <v>54</v>
      </c>
      <c r="AJ200">
        <v>0</v>
      </c>
      <c r="AK200">
        <v>0</v>
      </c>
      <c r="AL200">
        <v>0</v>
      </c>
      <c r="AM200">
        <v>0</v>
      </c>
      <c r="AN200" s="23" t="s">
        <v>54</v>
      </c>
      <c r="AO200" s="23" t="s">
        <v>54</v>
      </c>
      <c r="AP200" s="23" t="s">
        <v>54</v>
      </c>
      <c r="AQ200" s="23" t="s">
        <v>54</v>
      </c>
      <c r="AR200" s="35">
        <v>0</v>
      </c>
      <c r="AS200" s="35">
        <v>0</v>
      </c>
      <c r="AT200" s="35">
        <v>20</v>
      </c>
      <c r="AU200" s="31" t="str">
        <f t="shared" si="6"/>
        <v>库存为20</v>
      </c>
      <c r="AV200" s="36" t="str">
        <f>IFERROR($A$2+AU200,"上周无销量")</f>
        <v>上周无销量</v>
      </c>
    </row>
    <row r="201" spans="1:48">
      <c r="A201" s="21" t="s">
        <v>456</v>
      </c>
      <c r="B201" t="s">
        <v>457</v>
      </c>
      <c r="C201" t="s">
        <v>433</v>
      </c>
      <c r="D201" s="31">
        <v>0</v>
      </c>
      <c r="E201" s="31">
        <v>0</v>
      </c>
      <c r="F201" s="31">
        <v>0</v>
      </c>
      <c r="G201" s="31">
        <v>0</v>
      </c>
      <c r="H201" s="32">
        <v>0</v>
      </c>
      <c r="I201">
        <v>0</v>
      </c>
      <c r="J201" s="33">
        <v>10</v>
      </c>
      <c r="K201" s="33">
        <v>0</v>
      </c>
      <c r="L201" s="33">
        <v>0</v>
      </c>
      <c r="M201">
        <v>10</v>
      </c>
      <c r="N201">
        <v>0</v>
      </c>
      <c r="O201">
        <v>0</v>
      </c>
      <c r="P201" t="s">
        <v>54</v>
      </c>
      <c r="Q201" t="s">
        <v>54</v>
      </c>
      <c r="R201" t="s">
        <v>54</v>
      </c>
      <c r="S201" t="s">
        <v>54</v>
      </c>
      <c r="T201" t="s">
        <v>54</v>
      </c>
      <c r="U201" t="s">
        <v>54</v>
      </c>
      <c r="V201" t="s">
        <v>54</v>
      </c>
      <c r="W201" t="s">
        <v>54</v>
      </c>
      <c r="X201" s="23" t="s">
        <v>54</v>
      </c>
      <c r="Y201" s="23" t="s">
        <v>54</v>
      </c>
      <c r="Z201" s="23" t="s">
        <v>54</v>
      </c>
      <c r="AA201" s="23" t="s">
        <v>54</v>
      </c>
      <c r="AB201" t="s">
        <v>54</v>
      </c>
      <c r="AC201" t="s">
        <v>54</v>
      </c>
      <c r="AD201" t="s">
        <v>54</v>
      </c>
      <c r="AE201" t="s">
        <v>54</v>
      </c>
      <c r="AF201" s="23" t="s">
        <v>54</v>
      </c>
      <c r="AG201" s="23" t="s">
        <v>54</v>
      </c>
      <c r="AH201" s="23" t="s">
        <v>54</v>
      </c>
      <c r="AI201" s="23" t="s">
        <v>54</v>
      </c>
      <c r="AJ201">
        <v>0</v>
      </c>
      <c r="AK201">
        <v>0</v>
      </c>
      <c r="AL201">
        <v>0</v>
      </c>
      <c r="AM201">
        <v>0</v>
      </c>
      <c r="AN201" s="23" t="s">
        <v>54</v>
      </c>
      <c r="AO201" s="23" t="s">
        <v>54</v>
      </c>
      <c r="AP201" s="23" t="s">
        <v>54</v>
      </c>
      <c r="AQ201" s="23" t="s">
        <v>54</v>
      </c>
      <c r="AR201" s="35">
        <v>0</v>
      </c>
      <c r="AS201" s="35">
        <v>0</v>
      </c>
      <c r="AT201" s="35">
        <v>10</v>
      </c>
      <c r="AU201" s="31" t="str">
        <f t="shared" si="6"/>
        <v>库存为10</v>
      </c>
      <c r="AV201" s="36" t="str">
        <f>IFERROR($A$2+AU201,"上周无销量")</f>
        <v>上周无销量</v>
      </c>
    </row>
    <row r="202" spans="1:48">
      <c r="A202" s="21" t="s">
        <v>458</v>
      </c>
      <c r="B202" t="s">
        <v>459</v>
      </c>
      <c r="C202" t="s">
        <v>433</v>
      </c>
      <c r="D202" s="31">
        <v>0</v>
      </c>
      <c r="E202" s="31">
        <v>0</v>
      </c>
      <c r="F202" s="31">
        <v>0</v>
      </c>
      <c r="G202" s="31">
        <v>0</v>
      </c>
      <c r="H202" s="32">
        <v>0</v>
      </c>
      <c r="I202">
        <v>0</v>
      </c>
      <c r="J202" s="33">
        <v>10</v>
      </c>
      <c r="K202" s="33">
        <v>0</v>
      </c>
      <c r="L202" s="33">
        <v>0</v>
      </c>
      <c r="M202">
        <v>10</v>
      </c>
      <c r="N202">
        <v>0</v>
      </c>
      <c r="O202">
        <v>0</v>
      </c>
      <c r="P202" t="s">
        <v>54</v>
      </c>
      <c r="Q202" t="s">
        <v>54</v>
      </c>
      <c r="R202" t="s">
        <v>54</v>
      </c>
      <c r="S202" t="s">
        <v>54</v>
      </c>
      <c r="T202" t="s">
        <v>54</v>
      </c>
      <c r="U202" t="s">
        <v>54</v>
      </c>
      <c r="V202" t="s">
        <v>54</v>
      </c>
      <c r="W202" t="s">
        <v>54</v>
      </c>
      <c r="X202" s="23" t="s">
        <v>54</v>
      </c>
      <c r="Y202" s="23" t="s">
        <v>54</v>
      </c>
      <c r="Z202" s="23" t="s">
        <v>54</v>
      </c>
      <c r="AA202" s="23" t="s">
        <v>54</v>
      </c>
      <c r="AB202" t="s">
        <v>54</v>
      </c>
      <c r="AC202" t="s">
        <v>54</v>
      </c>
      <c r="AD202" t="s">
        <v>54</v>
      </c>
      <c r="AE202" t="s">
        <v>54</v>
      </c>
      <c r="AF202" s="23" t="s">
        <v>54</v>
      </c>
      <c r="AG202" s="23" t="s">
        <v>54</v>
      </c>
      <c r="AH202" s="23" t="s">
        <v>54</v>
      </c>
      <c r="AI202" s="23" t="s">
        <v>54</v>
      </c>
      <c r="AJ202">
        <v>0</v>
      </c>
      <c r="AK202">
        <v>0</v>
      </c>
      <c r="AL202">
        <v>0</v>
      </c>
      <c r="AM202">
        <v>0</v>
      </c>
      <c r="AN202" s="23" t="s">
        <v>54</v>
      </c>
      <c r="AO202" s="23" t="s">
        <v>54</v>
      </c>
      <c r="AP202" s="23" t="s">
        <v>54</v>
      </c>
      <c r="AQ202" s="23" t="s">
        <v>54</v>
      </c>
      <c r="AR202" s="35">
        <v>0</v>
      </c>
      <c r="AS202" s="35">
        <v>0</v>
      </c>
      <c r="AT202" s="35">
        <v>10</v>
      </c>
      <c r="AU202" s="31" t="str">
        <f t="shared" si="6"/>
        <v>库存为10</v>
      </c>
      <c r="AV202" s="36" t="str">
        <f>IFERROR($A$2+AU202,"上周无销量")</f>
        <v>上周无销量</v>
      </c>
    </row>
    <row r="203" spans="1:48">
      <c r="A203" s="21" t="s">
        <v>460</v>
      </c>
      <c r="B203" t="s">
        <v>461</v>
      </c>
      <c r="C203" t="s">
        <v>433</v>
      </c>
      <c r="D203" s="31">
        <v>0</v>
      </c>
      <c r="E203" s="31">
        <v>0</v>
      </c>
      <c r="F203" s="31">
        <v>0</v>
      </c>
      <c r="G203" s="31">
        <v>0</v>
      </c>
      <c r="H203" s="32">
        <v>0</v>
      </c>
      <c r="I203">
        <v>0</v>
      </c>
      <c r="J203" s="33">
        <v>19</v>
      </c>
      <c r="K203" s="33">
        <v>0</v>
      </c>
      <c r="L203" s="33">
        <v>0</v>
      </c>
      <c r="M203">
        <v>19</v>
      </c>
      <c r="N203">
        <v>0</v>
      </c>
      <c r="O203">
        <v>0</v>
      </c>
      <c r="P203" t="s">
        <v>54</v>
      </c>
      <c r="Q203" t="s">
        <v>54</v>
      </c>
      <c r="R203" t="s">
        <v>54</v>
      </c>
      <c r="S203" t="s">
        <v>54</v>
      </c>
      <c r="T203" t="s">
        <v>54</v>
      </c>
      <c r="U203" t="s">
        <v>54</v>
      </c>
      <c r="V203" t="s">
        <v>54</v>
      </c>
      <c r="W203" t="s">
        <v>54</v>
      </c>
      <c r="X203" s="23" t="s">
        <v>54</v>
      </c>
      <c r="Y203" s="23" t="s">
        <v>54</v>
      </c>
      <c r="Z203" s="23" t="s">
        <v>54</v>
      </c>
      <c r="AA203" s="23" t="s">
        <v>54</v>
      </c>
      <c r="AB203" t="s">
        <v>54</v>
      </c>
      <c r="AC203" t="s">
        <v>54</v>
      </c>
      <c r="AD203" t="s">
        <v>54</v>
      </c>
      <c r="AE203" t="s">
        <v>54</v>
      </c>
      <c r="AF203" s="23" t="s">
        <v>54</v>
      </c>
      <c r="AG203" s="23" t="s">
        <v>54</v>
      </c>
      <c r="AH203" s="23" t="s">
        <v>54</v>
      </c>
      <c r="AI203" s="23" t="s">
        <v>54</v>
      </c>
      <c r="AJ203">
        <v>0</v>
      </c>
      <c r="AK203">
        <v>0</v>
      </c>
      <c r="AL203">
        <v>0</v>
      </c>
      <c r="AM203">
        <v>0</v>
      </c>
      <c r="AN203" s="23" t="s">
        <v>54</v>
      </c>
      <c r="AO203" s="23" t="s">
        <v>54</v>
      </c>
      <c r="AP203" s="23" t="s">
        <v>54</v>
      </c>
      <c r="AQ203" s="23" t="s">
        <v>54</v>
      </c>
      <c r="AR203" s="35">
        <v>0</v>
      </c>
      <c r="AS203" s="35">
        <v>0</v>
      </c>
      <c r="AT203" s="35">
        <v>19</v>
      </c>
      <c r="AU203" s="31" t="str">
        <f t="shared" si="6"/>
        <v>库存为19</v>
      </c>
      <c r="AV203" s="36" t="str">
        <f>IFERROR($A$2+AU203,"上周无销量")</f>
        <v>上周无销量</v>
      </c>
    </row>
    <row r="204" spans="1:48">
      <c r="A204" s="21" t="s">
        <v>462</v>
      </c>
      <c r="B204" t="s">
        <v>463</v>
      </c>
      <c r="C204" t="s">
        <v>433</v>
      </c>
      <c r="D204" s="31">
        <v>0</v>
      </c>
      <c r="E204" s="31">
        <v>0</v>
      </c>
      <c r="F204" s="31">
        <v>0</v>
      </c>
      <c r="G204" s="31">
        <v>0</v>
      </c>
      <c r="H204" s="32">
        <v>0</v>
      </c>
      <c r="I204">
        <v>0</v>
      </c>
      <c r="J204" s="33">
        <v>10</v>
      </c>
      <c r="K204" s="33">
        <v>0</v>
      </c>
      <c r="L204" s="33">
        <v>0</v>
      </c>
      <c r="M204">
        <v>10</v>
      </c>
      <c r="N204">
        <v>0</v>
      </c>
      <c r="O204">
        <v>0</v>
      </c>
      <c r="P204" t="s">
        <v>54</v>
      </c>
      <c r="Q204" t="s">
        <v>54</v>
      </c>
      <c r="R204" t="s">
        <v>54</v>
      </c>
      <c r="S204" t="s">
        <v>54</v>
      </c>
      <c r="T204" t="s">
        <v>54</v>
      </c>
      <c r="U204" t="s">
        <v>54</v>
      </c>
      <c r="V204" t="s">
        <v>54</v>
      </c>
      <c r="W204" t="s">
        <v>54</v>
      </c>
      <c r="X204" s="23" t="s">
        <v>54</v>
      </c>
      <c r="Y204" s="23" t="s">
        <v>54</v>
      </c>
      <c r="Z204" s="23" t="s">
        <v>54</v>
      </c>
      <c r="AA204" s="23" t="s">
        <v>54</v>
      </c>
      <c r="AB204" t="s">
        <v>54</v>
      </c>
      <c r="AC204" t="s">
        <v>54</v>
      </c>
      <c r="AD204" t="s">
        <v>54</v>
      </c>
      <c r="AE204" t="s">
        <v>54</v>
      </c>
      <c r="AF204" s="23" t="s">
        <v>54</v>
      </c>
      <c r="AG204" s="23" t="s">
        <v>54</v>
      </c>
      <c r="AH204" s="23" t="s">
        <v>54</v>
      </c>
      <c r="AI204" s="23" t="s">
        <v>54</v>
      </c>
      <c r="AJ204">
        <v>0</v>
      </c>
      <c r="AK204">
        <v>0</v>
      </c>
      <c r="AL204">
        <v>0</v>
      </c>
      <c r="AM204">
        <v>0</v>
      </c>
      <c r="AN204" s="23" t="s">
        <v>54</v>
      </c>
      <c r="AO204" s="23" t="s">
        <v>54</v>
      </c>
      <c r="AP204" s="23" t="s">
        <v>54</v>
      </c>
      <c r="AQ204" s="23" t="s">
        <v>54</v>
      </c>
      <c r="AR204" s="35">
        <v>0</v>
      </c>
      <c r="AS204" s="35">
        <v>0</v>
      </c>
      <c r="AT204" s="35">
        <v>10</v>
      </c>
      <c r="AU204" s="31" t="str">
        <f t="shared" si="6"/>
        <v>库存为10</v>
      </c>
      <c r="AV204" s="36" t="str">
        <f>IFERROR($A$2+AU204,"上周无销量")</f>
        <v>上周无销量</v>
      </c>
    </row>
    <row r="205" spans="1:48">
      <c r="A205" s="21" t="s">
        <v>464</v>
      </c>
      <c r="B205" t="s">
        <v>465</v>
      </c>
      <c r="C205" t="s">
        <v>433</v>
      </c>
      <c r="D205" s="31">
        <v>0</v>
      </c>
      <c r="E205" s="31">
        <v>0</v>
      </c>
      <c r="F205" s="31">
        <v>0</v>
      </c>
      <c r="G205" s="31">
        <v>0</v>
      </c>
      <c r="H205" s="32">
        <v>0</v>
      </c>
      <c r="I205">
        <v>0</v>
      </c>
      <c r="J205" s="33">
        <v>10</v>
      </c>
      <c r="K205" s="33">
        <v>0</v>
      </c>
      <c r="L205" s="33">
        <v>0</v>
      </c>
      <c r="M205">
        <v>10</v>
      </c>
      <c r="N205">
        <v>0</v>
      </c>
      <c r="O205">
        <v>0</v>
      </c>
      <c r="P205" t="s">
        <v>54</v>
      </c>
      <c r="Q205" t="s">
        <v>54</v>
      </c>
      <c r="R205" t="s">
        <v>54</v>
      </c>
      <c r="S205" t="s">
        <v>54</v>
      </c>
      <c r="T205" t="s">
        <v>54</v>
      </c>
      <c r="U205" t="s">
        <v>54</v>
      </c>
      <c r="V205" t="s">
        <v>54</v>
      </c>
      <c r="W205" t="s">
        <v>54</v>
      </c>
      <c r="X205" s="23" t="s">
        <v>54</v>
      </c>
      <c r="Y205" s="23" t="s">
        <v>54</v>
      </c>
      <c r="Z205" s="23" t="s">
        <v>54</v>
      </c>
      <c r="AA205" s="23" t="s">
        <v>54</v>
      </c>
      <c r="AB205" t="s">
        <v>54</v>
      </c>
      <c r="AC205" t="s">
        <v>54</v>
      </c>
      <c r="AD205" t="s">
        <v>54</v>
      </c>
      <c r="AE205" t="s">
        <v>54</v>
      </c>
      <c r="AF205" s="23" t="s">
        <v>54</v>
      </c>
      <c r="AG205" s="23" t="s">
        <v>54</v>
      </c>
      <c r="AH205" s="23" t="s">
        <v>54</v>
      </c>
      <c r="AI205" s="23" t="s">
        <v>54</v>
      </c>
      <c r="AJ205">
        <v>0</v>
      </c>
      <c r="AK205">
        <v>0</v>
      </c>
      <c r="AL205">
        <v>0</v>
      </c>
      <c r="AM205">
        <v>0</v>
      </c>
      <c r="AN205" s="23" t="s">
        <v>54</v>
      </c>
      <c r="AO205" s="23" t="s">
        <v>54</v>
      </c>
      <c r="AP205" s="23" t="s">
        <v>54</v>
      </c>
      <c r="AQ205" s="23" t="s">
        <v>54</v>
      </c>
      <c r="AR205" s="35">
        <v>0</v>
      </c>
      <c r="AS205" s="35">
        <v>0</v>
      </c>
      <c r="AT205" s="35">
        <v>10</v>
      </c>
      <c r="AU205" s="31" t="str">
        <f t="shared" si="6"/>
        <v>库存为10</v>
      </c>
      <c r="AV205" s="36" t="str">
        <f>IFERROR($A$2+AU205,"上周无销量")</f>
        <v>上周无销量</v>
      </c>
    </row>
    <row r="206" spans="1:48">
      <c r="A206" s="21" t="s">
        <v>466</v>
      </c>
      <c r="B206" t="s">
        <v>467</v>
      </c>
      <c r="C206" t="s">
        <v>433</v>
      </c>
      <c r="D206" s="31">
        <v>0</v>
      </c>
      <c r="E206" s="31">
        <v>0</v>
      </c>
      <c r="F206" s="31">
        <v>0</v>
      </c>
      <c r="G206" s="31">
        <v>0</v>
      </c>
      <c r="H206" s="32">
        <v>0</v>
      </c>
      <c r="I206">
        <v>0</v>
      </c>
      <c r="J206" s="33">
        <v>10</v>
      </c>
      <c r="K206" s="33">
        <v>0</v>
      </c>
      <c r="L206" s="33">
        <v>0</v>
      </c>
      <c r="M206">
        <v>10</v>
      </c>
      <c r="N206">
        <v>0</v>
      </c>
      <c r="O206">
        <v>0</v>
      </c>
      <c r="P206" t="s">
        <v>54</v>
      </c>
      <c r="Q206" t="s">
        <v>54</v>
      </c>
      <c r="R206" t="s">
        <v>54</v>
      </c>
      <c r="S206" t="s">
        <v>54</v>
      </c>
      <c r="T206" t="s">
        <v>54</v>
      </c>
      <c r="U206" t="s">
        <v>54</v>
      </c>
      <c r="V206" t="s">
        <v>54</v>
      </c>
      <c r="W206" t="s">
        <v>54</v>
      </c>
      <c r="X206" s="23" t="s">
        <v>54</v>
      </c>
      <c r="Y206" s="23" t="s">
        <v>54</v>
      </c>
      <c r="Z206" s="23" t="s">
        <v>54</v>
      </c>
      <c r="AA206" s="23" t="s">
        <v>54</v>
      </c>
      <c r="AB206" t="s">
        <v>54</v>
      </c>
      <c r="AC206" t="s">
        <v>54</v>
      </c>
      <c r="AD206" t="s">
        <v>54</v>
      </c>
      <c r="AE206" t="s">
        <v>54</v>
      </c>
      <c r="AF206" s="23" t="s">
        <v>54</v>
      </c>
      <c r="AG206" s="23" t="s">
        <v>54</v>
      </c>
      <c r="AH206" s="23" t="s">
        <v>54</v>
      </c>
      <c r="AI206" s="23" t="s">
        <v>54</v>
      </c>
      <c r="AJ206">
        <v>0</v>
      </c>
      <c r="AK206">
        <v>0</v>
      </c>
      <c r="AL206">
        <v>0</v>
      </c>
      <c r="AM206">
        <v>0</v>
      </c>
      <c r="AN206" s="23" t="s">
        <v>54</v>
      </c>
      <c r="AO206" s="23" t="s">
        <v>54</v>
      </c>
      <c r="AP206" s="23" t="s">
        <v>54</v>
      </c>
      <c r="AQ206" s="23" t="s">
        <v>54</v>
      </c>
      <c r="AR206" s="35">
        <v>0</v>
      </c>
      <c r="AS206" s="35">
        <v>0</v>
      </c>
      <c r="AT206" s="35">
        <v>10</v>
      </c>
      <c r="AU206" s="31" t="str">
        <f t="shared" si="6"/>
        <v>库存为10</v>
      </c>
      <c r="AV206" s="36" t="str">
        <f>IFERROR($A$2+AU206,"上周无销量")</f>
        <v>上周无销量</v>
      </c>
    </row>
    <row r="207" spans="1:48">
      <c r="A207" s="21" t="s">
        <v>468</v>
      </c>
      <c r="B207" t="s">
        <v>469</v>
      </c>
      <c r="C207" t="s">
        <v>433</v>
      </c>
      <c r="D207" s="31">
        <v>0</v>
      </c>
      <c r="E207" s="31">
        <v>0</v>
      </c>
      <c r="F207" s="31">
        <v>0</v>
      </c>
      <c r="G207" s="31">
        <v>0</v>
      </c>
      <c r="H207" s="32">
        <v>0</v>
      </c>
      <c r="I207">
        <v>0</v>
      </c>
      <c r="J207" s="33">
        <v>20</v>
      </c>
      <c r="K207" s="33">
        <v>0</v>
      </c>
      <c r="L207" s="33">
        <v>0</v>
      </c>
      <c r="M207">
        <v>20</v>
      </c>
      <c r="N207">
        <v>0</v>
      </c>
      <c r="O207">
        <v>0</v>
      </c>
      <c r="P207" t="s">
        <v>54</v>
      </c>
      <c r="Q207" t="s">
        <v>54</v>
      </c>
      <c r="R207" t="s">
        <v>54</v>
      </c>
      <c r="S207" t="s">
        <v>54</v>
      </c>
      <c r="T207" t="s">
        <v>54</v>
      </c>
      <c r="U207" t="s">
        <v>54</v>
      </c>
      <c r="V207" t="s">
        <v>54</v>
      </c>
      <c r="W207" t="s">
        <v>54</v>
      </c>
      <c r="X207" s="23" t="s">
        <v>54</v>
      </c>
      <c r="Y207" s="23" t="s">
        <v>54</v>
      </c>
      <c r="Z207" s="23" t="s">
        <v>54</v>
      </c>
      <c r="AA207" s="23" t="s">
        <v>54</v>
      </c>
      <c r="AB207" t="s">
        <v>54</v>
      </c>
      <c r="AC207" t="s">
        <v>54</v>
      </c>
      <c r="AD207" t="s">
        <v>54</v>
      </c>
      <c r="AE207" t="s">
        <v>54</v>
      </c>
      <c r="AF207" s="23" t="s">
        <v>54</v>
      </c>
      <c r="AG207" s="23" t="s">
        <v>54</v>
      </c>
      <c r="AH207" s="23" t="s">
        <v>54</v>
      </c>
      <c r="AI207" s="23" t="s">
        <v>54</v>
      </c>
      <c r="AJ207">
        <v>0</v>
      </c>
      <c r="AK207">
        <v>0</v>
      </c>
      <c r="AL207">
        <v>0</v>
      </c>
      <c r="AM207">
        <v>0</v>
      </c>
      <c r="AN207" s="23" t="s">
        <v>54</v>
      </c>
      <c r="AO207" s="23" t="s">
        <v>54</v>
      </c>
      <c r="AP207" s="23" t="s">
        <v>54</v>
      </c>
      <c r="AQ207" s="23" t="s">
        <v>54</v>
      </c>
      <c r="AR207" s="35">
        <v>0</v>
      </c>
      <c r="AS207" s="35">
        <v>0</v>
      </c>
      <c r="AT207" s="35">
        <v>20</v>
      </c>
      <c r="AU207" s="31" t="str">
        <f t="shared" si="6"/>
        <v>库存为20</v>
      </c>
      <c r="AV207" s="36" t="str">
        <f>IFERROR($A$2+AU207,"上周无销量")</f>
        <v>上周无销量</v>
      </c>
    </row>
    <row r="208" spans="1:48">
      <c r="A208" s="21" t="s">
        <v>470</v>
      </c>
      <c r="B208" t="s">
        <v>471</v>
      </c>
      <c r="C208" t="s">
        <v>433</v>
      </c>
      <c r="D208" s="31">
        <v>0</v>
      </c>
      <c r="E208" s="31">
        <v>0</v>
      </c>
      <c r="F208" s="31">
        <v>0</v>
      </c>
      <c r="G208" s="31">
        <v>0</v>
      </c>
      <c r="H208" s="32">
        <v>0</v>
      </c>
      <c r="I208">
        <v>0</v>
      </c>
      <c r="J208" s="33">
        <v>10</v>
      </c>
      <c r="K208" s="33">
        <v>0</v>
      </c>
      <c r="L208" s="33">
        <v>0</v>
      </c>
      <c r="M208">
        <v>10</v>
      </c>
      <c r="N208">
        <v>0</v>
      </c>
      <c r="O208">
        <v>0</v>
      </c>
      <c r="P208" t="s">
        <v>54</v>
      </c>
      <c r="Q208" t="s">
        <v>54</v>
      </c>
      <c r="R208" t="s">
        <v>54</v>
      </c>
      <c r="S208" t="s">
        <v>54</v>
      </c>
      <c r="T208" t="s">
        <v>54</v>
      </c>
      <c r="U208" t="s">
        <v>54</v>
      </c>
      <c r="V208" t="s">
        <v>54</v>
      </c>
      <c r="W208" t="s">
        <v>54</v>
      </c>
      <c r="X208" s="23" t="s">
        <v>54</v>
      </c>
      <c r="Y208" s="23" t="s">
        <v>54</v>
      </c>
      <c r="Z208" s="23" t="s">
        <v>54</v>
      </c>
      <c r="AA208" s="23" t="s">
        <v>54</v>
      </c>
      <c r="AB208" t="s">
        <v>54</v>
      </c>
      <c r="AC208" t="s">
        <v>54</v>
      </c>
      <c r="AD208" t="s">
        <v>54</v>
      </c>
      <c r="AE208" t="s">
        <v>54</v>
      </c>
      <c r="AF208" s="23" t="s">
        <v>54</v>
      </c>
      <c r="AG208" s="23" t="s">
        <v>54</v>
      </c>
      <c r="AH208" s="23" t="s">
        <v>54</v>
      </c>
      <c r="AI208" s="23" t="s">
        <v>54</v>
      </c>
      <c r="AJ208">
        <v>0</v>
      </c>
      <c r="AK208">
        <v>0</v>
      </c>
      <c r="AL208">
        <v>0</v>
      </c>
      <c r="AM208">
        <v>0</v>
      </c>
      <c r="AN208" s="23" t="s">
        <v>54</v>
      </c>
      <c r="AO208" s="23" t="s">
        <v>54</v>
      </c>
      <c r="AP208" s="23" t="s">
        <v>54</v>
      </c>
      <c r="AQ208" s="23" t="s">
        <v>54</v>
      </c>
      <c r="AR208" s="35">
        <v>0</v>
      </c>
      <c r="AS208" s="35">
        <v>0</v>
      </c>
      <c r="AT208" s="35">
        <v>10</v>
      </c>
      <c r="AU208" s="31" t="str">
        <f t="shared" si="6"/>
        <v>库存为10</v>
      </c>
      <c r="AV208" s="36" t="str">
        <f>IFERROR($A$2+AU208,"上周无销量")</f>
        <v>上周无销量</v>
      </c>
    </row>
    <row r="209" spans="1:48">
      <c r="A209" s="21" t="s">
        <v>472</v>
      </c>
      <c r="B209" t="s">
        <v>473</v>
      </c>
      <c r="C209" t="s">
        <v>433</v>
      </c>
      <c r="D209" s="31">
        <v>0</v>
      </c>
      <c r="E209" s="31">
        <v>0</v>
      </c>
      <c r="F209" s="31">
        <v>0</v>
      </c>
      <c r="G209" s="31">
        <v>0</v>
      </c>
      <c r="H209" s="32">
        <v>0</v>
      </c>
      <c r="I209">
        <v>0</v>
      </c>
      <c r="J209" s="33">
        <v>30</v>
      </c>
      <c r="K209" s="33">
        <v>0</v>
      </c>
      <c r="L209" s="33">
        <v>0</v>
      </c>
      <c r="M209">
        <v>30</v>
      </c>
      <c r="N209">
        <v>0</v>
      </c>
      <c r="O209">
        <v>0</v>
      </c>
      <c r="P209" t="s">
        <v>54</v>
      </c>
      <c r="Q209" t="s">
        <v>54</v>
      </c>
      <c r="R209" t="s">
        <v>54</v>
      </c>
      <c r="S209" t="s">
        <v>54</v>
      </c>
      <c r="T209" t="s">
        <v>54</v>
      </c>
      <c r="U209" t="s">
        <v>54</v>
      </c>
      <c r="V209" t="s">
        <v>54</v>
      </c>
      <c r="W209" t="s">
        <v>54</v>
      </c>
      <c r="X209" s="23" t="s">
        <v>54</v>
      </c>
      <c r="Y209" s="23" t="s">
        <v>54</v>
      </c>
      <c r="Z209" s="23" t="s">
        <v>54</v>
      </c>
      <c r="AA209" s="23" t="s">
        <v>54</v>
      </c>
      <c r="AB209" t="s">
        <v>54</v>
      </c>
      <c r="AC209" t="s">
        <v>54</v>
      </c>
      <c r="AD209" t="s">
        <v>54</v>
      </c>
      <c r="AE209" t="s">
        <v>54</v>
      </c>
      <c r="AF209" s="23" t="s">
        <v>54</v>
      </c>
      <c r="AG209" s="23" t="s">
        <v>54</v>
      </c>
      <c r="AH209" s="23" t="s">
        <v>54</v>
      </c>
      <c r="AI209" s="23" t="s">
        <v>54</v>
      </c>
      <c r="AJ209">
        <v>0</v>
      </c>
      <c r="AK209">
        <v>0</v>
      </c>
      <c r="AL209">
        <v>0</v>
      </c>
      <c r="AM209">
        <v>0</v>
      </c>
      <c r="AN209" s="23" t="s">
        <v>54</v>
      </c>
      <c r="AO209" s="23" t="s">
        <v>54</v>
      </c>
      <c r="AP209" s="23" t="s">
        <v>54</v>
      </c>
      <c r="AQ209" s="23" t="s">
        <v>54</v>
      </c>
      <c r="AR209" s="35">
        <v>0</v>
      </c>
      <c r="AS209" s="35">
        <v>0</v>
      </c>
      <c r="AT209" s="35">
        <v>30</v>
      </c>
      <c r="AU209" s="31" t="str">
        <f t="shared" si="6"/>
        <v>库存为30</v>
      </c>
      <c r="AV209" s="36" t="str">
        <f>IFERROR($A$2+AU209,"上周无销量")</f>
        <v>上周无销量</v>
      </c>
    </row>
    <row r="210" spans="1:48">
      <c r="A210" s="21" t="s">
        <v>474</v>
      </c>
      <c r="B210" t="s">
        <v>475</v>
      </c>
      <c r="C210" t="s">
        <v>433</v>
      </c>
      <c r="D210" s="31">
        <v>0</v>
      </c>
      <c r="E210" s="31">
        <v>0</v>
      </c>
      <c r="F210" s="31">
        <v>0</v>
      </c>
      <c r="G210" s="31">
        <v>0</v>
      </c>
      <c r="H210" s="32">
        <v>0</v>
      </c>
      <c r="I210">
        <v>0</v>
      </c>
      <c r="J210" s="33">
        <v>30</v>
      </c>
      <c r="K210" s="33">
        <v>0</v>
      </c>
      <c r="L210" s="33">
        <v>0</v>
      </c>
      <c r="M210">
        <v>30</v>
      </c>
      <c r="N210">
        <v>0</v>
      </c>
      <c r="O210">
        <v>0</v>
      </c>
      <c r="P210" t="s">
        <v>54</v>
      </c>
      <c r="Q210" t="s">
        <v>54</v>
      </c>
      <c r="R210" t="s">
        <v>54</v>
      </c>
      <c r="S210" t="s">
        <v>54</v>
      </c>
      <c r="T210" t="s">
        <v>54</v>
      </c>
      <c r="U210" t="s">
        <v>54</v>
      </c>
      <c r="V210" t="s">
        <v>54</v>
      </c>
      <c r="W210" t="s">
        <v>54</v>
      </c>
      <c r="X210" s="23" t="s">
        <v>54</v>
      </c>
      <c r="Y210" s="23" t="s">
        <v>54</v>
      </c>
      <c r="Z210" s="23" t="s">
        <v>54</v>
      </c>
      <c r="AA210" s="23" t="s">
        <v>54</v>
      </c>
      <c r="AB210" t="s">
        <v>54</v>
      </c>
      <c r="AC210" t="s">
        <v>54</v>
      </c>
      <c r="AD210" t="s">
        <v>54</v>
      </c>
      <c r="AE210" t="s">
        <v>54</v>
      </c>
      <c r="AF210" s="23" t="s">
        <v>54</v>
      </c>
      <c r="AG210" s="23" t="s">
        <v>54</v>
      </c>
      <c r="AH210" s="23" t="s">
        <v>54</v>
      </c>
      <c r="AI210" s="23" t="s">
        <v>54</v>
      </c>
      <c r="AJ210">
        <v>0</v>
      </c>
      <c r="AK210">
        <v>0</v>
      </c>
      <c r="AL210">
        <v>0</v>
      </c>
      <c r="AM210">
        <v>0</v>
      </c>
      <c r="AN210" s="23" t="s">
        <v>54</v>
      </c>
      <c r="AO210" s="23" t="s">
        <v>54</v>
      </c>
      <c r="AP210" s="23" t="s">
        <v>54</v>
      </c>
      <c r="AQ210" s="23" t="s">
        <v>54</v>
      </c>
      <c r="AR210" s="35">
        <v>0</v>
      </c>
      <c r="AS210" s="35">
        <v>0</v>
      </c>
      <c r="AT210" s="35">
        <v>30</v>
      </c>
      <c r="AU210" s="31" t="str">
        <f t="shared" si="6"/>
        <v>库存为30</v>
      </c>
      <c r="AV210" s="36" t="str">
        <f>IFERROR($A$2+AU210,"上周无销量")</f>
        <v>上周无销量</v>
      </c>
    </row>
    <row r="211" spans="1:48">
      <c r="A211" s="21" t="s">
        <v>476</v>
      </c>
      <c r="B211" t="s">
        <v>477</v>
      </c>
      <c r="C211" t="s">
        <v>433</v>
      </c>
      <c r="D211" s="31">
        <v>0</v>
      </c>
      <c r="E211" s="31">
        <v>0</v>
      </c>
      <c r="F211" s="31">
        <v>0</v>
      </c>
      <c r="G211" s="31">
        <v>0</v>
      </c>
      <c r="H211" s="32">
        <v>0</v>
      </c>
      <c r="I211">
        <v>0</v>
      </c>
      <c r="J211" s="33">
        <v>30</v>
      </c>
      <c r="K211" s="33">
        <v>0</v>
      </c>
      <c r="L211" s="33">
        <v>0</v>
      </c>
      <c r="M211">
        <v>30</v>
      </c>
      <c r="N211">
        <v>0</v>
      </c>
      <c r="O211">
        <v>0</v>
      </c>
      <c r="P211" t="s">
        <v>54</v>
      </c>
      <c r="Q211" t="s">
        <v>54</v>
      </c>
      <c r="R211" t="s">
        <v>54</v>
      </c>
      <c r="S211" t="s">
        <v>54</v>
      </c>
      <c r="T211" t="s">
        <v>54</v>
      </c>
      <c r="U211" t="s">
        <v>54</v>
      </c>
      <c r="V211" t="s">
        <v>54</v>
      </c>
      <c r="W211" t="s">
        <v>54</v>
      </c>
      <c r="X211" s="23" t="s">
        <v>54</v>
      </c>
      <c r="Y211" s="23" t="s">
        <v>54</v>
      </c>
      <c r="Z211" s="23" t="s">
        <v>54</v>
      </c>
      <c r="AA211" s="23" t="s">
        <v>54</v>
      </c>
      <c r="AB211" t="s">
        <v>54</v>
      </c>
      <c r="AC211" t="s">
        <v>54</v>
      </c>
      <c r="AD211" t="s">
        <v>54</v>
      </c>
      <c r="AE211" t="s">
        <v>54</v>
      </c>
      <c r="AF211" s="23" t="s">
        <v>54</v>
      </c>
      <c r="AG211" s="23" t="s">
        <v>54</v>
      </c>
      <c r="AH211" s="23" t="s">
        <v>54</v>
      </c>
      <c r="AI211" s="23" t="s">
        <v>54</v>
      </c>
      <c r="AJ211">
        <v>0</v>
      </c>
      <c r="AK211">
        <v>0</v>
      </c>
      <c r="AL211">
        <v>0</v>
      </c>
      <c r="AM211">
        <v>0</v>
      </c>
      <c r="AN211" s="23" t="s">
        <v>54</v>
      </c>
      <c r="AO211" s="23" t="s">
        <v>54</v>
      </c>
      <c r="AP211" s="23" t="s">
        <v>54</v>
      </c>
      <c r="AQ211" s="23" t="s">
        <v>54</v>
      </c>
      <c r="AR211" s="35">
        <v>0</v>
      </c>
      <c r="AS211" s="35">
        <v>0</v>
      </c>
      <c r="AT211" s="35">
        <v>30</v>
      </c>
      <c r="AU211" s="31" t="str">
        <f t="shared" si="6"/>
        <v>库存为30</v>
      </c>
      <c r="AV211" s="36" t="str">
        <f>IFERROR($A$2+AU211,"上周无销量")</f>
        <v>上周无销量</v>
      </c>
    </row>
    <row r="212" spans="1:48">
      <c r="A212" s="21" t="s">
        <v>478</v>
      </c>
      <c r="B212" t="s">
        <v>479</v>
      </c>
      <c r="C212" t="s">
        <v>433</v>
      </c>
      <c r="D212" s="31">
        <v>0</v>
      </c>
      <c r="E212" s="31">
        <v>0</v>
      </c>
      <c r="F212" s="31">
        <v>0</v>
      </c>
      <c r="G212" s="31">
        <v>0</v>
      </c>
      <c r="H212" s="32">
        <v>0</v>
      </c>
      <c r="I212">
        <v>0</v>
      </c>
      <c r="J212" s="33">
        <v>20</v>
      </c>
      <c r="K212" s="33">
        <v>0</v>
      </c>
      <c r="L212" s="33">
        <v>0</v>
      </c>
      <c r="M212">
        <v>20</v>
      </c>
      <c r="N212">
        <v>0</v>
      </c>
      <c r="O212">
        <v>0</v>
      </c>
      <c r="P212" t="s">
        <v>54</v>
      </c>
      <c r="Q212" t="s">
        <v>54</v>
      </c>
      <c r="R212" t="s">
        <v>54</v>
      </c>
      <c r="S212" t="s">
        <v>54</v>
      </c>
      <c r="T212" t="s">
        <v>54</v>
      </c>
      <c r="U212" t="s">
        <v>54</v>
      </c>
      <c r="V212" t="s">
        <v>54</v>
      </c>
      <c r="W212" t="s">
        <v>54</v>
      </c>
      <c r="X212" s="23" t="s">
        <v>54</v>
      </c>
      <c r="Y212" s="23" t="s">
        <v>54</v>
      </c>
      <c r="Z212" s="23" t="s">
        <v>54</v>
      </c>
      <c r="AA212" s="23" t="s">
        <v>54</v>
      </c>
      <c r="AB212" t="s">
        <v>54</v>
      </c>
      <c r="AC212" t="s">
        <v>54</v>
      </c>
      <c r="AD212" t="s">
        <v>54</v>
      </c>
      <c r="AE212" t="s">
        <v>54</v>
      </c>
      <c r="AF212" s="23" t="s">
        <v>54</v>
      </c>
      <c r="AG212" s="23" t="s">
        <v>54</v>
      </c>
      <c r="AH212" s="23" t="s">
        <v>54</v>
      </c>
      <c r="AI212" s="23" t="s">
        <v>54</v>
      </c>
      <c r="AJ212">
        <v>0</v>
      </c>
      <c r="AK212">
        <v>0</v>
      </c>
      <c r="AL212">
        <v>0</v>
      </c>
      <c r="AM212">
        <v>0</v>
      </c>
      <c r="AN212" s="23" t="s">
        <v>54</v>
      </c>
      <c r="AO212" s="23" t="s">
        <v>54</v>
      </c>
      <c r="AP212" s="23" t="s">
        <v>54</v>
      </c>
      <c r="AQ212" s="23" t="s">
        <v>54</v>
      </c>
      <c r="AR212" s="35">
        <v>0</v>
      </c>
      <c r="AS212" s="35">
        <v>0</v>
      </c>
      <c r="AT212" s="35">
        <v>20</v>
      </c>
      <c r="AU212" s="31" t="str">
        <f t="shared" si="6"/>
        <v>库存为20</v>
      </c>
      <c r="AV212" s="36" t="str">
        <f>IFERROR($A$2+AU212,"上周无销量")</f>
        <v>上周无销量</v>
      </c>
    </row>
    <row r="213" spans="1:48">
      <c r="A213" s="21" t="s">
        <v>480</v>
      </c>
      <c r="B213" t="s">
        <v>481</v>
      </c>
      <c r="C213" t="s">
        <v>433</v>
      </c>
      <c r="D213" s="31">
        <v>0</v>
      </c>
      <c r="E213" s="31">
        <v>0</v>
      </c>
      <c r="F213" s="31">
        <v>0</v>
      </c>
      <c r="G213" s="31">
        <v>0</v>
      </c>
      <c r="H213" s="32">
        <v>0</v>
      </c>
      <c r="I213">
        <v>0</v>
      </c>
      <c r="J213" s="33">
        <v>9</v>
      </c>
      <c r="K213" s="33">
        <v>0</v>
      </c>
      <c r="L213" s="33">
        <v>0</v>
      </c>
      <c r="M213">
        <v>9</v>
      </c>
      <c r="N213">
        <v>0</v>
      </c>
      <c r="O213">
        <v>0</v>
      </c>
      <c r="P213" t="s">
        <v>54</v>
      </c>
      <c r="Q213" t="s">
        <v>54</v>
      </c>
      <c r="R213" t="s">
        <v>54</v>
      </c>
      <c r="S213" t="s">
        <v>54</v>
      </c>
      <c r="T213" t="s">
        <v>54</v>
      </c>
      <c r="U213" t="s">
        <v>54</v>
      </c>
      <c r="V213" t="s">
        <v>54</v>
      </c>
      <c r="W213" t="s">
        <v>54</v>
      </c>
      <c r="X213" s="23" t="s">
        <v>54</v>
      </c>
      <c r="Y213" s="23" t="s">
        <v>54</v>
      </c>
      <c r="Z213" s="23" t="s">
        <v>54</v>
      </c>
      <c r="AA213" s="23" t="s">
        <v>54</v>
      </c>
      <c r="AB213" t="s">
        <v>54</v>
      </c>
      <c r="AC213" t="s">
        <v>54</v>
      </c>
      <c r="AD213" t="s">
        <v>54</v>
      </c>
      <c r="AE213" t="s">
        <v>54</v>
      </c>
      <c r="AF213" s="23" t="s">
        <v>54</v>
      </c>
      <c r="AG213" s="23" t="s">
        <v>54</v>
      </c>
      <c r="AH213" s="23" t="s">
        <v>54</v>
      </c>
      <c r="AI213" s="23" t="s">
        <v>54</v>
      </c>
      <c r="AJ213">
        <v>0</v>
      </c>
      <c r="AK213">
        <v>0</v>
      </c>
      <c r="AL213">
        <v>0</v>
      </c>
      <c r="AM213">
        <v>0</v>
      </c>
      <c r="AN213" s="23" t="s">
        <v>54</v>
      </c>
      <c r="AO213" s="23" t="s">
        <v>54</v>
      </c>
      <c r="AP213" s="23" t="s">
        <v>54</v>
      </c>
      <c r="AQ213" s="23" t="s">
        <v>54</v>
      </c>
      <c r="AR213" s="35">
        <v>0</v>
      </c>
      <c r="AS213" s="35">
        <v>0</v>
      </c>
      <c r="AT213" s="35">
        <v>9</v>
      </c>
      <c r="AU213" s="31" t="str">
        <f t="shared" si="6"/>
        <v>库存为9</v>
      </c>
      <c r="AV213" s="36" t="str">
        <f>IFERROR($A$2+AU213,"上周无销量")</f>
        <v>上周无销量</v>
      </c>
    </row>
    <row r="214" spans="1:48">
      <c r="A214" s="21" t="s">
        <v>482</v>
      </c>
      <c r="B214" t="s">
        <v>483</v>
      </c>
      <c r="C214" t="s">
        <v>433</v>
      </c>
      <c r="D214" s="31">
        <v>0</v>
      </c>
      <c r="E214" s="31">
        <v>0</v>
      </c>
      <c r="F214" s="31">
        <v>0</v>
      </c>
      <c r="G214" s="31">
        <v>0</v>
      </c>
      <c r="H214" s="32">
        <v>0</v>
      </c>
      <c r="I214">
        <v>0</v>
      </c>
      <c r="J214" s="33">
        <v>10</v>
      </c>
      <c r="K214" s="33">
        <v>0</v>
      </c>
      <c r="L214" s="33">
        <v>0</v>
      </c>
      <c r="M214">
        <v>10</v>
      </c>
      <c r="N214">
        <v>0</v>
      </c>
      <c r="O214">
        <v>0</v>
      </c>
      <c r="P214" t="s">
        <v>54</v>
      </c>
      <c r="Q214" t="s">
        <v>54</v>
      </c>
      <c r="R214" t="s">
        <v>54</v>
      </c>
      <c r="S214" t="s">
        <v>54</v>
      </c>
      <c r="T214" t="s">
        <v>54</v>
      </c>
      <c r="U214" t="s">
        <v>54</v>
      </c>
      <c r="V214" t="s">
        <v>54</v>
      </c>
      <c r="W214" t="s">
        <v>54</v>
      </c>
      <c r="X214" s="23" t="s">
        <v>54</v>
      </c>
      <c r="Y214" s="23" t="s">
        <v>54</v>
      </c>
      <c r="Z214" s="23" t="s">
        <v>54</v>
      </c>
      <c r="AA214" s="23" t="s">
        <v>54</v>
      </c>
      <c r="AB214" t="s">
        <v>54</v>
      </c>
      <c r="AC214" t="s">
        <v>54</v>
      </c>
      <c r="AD214" t="s">
        <v>54</v>
      </c>
      <c r="AE214" t="s">
        <v>54</v>
      </c>
      <c r="AF214" s="23" t="s">
        <v>54</v>
      </c>
      <c r="AG214" s="23" t="s">
        <v>54</v>
      </c>
      <c r="AH214" s="23" t="s">
        <v>54</v>
      </c>
      <c r="AI214" s="23" t="s">
        <v>54</v>
      </c>
      <c r="AJ214">
        <v>0</v>
      </c>
      <c r="AK214">
        <v>0</v>
      </c>
      <c r="AL214">
        <v>0</v>
      </c>
      <c r="AM214">
        <v>0</v>
      </c>
      <c r="AN214" s="23" t="s">
        <v>54</v>
      </c>
      <c r="AO214" s="23" t="s">
        <v>54</v>
      </c>
      <c r="AP214" s="23" t="s">
        <v>54</v>
      </c>
      <c r="AQ214" s="23" t="s">
        <v>54</v>
      </c>
      <c r="AR214" s="35">
        <v>0</v>
      </c>
      <c r="AS214" s="35">
        <v>0</v>
      </c>
      <c r="AT214" s="35">
        <v>10</v>
      </c>
      <c r="AU214" s="31" t="str">
        <f t="shared" si="6"/>
        <v>库存为10</v>
      </c>
      <c r="AV214" s="36" t="str">
        <f>IFERROR($A$2+AU214,"上周无销量")</f>
        <v>上周无销量</v>
      </c>
    </row>
    <row r="215" spans="1:48">
      <c r="A215" s="21" t="s">
        <v>484</v>
      </c>
      <c r="B215" t="s">
        <v>485</v>
      </c>
      <c r="C215" t="s">
        <v>433</v>
      </c>
      <c r="D215" s="31">
        <v>0</v>
      </c>
      <c r="E215" s="31">
        <v>0</v>
      </c>
      <c r="F215" s="31">
        <v>0</v>
      </c>
      <c r="G215" s="31">
        <v>0</v>
      </c>
      <c r="H215" s="32">
        <v>0</v>
      </c>
      <c r="I215">
        <v>0</v>
      </c>
      <c r="J215" s="33">
        <v>18</v>
      </c>
      <c r="K215" s="33">
        <v>0</v>
      </c>
      <c r="L215" s="33">
        <v>0</v>
      </c>
      <c r="M215">
        <v>18</v>
      </c>
      <c r="N215">
        <v>0</v>
      </c>
      <c r="O215">
        <v>0</v>
      </c>
      <c r="P215" t="s">
        <v>54</v>
      </c>
      <c r="Q215" t="s">
        <v>54</v>
      </c>
      <c r="R215" t="s">
        <v>54</v>
      </c>
      <c r="S215" t="s">
        <v>54</v>
      </c>
      <c r="T215" t="s">
        <v>54</v>
      </c>
      <c r="U215" t="s">
        <v>54</v>
      </c>
      <c r="V215" t="s">
        <v>54</v>
      </c>
      <c r="W215" t="s">
        <v>54</v>
      </c>
      <c r="X215" s="23" t="s">
        <v>54</v>
      </c>
      <c r="Y215" s="23" t="s">
        <v>54</v>
      </c>
      <c r="Z215" s="23" t="s">
        <v>54</v>
      </c>
      <c r="AA215" s="23" t="s">
        <v>54</v>
      </c>
      <c r="AB215" t="s">
        <v>54</v>
      </c>
      <c r="AC215" t="s">
        <v>54</v>
      </c>
      <c r="AD215" t="s">
        <v>54</v>
      </c>
      <c r="AE215" t="s">
        <v>54</v>
      </c>
      <c r="AF215" s="23" t="s">
        <v>54</v>
      </c>
      <c r="AG215" s="23" t="s">
        <v>54</v>
      </c>
      <c r="AH215" s="23" t="s">
        <v>54</v>
      </c>
      <c r="AI215" s="23" t="s">
        <v>54</v>
      </c>
      <c r="AJ215">
        <v>0</v>
      </c>
      <c r="AK215">
        <v>0</v>
      </c>
      <c r="AL215">
        <v>0</v>
      </c>
      <c r="AM215">
        <v>0</v>
      </c>
      <c r="AN215" s="23" t="s">
        <v>54</v>
      </c>
      <c r="AO215" s="23" t="s">
        <v>54</v>
      </c>
      <c r="AP215" s="23" t="s">
        <v>54</v>
      </c>
      <c r="AQ215" s="23" t="s">
        <v>54</v>
      </c>
      <c r="AR215" s="35">
        <v>0</v>
      </c>
      <c r="AS215" s="35">
        <v>0</v>
      </c>
      <c r="AT215" s="35">
        <v>18</v>
      </c>
      <c r="AU215" s="31" t="str">
        <f t="shared" si="6"/>
        <v>库存为18</v>
      </c>
      <c r="AV215" s="36" t="str">
        <f>IFERROR($A$2+AU215,"上周无销量")</f>
        <v>上周无销量</v>
      </c>
    </row>
    <row r="216" spans="1:48">
      <c r="A216" s="21" t="s">
        <v>486</v>
      </c>
      <c r="B216" t="s">
        <v>487</v>
      </c>
      <c r="C216" t="s">
        <v>433</v>
      </c>
      <c r="D216" s="31">
        <v>0</v>
      </c>
      <c r="E216" s="31">
        <v>0</v>
      </c>
      <c r="F216" s="31">
        <v>0</v>
      </c>
      <c r="G216" s="31">
        <v>0</v>
      </c>
      <c r="H216" s="32">
        <v>0</v>
      </c>
      <c r="I216">
        <v>0</v>
      </c>
      <c r="J216" s="33">
        <v>9</v>
      </c>
      <c r="K216" s="33">
        <v>0</v>
      </c>
      <c r="L216" s="33">
        <v>0</v>
      </c>
      <c r="M216">
        <v>9</v>
      </c>
      <c r="N216">
        <v>0</v>
      </c>
      <c r="O216">
        <v>0</v>
      </c>
      <c r="P216" t="s">
        <v>54</v>
      </c>
      <c r="Q216" t="s">
        <v>54</v>
      </c>
      <c r="R216" t="s">
        <v>54</v>
      </c>
      <c r="S216" t="s">
        <v>54</v>
      </c>
      <c r="T216" t="s">
        <v>54</v>
      </c>
      <c r="U216" t="s">
        <v>54</v>
      </c>
      <c r="V216" t="s">
        <v>54</v>
      </c>
      <c r="W216" t="s">
        <v>54</v>
      </c>
      <c r="X216" s="23" t="s">
        <v>54</v>
      </c>
      <c r="Y216" s="23" t="s">
        <v>54</v>
      </c>
      <c r="Z216" s="23" t="s">
        <v>54</v>
      </c>
      <c r="AA216" s="23" t="s">
        <v>54</v>
      </c>
      <c r="AB216" t="s">
        <v>54</v>
      </c>
      <c r="AC216" t="s">
        <v>54</v>
      </c>
      <c r="AD216" t="s">
        <v>54</v>
      </c>
      <c r="AE216" t="s">
        <v>54</v>
      </c>
      <c r="AF216" s="23" t="s">
        <v>54</v>
      </c>
      <c r="AG216" s="23" t="s">
        <v>54</v>
      </c>
      <c r="AH216" s="23" t="s">
        <v>54</v>
      </c>
      <c r="AI216" s="23" t="s">
        <v>54</v>
      </c>
      <c r="AJ216">
        <v>0</v>
      </c>
      <c r="AK216">
        <v>0</v>
      </c>
      <c r="AL216">
        <v>0</v>
      </c>
      <c r="AM216">
        <v>0</v>
      </c>
      <c r="AN216" s="23" t="s">
        <v>54</v>
      </c>
      <c r="AO216" s="23" t="s">
        <v>54</v>
      </c>
      <c r="AP216" s="23" t="s">
        <v>54</v>
      </c>
      <c r="AQ216" s="23" t="s">
        <v>54</v>
      </c>
      <c r="AR216" s="35">
        <v>0</v>
      </c>
      <c r="AS216" s="35">
        <v>0</v>
      </c>
      <c r="AT216" s="35">
        <v>9</v>
      </c>
      <c r="AU216" s="31" t="str">
        <f t="shared" si="6"/>
        <v>库存为9</v>
      </c>
      <c r="AV216" s="36" t="str">
        <f>IFERROR($A$2+AU216,"上周无销量")</f>
        <v>上周无销量</v>
      </c>
    </row>
    <row r="217" spans="1:48">
      <c r="A217" s="21" t="s">
        <v>488</v>
      </c>
      <c r="B217" t="s">
        <v>489</v>
      </c>
      <c r="C217" t="s">
        <v>433</v>
      </c>
      <c r="D217" s="31">
        <v>0</v>
      </c>
      <c r="E217" s="31">
        <v>0</v>
      </c>
      <c r="F217" s="31">
        <v>0</v>
      </c>
      <c r="G217" s="31">
        <v>0</v>
      </c>
      <c r="H217" s="32">
        <v>0</v>
      </c>
      <c r="I217">
        <v>0</v>
      </c>
      <c r="J217" s="33">
        <v>10</v>
      </c>
      <c r="K217" s="33">
        <v>0</v>
      </c>
      <c r="L217" s="33">
        <v>0</v>
      </c>
      <c r="M217">
        <v>10</v>
      </c>
      <c r="N217">
        <v>0</v>
      </c>
      <c r="O217">
        <v>0</v>
      </c>
      <c r="P217" t="s">
        <v>54</v>
      </c>
      <c r="Q217" t="s">
        <v>54</v>
      </c>
      <c r="R217" t="s">
        <v>54</v>
      </c>
      <c r="S217" t="s">
        <v>54</v>
      </c>
      <c r="T217" t="s">
        <v>54</v>
      </c>
      <c r="U217" t="s">
        <v>54</v>
      </c>
      <c r="V217" t="s">
        <v>54</v>
      </c>
      <c r="W217" t="s">
        <v>54</v>
      </c>
      <c r="X217" s="23" t="s">
        <v>54</v>
      </c>
      <c r="Y217" s="23" t="s">
        <v>54</v>
      </c>
      <c r="Z217" s="23" t="s">
        <v>54</v>
      </c>
      <c r="AA217" s="23" t="s">
        <v>54</v>
      </c>
      <c r="AB217" t="s">
        <v>54</v>
      </c>
      <c r="AC217" t="s">
        <v>54</v>
      </c>
      <c r="AD217" t="s">
        <v>54</v>
      </c>
      <c r="AE217" t="s">
        <v>54</v>
      </c>
      <c r="AF217" s="23" t="s">
        <v>54</v>
      </c>
      <c r="AG217" s="23" t="s">
        <v>54</v>
      </c>
      <c r="AH217" s="23" t="s">
        <v>54</v>
      </c>
      <c r="AI217" s="23" t="s">
        <v>54</v>
      </c>
      <c r="AJ217">
        <v>0</v>
      </c>
      <c r="AK217">
        <v>0</v>
      </c>
      <c r="AL217">
        <v>0</v>
      </c>
      <c r="AM217">
        <v>0</v>
      </c>
      <c r="AN217" s="23" t="s">
        <v>54</v>
      </c>
      <c r="AO217" s="23" t="s">
        <v>54</v>
      </c>
      <c r="AP217" s="23" t="s">
        <v>54</v>
      </c>
      <c r="AQ217" s="23" t="s">
        <v>54</v>
      </c>
      <c r="AR217" s="35">
        <v>0</v>
      </c>
      <c r="AS217" s="35">
        <v>0</v>
      </c>
      <c r="AT217" s="35">
        <v>10</v>
      </c>
      <c r="AU217" s="31" t="str">
        <f t="shared" si="6"/>
        <v>库存为10</v>
      </c>
      <c r="AV217" s="36" t="str">
        <f>IFERROR($A$2+AU217,"上周无销量")</f>
        <v>上周无销量</v>
      </c>
    </row>
    <row r="218" spans="1:48">
      <c r="A218" s="21" t="s">
        <v>490</v>
      </c>
      <c r="B218" t="s">
        <v>491</v>
      </c>
      <c r="C218" t="s">
        <v>433</v>
      </c>
      <c r="D218" s="31">
        <v>0</v>
      </c>
      <c r="E218" s="31">
        <v>0</v>
      </c>
      <c r="F218" s="31">
        <v>0</v>
      </c>
      <c r="G218" s="31">
        <v>0</v>
      </c>
      <c r="H218" s="32">
        <v>0</v>
      </c>
      <c r="I218">
        <v>0</v>
      </c>
      <c r="J218" s="33">
        <v>10</v>
      </c>
      <c r="K218" s="33">
        <v>0</v>
      </c>
      <c r="L218" s="33">
        <v>0</v>
      </c>
      <c r="M218">
        <v>10</v>
      </c>
      <c r="N218">
        <v>0</v>
      </c>
      <c r="O218">
        <v>0</v>
      </c>
      <c r="P218" t="s">
        <v>54</v>
      </c>
      <c r="Q218" t="s">
        <v>54</v>
      </c>
      <c r="R218" t="s">
        <v>54</v>
      </c>
      <c r="S218" t="s">
        <v>54</v>
      </c>
      <c r="T218" t="s">
        <v>54</v>
      </c>
      <c r="U218" t="s">
        <v>54</v>
      </c>
      <c r="V218" t="s">
        <v>54</v>
      </c>
      <c r="W218" t="s">
        <v>54</v>
      </c>
      <c r="X218" s="23" t="s">
        <v>54</v>
      </c>
      <c r="Y218" s="23" t="s">
        <v>54</v>
      </c>
      <c r="Z218" s="23" t="s">
        <v>54</v>
      </c>
      <c r="AA218" s="23" t="s">
        <v>54</v>
      </c>
      <c r="AB218" t="s">
        <v>54</v>
      </c>
      <c r="AC218" t="s">
        <v>54</v>
      </c>
      <c r="AD218" t="s">
        <v>54</v>
      </c>
      <c r="AE218" t="s">
        <v>54</v>
      </c>
      <c r="AF218" s="23" t="s">
        <v>54</v>
      </c>
      <c r="AG218" s="23" t="s">
        <v>54</v>
      </c>
      <c r="AH218" s="23" t="s">
        <v>54</v>
      </c>
      <c r="AI218" s="23" t="s">
        <v>54</v>
      </c>
      <c r="AJ218">
        <v>0</v>
      </c>
      <c r="AK218">
        <v>0</v>
      </c>
      <c r="AL218">
        <v>0</v>
      </c>
      <c r="AM218">
        <v>0</v>
      </c>
      <c r="AN218" s="23" t="s">
        <v>54</v>
      </c>
      <c r="AO218" s="23" t="s">
        <v>54</v>
      </c>
      <c r="AP218" s="23" t="s">
        <v>54</v>
      </c>
      <c r="AQ218" s="23" t="s">
        <v>54</v>
      </c>
      <c r="AR218" s="35">
        <v>0</v>
      </c>
      <c r="AS218" s="35">
        <v>0</v>
      </c>
      <c r="AT218" s="35">
        <v>10</v>
      </c>
      <c r="AU218" s="31" t="str">
        <f t="shared" si="6"/>
        <v>库存为10</v>
      </c>
      <c r="AV218" s="36" t="str">
        <f>IFERROR($A$2+AU218,"上周无销量")</f>
        <v>上周无销量</v>
      </c>
    </row>
    <row r="219" spans="1:48">
      <c r="A219" s="21" t="s">
        <v>492</v>
      </c>
      <c r="B219" t="s">
        <v>493</v>
      </c>
      <c r="C219" t="s">
        <v>433</v>
      </c>
      <c r="D219" s="31">
        <v>0</v>
      </c>
      <c r="E219" s="31">
        <v>0</v>
      </c>
      <c r="F219" s="31">
        <v>0</v>
      </c>
      <c r="G219" s="31">
        <v>0</v>
      </c>
      <c r="H219" s="32">
        <v>0</v>
      </c>
      <c r="I219">
        <v>0</v>
      </c>
      <c r="J219" s="33">
        <v>20</v>
      </c>
      <c r="K219" s="33">
        <v>0</v>
      </c>
      <c r="L219" s="33">
        <v>0</v>
      </c>
      <c r="M219">
        <v>20</v>
      </c>
      <c r="N219">
        <v>0</v>
      </c>
      <c r="O219">
        <v>0</v>
      </c>
      <c r="P219" t="s">
        <v>54</v>
      </c>
      <c r="Q219" t="s">
        <v>54</v>
      </c>
      <c r="R219" t="s">
        <v>54</v>
      </c>
      <c r="S219" t="s">
        <v>54</v>
      </c>
      <c r="T219" t="s">
        <v>54</v>
      </c>
      <c r="U219" t="s">
        <v>54</v>
      </c>
      <c r="V219" t="s">
        <v>54</v>
      </c>
      <c r="W219" t="s">
        <v>54</v>
      </c>
      <c r="X219" s="23" t="s">
        <v>54</v>
      </c>
      <c r="Y219" s="23" t="s">
        <v>54</v>
      </c>
      <c r="Z219" s="23" t="s">
        <v>54</v>
      </c>
      <c r="AA219" s="23" t="s">
        <v>54</v>
      </c>
      <c r="AB219" t="s">
        <v>54</v>
      </c>
      <c r="AC219" t="s">
        <v>54</v>
      </c>
      <c r="AD219" t="s">
        <v>54</v>
      </c>
      <c r="AE219" t="s">
        <v>54</v>
      </c>
      <c r="AF219" s="23" t="s">
        <v>54</v>
      </c>
      <c r="AG219" s="23" t="s">
        <v>54</v>
      </c>
      <c r="AH219" s="23" t="s">
        <v>54</v>
      </c>
      <c r="AI219" s="23" t="s">
        <v>54</v>
      </c>
      <c r="AJ219">
        <v>0</v>
      </c>
      <c r="AK219">
        <v>0</v>
      </c>
      <c r="AL219">
        <v>0</v>
      </c>
      <c r="AM219">
        <v>0</v>
      </c>
      <c r="AN219" s="23" t="s">
        <v>54</v>
      </c>
      <c r="AO219" s="23" t="s">
        <v>54</v>
      </c>
      <c r="AP219" s="23" t="s">
        <v>54</v>
      </c>
      <c r="AQ219" s="23" t="s">
        <v>54</v>
      </c>
      <c r="AR219" s="35">
        <v>0</v>
      </c>
      <c r="AS219" s="35">
        <v>0</v>
      </c>
      <c r="AT219" s="35">
        <v>20</v>
      </c>
      <c r="AU219" s="31" t="str">
        <f t="shared" si="6"/>
        <v>库存为20</v>
      </c>
      <c r="AV219" s="36" t="str">
        <f>IFERROR($A$2+AU219,"上周无销量")</f>
        <v>上周无销量</v>
      </c>
    </row>
    <row r="220" spans="1:48">
      <c r="A220" s="21" t="s">
        <v>494</v>
      </c>
      <c r="B220" t="s">
        <v>495</v>
      </c>
      <c r="C220" t="s">
        <v>433</v>
      </c>
      <c r="D220" s="31">
        <v>0</v>
      </c>
      <c r="E220" s="31">
        <v>0</v>
      </c>
      <c r="F220" s="31">
        <v>0</v>
      </c>
      <c r="G220" s="31">
        <v>0</v>
      </c>
      <c r="H220" s="32">
        <v>0</v>
      </c>
      <c r="I220">
        <v>0</v>
      </c>
      <c r="J220" s="33">
        <v>10</v>
      </c>
      <c r="K220" s="33">
        <v>0</v>
      </c>
      <c r="L220" s="33">
        <v>0</v>
      </c>
      <c r="M220">
        <v>10</v>
      </c>
      <c r="N220">
        <v>0</v>
      </c>
      <c r="O220">
        <v>0</v>
      </c>
      <c r="P220" t="s">
        <v>54</v>
      </c>
      <c r="Q220" t="s">
        <v>54</v>
      </c>
      <c r="R220" t="s">
        <v>54</v>
      </c>
      <c r="S220" t="s">
        <v>54</v>
      </c>
      <c r="T220" t="s">
        <v>54</v>
      </c>
      <c r="U220" t="s">
        <v>54</v>
      </c>
      <c r="V220" t="s">
        <v>54</v>
      </c>
      <c r="W220" t="s">
        <v>54</v>
      </c>
      <c r="X220" s="23" t="s">
        <v>54</v>
      </c>
      <c r="Y220" s="23" t="s">
        <v>54</v>
      </c>
      <c r="Z220" s="23" t="s">
        <v>54</v>
      </c>
      <c r="AA220" s="23" t="s">
        <v>54</v>
      </c>
      <c r="AB220" t="s">
        <v>54</v>
      </c>
      <c r="AC220" t="s">
        <v>54</v>
      </c>
      <c r="AD220" t="s">
        <v>54</v>
      </c>
      <c r="AE220" t="s">
        <v>54</v>
      </c>
      <c r="AF220" s="23" t="s">
        <v>54</v>
      </c>
      <c r="AG220" s="23" t="s">
        <v>54</v>
      </c>
      <c r="AH220" s="23" t="s">
        <v>54</v>
      </c>
      <c r="AI220" s="23" t="s">
        <v>54</v>
      </c>
      <c r="AJ220">
        <v>0</v>
      </c>
      <c r="AK220">
        <v>0</v>
      </c>
      <c r="AL220">
        <v>0</v>
      </c>
      <c r="AM220">
        <v>0</v>
      </c>
      <c r="AN220" s="23" t="s">
        <v>54</v>
      </c>
      <c r="AO220" s="23" t="s">
        <v>54</v>
      </c>
      <c r="AP220" s="23" t="s">
        <v>54</v>
      </c>
      <c r="AQ220" s="23" t="s">
        <v>54</v>
      </c>
      <c r="AR220" s="35">
        <v>0</v>
      </c>
      <c r="AS220" s="35">
        <v>0</v>
      </c>
      <c r="AT220" s="35">
        <v>10</v>
      </c>
      <c r="AU220" s="31" t="str">
        <f t="shared" si="6"/>
        <v>库存为10</v>
      </c>
      <c r="AV220" s="36" t="str">
        <f>IFERROR($A$2+AU220,"上周无销量")</f>
        <v>上周无销量</v>
      </c>
    </row>
    <row r="221" spans="1:48">
      <c r="A221" s="21" t="s">
        <v>496</v>
      </c>
      <c r="B221" t="s">
        <v>497</v>
      </c>
      <c r="C221" t="s">
        <v>433</v>
      </c>
      <c r="D221" s="31">
        <v>0</v>
      </c>
      <c r="E221" s="31">
        <v>0</v>
      </c>
      <c r="F221" s="31">
        <v>0</v>
      </c>
      <c r="G221" s="31">
        <v>0</v>
      </c>
      <c r="H221" s="32">
        <v>0</v>
      </c>
      <c r="I221">
        <v>0</v>
      </c>
      <c r="J221" s="33">
        <v>10</v>
      </c>
      <c r="K221" s="33">
        <v>0</v>
      </c>
      <c r="L221" s="33">
        <v>0</v>
      </c>
      <c r="M221">
        <v>10</v>
      </c>
      <c r="N221">
        <v>0</v>
      </c>
      <c r="O221">
        <v>0</v>
      </c>
      <c r="P221" t="s">
        <v>54</v>
      </c>
      <c r="Q221" t="s">
        <v>54</v>
      </c>
      <c r="R221" t="s">
        <v>54</v>
      </c>
      <c r="S221" t="s">
        <v>54</v>
      </c>
      <c r="T221" t="s">
        <v>54</v>
      </c>
      <c r="U221" t="s">
        <v>54</v>
      </c>
      <c r="V221" t="s">
        <v>54</v>
      </c>
      <c r="W221" t="s">
        <v>54</v>
      </c>
      <c r="X221" s="23" t="s">
        <v>54</v>
      </c>
      <c r="Y221" s="23" t="s">
        <v>54</v>
      </c>
      <c r="Z221" s="23" t="s">
        <v>54</v>
      </c>
      <c r="AA221" s="23" t="s">
        <v>54</v>
      </c>
      <c r="AB221" t="s">
        <v>54</v>
      </c>
      <c r="AC221" t="s">
        <v>54</v>
      </c>
      <c r="AD221" t="s">
        <v>54</v>
      </c>
      <c r="AE221" t="s">
        <v>54</v>
      </c>
      <c r="AF221" s="23" t="s">
        <v>54</v>
      </c>
      <c r="AG221" s="23" t="s">
        <v>54</v>
      </c>
      <c r="AH221" s="23" t="s">
        <v>54</v>
      </c>
      <c r="AI221" s="23" t="s">
        <v>54</v>
      </c>
      <c r="AJ221">
        <v>0</v>
      </c>
      <c r="AK221">
        <v>0</v>
      </c>
      <c r="AL221">
        <v>0</v>
      </c>
      <c r="AM221">
        <v>0</v>
      </c>
      <c r="AN221" s="23" t="s">
        <v>54</v>
      </c>
      <c r="AO221" s="23" t="s">
        <v>54</v>
      </c>
      <c r="AP221" s="23" t="s">
        <v>54</v>
      </c>
      <c r="AQ221" s="23" t="s">
        <v>54</v>
      </c>
      <c r="AR221" s="35">
        <v>0</v>
      </c>
      <c r="AS221" s="35">
        <v>0</v>
      </c>
      <c r="AT221" s="35">
        <v>10</v>
      </c>
      <c r="AU221" s="31" t="str">
        <f t="shared" si="6"/>
        <v>库存为10</v>
      </c>
      <c r="AV221" s="36" t="str">
        <f>IFERROR($A$2+AU221,"上周无销量")</f>
        <v>上周无销量</v>
      </c>
    </row>
    <row r="222" spans="1:48">
      <c r="A222" s="21" t="s">
        <v>498</v>
      </c>
      <c r="B222" t="s">
        <v>499</v>
      </c>
      <c r="C222" t="s">
        <v>433</v>
      </c>
      <c r="D222" s="31">
        <v>0</v>
      </c>
      <c r="E222" s="31">
        <v>0</v>
      </c>
      <c r="F222" s="31">
        <v>0</v>
      </c>
      <c r="G222" s="31">
        <v>0</v>
      </c>
      <c r="H222" s="32">
        <v>0</v>
      </c>
      <c r="I222">
        <v>0</v>
      </c>
      <c r="J222" s="33">
        <v>10</v>
      </c>
      <c r="K222" s="33">
        <v>0</v>
      </c>
      <c r="L222" s="33">
        <v>0</v>
      </c>
      <c r="M222">
        <v>10</v>
      </c>
      <c r="N222">
        <v>0</v>
      </c>
      <c r="O222">
        <v>0</v>
      </c>
      <c r="P222" t="s">
        <v>54</v>
      </c>
      <c r="Q222" t="s">
        <v>54</v>
      </c>
      <c r="R222" t="s">
        <v>54</v>
      </c>
      <c r="S222" t="s">
        <v>54</v>
      </c>
      <c r="T222" t="s">
        <v>54</v>
      </c>
      <c r="U222" t="s">
        <v>54</v>
      </c>
      <c r="V222" t="s">
        <v>54</v>
      </c>
      <c r="W222" t="s">
        <v>54</v>
      </c>
      <c r="X222" s="23" t="s">
        <v>54</v>
      </c>
      <c r="Y222" s="23" t="s">
        <v>54</v>
      </c>
      <c r="Z222" s="23" t="s">
        <v>54</v>
      </c>
      <c r="AA222" s="23" t="s">
        <v>54</v>
      </c>
      <c r="AB222" t="s">
        <v>54</v>
      </c>
      <c r="AC222" t="s">
        <v>54</v>
      </c>
      <c r="AD222" t="s">
        <v>54</v>
      </c>
      <c r="AE222" t="s">
        <v>54</v>
      </c>
      <c r="AF222" s="23" t="s">
        <v>54</v>
      </c>
      <c r="AG222" s="23" t="s">
        <v>54</v>
      </c>
      <c r="AH222" s="23" t="s">
        <v>54</v>
      </c>
      <c r="AI222" s="23" t="s">
        <v>54</v>
      </c>
      <c r="AJ222">
        <v>0</v>
      </c>
      <c r="AK222">
        <v>0</v>
      </c>
      <c r="AL222">
        <v>0</v>
      </c>
      <c r="AM222">
        <v>0</v>
      </c>
      <c r="AN222" s="23" t="s">
        <v>54</v>
      </c>
      <c r="AO222" s="23" t="s">
        <v>54</v>
      </c>
      <c r="AP222" s="23" t="s">
        <v>54</v>
      </c>
      <c r="AQ222" s="23" t="s">
        <v>54</v>
      </c>
      <c r="AR222" s="35">
        <v>0</v>
      </c>
      <c r="AS222" s="35">
        <v>0</v>
      </c>
      <c r="AT222" s="35">
        <v>10</v>
      </c>
      <c r="AU222" s="31" t="str">
        <f t="shared" si="6"/>
        <v>库存为10</v>
      </c>
      <c r="AV222" s="36" t="str">
        <f>IFERROR($A$2+AU222,"上周无销量")</f>
        <v>上周无销量</v>
      </c>
    </row>
    <row r="223" spans="1:48">
      <c r="A223" s="21" t="s">
        <v>500</v>
      </c>
      <c r="B223" t="s">
        <v>501</v>
      </c>
      <c r="C223" t="s">
        <v>433</v>
      </c>
      <c r="D223" s="31">
        <v>0</v>
      </c>
      <c r="E223" s="31">
        <v>0</v>
      </c>
      <c r="F223" s="31">
        <v>0</v>
      </c>
      <c r="G223" s="31">
        <v>0</v>
      </c>
      <c r="H223" s="32">
        <v>0</v>
      </c>
      <c r="I223">
        <v>0</v>
      </c>
      <c r="J223" s="33">
        <v>20</v>
      </c>
      <c r="K223" s="33">
        <v>0</v>
      </c>
      <c r="L223" s="33">
        <v>0</v>
      </c>
      <c r="M223">
        <v>20</v>
      </c>
      <c r="N223">
        <v>0</v>
      </c>
      <c r="O223">
        <v>0</v>
      </c>
      <c r="P223" t="s">
        <v>54</v>
      </c>
      <c r="Q223" t="s">
        <v>54</v>
      </c>
      <c r="R223" t="s">
        <v>54</v>
      </c>
      <c r="S223" t="s">
        <v>54</v>
      </c>
      <c r="T223" t="s">
        <v>54</v>
      </c>
      <c r="U223" t="s">
        <v>54</v>
      </c>
      <c r="V223" t="s">
        <v>54</v>
      </c>
      <c r="W223" t="s">
        <v>54</v>
      </c>
      <c r="X223" s="23" t="s">
        <v>54</v>
      </c>
      <c r="Y223" s="23" t="s">
        <v>54</v>
      </c>
      <c r="Z223" s="23" t="s">
        <v>54</v>
      </c>
      <c r="AA223" s="23" t="s">
        <v>54</v>
      </c>
      <c r="AB223" t="s">
        <v>54</v>
      </c>
      <c r="AC223" t="s">
        <v>54</v>
      </c>
      <c r="AD223" t="s">
        <v>54</v>
      </c>
      <c r="AE223" t="s">
        <v>54</v>
      </c>
      <c r="AF223" s="23" t="s">
        <v>54</v>
      </c>
      <c r="AG223" s="23" t="s">
        <v>54</v>
      </c>
      <c r="AH223" s="23" t="s">
        <v>54</v>
      </c>
      <c r="AI223" s="23" t="s">
        <v>54</v>
      </c>
      <c r="AJ223">
        <v>0</v>
      </c>
      <c r="AK223">
        <v>0</v>
      </c>
      <c r="AL223">
        <v>0</v>
      </c>
      <c r="AM223">
        <v>0</v>
      </c>
      <c r="AN223" s="23" t="s">
        <v>54</v>
      </c>
      <c r="AO223" s="23" t="s">
        <v>54</v>
      </c>
      <c r="AP223" s="23" t="s">
        <v>54</v>
      </c>
      <c r="AQ223" s="23" t="s">
        <v>54</v>
      </c>
      <c r="AR223" s="35">
        <v>0</v>
      </c>
      <c r="AS223" s="35">
        <v>0</v>
      </c>
      <c r="AT223" s="35">
        <v>20</v>
      </c>
      <c r="AU223" s="31" t="str">
        <f t="shared" si="6"/>
        <v>库存为20</v>
      </c>
      <c r="AV223" s="36" t="str">
        <f>IFERROR($A$2+AU223,"上周无销量")</f>
        <v>上周无销量</v>
      </c>
    </row>
    <row r="224" spans="1:48">
      <c r="A224" s="21" t="s">
        <v>502</v>
      </c>
      <c r="B224" t="s">
        <v>503</v>
      </c>
      <c r="C224" t="s">
        <v>433</v>
      </c>
      <c r="D224" s="31">
        <v>0</v>
      </c>
      <c r="E224" s="31">
        <v>0</v>
      </c>
      <c r="F224" s="31">
        <v>0</v>
      </c>
      <c r="G224" s="31">
        <v>0</v>
      </c>
      <c r="H224" s="32">
        <v>0</v>
      </c>
      <c r="I224">
        <v>0</v>
      </c>
      <c r="J224" s="33">
        <v>10</v>
      </c>
      <c r="K224" s="33">
        <v>0</v>
      </c>
      <c r="L224" s="33">
        <v>0</v>
      </c>
      <c r="M224">
        <v>10</v>
      </c>
      <c r="N224">
        <v>0</v>
      </c>
      <c r="O224">
        <v>0</v>
      </c>
      <c r="P224" t="s">
        <v>54</v>
      </c>
      <c r="Q224" t="s">
        <v>54</v>
      </c>
      <c r="R224" t="s">
        <v>54</v>
      </c>
      <c r="S224" t="s">
        <v>54</v>
      </c>
      <c r="T224" t="s">
        <v>54</v>
      </c>
      <c r="U224" t="s">
        <v>54</v>
      </c>
      <c r="V224" t="s">
        <v>54</v>
      </c>
      <c r="W224" t="s">
        <v>54</v>
      </c>
      <c r="X224" s="23" t="s">
        <v>54</v>
      </c>
      <c r="Y224" s="23" t="s">
        <v>54</v>
      </c>
      <c r="Z224" s="23" t="s">
        <v>54</v>
      </c>
      <c r="AA224" s="23" t="s">
        <v>54</v>
      </c>
      <c r="AB224" t="s">
        <v>54</v>
      </c>
      <c r="AC224" t="s">
        <v>54</v>
      </c>
      <c r="AD224" t="s">
        <v>54</v>
      </c>
      <c r="AE224" t="s">
        <v>54</v>
      </c>
      <c r="AF224" s="23" t="s">
        <v>54</v>
      </c>
      <c r="AG224" s="23" t="s">
        <v>54</v>
      </c>
      <c r="AH224" s="23" t="s">
        <v>54</v>
      </c>
      <c r="AI224" s="23" t="s">
        <v>54</v>
      </c>
      <c r="AJ224">
        <v>0</v>
      </c>
      <c r="AK224">
        <v>0</v>
      </c>
      <c r="AL224">
        <v>0</v>
      </c>
      <c r="AM224">
        <v>0</v>
      </c>
      <c r="AN224" s="23" t="s">
        <v>54</v>
      </c>
      <c r="AO224" s="23" t="s">
        <v>54</v>
      </c>
      <c r="AP224" s="23" t="s">
        <v>54</v>
      </c>
      <c r="AQ224" s="23" t="s">
        <v>54</v>
      </c>
      <c r="AR224" s="35">
        <v>0</v>
      </c>
      <c r="AS224" s="35">
        <v>0</v>
      </c>
      <c r="AT224" s="35">
        <v>10</v>
      </c>
      <c r="AU224" s="31" t="str">
        <f t="shared" si="6"/>
        <v>库存为10</v>
      </c>
      <c r="AV224" s="36" t="str">
        <f>IFERROR($A$2+AU224,"上周无销量")</f>
        <v>上周无销量</v>
      </c>
    </row>
    <row r="225" spans="1:48">
      <c r="A225" s="21" t="s">
        <v>504</v>
      </c>
      <c r="B225" t="s">
        <v>505</v>
      </c>
      <c r="C225" t="s">
        <v>433</v>
      </c>
      <c r="D225" s="31">
        <v>0</v>
      </c>
      <c r="E225" s="31">
        <v>0</v>
      </c>
      <c r="F225" s="31">
        <v>0</v>
      </c>
      <c r="G225" s="31">
        <v>0</v>
      </c>
      <c r="H225" s="32">
        <v>0</v>
      </c>
      <c r="I225">
        <v>0</v>
      </c>
      <c r="J225" s="33">
        <v>10</v>
      </c>
      <c r="K225" s="33">
        <v>0</v>
      </c>
      <c r="L225" s="33">
        <v>0</v>
      </c>
      <c r="M225">
        <v>10</v>
      </c>
      <c r="N225">
        <v>0</v>
      </c>
      <c r="O225">
        <v>0</v>
      </c>
      <c r="P225" t="s">
        <v>54</v>
      </c>
      <c r="Q225" t="s">
        <v>54</v>
      </c>
      <c r="R225" t="s">
        <v>54</v>
      </c>
      <c r="S225" t="s">
        <v>54</v>
      </c>
      <c r="T225" t="s">
        <v>54</v>
      </c>
      <c r="U225" t="s">
        <v>54</v>
      </c>
      <c r="V225" t="s">
        <v>54</v>
      </c>
      <c r="W225" t="s">
        <v>54</v>
      </c>
      <c r="X225" s="23" t="s">
        <v>54</v>
      </c>
      <c r="Y225" s="23" t="s">
        <v>54</v>
      </c>
      <c r="Z225" s="23" t="s">
        <v>54</v>
      </c>
      <c r="AA225" s="23" t="s">
        <v>54</v>
      </c>
      <c r="AB225" t="s">
        <v>54</v>
      </c>
      <c r="AC225" t="s">
        <v>54</v>
      </c>
      <c r="AD225" t="s">
        <v>54</v>
      </c>
      <c r="AE225" t="s">
        <v>54</v>
      </c>
      <c r="AF225" s="23" t="s">
        <v>54</v>
      </c>
      <c r="AG225" s="23" t="s">
        <v>54</v>
      </c>
      <c r="AH225" s="23" t="s">
        <v>54</v>
      </c>
      <c r="AI225" s="23" t="s">
        <v>54</v>
      </c>
      <c r="AJ225">
        <v>0</v>
      </c>
      <c r="AK225">
        <v>0</v>
      </c>
      <c r="AL225">
        <v>0</v>
      </c>
      <c r="AM225">
        <v>0</v>
      </c>
      <c r="AN225" s="23" t="s">
        <v>54</v>
      </c>
      <c r="AO225" s="23" t="s">
        <v>54</v>
      </c>
      <c r="AP225" s="23" t="s">
        <v>54</v>
      </c>
      <c r="AQ225" s="23" t="s">
        <v>54</v>
      </c>
      <c r="AR225" s="35">
        <v>0</v>
      </c>
      <c r="AS225" s="35">
        <v>0</v>
      </c>
      <c r="AT225" s="35">
        <v>10</v>
      </c>
      <c r="AU225" s="31" t="str">
        <f t="shared" si="6"/>
        <v>库存为10</v>
      </c>
      <c r="AV225" s="36" t="str">
        <f>IFERROR($A$2+AU225,"上周无销量")</f>
        <v>上周无销量</v>
      </c>
    </row>
    <row r="226" spans="1:48">
      <c r="A226" s="21" t="s">
        <v>506</v>
      </c>
      <c r="B226" t="s">
        <v>507</v>
      </c>
      <c r="C226" t="s">
        <v>433</v>
      </c>
      <c r="D226" s="31">
        <v>0</v>
      </c>
      <c r="E226" s="31">
        <v>0</v>
      </c>
      <c r="F226" s="31">
        <v>0</v>
      </c>
      <c r="G226" s="31">
        <v>0</v>
      </c>
      <c r="H226" s="32">
        <v>0</v>
      </c>
      <c r="I226">
        <v>0</v>
      </c>
      <c r="J226" s="33">
        <v>10</v>
      </c>
      <c r="K226" s="33">
        <v>0</v>
      </c>
      <c r="L226" s="33">
        <v>0</v>
      </c>
      <c r="M226">
        <v>10</v>
      </c>
      <c r="N226">
        <v>0</v>
      </c>
      <c r="O226">
        <v>0</v>
      </c>
      <c r="P226" t="s">
        <v>54</v>
      </c>
      <c r="Q226" t="s">
        <v>54</v>
      </c>
      <c r="R226" t="s">
        <v>54</v>
      </c>
      <c r="S226" t="s">
        <v>54</v>
      </c>
      <c r="T226" t="s">
        <v>54</v>
      </c>
      <c r="U226" t="s">
        <v>54</v>
      </c>
      <c r="V226" t="s">
        <v>54</v>
      </c>
      <c r="W226" t="s">
        <v>54</v>
      </c>
      <c r="X226" s="23" t="s">
        <v>54</v>
      </c>
      <c r="Y226" s="23" t="s">
        <v>54</v>
      </c>
      <c r="Z226" s="23" t="s">
        <v>54</v>
      </c>
      <c r="AA226" s="23" t="s">
        <v>54</v>
      </c>
      <c r="AB226" t="s">
        <v>54</v>
      </c>
      <c r="AC226" t="s">
        <v>54</v>
      </c>
      <c r="AD226" t="s">
        <v>54</v>
      </c>
      <c r="AE226" t="s">
        <v>54</v>
      </c>
      <c r="AF226" s="23" t="s">
        <v>54</v>
      </c>
      <c r="AG226" s="23" t="s">
        <v>54</v>
      </c>
      <c r="AH226" s="23" t="s">
        <v>54</v>
      </c>
      <c r="AI226" s="23" t="s">
        <v>54</v>
      </c>
      <c r="AJ226">
        <v>0</v>
      </c>
      <c r="AK226">
        <v>0</v>
      </c>
      <c r="AL226">
        <v>0</v>
      </c>
      <c r="AM226">
        <v>0</v>
      </c>
      <c r="AN226" s="23" t="s">
        <v>54</v>
      </c>
      <c r="AO226" s="23" t="s">
        <v>54</v>
      </c>
      <c r="AP226" s="23" t="s">
        <v>54</v>
      </c>
      <c r="AQ226" s="23" t="s">
        <v>54</v>
      </c>
      <c r="AR226" s="35">
        <v>0</v>
      </c>
      <c r="AS226" s="35">
        <v>0</v>
      </c>
      <c r="AT226" s="35">
        <v>10</v>
      </c>
      <c r="AU226" s="31" t="str">
        <f t="shared" si="6"/>
        <v>库存为10</v>
      </c>
      <c r="AV226" s="36" t="str">
        <f>IFERROR($A$2+AU226,"上周无销量")</f>
        <v>上周无销量</v>
      </c>
    </row>
    <row r="227" spans="1:48">
      <c r="A227" s="21" t="s">
        <v>508</v>
      </c>
      <c r="B227" t="s">
        <v>509</v>
      </c>
      <c r="C227" t="s">
        <v>433</v>
      </c>
      <c r="D227" s="31">
        <v>0</v>
      </c>
      <c r="E227" s="31">
        <v>0</v>
      </c>
      <c r="F227" s="31">
        <v>0</v>
      </c>
      <c r="G227" s="31">
        <v>0</v>
      </c>
      <c r="H227" s="32">
        <v>0</v>
      </c>
      <c r="I227">
        <v>0</v>
      </c>
      <c r="J227" s="33">
        <v>20</v>
      </c>
      <c r="K227" s="33">
        <v>0</v>
      </c>
      <c r="L227" s="33">
        <v>0</v>
      </c>
      <c r="M227">
        <v>20</v>
      </c>
      <c r="N227">
        <v>0</v>
      </c>
      <c r="O227">
        <v>0</v>
      </c>
      <c r="P227" t="s">
        <v>54</v>
      </c>
      <c r="Q227" t="s">
        <v>54</v>
      </c>
      <c r="R227" t="s">
        <v>54</v>
      </c>
      <c r="S227" t="s">
        <v>54</v>
      </c>
      <c r="T227" t="s">
        <v>54</v>
      </c>
      <c r="U227" t="s">
        <v>54</v>
      </c>
      <c r="V227" t="s">
        <v>54</v>
      </c>
      <c r="W227" t="s">
        <v>54</v>
      </c>
      <c r="X227" s="23" t="s">
        <v>54</v>
      </c>
      <c r="Y227" s="23" t="s">
        <v>54</v>
      </c>
      <c r="Z227" s="23" t="s">
        <v>54</v>
      </c>
      <c r="AA227" s="23" t="s">
        <v>54</v>
      </c>
      <c r="AB227" t="s">
        <v>54</v>
      </c>
      <c r="AC227" t="s">
        <v>54</v>
      </c>
      <c r="AD227" t="s">
        <v>54</v>
      </c>
      <c r="AE227" t="s">
        <v>54</v>
      </c>
      <c r="AF227" s="23" t="s">
        <v>54</v>
      </c>
      <c r="AG227" s="23" t="s">
        <v>54</v>
      </c>
      <c r="AH227" s="23" t="s">
        <v>54</v>
      </c>
      <c r="AI227" s="23" t="s">
        <v>54</v>
      </c>
      <c r="AJ227">
        <v>0</v>
      </c>
      <c r="AK227">
        <v>0</v>
      </c>
      <c r="AL227">
        <v>0</v>
      </c>
      <c r="AM227">
        <v>0</v>
      </c>
      <c r="AN227" s="23" t="s">
        <v>54</v>
      </c>
      <c r="AO227" s="23" t="s">
        <v>54</v>
      </c>
      <c r="AP227" s="23" t="s">
        <v>54</v>
      </c>
      <c r="AQ227" s="23" t="s">
        <v>54</v>
      </c>
      <c r="AR227" s="35">
        <v>0</v>
      </c>
      <c r="AS227" s="35">
        <v>0</v>
      </c>
      <c r="AT227" s="35">
        <v>20</v>
      </c>
      <c r="AU227" s="31" t="str">
        <f t="shared" si="6"/>
        <v>库存为20</v>
      </c>
      <c r="AV227" s="36" t="str">
        <f>IFERROR($A$2+AU227,"上周无销量")</f>
        <v>上周无销量</v>
      </c>
    </row>
    <row r="228" spans="1:48">
      <c r="A228" s="21" t="s">
        <v>510</v>
      </c>
      <c r="B228" t="s">
        <v>511</v>
      </c>
      <c r="C228" t="s">
        <v>433</v>
      </c>
      <c r="D228" s="31">
        <v>0</v>
      </c>
      <c r="E228" s="31">
        <v>0</v>
      </c>
      <c r="F228" s="31">
        <v>0</v>
      </c>
      <c r="G228" s="31">
        <v>0</v>
      </c>
      <c r="H228" s="32">
        <v>0</v>
      </c>
      <c r="I228">
        <v>0</v>
      </c>
      <c r="J228" s="33">
        <v>10</v>
      </c>
      <c r="K228" s="33">
        <v>0</v>
      </c>
      <c r="L228" s="33">
        <v>0</v>
      </c>
      <c r="M228">
        <v>10</v>
      </c>
      <c r="N228">
        <v>0</v>
      </c>
      <c r="O228">
        <v>0</v>
      </c>
      <c r="P228" t="s">
        <v>54</v>
      </c>
      <c r="Q228" t="s">
        <v>54</v>
      </c>
      <c r="R228" t="s">
        <v>54</v>
      </c>
      <c r="S228" t="s">
        <v>54</v>
      </c>
      <c r="T228" t="s">
        <v>54</v>
      </c>
      <c r="U228" t="s">
        <v>54</v>
      </c>
      <c r="V228" t="s">
        <v>54</v>
      </c>
      <c r="W228" t="s">
        <v>54</v>
      </c>
      <c r="X228" s="23" t="s">
        <v>54</v>
      </c>
      <c r="Y228" s="23" t="s">
        <v>54</v>
      </c>
      <c r="Z228" s="23" t="s">
        <v>54</v>
      </c>
      <c r="AA228" s="23" t="s">
        <v>54</v>
      </c>
      <c r="AB228" t="s">
        <v>54</v>
      </c>
      <c r="AC228" t="s">
        <v>54</v>
      </c>
      <c r="AD228" t="s">
        <v>54</v>
      </c>
      <c r="AE228" t="s">
        <v>54</v>
      </c>
      <c r="AF228" s="23" t="s">
        <v>54</v>
      </c>
      <c r="AG228" s="23" t="s">
        <v>54</v>
      </c>
      <c r="AH228" s="23" t="s">
        <v>54</v>
      </c>
      <c r="AI228" s="23" t="s">
        <v>54</v>
      </c>
      <c r="AJ228">
        <v>0</v>
      </c>
      <c r="AK228">
        <v>0</v>
      </c>
      <c r="AL228">
        <v>0</v>
      </c>
      <c r="AM228">
        <v>0</v>
      </c>
      <c r="AN228" s="23" t="s">
        <v>54</v>
      </c>
      <c r="AO228" s="23" t="s">
        <v>54</v>
      </c>
      <c r="AP228" s="23" t="s">
        <v>54</v>
      </c>
      <c r="AQ228" s="23" t="s">
        <v>54</v>
      </c>
      <c r="AR228" s="35">
        <v>0</v>
      </c>
      <c r="AS228" s="35">
        <v>0</v>
      </c>
      <c r="AT228" s="35">
        <v>10</v>
      </c>
      <c r="AU228" s="31" t="str">
        <f t="shared" si="6"/>
        <v>库存为10</v>
      </c>
      <c r="AV228" s="36" t="str">
        <f>IFERROR($A$2+AU228,"上周无销量")</f>
        <v>上周无销量</v>
      </c>
    </row>
    <row r="229" spans="1:48">
      <c r="A229" s="21" t="s">
        <v>512</v>
      </c>
      <c r="B229" t="s">
        <v>513</v>
      </c>
      <c r="C229" t="s">
        <v>514</v>
      </c>
      <c r="D229" s="31">
        <v>0</v>
      </c>
      <c r="E229" s="31">
        <v>0</v>
      </c>
      <c r="F229" s="31">
        <v>0</v>
      </c>
      <c r="G229" s="31">
        <v>0</v>
      </c>
      <c r="H229" s="32">
        <v>0</v>
      </c>
      <c r="I229">
        <v>23</v>
      </c>
      <c r="J229" s="33">
        <v>0</v>
      </c>
      <c r="K229" s="33">
        <v>0</v>
      </c>
      <c r="L229" s="33">
        <v>0</v>
      </c>
      <c r="M229">
        <v>23</v>
      </c>
      <c r="N229">
        <v>0</v>
      </c>
      <c r="O229">
        <v>0</v>
      </c>
      <c r="P229" t="s">
        <v>54</v>
      </c>
      <c r="Q229" t="s">
        <v>54</v>
      </c>
      <c r="R229" t="s">
        <v>54</v>
      </c>
      <c r="S229" t="s">
        <v>54</v>
      </c>
      <c r="T229" t="s">
        <v>54</v>
      </c>
      <c r="U229" t="s">
        <v>54</v>
      </c>
      <c r="V229" t="s">
        <v>54</v>
      </c>
      <c r="W229" t="s">
        <v>54</v>
      </c>
      <c r="X229" s="23" t="s">
        <v>54</v>
      </c>
      <c r="Y229" s="23" t="s">
        <v>54</v>
      </c>
      <c r="Z229" s="23" t="s">
        <v>54</v>
      </c>
      <c r="AA229" s="23" t="s">
        <v>54</v>
      </c>
      <c r="AB229" t="s">
        <v>54</v>
      </c>
      <c r="AC229" t="s">
        <v>54</v>
      </c>
      <c r="AD229" t="s">
        <v>54</v>
      </c>
      <c r="AE229" t="s">
        <v>54</v>
      </c>
      <c r="AF229" s="23" t="s">
        <v>54</v>
      </c>
      <c r="AG229" s="23" t="s">
        <v>54</v>
      </c>
      <c r="AH229" s="23" t="s">
        <v>54</v>
      </c>
      <c r="AI229" s="23" t="s">
        <v>54</v>
      </c>
      <c r="AJ229">
        <v>23</v>
      </c>
      <c r="AK229">
        <v>15</v>
      </c>
      <c r="AL229">
        <v>15</v>
      </c>
      <c r="AM229">
        <v>6</v>
      </c>
      <c r="AN229" s="23">
        <v>0</v>
      </c>
      <c r="AO229" s="23">
        <v>0</v>
      </c>
      <c r="AP229" s="23">
        <v>0</v>
      </c>
      <c r="AQ229" s="23">
        <v>0</v>
      </c>
      <c r="AR229" s="35">
        <v>0</v>
      </c>
      <c r="AS229" s="35">
        <v>0</v>
      </c>
      <c r="AT229" s="35">
        <v>23</v>
      </c>
      <c r="AU229" s="31" t="str">
        <f t="shared" si="6"/>
        <v>库存为23</v>
      </c>
      <c r="AV229" s="36" t="str">
        <f>IFERROR($A$2+AU229,"上周无销量")</f>
        <v>上周无销量</v>
      </c>
    </row>
    <row r="230" spans="1:48">
      <c r="A230" s="21" t="s">
        <v>515</v>
      </c>
      <c r="B230" t="s">
        <v>516</v>
      </c>
      <c r="C230" t="s">
        <v>514</v>
      </c>
      <c r="D230" s="31">
        <v>3</v>
      </c>
      <c r="E230" s="31">
        <v>0</v>
      </c>
      <c r="F230" s="31">
        <v>3</v>
      </c>
      <c r="G230" s="31">
        <v>2</v>
      </c>
      <c r="H230" s="32">
        <v>9.12125</v>
      </c>
      <c r="I230">
        <v>10</v>
      </c>
      <c r="J230" s="33">
        <v>0</v>
      </c>
      <c r="K230" s="33">
        <v>0</v>
      </c>
      <c r="L230" s="33">
        <v>0</v>
      </c>
      <c r="M230">
        <v>10</v>
      </c>
      <c r="N230">
        <v>0</v>
      </c>
      <c r="O230">
        <v>0</v>
      </c>
      <c r="P230">
        <v>3189</v>
      </c>
      <c r="Q230">
        <v>1697</v>
      </c>
      <c r="R230">
        <v>950</v>
      </c>
      <c r="S230">
        <v>0</v>
      </c>
      <c r="T230">
        <v>35</v>
      </c>
      <c r="U230">
        <v>15</v>
      </c>
      <c r="V230">
        <v>10</v>
      </c>
      <c r="W230">
        <v>0</v>
      </c>
      <c r="X230" s="23">
        <v>0.010975227343995</v>
      </c>
      <c r="Y230" s="23">
        <v>0.00883912787271656</v>
      </c>
      <c r="Z230" s="23">
        <v>0.0105263157894737</v>
      </c>
      <c r="AA230" s="23" t="s">
        <v>54</v>
      </c>
      <c r="AB230">
        <v>30.82</v>
      </c>
      <c r="AC230">
        <v>11.43</v>
      </c>
      <c r="AD230">
        <v>10.97</v>
      </c>
      <c r="AE230">
        <v>0</v>
      </c>
      <c r="AF230" s="23">
        <v>1.1263076150016</v>
      </c>
      <c r="AG230" s="23">
        <v>0</v>
      </c>
      <c r="AH230" s="23">
        <v>0.400895345118999</v>
      </c>
      <c r="AI230" s="23" t="s">
        <v>54</v>
      </c>
      <c r="AJ230">
        <v>14</v>
      </c>
      <c r="AK230">
        <v>23</v>
      </c>
      <c r="AL230">
        <v>15</v>
      </c>
      <c r="AM230">
        <v>20</v>
      </c>
      <c r="AN230" s="23">
        <v>0.214285714285714</v>
      </c>
      <c r="AO230" s="23">
        <v>0</v>
      </c>
      <c r="AP230" s="23">
        <v>0.2</v>
      </c>
      <c r="AQ230" s="23">
        <v>0.1</v>
      </c>
      <c r="AR230" s="35">
        <v>0.428571428571429</v>
      </c>
      <c r="AS230" s="35">
        <v>25.7142857142857</v>
      </c>
      <c r="AT230" s="35">
        <v>-15.7142857142857</v>
      </c>
      <c r="AU230" s="31">
        <f t="shared" si="6"/>
        <v>23</v>
      </c>
      <c r="AV230" s="36">
        <f>IFERROR($A$2+AU230,"上周无销量")</f>
        <v>43313</v>
      </c>
    </row>
    <row r="231" spans="1:48">
      <c r="A231" s="21" t="s">
        <v>517</v>
      </c>
      <c r="B231" t="s">
        <v>518</v>
      </c>
      <c r="C231" t="s">
        <v>514</v>
      </c>
      <c r="D231" s="31">
        <v>0</v>
      </c>
      <c r="E231" s="31">
        <v>2</v>
      </c>
      <c r="F231" s="31">
        <v>0</v>
      </c>
      <c r="G231" s="31">
        <v>0</v>
      </c>
      <c r="H231" s="32">
        <v>8</v>
      </c>
      <c r="I231">
        <v>10</v>
      </c>
      <c r="J231" s="33">
        <v>0</v>
      </c>
      <c r="K231" s="33">
        <v>0</v>
      </c>
      <c r="L231" s="33">
        <v>0</v>
      </c>
      <c r="M231">
        <v>10</v>
      </c>
      <c r="N231">
        <v>0</v>
      </c>
      <c r="O231">
        <v>0</v>
      </c>
      <c r="P231" t="s">
        <v>54</v>
      </c>
      <c r="Q231" t="s">
        <v>54</v>
      </c>
      <c r="R231" t="s">
        <v>54</v>
      </c>
      <c r="S231" t="s">
        <v>54</v>
      </c>
      <c r="T231" t="s">
        <v>54</v>
      </c>
      <c r="U231" t="s">
        <v>54</v>
      </c>
      <c r="V231" t="s">
        <v>54</v>
      </c>
      <c r="W231" t="s">
        <v>54</v>
      </c>
      <c r="X231" s="23" t="s">
        <v>54</v>
      </c>
      <c r="Y231" s="23" t="s">
        <v>54</v>
      </c>
      <c r="Z231" s="23" t="s">
        <v>54</v>
      </c>
      <c r="AA231" s="23" t="s">
        <v>54</v>
      </c>
      <c r="AB231" t="s">
        <v>54</v>
      </c>
      <c r="AC231" t="s">
        <v>54</v>
      </c>
      <c r="AD231" t="s">
        <v>54</v>
      </c>
      <c r="AE231" t="s">
        <v>54</v>
      </c>
      <c r="AF231" s="23" t="s">
        <v>54</v>
      </c>
      <c r="AG231" s="23" t="s">
        <v>54</v>
      </c>
      <c r="AH231" s="23" t="s">
        <v>54</v>
      </c>
      <c r="AI231" s="23" t="s">
        <v>54</v>
      </c>
      <c r="AJ231">
        <v>9</v>
      </c>
      <c r="AK231">
        <v>10</v>
      </c>
      <c r="AL231">
        <v>12</v>
      </c>
      <c r="AM231">
        <v>3</v>
      </c>
      <c r="AN231" s="23">
        <v>0</v>
      </c>
      <c r="AO231" s="23">
        <v>0.2</v>
      </c>
      <c r="AP231" s="23">
        <v>0</v>
      </c>
      <c r="AQ231" s="23">
        <v>0</v>
      </c>
      <c r="AR231" s="35">
        <v>0</v>
      </c>
      <c r="AS231" s="35">
        <v>0</v>
      </c>
      <c r="AT231" s="35">
        <v>10</v>
      </c>
      <c r="AU231" s="31" t="str">
        <f t="shared" si="6"/>
        <v>库存为10</v>
      </c>
      <c r="AV231" s="36" t="str">
        <f>IFERROR($A$2+AU231,"上周无销量")</f>
        <v>上周无销量</v>
      </c>
    </row>
    <row r="232" spans="1:48">
      <c r="A232" s="21" t="s">
        <v>519</v>
      </c>
      <c r="B232" t="s">
        <v>520</v>
      </c>
      <c r="C232" t="s">
        <v>514</v>
      </c>
      <c r="D232" s="31">
        <v>1</v>
      </c>
      <c r="E232" s="31">
        <v>0</v>
      </c>
      <c r="F232" s="31">
        <v>0</v>
      </c>
      <c r="G232" s="31">
        <v>0</v>
      </c>
      <c r="H232" s="32">
        <v>10.99</v>
      </c>
      <c r="I232">
        <v>7</v>
      </c>
      <c r="J232" s="33">
        <v>0</v>
      </c>
      <c r="K232" s="33">
        <v>0</v>
      </c>
      <c r="L232" s="33">
        <v>0</v>
      </c>
      <c r="M232">
        <v>7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169</v>
      </c>
      <c r="T232">
        <v>0</v>
      </c>
      <c r="U232">
        <v>0</v>
      </c>
      <c r="V232">
        <v>0</v>
      </c>
      <c r="W232">
        <v>2</v>
      </c>
      <c r="X232" s="23" t="s">
        <v>54</v>
      </c>
      <c r="Y232" s="23" t="s">
        <v>54</v>
      </c>
      <c r="Z232" s="23" t="s">
        <v>54</v>
      </c>
      <c r="AA232" s="23">
        <v>0.0118343195266272</v>
      </c>
      <c r="AB232">
        <v>0</v>
      </c>
      <c r="AC232">
        <v>0</v>
      </c>
      <c r="AD232">
        <v>0</v>
      </c>
      <c r="AE232">
        <v>0.69</v>
      </c>
      <c r="AF232" s="23" t="s">
        <v>54</v>
      </c>
      <c r="AG232" s="23" t="s">
        <v>54</v>
      </c>
      <c r="AH232" s="23" t="s">
        <v>54</v>
      </c>
      <c r="AI232" s="23">
        <v>0</v>
      </c>
      <c r="AJ232">
        <v>9</v>
      </c>
      <c r="AK232">
        <v>10</v>
      </c>
      <c r="AL232">
        <v>11</v>
      </c>
      <c r="AM232">
        <v>4</v>
      </c>
      <c r="AN232" s="23">
        <v>0.111111111111111</v>
      </c>
      <c r="AO232" s="23">
        <v>0</v>
      </c>
      <c r="AP232" s="23">
        <v>0</v>
      </c>
      <c r="AQ232" s="23">
        <v>0</v>
      </c>
      <c r="AR232" s="35">
        <v>0.142857142857143</v>
      </c>
      <c r="AS232" s="35">
        <v>8.57142857142857</v>
      </c>
      <c r="AT232" s="35">
        <v>-1.57142857142857</v>
      </c>
      <c r="AU232" s="31">
        <f t="shared" si="6"/>
        <v>49</v>
      </c>
      <c r="AV232" s="36">
        <f>IFERROR($A$2+AU232,"上周无销量")</f>
        <v>43339</v>
      </c>
    </row>
    <row r="233" spans="1:48">
      <c r="A233" s="21" t="s">
        <v>521</v>
      </c>
      <c r="B233" t="s">
        <v>522</v>
      </c>
      <c r="C233" t="s">
        <v>514</v>
      </c>
      <c r="D233" s="31">
        <v>0</v>
      </c>
      <c r="E233" s="31">
        <v>0</v>
      </c>
      <c r="F233" s="31">
        <v>0</v>
      </c>
      <c r="G233" s="31">
        <v>4</v>
      </c>
      <c r="H233" s="32">
        <v>9.5</v>
      </c>
      <c r="I233">
        <v>20</v>
      </c>
      <c r="J233" s="33">
        <v>0</v>
      </c>
      <c r="K233" s="33">
        <v>0</v>
      </c>
      <c r="L233" s="33">
        <v>0</v>
      </c>
      <c r="M233">
        <v>20</v>
      </c>
      <c r="N233">
        <v>0</v>
      </c>
      <c r="O233">
        <v>0</v>
      </c>
      <c r="P233" t="s">
        <v>54</v>
      </c>
      <c r="Q233" t="s">
        <v>54</v>
      </c>
      <c r="R233" t="s">
        <v>54</v>
      </c>
      <c r="S233" t="s">
        <v>54</v>
      </c>
      <c r="T233" t="s">
        <v>54</v>
      </c>
      <c r="U233" t="s">
        <v>54</v>
      </c>
      <c r="V233" t="s">
        <v>54</v>
      </c>
      <c r="W233" t="s">
        <v>54</v>
      </c>
      <c r="X233" s="23" t="s">
        <v>54</v>
      </c>
      <c r="Y233" s="23" t="s">
        <v>54</v>
      </c>
      <c r="Z233" s="23" t="s">
        <v>54</v>
      </c>
      <c r="AA233" s="23" t="s">
        <v>54</v>
      </c>
      <c r="AB233" t="s">
        <v>54</v>
      </c>
      <c r="AC233" t="s">
        <v>54</v>
      </c>
      <c r="AD233" t="s">
        <v>54</v>
      </c>
      <c r="AE233" t="s">
        <v>54</v>
      </c>
      <c r="AF233" s="23" t="s">
        <v>54</v>
      </c>
      <c r="AG233" s="23" t="s">
        <v>54</v>
      </c>
      <c r="AH233" s="23" t="s">
        <v>54</v>
      </c>
      <c r="AI233" s="23" t="s">
        <v>54</v>
      </c>
      <c r="AJ233">
        <v>10</v>
      </c>
      <c r="AK233">
        <v>12</v>
      </c>
      <c r="AL233">
        <v>0</v>
      </c>
      <c r="AM233">
        <v>3</v>
      </c>
      <c r="AN233" s="23">
        <v>0</v>
      </c>
      <c r="AO233" s="23">
        <v>0</v>
      </c>
      <c r="AP233" s="23" t="s">
        <v>54</v>
      </c>
      <c r="AQ233" s="23">
        <v>1.33333333333333</v>
      </c>
      <c r="AR233" s="35">
        <v>0</v>
      </c>
      <c r="AS233" s="35">
        <v>0</v>
      </c>
      <c r="AT233" s="35">
        <v>20</v>
      </c>
      <c r="AU233" s="31" t="str">
        <f t="shared" si="6"/>
        <v>库存为20</v>
      </c>
      <c r="AV233" s="36" t="str">
        <f>IFERROR($A$2+AU233,"上周无销量")</f>
        <v>上周无销量</v>
      </c>
    </row>
    <row r="234" spans="1:48">
      <c r="A234" s="21" t="s">
        <v>523</v>
      </c>
      <c r="B234" t="s">
        <v>524</v>
      </c>
      <c r="C234" t="s">
        <v>514</v>
      </c>
      <c r="D234" s="31">
        <v>0</v>
      </c>
      <c r="E234" s="31">
        <v>0</v>
      </c>
      <c r="F234" s="31">
        <v>1</v>
      </c>
      <c r="G234" s="31">
        <v>0</v>
      </c>
      <c r="H234" s="32">
        <v>10.99</v>
      </c>
      <c r="I234">
        <v>22</v>
      </c>
      <c r="J234" s="33">
        <v>0</v>
      </c>
      <c r="K234" s="33">
        <v>0</v>
      </c>
      <c r="L234" s="33">
        <v>0</v>
      </c>
      <c r="M234">
        <v>22</v>
      </c>
      <c r="N234">
        <v>0</v>
      </c>
      <c r="O234">
        <v>0</v>
      </c>
      <c r="P234" t="s">
        <v>54</v>
      </c>
      <c r="Q234" t="s">
        <v>54</v>
      </c>
      <c r="R234" t="s">
        <v>54</v>
      </c>
      <c r="S234" t="s">
        <v>54</v>
      </c>
      <c r="T234" t="s">
        <v>54</v>
      </c>
      <c r="U234" t="s">
        <v>54</v>
      </c>
      <c r="V234" t="s">
        <v>54</v>
      </c>
      <c r="W234" t="s">
        <v>54</v>
      </c>
      <c r="X234" s="23" t="s">
        <v>54</v>
      </c>
      <c r="Y234" s="23" t="s">
        <v>54</v>
      </c>
      <c r="Z234" s="23" t="s">
        <v>54</v>
      </c>
      <c r="AA234" s="23" t="s">
        <v>54</v>
      </c>
      <c r="AB234" t="s">
        <v>54</v>
      </c>
      <c r="AC234" t="s">
        <v>54</v>
      </c>
      <c r="AD234" t="s">
        <v>54</v>
      </c>
      <c r="AE234" t="s">
        <v>54</v>
      </c>
      <c r="AF234" s="23" t="s">
        <v>54</v>
      </c>
      <c r="AG234" s="23" t="s">
        <v>54</v>
      </c>
      <c r="AH234" s="23" t="s">
        <v>54</v>
      </c>
      <c r="AI234" s="23" t="s">
        <v>54</v>
      </c>
      <c r="AJ234">
        <v>9</v>
      </c>
      <c r="AK234">
        <v>17</v>
      </c>
      <c r="AL234">
        <v>16</v>
      </c>
      <c r="AM234">
        <v>3</v>
      </c>
      <c r="AN234" s="23">
        <v>0</v>
      </c>
      <c r="AO234" s="23">
        <v>0</v>
      </c>
      <c r="AP234" s="23">
        <v>0.0625</v>
      </c>
      <c r="AQ234" s="23">
        <v>0</v>
      </c>
      <c r="AR234" s="35">
        <v>0</v>
      </c>
      <c r="AS234" s="35">
        <v>0</v>
      </c>
      <c r="AT234" s="35">
        <v>22</v>
      </c>
      <c r="AU234" s="31" t="str">
        <f t="shared" si="6"/>
        <v>库存为22</v>
      </c>
      <c r="AV234" s="36" t="str">
        <f>IFERROR($A$2+AU234,"上周无销量")</f>
        <v>上周无销量</v>
      </c>
    </row>
    <row r="235" spans="1:48">
      <c r="A235" s="21" t="s">
        <v>525</v>
      </c>
      <c r="B235" t="s">
        <v>526</v>
      </c>
      <c r="C235" t="s">
        <v>525</v>
      </c>
      <c r="D235" s="31">
        <v>3</v>
      </c>
      <c r="E235" s="31">
        <v>2</v>
      </c>
      <c r="F235" s="31">
        <v>5</v>
      </c>
      <c r="G235" s="31">
        <v>3</v>
      </c>
      <c r="H235" s="32">
        <v>30.2207692307692</v>
      </c>
      <c r="I235">
        <v>0</v>
      </c>
      <c r="J235" s="33">
        <v>0</v>
      </c>
      <c r="K235" s="33">
        <v>0</v>
      </c>
      <c r="L235" s="33">
        <v>0</v>
      </c>
      <c r="M235">
        <v>0</v>
      </c>
      <c r="N235">
        <v>0</v>
      </c>
      <c r="O235">
        <v>0</v>
      </c>
      <c r="P235">
        <v>526</v>
      </c>
      <c r="Q235">
        <v>1409</v>
      </c>
      <c r="R235">
        <v>36597</v>
      </c>
      <c r="S235">
        <v>0</v>
      </c>
      <c r="T235">
        <v>2</v>
      </c>
      <c r="U235">
        <v>5</v>
      </c>
      <c r="V235">
        <v>27</v>
      </c>
      <c r="W235">
        <v>0</v>
      </c>
      <c r="X235" s="23">
        <v>0.00380228136882129</v>
      </c>
      <c r="Y235" s="23">
        <v>0.0035486160397445</v>
      </c>
      <c r="Z235" s="23">
        <v>0.000737765390605787</v>
      </c>
      <c r="AA235" s="23" t="s">
        <v>54</v>
      </c>
      <c r="AB235">
        <v>1.37</v>
      </c>
      <c r="AC235">
        <v>4.67</v>
      </c>
      <c r="AD235">
        <v>28.86</v>
      </c>
      <c r="AE235">
        <v>0</v>
      </c>
      <c r="AF235" s="23">
        <v>0.0151110206090225</v>
      </c>
      <c r="AG235" s="23">
        <v>0.0772647440629217</v>
      </c>
      <c r="AH235" s="23">
        <v>0.190994476544404</v>
      </c>
      <c r="AI235" s="23" t="s">
        <v>54</v>
      </c>
      <c r="AJ235">
        <v>21</v>
      </c>
      <c r="AK235">
        <v>33</v>
      </c>
      <c r="AL235">
        <v>40</v>
      </c>
      <c r="AM235">
        <v>3</v>
      </c>
      <c r="AN235" s="23">
        <v>0.142857142857143</v>
      </c>
      <c r="AO235" s="23">
        <v>0.0606060606060606</v>
      </c>
      <c r="AP235" s="23">
        <v>0.125</v>
      </c>
      <c r="AQ235" s="23">
        <v>1</v>
      </c>
      <c r="AR235" s="35">
        <v>0.428571428571429</v>
      </c>
      <c r="AS235" s="35">
        <v>25.7142857142857</v>
      </c>
      <c r="AT235" s="35">
        <v>-25.7142857142857</v>
      </c>
      <c r="AU235" s="31">
        <f t="shared" si="6"/>
        <v>0</v>
      </c>
      <c r="AV235" s="36">
        <f>IFERROR($A$2+AU235,"上周无销量")</f>
        <v>43290</v>
      </c>
    </row>
    <row r="236" spans="1:48">
      <c r="A236" s="21" t="s">
        <v>527</v>
      </c>
      <c r="B236" t="s">
        <v>528</v>
      </c>
      <c r="C236" t="s">
        <v>529</v>
      </c>
      <c r="D236" s="31">
        <v>0</v>
      </c>
      <c r="E236" s="31">
        <v>0</v>
      </c>
      <c r="F236" s="31">
        <v>0</v>
      </c>
      <c r="G236" s="31">
        <v>0</v>
      </c>
      <c r="H236" s="32">
        <v>0</v>
      </c>
      <c r="I236">
        <v>3</v>
      </c>
      <c r="J236" s="33">
        <v>0</v>
      </c>
      <c r="K236" s="33">
        <v>0</v>
      </c>
      <c r="L236" s="33">
        <v>0</v>
      </c>
      <c r="M236">
        <v>3</v>
      </c>
      <c r="N236">
        <v>0</v>
      </c>
      <c r="O236">
        <v>3</v>
      </c>
      <c r="P236" t="s">
        <v>54</v>
      </c>
      <c r="Q236" t="s">
        <v>54</v>
      </c>
      <c r="R236" t="s">
        <v>54</v>
      </c>
      <c r="S236" t="s">
        <v>54</v>
      </c>
      <c r="T236" t="s">
        <v>54</v>
      </c>
      <c r="U236" t="s">
        <v>54</v>
      </c>
      <c r="V236" t="s">
        <v>54</v>
      </c>
      <c r="W236" t="s">
        <v>54</v>
      </c>
      <c r="X236" s="23" t="s">
        <v>54</v>
      </c>
      <c r="Y236" s="23" t="s">
        <v>54</v>
      </c>
      <c r="Z236" s="23" t="s">
        <v>54</v>
      </c>
      <c r="AA236" s="23" t="s">
        <v>54</v>
      </c>
      <c r="AB236" t="s">
        <v>54</v>
      </c>
      <c r="AC236" t="s">
        <v>54</v>
      </c>
      <c r="AD236" t="s">
        <v>54</v>
      </c>
      <c r="AE236" t="s">
        <v>54</v>
      </c>
      <c r="AF236" s="23" t="s">
        <v>54</v>
      </c>
      <c r="AG236" s="23" t="s">
        <v>54</v>
      </c>
      <c r="AH236" s="23" t="s">
        <v>54</v>
      </c>
      <c r="AI236" s="23" t="s">
        <v>54</v>
      </c>
      <c r="AJ236">
        <v>1</v>
      </c>
      <c r="AK236">
        <v>1</v>
      </c>
      <c r="AL236">
        <v>0</v>
      </c>
      <c r="AM236">
        <v>3</v>
      </c>
      <c r="AN236" s="23">
        <v>0</v>
      </c>
      <c r="AO236" s="23">
        <v>0</v>
      </c>
      <c r="AP236" s="23" t="s">
        <v>54</v>
      </c>
      <c r="AQ236" s="23">
        <v>0</v>
      </c>
      <c r="AR236" s="35">
        <v>0</v>
      </c>
      <c r="AS236" s="35">
        <v>0</v>
      </c>
      <c r="AT236" s="35">
        <v>3</v>
      </c>
      <c r="AU236" s="31" t="str">
        <f t="shared" si="6"/>
        <v>库存为3</v>
      </c>
      <c r="AV236" s="36" t="str">
        <f>IFERROR($A$2+AU236,"上周无销量")</f>
        <v>上周无销量</v>
      </c>
    </row>
    <row r="237" spans="1:48">
      <c r="A237" s="21" t="s">
        <v>530</v>
      </c>
      <c r="B237" t="s">
        <v>531</v>
      </c>
      <c r="C237" t="s">
        <v>529</v>
      </c>
      <c r="D237" s="31">
        <v>0</v>
      </c>
      <c r="E237" s="31">
        <v>0</v>
      </c>
      <c r="F237" s="31">
        <v>0</v>
      </c>
      <c r="G237" s="31">
        <v>0</v>
      </c>
      <c r="H237" s="32">
        <v>0</v>
      </c>
      <c r="I237">
        <v>3</v>
      </c>
      <c r="J237" s="33">
        <v>0</v>
      </c>
      <c r="K237" s="33">
        <v>0</v>
      </c>
      <c r="L237" s="33">
        <v>0</v>
      </c>
      <c r="M237">
        <v>3</v>
      </c>
      <c r="N237">
        <v>0</v>
      </c>
      <c r="O237">
        <v>3</v>
      </c>
      <c r="P237" t="s">
        <v>54</v>
      </c>
      <c r="Q237" t="s">
        <v>54</v>
      </c>
      <c r="R237" t="s">
        <v>54</v>
      </c>
      <c r="S237" t="s">
        <v>54</v>
      </c>
      <c r="T237" t="s">
        <v>54</v>
      </c>
      <c r="U237" t="s">
        <v>54</v>
      </c>
      <c r="V237" t="s">
        <v>54</v>
      </c>
      <c r="W237" t="s">
        <v>54</v>
      </c>
      <c r="X237" s="23" t="s">
        <v>54</v>
      </c>
      <c r="Y237" s="23" t="s">
        <v>54</v>
      </c>
      <c r="Z237" s="23" t="s">
        <v>54</v>
      </c>
      <c r="AA237" s="23" t="s">
        <v>54</v>
      </c>
      <c r="AB237" t="s">
        <v>54</v>
      </c>
      <c r="AC237" t="s">
        <v>54</v>
      </c>
      <c r="AD237" t="s">
        <v>54</v>
      </c>
      <c r="AE237" t="s">
        <v>54</v>
      </c>
      <c r="AF237" s="23" t="s">
        <v>54</v>
      </c>
      <c r="AG237" s="23" t="s">
        <v>54</v>
      </c>
      <c r="AH237" s="23" t="s">
        <v>54</v>
      </c>
      <c r="AI237" s="23" t="s">
        <v>54</v>
      </c>
      <c r="AJ237">
        <v>1</v>
      </c>
      <c r="AK237">
        <v>3</v>
      </c>
      <c r="AL237">
        <v>1</v>
      </c>
      <c r="AM237">
        <v>2</v>
      </c>
      <c r="AN237" s="23">
        <v>0</v>
      </c>
      <c r="AO237" s="23">
        <v>0</v>
      </c>
      <c r="AP237" s="23">
        <v>0</v>
      </c>
      <c r="AQ237" s="23">
        <v>0</v>
      </c>
      <c r="AR237" s="35">
        <v>0</v>
      </c>
      <c r="AS237" s="35">
        <v>0</v>
      </c>
      <c r="AT237" s="35">
        <v>3</v>
      </c>
      <c r="AU237" s="31" t="str">
        <f t="shared" si="6"/>
        <v>库存为3</v>
      </c>
      <c r="AV237" s="36" t="str">
        <f>IFERROR($A$2+AU237,"上周无销量")</f>
        <v>上周无销量</v>
      </c>
    </row>
    <row r="238" spans="1:48">
      <c r="A238" s="21" t="s">
        <v>532</v>
      </c>
      <c r="B238" t="s">
        <v>533</v>
      </c>
      <c r="C238" t="s">
        <v>529</v>
      </c>
      <c r="D238" s="31">
        <v>0</v>
      </c>
      <c r="E238" s="31">
        <v>0</v>
      </c>
      <c r="F238" s="31">
        <v>0</v>
      </c>
      <c r="G238" s="31">
        <v>0</v>
      </c>
      <c r="H238" s="32">
        <v>0</v>
      </c>
      <c r="I238">
        <v>3</v>
      </c>
      <c r="J238" s="33">
        <v>0</v>
      </c>
      <c r="K238" s="33">
        <v>0</v>
      </c>
      <c r="L238" s="33">
        <v>0</v>
      </c>
      <c r="M238">
        <v>3</v>
      </c>
      <c r="N238">
        <v>0</v>
      </c>
      <c r="O238">
        <v>3</v>
      </c>
      <c r="P238" t="s">
        <v>54</v>
      </c>
      <c r="Q238" t="s">
        <v>54</v>
      </c>
      <c r="R238" t="s">
        <v>54</v>
      </c>
      <c r="S238" t="s">
        <v>54</v>
      </c>
      <c r="T238" t="s">
        <v>54</v>
      </c>
      <c r="U238" t="s">
        <v>54</v>
      </c>
      <c r="V238" t="s">
        <v>54</v>
      </c>
      <c r="W238" t="s">
        <v>54</v>
      </c>
      <c r="X238" s="23" t="s">
        <v>54</v>
      </c>
      <c r="Y238" s="23" t="s">
        <v>54</v>
      </c>
      <c r="Z238" s="23" t="s">
        <v>54</v>
      </c>
      <c r="AA238" s="23" t="s">
        <v>54</v>
      </c>
      <c r="AB238" t="s">
        <v>54</v>
      </c>
      <c r="AC238" t="s">
        <v>54</v>
      </c>
      <c r="AD238" t="s">
        <v>54</v>
      </c>
      <c r="AE238" t="s">
        <v>54</v>
      </c>
      <c r="AF238" s="23" t="s">
        <v>54</v>
      </c>
      <c r="AG238" s="23" t="s">
        <v>54</v>
      </c>
      <c r="AH238" s="23" t="s">
        <v>54</v>
      </c>
      <c r="AI238" s="23" t="s">
        <v>54</v>
      </c>
      <c r="AJ238">
        <v>1</v>
      </c>
      <c r="AK238">
        <v>0</v>
      </c>
      <c r="AL238">
        <v>2</v>
      </c>
      <c r="AM238">
        <v>1</v>
      </c>
      <c r="AN238" s="23">
        <v>0</v>
      </c>
      <c r="AO238" s="23" t="s">
        <v>54</v>
      </c>
      <c r="AP238" s="23">
        <v>0</v>
      </c>
      <c r="AQ238" s="23">
        <v>0</v>
      </c>
      <c r="AR238" s="35">
        <v>0</v>
      </c>
      <c r="AS238" s="35">
        <v>0</v>
      </c>
      <c r="AT238" s="35">
        <v>3</v>
      </c>
      <c r="AU238" s="31" t="str">
        <f t="shared" si="6"/>
        <v>库存为3</v>
      </c>
      <c r="AV238" s="36" t="str">
        <f>IFERROR($A$2+AU238,"上周无销量")</f>
        <v>上周无销量</v>
      </c>
    </row>
    <row r="239" spans="1:48">
      <c r="A239" s="21" t="s">
        <v>534</v>
      </c>
      <c r="B239" t="s">
        <v>535</v>
      </c>
      <c r="C239" t="s">
        <v>529</v>
      </c>
      <c r="D239" s="31">
        <v>0</v>
      </c>
      <c r="E239" s="31">
        <v>0</v>
      </c>
      <c r="F239" s="31">
        <v>0</v>
      </c>
      <c r="G239" s="31">
        <v>0</v>
      </c>
      <c r="H239" s="32">
        <v>0</v>
      </c>
      <c r="I239">
        <v>0</v>
      </c>
      <c r="J239" s="33">
        <v>0</v>
      </c>
      <c r="K239" s="33">
        <v>0</v>
      </c>
      <c r="L239" s="33">
        <v>0</v>
      </c>
      <c r="M239">
        <v>0</v>
      </c>
      <c r="N239">
        <v>0</v>
      </c>
      <c r="O239">
        <v>0</v>
      </c>
      <c r="P239" t="s">
        <v>54</v>
      </c>
      <c r="Q239" t="s">
        <v>54</v>
      </c>
      <c r="R239" t="s">
        <v>54</v>
      </c>
      <c r="S239" t="s">
        <v>54</v>
      </c>
      <c r="T239" t="s">
        <v>54</v>
      </c>
      <c r="U239" t="s">
        <v>54</v>
      </c>
      <c r="V239" t="s">
        <v>54</v>
      </c>
      <c r="W239" t="s">
        <v>54</v>
      </c>
      <c r="X239" s="23" t="s">
        <v>54</v>
      </c>
      <c r="Y239" s="23" t="s">
        <v>54</v>
      </c>
      <c r="Z239" s="23" t="s">
        <v>54</v>
      </c>
      <c r="AA239" s="23" t="s">
        <v>54</v>
      </c>
      <c r="AB239" t="s">
        <v>54</v>
      </c>
      <c r="AC239" t="s">
        <v>54</v>
      </c>
      <c r="AD239" t="s">
        <v>54</v>
      </c>
      <c r="AE239" t="s">
        <v>54</v>
      </c>
      <c r="AF239" s="23" t="s">
        <v>54</v>
      </c>
      <c r="AG239" s="23" t="s">
        <v>54</v>
      </c>
      <c r="AH239" s="23" t="s">
        <v>54</v>
      </c>
      <c r="AI239" s="23" t="s">
        <v>54</v>
      </c>
      <c r="AJ239">
        <v>0</v>
      </c>
      <c r="AK239">
        <v>0</v>
      </c>
      <c r="AL239">
        <v>0</v>
      </c>
      <c r="AM239">
        <v>0</v>
      </c>
      <c r="AN239" s="23" t="s">
        <v>54</v>
      </c>
      <c r="AO239" s="23" t="s">
        <v>54</v>
      </c>
      <c r="AP239" s="23" t="s">
        <v>54</v>
      </c>
      <c r="AQ239" s="23" t="s">
        <v>54</v>
      </c>
      <c r="AR239" s="35">
        <v>0</v>
      </c>
      <c r="AS239" s="35">
        <v>0</v>
      </c>
      <c r="AT239" s="35">
        <v>0</v>
      </c>
      <c r="AU239" s="31" t="str">
        <f t="shared" si="6"/>
        <v>库存为0</v>
      </c>
      <c r="AV239" s="36" t="str">
        <f>IFERROR($A$2+AU239,"上周无销量")</f>
        <v>上周无销量</v>
      </c>
    </row>
    <row r="240" spans="1:48">
      <c r="A240" s="21" t="s">
        <v>536</v>
      </c>
      <c r="B240" t="s">
        <v>537</v>
      </c>
      <c r="C240" t="s">
        <v>529</v>
      </c>
      <c r="D240" s="31">
        <v>0</v>
      </c>
      <c r="E240" s="31">
        <v>0</v>
      </c>
      <c r="F240" s="31">
        <v>0</v>
      </c>
      <c r="G240" s="31">
        <v>0</v>
      </c>
      <c r="H240" s="32">
        <v>0</v>
      </c>
      <c r="I240">
        <v>2</v>
      </c>
      <c r="J240" s="33">
        <v>0</v>
      </c>
      <c r="K240" s="33">
        <v>0</v>
      </c>
      <c r="L240" s="33">
        <v>0</v>
      </c>
      <c r="M240">
        <v>2</v>
      </c>
      <c r="N240">
        <v>0</v>
      </c>
      <c r="O240">
        <v>2</v>
      </c>
      <c r="P240" t="s">
        <v>54</v>
      </c>
      <c r="Q240" t="s">
        <v>54</v>
      </c>
      <c r="R240" t="s">
        <v>54</v>
      </c>
      <c r="S240" t="s">
        <v>54</v>
      </c>
      <c r="T240" t="s">
        <v>54</v>
      </c>
      <c r="U240" t="s">
        <v>54</v>
      </c>
      <c r="V240" t="s">
        <v>54</v>
      </c>
      <c r="W240" t="s">
        <v>54</v>
      </c>
      <c r="X240" s="23" t="s">
        <v>54</v>
      </c>
      <c r="Y240" s="23" t="s">
        <v>54</v>
      </c>
      <c r="Z240" s="23" t="s">
        <v>54</v>
      </c>
      <c r="AA240" s="23" t="s">
        <v>54</v>
      </c>
      <c r="AB240" t="s">
        <v>54</v>
      </c>
      <c r="AC240" t="s">
        <v>54</v>
      </c>
      <c r="AD240" t="s">
        <v>54</v>
      </c>
      <c r="AE240" t="s">
        <v>54</v>
      </c>
      <c r="AF240" s="23" t="s">
        <v>54</v>
      </c>
      <c r="AG240" s="23" t="s">
        <v>54</v>
      </c>
      <c r="AH240" s="23" t="s">
        <v>54</v>
      </c>
      <c r="AI240" s="23" t="s">
        <v>54</v>
      </c>
      <c r="AJ240">
        <v>0</v>
      </c>
      <c r="AK240">
        <v>1</v>
      </c>
      <c r="AL240">
        <v>0</v>
      </c>
      <c r="AM240">
        <v>0</v>
      </c>
      <c r="AN240" s="23" t="s">
        <v>54</v>
      </c>
      <c r="AO240" s="23">
        <v>0</v>
      </c>
      <c r="AP240" s="23" t="s">
        <v>54</v>
      </c>
      <c r="AQ240" s="23" t="s">
        <v>54</v>
      </c>
      <c r="AR240" s="35">
        <v>0</v>
      </c>
      <c r="AS240" s="35">
        <v>0</v>
      </c>
      <c r="AT240" s="35">
        <v>2</v>
      </c>
      <c r="AU240" s="31" t="str">
        <f t="shared" si="6"/>
        <v>库存为2</v>
      </c>
      <c r="AV240" s="36" t="str">
        <f>IFERROR($A$2+AU240,"上周无销量")</f>
        <v>上周无销量</v>
      </c>
    </row>
    <row r="241" spans="1:48">
      <c r="A241" s="21" t="s">
        <v>538</v>
      </c>
      <c r="B241" t="s">
        <v>539</v>
      </c>
      <c r="C241" t="s">
        <v>529</v>
      </c>
      <c r="D241" s="31">
        <v>0</v>
      </c>
      <c r="E241" s="31">
        <v>0</v>
      </c>
      <c r="F241" s="31">
        <v>0</v>
      </c>
      <c r="G241" s="31">
        <v>0</v>
      </c>
      <c r="H241" s="32">
        <v>0</v>
      </c>
      <c r="I241">
        <v>3</v>
      </c>
      <c r="J241" s="33">
        <v>0</v>
      </c>
      <c r="K241" s="33">
        <v>0</v>
      </c>
      <c r="L241" s="33">
        <v>0</v>
      </c>
      <c r="M241">
        <v>3</v>
      </c>
      <c r="N241">
        <v>0</v>
      </c>
      <c r="O241">
        <v>3</v>
      </c>
      <c r="P241" t="s">
        <v>54</v>
      </c>
      <c r="Q241" t="s">
        <v>54</v>
      </c>
      <c r="R241" t="s">
        <v>54</v>
      </c>
      <c r="S241" t="s">
        <v>54</v>
      </c>
      <c r="T241" t="s">
        <v>54</v>
      </c>
      <c r="U241" t="s">
        <v>54</v>
      </c>
      <c r="V241" t="s">
        <v>54</v>
      </c>
      <c r="W241" t="s">
        <v>54</v>
      </c>
      <c r="X241" s="23" t="s">
        <v>54</v>
      </c>
      <c r="Y241" s="23" t="s">
        <v>54</v>
      </c>
      <c r="Z241" s="23" t="s">
        <v>54</v>
      </c>
      <c r="AA241" s="23" t="s">
        <v>54</v>
      </c>
      <c r="AB241" t="s">
        <v>54</v>
      </c>
      <c r="AC241" t="s">
        <v>54</v>
      </c>
      <c r="AD241" t="s">
        <v>54</v>
      </c>
      <c r="AE241" t="s">
        <v>54</v>
      </c>
      <c r="AF241" s="23" t="s">
        <v>54</v>
      </c>
      <c r="AG241" s="23" t="s">
        <v>54</v>
      </c>
      <c r="AH241" s="23" t="s">
        <v>54</v>
      </c>
      <c r="AI241" s="23" t="s">
        <v>54</v>
      </c>
      <c r="AJ241">
        <v>1</v>
      </c>
      <c r="AK241">
        <v>3</v>
      </c>
      <c r="AL241">
        <v>2</v>
      </c>
      <c r="AM241">
        <v>3</v>
      </c>
      <c r="AN241" s="23">
        <v>0</v>
      </c>
      <c r="AO241" s="23">
        <v>0</v>
      </c>
      <c r="AP241" s="23">
        <v>0</v>
      </c>
      <c r="AQ241" s="23">
        <v>0</v>
      </c>
      <c r="AR241" s="35">
        <v>0</v>
      </c>
      <c r="AS241" s="35">
        <v>0</v>
      </c>
      <c r="AT241" s="35">
        <v>3</v>
      </c>
      <c r="AU241" s="31" t="str">
        <f t="shared" si="6"/>
        <v>库存为3</v>
      </c>
      <c r="AV241" s="36" t="str">
        <f>IFERROR($A$2+AU241,"上周无销量")</f>
        <v>上周无销量</v>
      </c>
    </row>
    <row r="242" spans="1:48">
      <c r="A242" s="21" t="s">
        <v>540</v>
      </c>
      <c r="B242" t="s">
        <v>541</v>
      </c>
      <c r="C242" t="s">
        <v>529</v>
      </c>
      <c r="D242" s="31">
        <v>0</v>
      </c>
      <c r="E242" s="31">
        <v>0</v>
      </c>
      <c r="F242" s="31">
        <v>0</v>
      </c>
      <c r="G242" s="31">
        <v>0</v>
      </c>
      <c r="H242" s="32">
        <v>0</v>
      </c>
      <c r="I242">
        <v>3</v>
      </c>
      <c r="J242" s="33">
        <v>0</v>
      </c>
      <c r="K242" s="33">
        <v>0</v>
      </c>
      <c r="L242" s="33">
        <v>0</v>
      </c>
      <c r="M242">
        <v>3</v>
      </c>
      <c r="N242">
        <v>0</v>
      </c>
      <c r="O242">
        <v>3</v>
      </c>
      <c r="P242" t="s">
        <v>54</v>
      </c>
      <c r="Q242" t="s">
        <v>54</v>
      </c>
      <c r="R242" t="s">
        <v>54</v>
      </c>
      <c r="S242" t="s">
        <v>54</v>
      </c>
      <c r="T242" t="s">
        <v>54</v>
      </c>
      <c r="U242" t="s">
        <v>54</v>
      </c>
      <c r="V242" t="s">
        <v>54</v>
      </c>
      <c r="W242" t="s">
        <v>54</v>
      </c>
      <c r="X242" s="23" t="s">
        <v>54</v>
      </c>
      <c r="Y242" s="23" t="s">
        <v>54</v>
      </c>
      <c r="Z242" s="23" t="s">
        <v>54</v>
      </c>
      <c r="AA242" s="23" t="s">
        <v>54</v>
      </c>
      <c r="AB242" t="s">
        <v>54</v>
      </c>
      <c r="AC242" t="s">
        <v>54</v>
      </c>
      <c r="AD242" t="s">
        <v>54</v>
      </c>
      <c r="AE242" t="s">
        <v>54</v>
      </c>
      <c r="AF242" s="23" t="s">
        <v>54</v>
      </c>
      <c r="AG242" s="23" t="s">
        <v>54</v>
      </c>
      <c r="AH242" s="23" t="s">
        <v>54</v>
      </c>
      <c r="AI242" s="23" t="s">
        <v>54</v>
      </c>
      <c r="AJ242">
        <v>1</v>
      </c>
      <c r="AK242">
        <v>2</v>
      </c>
      <c r="AL242">
        <v>2</v>
      </c>
      <c r="AM242">
        <v>2</v>
      </c>
      <c r="AN242" s="23">
        <v>0</v>
      </c>
      <c r="AO242" s="23">
        <v>0</v>
      </c>
      <c r="AP242" s="23">
        <v>0</v>
      </c>
      <c r="AQ242" s="23">
        <v>0</v>
      </c>
      <c r="AR242" s="35">
        <v>0</v>
      </c>
      <c r="AS242" s="35">
        <v>0</v>
      </c>
      <c r="AT242" s="35">
        <v>3</v>
      </c>
      <c r="AU242" s="31" t="str">
        <f t="shared" si="6"/>
        <v>库存为3</v>
      </c>
      <c r="AV242" s="36" t="str">
        <f>IFERROR($A$2+AU242,"上周无销量")</f>
        <v>上周无销量</v>
      </c>
    </row>
    <row r="243" spans="1:48">
      <c r="A243" s="21" t="s">
        <v>542</v>
      </c>
      <c r="B243" t="s">
        <v>543</v>
      </c>
      <c r="C243" t="s">
        <v>529</v>
      </c>
      <c r="D243" s="31">
        <v>0</v>
      </c>
      <c r="E243" s="31">
        <v>0</v>
      </c>
      <c r="F243" s="31">
        <v>0</v>
      </c>
      <c r="G243" s="31">
        <v>0</v>
      </c>
      <c r="H243" s="32">
        <v>0</v>
      </c>
      <c r="I243">
        <v>0</v>
      </c>
      <c r="J243" s="33">
        <v>0</v>
      </c>
      <c r="K243" s="33">
        <v>0</v>
      </c>
      <c r="L243" s="33">
        <v>0</v>
      </c>
      <c r="M243">
        <v>0</v>
      </c>
      <c r="N243">
        <v>0</v>
      </c>
      <c r="O243">
        <v>0</v>
      </c>
      <c r="P243" t="s">
        <v>54</v>
      </c>
      <c r="Q243" t="s">
        <v>54</v>
      </c>
      <c r="R243" t="s">
        <v>54</v>
      </c>
      <c r="S243" t="s">
        <v>54</v>
      </c>
      <c r="T243" t="s">
        <v>54</v>
      </c>
      <c r="U243" t="s">
        <v>54</v>
      </c>
      <c r="V243" t="s">
        <v>54</v>
      </c>
      <c r="W243" t="s">
        <v>54</v>
      </c>
      <c r="X243" s="23" t="s">
        <v>54</v>
      </c>
      <c r="Y243" s="23" t="s">
        <v>54</v>
      </c>
      <c r="Z243" s="23" t="s">
        <v>54</v>
      </c>
      <c r="AA243" s="23" t="s">
        <v>54</v>
      </c>
      <c r="AB243" t="s">
        <v>54</v>
      </c>
      <c r="AC243" t="s">
        <v>54</v>
      </c>
      <c r="AD243" t="s">
        <v>54</v>
      </c>
      <c r="AE243" t="s">
        <v>54</v>
      </c>
      <c r="AF243" s="23" t="s">
        <v>54</v>
      </c>
      <c r="AG243" s="23" t="s">
        <v>54</v>
      </c>
      <c r="AH243" s="23" t="s">
        <v>54</v>
      </c>
      <c r="AI243" s="23" t="s">
        <v>54</v>
      </c>
      <c r="AJ243">
        <v>0</v>
      </c>
      <c r="AK243">
        <v>0</v>
      </c>
      <c r="AL243">
        <v>0</v>
      </c>
      <c r="AM243">
        <v>0</v>
      </c>
      <c r="AN243" s="23" t="s">
        <v>54</v>
      </c>
      <c r="AO243" s="23" t="s">
        <v>54</v>
      </c>
      <c r="AP243" s="23" t="s">
        <v>54</v>
      </c>
      <c r="AQ243" s="23" t="s">
        <v>54</v>
      </c>
      <c r="AR243" s="35">
        <v>0</v>
      </c>
      <c r="AS243" s="35">
        <v>0</v>
      </c>
      <c r="AT243" s="35">
        <v>0</v>
      </c>
      <c r="AU243" s="31" t="str">
        <f t="shared" si="6"/>
        <v>库存为0</v>
      </c>
      <c r="AV243" s="36" t="str">
        <f>IFERROR($A$2+AU243,"上周无销量")</f>
        <v>上周无销量</v>
      </c>
    </row>
    <row r="244" spans="1:48">
      <c r="A244" s="21" t="s">
        <v>544</v>
      </c>
      <c r="B244" t="s">
        <v>545</v>
      </c>
      <c r="C244" t="s">
        <v>529</v>
      </c>
      <c r="D244" s="31">
        <v>0</v>
      </c>
      <c r="E244" s="31">
        <v>0</v>
      </c>
      <c r="F244" s="31">
        <v>0</v>
      </c>
      <c r="G244" s="31">
        <v>0</v>
      </c>
      <c r="H244" s="32">
        <v>0</v>
      </c>
      <c r="I244">
        <v>1</v>
      </c>
      <c r="J244" s="33">
        <v>0</v>
      </c>
      <c r="K244" s="33">
        <v>0</v>
      </c>
      <c r="L244" s="33">
        <v>0</v>
      </c>
      <c r="M244">
        <v>1</v>
      </c>
      <c r="N244">
        <v>0</v>
      </c>
      <c r="O244">
        <v>1</v>
      </c>
      <c r="P244" t="s">
        <v>54</v>
      </c>
      <c r="Q244" t="s">
        <v>54</v>
      </c>
      <c r="R244" t="s">
        <v>54</v>
      </c>
      <c r="S244" t="s">
        <v>54</v>
      </c>
      <c r="T244" t="s">
        <v>54</v>
      </c>
      <c r="U244" t="s">
        <v>54</v>
      </c>
      <c r="V244" t="s">
        <v>54</v>
      </c>
      <c r="W244" t="s">
        <v>54</v>
      </c>
      <c r="X244" s="23" t="s">
        <v>54</v>
      </c>
      <c r="Y244" s="23" t="s">
        <v>54</v>
      </c>
      <c r="Z244" s="23" t="s">
        <v>54</v>
      </c>
      <c r="AA244" s="23" t="s">
        <v>54</v>
      </c>
      <c r="AB244" t="s">
        <v>54</v>
      </c>
      <c r="AC244" t="s">
        <v>54</v>
      </c>
      <c r="AD244" t="s">
        <v>54</v>
      </c>
      <c r="AE244" t="s">
        <v>54</v>
      </c>
      <c r="AF244" s="23" t="s">
        <v>54</v>
      </c>
      <c r="AG244" s="23" t="s">
        <v>54</v>
      </c>
      <c r="AH244" s="23" t="s">
        <v>54</v>
      </c>
      <c r="AI244" s="23" t="s">
        <v>54</v>
      </c>
      <c r="AJ244">
        <v>0</v>
      </c>
      <c r="AK244">
        <v>0</v>
      </c>
      <c r="AL244">
        <v>1</v>
      </c>
      <c r="AM244">
        <v>0</v>
      </c>
      <c r="AN244" s="23" t="s">
        <v>54</v>
      </c>
      <c r="AO244" s="23" t="s">
        <v>54</v>
      </c>
      <c r="AP244" s="23">
        <v>0</v>
      </c>
      <c r="AQ244" s="23" t="s">
        <v>54</v>
      </c>
      <c r="AR244" s="35">
        <v>0</v>
      </c>
      <c r="AS244" s="35">
        <v>0</v>
      </c>
      <c r="AT244" s="35">
        <v>1</v>
      </c>
      <c r="AU244" s="31" t="str">
        <f t="shared" si="6"/>
        <v>库存为1</v>
      </c>
      <c r="AV244" s="36" t="str">
        <f>IFERROR($A$2+AU244,"上周无销量")</f>
        <v>上周无销量</v>
      </c>
    </row>
    <row r="245" spans="1:48">
      <c r="A245" s="21" t="s">
        <v>546</v>
      </c>
      <c r="B245" t="s">
        <v>547</v>
      </c>
      <c r="C245" t="s">
        <v>529</v>
      </c>
      <c r="D245" s="31">
        <v>0</v>
      </c>
      <c r="E245" s="31">
        <v>0</v>
      </c>
      <c r="F245" s="31">
        <v>0</v>
      </c>
      <c r="G245" s="31">
        <v>0</v>
      </c>
      <c r="H245" s="32">
        <v>0</v>
      </c>
      <c r="I245">
        <v>2</v>
      </c>
      <c r="J245" s="33">
        <v>0</v>
      </c>
      <c r="K245" s="33">
        <v>0</v>
      </c>
      <c r="L245" s="33">
        <v>0</v>
      </c>
      <c r="M245">
        <v>2</v>
      </c>
      <c r="N245">
        <v>0</v>
      </c>
      <c r="O245">
        <v>2</v>
      </c>
      <c r="P245" t="s">
        <v>54</v>
      </c>
      <c r="Q245" t="s">
        <v>54</v>
      </c>
      <c r="R245" t="s">
        <v>54</v>
      </c>
      <c r="S245" t="s">
        <v>54</v>
      </c>
      <c r="T245" t="s">
        <v>54</v>
      </c>
      <c r="U245" t="s">
        <v>54</v>
      </c>
      <c r="V245" t="s">
        <v>54</v>
      </c>
      <c r="W245" t="s">
        <v>54</v>
      </c>
      <c r="X245" s="23" t="s">
        <v>54</v>
      </c>
      <c r="Y245" s="23" t="s">
        <v>54</v>
      </c>
      <c r="Z245" s="23" t="s">
        <v>54</v>
      </c>
      <c r="AA245" s="23" t="s">
        <v>54</v>
      </c>
      <c r="AB245" t="s">
        <v>54</v>
      </c>
      <c r="AC245" t="s">
        <v>54</v>
      </c>
      <c r="AD245" t="s">
        <v>54</v>
      </c>
      <c r="AE245" t="s">
        <v>54</v>
      </c>
      <c r="AF245" s="23" t="s">
        <v>54</v>
      </c>
      <c r="AG245" s="23" t="s">
        <v>54</v>
      </c>
      <c r="AH245" s="23" t="s">
        <v>54</v>
      </c>
      <c r="AI245" s="23" t="s">
        <v>54</v>
      </c>
      <c r="AJ245">
        <v>1</v>
      </c>
      <c r="AK245">
        <v>0</v>
      </c>
      <c r="AL245">
        <v>0</v>
      </c>
      <c r="AM245">
        <v>2</v>
      </c>
      <c r="AN245" s="23">
        <v>0</v>
      </c>
      <c r="AO245" s="23" t="s">
        <v>54</v>
      </c>
      <c r="AP245" s="23" t="s">
        <v>54</v>
      </c>
      <c r="AQ245" s="23">
        <v>0</v>
      </c>
      <c r="AR245" s="35">
        <v>0</v>
      </c>
      <c r="AS245" s="35">
        <v>0</v>
      </c>
      <c r="AT245" s="35">
        <v>2</v>
      </c>
      <c r="AU245" s="31" t="str">
        <f t="shared" si="6"/>
        <v>库存为2</v>
      </c>
      <c r="AV245" s="36" t="str">
        <f>IFERROR($A$2+AU245,"上周无销量")</f>
        <v>上周无销量</v>
      </c>
    </row>
    <row r="246" spans="1:48">
      <c r="A246" s="21" t="s">
        <v>548</v>
      </c>
      <c r="B246" t="s">
        <v>549</v>
      </c>
      <c r="C246" t="s">
        <v>529</v>
      </c>
      <c r="D246" s="31">
        <v>0</v>
      </c>
      <c r="E246" s="31">
        <v>0</v>
      </c>
      <c r="F246" s="31">
        <v>0</v>
      </c>
      <c r="G246" s="31">
        <v>1</v>
      </c>
      <c r="H246" s="32">
        <v>12</v>
      </c>
      <c r="I246">
        <v>3</v>
      </c>
      <c r="J246" s="33">
        <v>0</v>
      </c>
      <c r="K246" s="33">
        <v>0</v>
      </c>
      <c r="L246" s="33">
        <v>0</v>
      </c>
      <c r="M246">
        <v>3</v>
      </c>
      <c r="N246">
        <v>0</v>
      </c>
      <c r="O246">
        <v>2</v>
      </c>
      <c r="P246" t="s">
        <v>54</v>
      </c>
      <c r="Q246" t="s">
        <v>54</v>
      </c>
      <c r="R246" t="s">
        <v>54</v>
      </c>
      <c r="S246" t="s">
        <v>54</v>
      </c>
      <c r="T246" t="s">
        <v>54</v>
      </c>
      <c r="U246" t="s">
        <v>54</v>
      </c>
      <c r="V246" t="s">
        <v>54</v>
      </c>
      <c r="W246" t="s">
        <v>54</v>
      </c>
      <c r="X246" s="23" t="s">
        <v>54</v>
      </c>
      <c r="Y246" s="23" t="s">
        <v>54</v>
      </c>
      <c r="Z246" s="23" t="s">
        <v>54</v>
      </c>
      <c r="AA246" s="23" t="s">
        <v>54</v>
      </c>
      <c r="AB246" t="s">
        <v>54</v>
      </c>
      <c r="AC246" t="s">
        <v>54</v>
      </c>
      <c r="AD246" t="s">
        <v>54</v>
      </c>
      <c r="AE246" t="s">
        <v>54</v>
      </c>
      <c r="AF246" s="23" t="s">
        <v>54</v>
      </c>
      <c r="AG246" s="23" t="s">
        <v>54</v>
      </c>
      <c r="AH246" s="23" t="s">
        <v>54</v>
      </c>
      <c r="AI246" s="23" t="s">
        <v>54</v>
      </c>
      <c r="AJ246">
        <v>0</v>
      </c>
      <c r="AK246">
        <v>0</v>
      </c>
      <c r="AL246">
        <v>3</v>
      </c>
      <c r="AM246">
        <v>3</v>
      </c>
      <c r="AN246" s="23" t="s">
        <v>54</v>
      </c>
      <c r="AO246" s="23" t="s">
        <v>54</v>
      </c>
      <c r="AP246" s="23">
        <v>0</v>
      </c>
      <c r="AQ246" s="23">
        <v>0.333333333333333</v>
      </c>
      <c r="AR246" s="35">
        <v>0</v>
      </c>
      <c r="AS246" s="35">
        <v>0</v>
      </c>
      <c r="AT246" s="35">
        <v>3</v>
      </c>
      <c r="AU246" s="31" t="str">
        <f t="shared" si="6"/>
        <v>库存为3</v>
      </c>
      <c r="AV246" s="36" t="str">
        <f>IFERROR($A$2+AU246,"上周无销量")</f>
        <v>上周无销量</v>
      </c>
    </row>
    <row r="247" spans="1:48">
      <c r="A247" s="21" t="s">
        <v>550</v>
      </c>
      <c r="B247" t="s">
        <v>551</v>
      </c>
      <c r="C247" t="s">
        <v>529</v>
      </c>
      <c r="D247" s="31">
        <v>0</v>
      </c>
      <c r="E247" s="31">
        <v>0</v>
      </c>
      <c r="F247" s="31">
        <v>0</v>
      </c>
      <c r="G247" s="31">
        <v>0</v>
      </c>
      <c r="H247" s="32">
        <v>0</v>
      </c>
      <c r="I247">
        <v>3</v>
      </c>
      <c r="J247" s="33">
        <v>0</v>
      </c>
      <c r="K247" s="33">
        <v>0</v>
      </c>
      <c r="L247" s="33">
        <v>0</v>
      </c>
      <c r="M247">
        <v>3</v>
      </c>
      <c r="N247">
        <v>0</v>
      </c>
      <c r="O247">
        <v>3</v>
      </c>
      <c r="P247" t="s">
        <v>54</v>
      </c>
      <c r="Q247" t="s">
        <v>54</v>
      </c>
      <c r="R247" t="s">
        <v>54</v>
      </c>
      <c r="S247" t="s">
        <v>54</v>
      </c>
      <c r="T247" t="s">
        <v>54</v>
      </c>
      <c r="U247" t="s">
        <v>54</v>
      </c>
      <c r="V247" t="s">
        <v>54</v>
      </c>
      <c r="W247" t="s">
        <v>54</v>
      </c>
      <c r="X247" s="23" t="s">
        <v>54</v>
      </c>
      <c r="Y247" s="23" t="s">
        <v>54</v>
      </c>
      <c r="Z247" s="23" t="s">
        <v>54</v>
      </c>
      <c r="AA247" s="23" t="s">
        <v>54</v>
      </c>
      <c r="AB247" t="s">
        <v>54</v>
      </c>
      <c r="AC247" t="s">
        <v>54</v>
      </c>
      <c r="AD247" t="s">
        <v>54</v>
      </c>
      <c r="AE247" t="s">
        <v>54</v>
      </c>
      <c r="AF247" s="23" t="s">
        <v>54</v>
      </c>
      <c r="AG247" s="23" t="s">
        <v>54</v>
      </c>
      <c r="AH247" s="23" t="s">
        <v>54</v>
      </c>
      <c r="AI247" s="23" t="s">
        <v>54</v>
      </c>
      <c r="AJ247">
        <v>1</v>
      </c>
      <c r="AK247">
        <v>1</v>
      </c>
      <c r="AL247">
        <v>0</v>
      </c>
      <c r="AM247">
        <v>0</v>
      </c>
      <c r="AN247" s="23">
        <v>0</v>
      </c>
      <c r="AO247" s="23">
        <v>0</v>
      </c>
      <c r="AP247" s="23" t="s">
        <v>54</v>
      </c>
      <c r="AQ247" s="23" t="s">
        <v>54</v>
      </c>
      <c r="AR247" s="35">
        <v>0</v>
      </c>
      <c r="AS247" s="35">
        <v>0</v>
      </c>
      <c r="AT247" s="35">
        <v>3</v>
      </c>
      <c r="AU247" s="31" t="str">
        <f t="shared" si="6"/>
        <v>库存为3</v>
      </c>
      <c r="AV247" s="36" t="str">
        <f>IFERROR($A$2+AU247,"上周无销量")</f>
        <v>上周无销量</v>
      </c>
    </row>
    <row r="248" spans="1:48">
      <c r="A248" s="21" t="s">
        <v>552</v>
      </c>
      <c r="B248" t="s">
        <v>553</v>
      </c>
      <c r="C248" t="s">
        <v>529</v>
      </c>
      <c r="D248" s="31">
        <v>0</v>
      </c>
      <c r="E248" s="31">
        <v>0</v>
      </c>
      <c r="F248" s="31">
        <v>0</v>
      </c>
      <c r="G248" s="31">
        <v>0</v>
      </c>
      <c r="H248" s="32">
        <v>0</v>
      </c>
      <c r="I248">
        <v>3</v>
      </c>
      <c r="J248" s="33">
        <v>0</v>
      </c>
      <c r="K248" s="33">
        <v>0</v>
      </c>
      <c r="L248" s="33">
        <v>0</v>
      </c>
      <c r="M248">
        <v>3</v>
      </c>
      <c r="N248">
        <v>0</v>
      </c>
      <c r="O248">
        <v>3</v>
      </c>
      <c r="P248" t="s">
        <v>54</v>
      </c>
      <c r="Q248" t="s">
        <v>54</v>
      </c>
      <c r="R248" t="s">
        <v>54</v>
      </c>
      <c r="S248" t="s">
        <v>54</v>
      </c>
      <c r="T248" t="s">
        <v>54</v>
      </c>
      <c r="U248" t="s">
        <v>54</v>
      </c>
      <c r="V248" t="s">
        <v>54</v>
      </c>
      <c r="W248" t="s">
        <v>54</v>
      </c>
      <c r="X248" s="23" t="s">
        <v>54</v>
      </c>
      <c r="Y248" s="23" t="s">
        <v>54</v>
      </c>
      <c r="Z248" s="23" t="s">
        <v>54</v>
      </c>
      <c r="AA248" s="23" t="s">
        <v>54</v>
      </c>
      <c r="AB248" t="s">
        <v>54</v>
      </c>
      <c r="AC248" t="s">
        <v>54</v>
      </c>
      <c r="AD248" t="s">
        <v>54</v>
      </c>
      <c r="AE248" t="s">
        <v>54</v>
      </c>
      <c r="AF248" s="23" t="s">
        <v>54</v>
      </c>
      <c r="AG248" s="23" t="s">
        <v>54</v>
      </c>
      <c r="AH248" s="23" t="s">
        <v>54</v>
      </c>
      <c r="AI248" s="23" t="s">
        <v>54</v>
      </c>
      <c r="AJ248">
        <v>1</v>
      </c>
      <c r="AK248">
        <v>3</v>
      </c>
      <c r="AL248">
        <v>1</v>
      </c>
      <c r="AM248">
        <v>1</v>
      </c>
      <c r="AN248" s="23">
        <v>0</v>
      </c>
      <c r="AO248" s="23">
        <v>0</v>
      </c>
      <c r="AP248" s="23">
        <v>0</v>
      </c>
      <c r="AQ248" s="23">
        <v>0</v>
      </c>
      <c r="AR248" s="35">
        <v>0</v>
      </c>
      <c r="AS248" s="35">
        <v>0</v>
      </c>
      <c r="AT248" s="35">
        <v>3</v>
      </c>
      <c r="AU248" s="31" t="str">
        <f t="shared" si="6"/>
        <v>库存为3</v>
      </c>
      <c r="AV248" s="36" t="str">
        <f>IFERROR($A$2+AU248,"上周无销量")</f>
        <v>上周无销量</v>
      </c>
    </row>
    <row r="249" spans="1:48">
      <c r="A249" s="21" t="s">
        <v>554</v>
      </c>
      <c r="B249" t="s">
        <v>555</v>
      </c>
      <c r="C249" t="s">
        <v>529</v>
      </c>
      <c r="D249" s="31">
        <v>0</v>
      </c>
      <c r="E249" s="31">
        <v>0</v>
      </c>
      <c r="F249" s="31">
        <v>0</v>
      </c>
      <c r="G249" s="31">
        <v>0</v>
      </c>
      <c r="H249" s="32">
        <v>0</v>
      </c>
      <c r="I249">
        <v>2</v>
      </c>
      <c r="J249" s="33">
        <v>0</v>
      </c>
      <c r="K249" s="33">
        <v>0</v>
      </c>
      <c r="L249" s="33">
        <v>0</v>
      </c>
      <c r="M249">
        <v>2</v>
      </c>
      <c r="N249">
        <v>0</v>
      </c>
      <c r="O249">
        <v>2</v>
      </c>
      <c r="P249" t="s">
        <v>54</v>
      </c>
      <c r="Q249" t="s">
        <v>54</v>
      </c>
      <c r="R249" t="s">
        <v>54</v>
      </c>
      <c r="S249" t="s">
        <v>54</v>
      </c>
      <c r="T249" t="s">
        <v>54</v>
      </c>
      <c r="U249" t="s">
        <v>54</v>
      </c>
      <c r="V249" t="s">
        <v>54</v>
      </c>
      <c r="W249" t="s">
        <v>54</v>
      </c>
      <c r="X249" s="23" t="s">
        <v>54</v>
      </c>
      <c r="Y249" s="23" t="s">
        <v>54</v>
      </c>
      <c r="Z249" s="23" t="s">
        <v>54</v>
      </c>
      <c r="AA249" s="23" t="s">
        <v>54</v>
      </c>
      <c r="AB249" t="s">
        <v>54</v>
      </c>
      <c r="AC249" t="s">
        <v>54</v>
      </c>
      <c r="AD249" t="s">
        <v>54</v>
      </c>
      <c r="AE249" t="s">
        <v>54</v>
      </c>
      <c r="AF249" s="23" t="s">
        <v>54</v>
      </c>
      <c r="AG249" s="23" t="s">
        <v>54</v>
      </c>
      <c r="AH249" s="23" t="s">
        <v>54</v>
      </c>
      <c r="AI249" s="23" t="s">
        <v>54</v>
      </c>
      <c r="AJ249">
        <v>1</v>
      </c>
      <c r="AK249">
        <v>3</v>
      </c>
      <c r="AL249">
        <v>0</v>
      </c>
      <c r="AM249">
        <v>1</v>
      </c>
      <c r="AN249" s="23">
        <v>0</v>
      </c>
      <c r="AO249" s="23">
        <v>0</v>
      </c>
      <c r="AP249" s="23" t="s">
        <v>54</v>
      </c>
      <c r="AQ249" s="23">
        <v>0</v>
      </c>
      <c r="AR249" s="35">
        <v>0</v>
      </c>
      <c r="AS249" s="35">
        <v>0</v>
      </c>
      <c r="AT249" s="35">
        <v>2</v>
      </c>
      <c r="AU249" s="31" t="str">
        <f t="shared" si="6"/>
        <v>库存为2</v>
      </c>
      <c r="AV249" s="36" t="str">
        <f>IFERROR($A$2+AU249,"上周无销量")</f>
        <v>上周无销量</v>
      </c>
    </row>
    <row r="250" spans="1:48">
      <c r="A250" s="21" t="s">
        <v>556</v>
      </c>
      <c r="B250" t="s">
        <v>557</v>
      </c>
      <c r="C250" t="s">
        <v>529</v>
      </c>
      <c r="D250" s="31">
        <v>0</v>
      </c>
      <c r="E250" s="31">
        <v>0</v>
      </c>
      <c r="F250" s="31">
        <v>0</v>
      </c>
      <c r="G250" s="31">
        <v>0</v>
      </c>
      <c r="H250" s="32">
        <v>0</v>
      </c>
      <c r="I250">
        <v>3</v>
      </c>
      <c r="J250" s="33">
        <v>0</v>
      </c>
      <c r="K250" s="33">
        <v>0</v>
      </c>
      <c r="L250" s="33">
        <v>0</v>
      </c>
      <c r="M250">
        <v>3</v>
      </c>
      <c r="N250">
        <v>0</v>
      </c>
      <c r="O250">
        <v>3</v>
      </c>
      <c r="P250" t="s">
        <v>54</v>
      </c>
      <c r="Q250" t="s">
        <v>54</v>
      </c>
      <c r="R250" t="s">
        <v>54</v>
      </c>
      <c r="S250" t="s">
        <v>54</v>
      </c>
      <c r="T250" t="s">
        <v>54</v>
      </c>
      <c r="U250" t="s">
        <v>54</v>
      </c>
      <c r="V250" t="s">
        <v>54</v>
      </c>
      <c r="W250" t="s">
        <v>54</v>
      </c>
      <c r="X250" s="23" t="s">
        <v>54</v>
      </c>
      <c r="Y250" s="23" t="s">
        <v>54</v>
      </c>
      <c r="Z250" s="23" t="s">
        <v>54</v>
      </c>
      <c r="AA250" s="23" t="s">
        <v>54</v>
      </c>
      <c r="AB250" t="s">
        <v>54</v>
      </c>
      <c r="AC250" t="s">
        <v>54</v>
      </c>
      <c r="AD250" t="s">
        <v>54</v>
      </c>
      <c r="AE250" t="s">
        <v>54</v>
      </c>
      <c r="AF250" s="23" t="s">
        <v>54</v>
      </c>
      <c r="AG250" s="23" t="s">
        <v>54</v>
      </c>
      <c r="AH250" s="23" t="s">
        <v>54</v>
      </c>
      <c r="AI250" s="23" t="s">
        <v>54</v>
      </c>
      <c r="AJ250">
        <v>1</v>
      </c>
      <c r="AK250">
        <v>3</v>
      </c>
      <c r="AL250">
        <v>0</v>
      </c>
      <c r="AM250">
        <v>1</v>
      </c>
      <c r="AN250" s="23">
        <v>0</v>
      </c>
      <c r="AO250" s="23">
        <v>0</v>
      </c>
      <c r="AP250" s="23" t="s">
        <v>54</v>
      </c>
      <c r="AQ250" s="23">
        <v>0</v>
      </c>
      <c r="AR250" s="35">
        <v>0</v>
      </c>
      <c r="AS250" s="35">
        <v>0</v>
      </c>
      <c r="AT250" s="35">
        <v>3</v>
      </c>
      <c r="AU250" s="31" t="str">
        <f t="shared" si="6"/>
        <v>库存为3</v>
      </c>
      <c r="AV250" s="36" t="str">
        <f>IFERROR($A$2+AU250,"上周无销量")</f>
        <v>上周无销量</v>
      </c>
    </row>
    <row r="251" spans="1:48">
      <c r="A251" s="21" t="s">
        <v>558</v>
      </c>
      <c r="B251" t="s">
        <v>559</v>
      </c>
      <c r="C251" t="s">
        <v>529</v>
      </c>
      <c r="D251" s="31">
        <v>0</v>
      </c>
      <c r="E251" s="31">
        <v>0</v>
      </c>
      <c r="F251" s="31">
        <v>1</v>
      </c>
      <c r="G251" s="31">
        <v>0</v>
      </c>
      <c r="H251" s="32">
        <v>12</v>
      </c>
      <c r="I251">
        <v>0</v>
      </c>
      <c r="J251" s="33">
        <v>0</v>
      </c>
      <c r="K251" s="33">
        <v>0</v>
      </c>
      <c r="L251" s="33">
        <v>0</v>
      </c>
      <c r="M251">
        <v>0</v>
      </c>
      <c r="N251">
        <v>0</v>
      </c>
      <c r="O251">
        <v>0</v>
      </c>
      <c r="P251" t="s">
        <v>54</v>
      </c>
      <c r="Q251" t="s">
        <v>54</v>
      </c>
      <c r="R251" t="s">
        <v>54</v>
      </c>
      <c r="S251" t="s">
        <v>54</v>
      </c>
      <c r="T251" t="s">
        <v>54</v>
      </c>
      <c r="U251" t="s">
        <v>54</v>
      </c>
      <c r="V251" t="s">
        <v>54</v>
      </c>
      <c r="W251" t="s">
        <v>54</v>
      </c>
      <c r="X251" s="23" t="s">
        <v>54</v>
      </c>
      <c r="Y251" s="23" t="s">
        <v>54</v>
      </c>
      <c r="Z251" s="23" t="s">
        <v>54</v>
      </c>
      <c r="AA251" s="23" t="s">
        <v>54</v>
      </c>
      <c r="AB251" t="s">
        <v>54</v>
      </c>
      <c r="AC251" t="s">
        <v>54</v>
      </c>
      <c r="AD251" t="s">
        <v>54</v>
      </c>
      <c r="AE251" t="s">
        <v>54</v>
      </c>
      <c r="AF251" s="23" t="s">
        <v>54</v>
      </c>
      <c r="AG251" s="23" t="s">
        <v>54</v>
      </c>
      <c r="AH251" s="23" t="s">
        <v>54</v>
      </c>
      <c r="AI251" s="23" t="s">
        <v>54</v>
      </c>
      <c r="AJ251">
        <v>0</v>
      </c>
      <c r="AK251">
        <v>0</v>
      </c>
      <c r="AL251">
        <v>4</v>
      </c>
      <c r="AM251">
        <v>2</v>
      </c>
      <c r="AN251" s="23" t="s">
        <v>54</v>
      </c>
      <c r="AO251" s="23" t="s">
        <v>54</v>
      </c>
      <c r="AP251" s="23">
        <v>0.25</v>
      </c>
      <c r="AQ251" s="23">
        <v>0</v>
      </c>
      <c r="AR251" s="35">
        <v>0</v>
      </c>
      <c r="AS251" s="35">
        <v>0</v>
      </c>
      <c r="AT251" s="35">
        <v>0</v>
      </c>
      <c r="AU251" s="31" t="str">
        <f t="shared" si="6"/>
        <v>库存为0</v>
      </c>
      <c r="AV251" s="36" t="str">
        <f>IFERROR($A$2+AU251,"上周无销量")</f>
        <v>上周无销量</v>
      </c>
    </row>
    <row r="252" spans="1:48">
      <c r="A252" s="21" t="s">
        <v>560</v>
      </c>
      <c r="B252" t="s">
        <v>561</v>
      </c>
      <c r="C252" t="s">
        <v>529</v>
      </c>
      <c r="D252" s="31">
        <v>1</v>
      </c>
      <c r="E252" s="31">
        <v>0</v>
      </c>
      <c r="F252" s="31">
        <v>0</v>
      </c>
      <c r="G252" s="31">
        <v>0</v>
      </c>
      <c r="H252" s="32">
        <v>12</v>
      </c>
      <c r="I252">
        <v>2</v>
      </c>
      <c r="J252" s="33">
        <v>0</v>
      </c>
      <c r="K252" s="33">
        <v>0</v>
      </c>
      <c r="L252" s="33">
        <v>0</v>
      </c>
      <c r="M252">
        <v>2</v>
      </c>
      <c r="N252">
        <v>0</v>
      </c>
      <c r="O252">
        <v>1</v>
      </c>
      <c r="P252" t="s">
        <v>54</v>
      </c>
      <c r="Q252" t="s">
        <v>54</v>
      </c>
      <c r="R252" t="s">
        <v>54</v>
      </c>
      <c r="S252" t="s">
        <v>54</v>
      </c>
      <c r="T252" t="s">
        <v>54</v>
      </c>
      <c r="U252" t="s">
        <v>54</v>
      </c>
      <c r="V252" t="s">
        <v>54</v>
      </c>
      <c r="W252" t="s">
        <v>54</v>
      </c>
      <c r="X252" s="23" t="s">
        <v>54</v>
      </c>
      <c r="Y252" s="23" t="s">
        <v>54</v>
      </c>
      <c r="Z252" s="23" t="s">
        <v>54</v>
      </c>
      <c r="AA252" s="23" t="s">
        <v>54</v>
      </c>
      <c r="AB252" t="s">
        <v>54</v>
      </c>
      <c r="AC252" t="s">
        <v>54</v>
      </c>
      <c r="AD252" t="s">
        <v>54</v>
      </c>
      <c r="AE252" t="s">
        <v>54</v>
      </c>
      <c r="AF252" s="23" t="s">
        <v>54</v>
      </c>
      <c r="AG252" s="23" t="s">
        <v>54</v>
      </c>
      <c r="AH252" s="23" t="s">
        <v>54</v>
      </c>
      <c r="AI252" s="23" t="s">
        <v>54</v>
      </c>
      <c r="AJ252">
        <v>6</v>
      </c>
      <c r="AK252">
        <v>4</v>
      </c>
      <c r="AL252">
        <v>4</v>
      </c>
      <c r="AM252">
        <v>1</v>
      </c>
      <c r="AN252" s="23">
        <v>0.166666666666667</v>
      </c>
      <c r="AO252" s="23">
        <v>0</v>
      </c>
      <c r="AP252" s="23">
        <v>0</v>
      </c>
      <c r="AQ252" s="23">
        <v>0</v>
      </c>
      <c r="AR252" s="35">
        <v>0.142857142857143</v>
      </c>
      <c r="AS252" s="35">
        <v>8.57142857142857</v>
      </c>
      <c r="AT252" s="35">
        <v>-6.57142857142857</v>
      </c>
      <c r="AU252" s="31">
        <f t="shared" si="6"/>
        <v>14</v>
      </c>
      <c r="AV252" s="36">
        <f>IFERROR($A$2+AU252,"上周无销量")</f>
        <v>43304</v>
      </c>
    </row>
    <row r="253" spans="1:48">
      <c r="A253" s="21" t="s">
        <v>562</v>
      </c>
      <c r="B253" t="s">
        <v>563</v>
      </c>
      <c r="C253" t="s">
        <v>529</v>
      </c>
      <c r="D253" s="31">
        <v>0</v>
      </c>
      <c r="E253" s="31">
        <v>0</v>
      </c>
      <c r="F253" s="31">
        <v>0</v>
      </c>
      <c r="G253" s="31">
        <v>0</v>
      </c>
      <c r="H253" s="32">
        <v>0</v>
      </c>
      <c r="I253">
        <v>2</v>
      </c>
      <c r="J253" s="33">
        <v>0</v>
      </c>
      <c r="K253" s="33">
        <v>0</v>
      </c>
      <c r="L253" s="33">
        <v>0</v>
      </c>
      <c r="M253">
        <v>2</v>
      </c>
      <c r="N253">
        <v>0</v>
      </c>
      <c r="O253">
        <v>2</v>
      </c>
      <c r="P253" t="s">
        <v>54</v>
      </c>
      <c r="Q253" t="s">
        <v>54</v>
      </c>
      <c r="R253" t="s">
        <v>54</v>
      </c>
      <c r="S253" t="s">
        <v>54</v>
      </c>
      <c r="T253" t="s">
        <v>54</v>
      </c>
      <c r="U253" t="s">
        <v>54</v>
      </c>
      <c r="V253" t="s">
        <v>54</v>
      </c>
      <c r="W253" t="s">
        <v>54</v>
      </c>
      <c r="X253" s="23" t="s">
        <v>54</v>
      </c>
      <c r="Y253" s="23" t="s">
        <v>54</v>
      </c>
      <c r="Z253" s="23" t="s">
        <v>54</v>
      </c>
      <c r="AA253" s="23" t="s">
        <v>54</v>
      </c>
      <c r="AB253" t="s">
        <v>54</v>
      </c>
      <c r="AC253" t="s">
        <v>54</v>
      </c>
      <c r="AD253" t="s">
        <v>54</v>
      </c>
      <c r="AE253" t="s">
        <v>54</v>
      </c>
      <c r="AF253" s="23" t="s">
        <v>54</v>
      </c>
      <c r="AG253" s="23" t="s">
        <v>54</v>
      </c>
      <c r="AH253" s="23" t="s">
        <v>54</v>
      </c>
      <c r="AI253" s="23" t="s">
        <v>54</v>
      </c>
      <c r="AJ253">
        <v>1</v>
      </c>
      <c r="AK253">
        <v>3</v>
      </c>
      <c r="AL253">
        <v>0</v>
      </c>
      <c r="AM253">
        <v>1</v>
      </c>
      <c r="AN253" s="23">
        <v>0</v>
      </c>
      <c r="AO253" s="23">
        <v>0</v>
      </c>
      <c r="AP253" s="23" t="s">
        <v>54</v>
      </c>
      <c r="AQ253" s="23">
        <v>0</v>
      </c>
      <c r="AR253" s="35">
        <v>0</v>
      </c>
      <c r="AS253" s="35">
        <v>0</v>
      </c>
      <c r="AT253" s="35">
        <v>2</v>
      </c>
      <c r="AU253" s="31" t="str">
        <f t="shared" si="6"/>
        <v>库存为2</v>
      </c>
      <c r="AV253" s="36" t="str">
        <f>IFERROR($A$2+AU253,"上周无销量")</f>
        <v>上周无销量</v>
      </c>
    </row>
    <row r="254" spans="1:48">
      <c r="A254" s="21" t="s">
        <v>564</v>
      </c>
      <c r="B254" t="s">
        <v>565</v>
      </c>
      <c r="C254" t="s">
        <v>529</v>
      </c>
      <c r="D254" s="31">
        <v>0</v>
      </c>
      <c r="E254" s="31">
        <v>1</v>
      </c>
      <c r="F254" s="31">
        <v>0</v>
      </c>
      <c r="G254" s="31">
        <v>0</v>
      </c>
      <c r="H254" s="32">
        <v>12</v>
      </c>
      <c r="I254">
        <v>2</v>
      </c>
      <c r="J254" s="33">
        <v>0</v>
      </c>
      <c r="K254" s="33">
        <v>0</v>
      </c>
      <c r="L254" s="33">
        <v>0</v>
      </c>
      <c r="M254">
        <v>2</v>
      </c>
      <c r="N254">
        <v>0</v>
      </c>
      <c r="O254">
        <v>2</v>
      </c>
      <c r="P254" t="s">
        <v>54</v>
      </c>
      <c r="Q254" t="s">
        <v>54</v>
      </c>
      <c r="R254" t="s">
        <v>54</v>
      </c>
      <c r="S254" t="s">
        <v>54</v>
      </c>
      <c r="T254" t="s">
        <v>54</v>
      </c>
      <c r="U254" t="s">
        <v>54</v>
      </c>
      <c r="V254" t="s">
        <v>54</v>
      </c>
      <c r="W254" t="s">
        <v>54</v>
      </c>
      <c r="X254" s="23" t="s">
        <v>54</v>
      </c>
      <c r="Y254" s="23" t="s">
        <v>54</v>
      </c>
      <c r="Z254" s="23" t="s">
        <v>54</v>
      </c>
      <c r="AA254" s="23" t="s">
        <v>54</v>
      </c>
      <c r="AB254" t="s">
        <v>54</v>
      </c>
      <c r="AC254" t="s">
        <v>54</v>
      </c>
      <c r="AD254" t="s">
        <v>54</v>
      </c>
      <c r="AE254" t="s">
        <v>54</v>
      </c>
      <c r="AF254" s="23" t="s">
        <v>54</v>
      </c>
      <c r="AG254" s="23" t="s">
        <v>54</v>
      </c>
      <c r="AH254" s="23" t="s">
        <v>54</v>
      </c>
      <c r="AI254" s="23" t="s">
        <v>54</v>
      </c>
      <c r="AJ254">
        <v>1</v>
      </c>
      <c r="AK254">
        <v>4</v>
      </c>
      <c r="AL254">
        <v>1</v>
      </c>
      <c r="AM254">
        <v>3</v>
      </c>
      <c r="AN254" s="23">
        <v>0</v>
      </c>
      <c r="AO254" s="23">
        <v>0.25</v>
      </c>
      <c r="AP254" s="23">
        <v>0</v>
      </c>
      <c r="AQ254" s="23">
        <v>0</v>
      </c>
      <c r="AR254" s="35">
        <v>0</v>
      </c>
      <c r="AS254" s="35">
        <v>0</v>
      </c>
      <c r="AT254" s="35">
        <v>2</v>
      </c>
      <c r="AU254" s="31" t="str">
        <f t="shared" si="6"/>
        <v>库存为2</v>
      </c>
      <c r="AV254" s="36" t="str">
        <f>IFERROR($A$2+AU254,"上周无销量")</f>
        <v>上周无销量</v>
      </c>
    </row>
    <row r="255" spans="1:48">
      <c r="A255" s="21" t="s">
        <v>566</v>
      </c>
      <c r="B255" t="s">
        <v>567</v>
      </c>
      <c r="C255" t="s">
        <v>529</v>
      </c>
      <c r="D255" s="31">
        <v>0</v>
      </c>
      <c r="E255" s="31">
        <v>1</v>
      </c>
      <c r="F255" s="31">
        <v>1</v>
      </c>
      <c r="G255" s="31">
        <v>0</v>
      </c>
      <c r="H255" s="32">
        <v>12</v>
      </c>
      <c r="I255">
        <v>0</v>
      </c>
      <c r="J255" s="33">
        <v>0</v>
      </c>
      <c r="K255" s="33">
        <v>0</v>
      </c>
      <c r="L255" s="33">
        <v>0</v>
      </c>
      <c r="M255">
        <v>0</v>
      </c>
      <c r="N255">
        <v>0</v>
      </c>
      <c r="O255">
        <v>0</v>
      </c>
      <c r="P255" t="s">
        <v>54</v>
      </c>
      <c r="Q255" t="s">
        <v>54</v>
      </c>
      <c r="R255" t="s">
        <v>54</v>
      </c>
      <c r="S255" t="s">
        <v>54</v>
      </c>
      <c r="T255" t="s">
        <v>54</v>
      </c>
      <c r="U255" t="s">
        <v>54</v>
      </c>
      <c r="V255" t="s">
        <v>54</v>
      </c>
      <c r="W255" t="s">
        <v>54</v>
      </c>
      <c r="X255" s="23" t="s">
        <v>54</v>
      </c>
      <c r="Y255" s="23" t="s">
        <v>54</v>
      </c>
      <c r="Z255" s="23" t="s">
        <v>54</v>
      </c>
      <c r="AA255" s="23" t="s">
        <v>54</v>
      </c>
      <c r="AB255" t="s">
        <v>54</v>
      </c>
      <c r="AC255" t="s">
        <v>54</v>
      </c>
      <c r="AD255" t="s">
        <v>54</v>
      </c>
      <c r="AE255" t="s">
        <v>54</v>
      </c>
      <c r="AF255" s="23" t="s">
        <v>54</v>
      </c>
      <c r="AG255" s="23" t="s">
        <v>54</v>
      </c>
      <c r="AH255" s="23" t="s">
        <v>54</v>
      </c>
      <c r="AI255" s="23" t="s">
        <v>54</v>
      </c>
      <c r="AJ255">
        <v>0</v>
      </c>
      <c r="AK255">
        <v>0</v>
      </c>
      <c r="AL255">
        <v>1</v>
      </c>
      <c r="AM255">
        <v>0</v>
      </c>
      <c r="AN255" s="23" t="s">
        <v>54</v>
      </c>
      <c r="AO255" s="23" t="s">
        <v>54</v>
      </c>
      <c r="AP255" s="23">
        <v>1</v>
      </c>
      <c r="AQ255" s="23" t="s">
        <v>54</v>
      </c>
      <c r="AR255" s="35">
        <v>0</v>
      </c>
      <c r="AS255" s="35">
        <v>0</v>
      </c>
      <c r="AT255" s="35">
        <v>0</v>
      </c>
      <c r="AU255" s="31" t="str">
        <f t="shared" si="6"/>
        <v>库存为0</v>
      </c>
      <c r="AV255" s="36" t="str">
        <f>IFERROR($A$2+AU255,"上周无销量")</f>
        <v>上周无销量</v>
      </c>
    </row>
    <row r="256" spans="1:48">
      <c r="A256" s="21" t="s">
        <v>568</v>
      </c>
      <c r="B256" t="s">
        <v>569</v>
      </c>
      <c r="C256" t="s">
        <v>529</v>
      </c>
      <c r="D256" s="31">
        <v>2</v>
      </c>
      <c r="E256" s="31">
        <v>0</v>
      </c>
      <c r="F256" s="31">
        <v>0</v>
      </c>
      <c r="G256" s="31">
        <v>0</v>
      </c>
      <c r="H256" s="32">
        <v>12</v>
      </c>
      <c r="I256">
        <v>1</v>
      </c>
      <c r="J256" s="33">
        <v>0</v>
      </c>
      <c r="K256" s="33">
        <v>0</v>
      </c>
      <c r="L256" s="33">
        <v>0</v>
      </c>
      <c r="M256">
        <v>1</v>
      </c>
      <c r="N256">
        <v>0</v>
      </c>
      <c r="O256">
        <v>0</v>
      </c>
      <c r="P256" t="s">
        <v>54</v>
      </c>
      <c r="Q256" t="s">
        <v>54</v>
      </c>
      <c r="R256" t="s">
        <v>54</v>
      </c>
      <c r="S256" t="s">
        <v>54</v>
      </c>
      <c r="T256" t="s">
        <v>54</v>
      </c>
      <c r="U256" t="s">
        <v>54</v>
      </c>
      <c r="V256" t="s">
        <v>54</v>
      </c>
      <c r="W256" t="s">
        <v>54</v>
      </c>
      <c r="X256" s="23" t="s">
        <v>54</v>
      </c>
      <c r="Y256" s="23" t="s">
        <v>54</v>
      </c>
      <c r="Z256" s="23" t="s">
        <v>54</v>
      </c>
      <c r="AA256" s="23" t="s">
        <v>54</v>
      </c>
      <c r="AB256" t="s">
        <v>54</v>
      </c>
      <c r="AC256" t="s">
        <v>54</v>
      </c>
      <c r="AD256" t="s">
        <v>54</v>
      </c>
      <c r="AE256" t="s">
        <v>54</v>
      </c>
      <c r="AF256" s="23" t="s">
        <v>54</v>
      </c>
      <c r="AG256" s="23" t="s">
        <v>54</v>
      </c>
      <c r="AH256" s="23" t="s">
        <v>54</v>
      </c>
      <c r="AI256" s="23" t="s">
        <v>54</v>
      </c>
      <c r="AJ256">
        <v>1</v>
      </c>
      <c r="AK256">
        <v>1</v>
      </c>
      <c r="AL256">
        <v>1</v>
      </c>
      <c r="AM256">
        <v>5</v>
      </c>
      <c r="AN256" s="23">
        <v>2</v>
      </c>
      <c r="AO256" s="23">
        <v>0</v>
      </c>
      <c r="AP256" s="23">
        <v>0</v>
      </c>
      <c r="AQ256" s="23">
        <v>0</v>
      </c>
      <c r="AR256" s="35">
        <v>0.285714285714286</v>
      </c>
      <c r="AS256" s="35">
        <v>17.1428571428571</v>
      </c>
      <c r="AT256" s="35">
        <v>-16.1428571428571</v>
      </c>
      <c r="AU256" s="31">
        <f t="shared" si="6"/>
        <v>3</v>
      </c>
      <c r="AV256" s="36">
        <f>IFERROR($A$2+AU256,"上周无销量")</f>
        <v>43293</v>
      </c>
    </row>
    <row r="257" spans="1:48">
      <c r="A257" s="21" t="s">
        <v>570</v>
      </c>
      <c r="B257" t="s">
        <v>571</v>
      </c>
      <c r="C257" t="s">
        <v>529</v>
      </c>
      <c r="D257" s="31">
        <v>0</v>
      </c>
      <c r="E257" s="31">
        <v>0</v>
      </c>
      <c r="F257" s="31">
        <v>0</v>
      </c>
      <c r="G257" s="31">
        <v>0</v>
      </c>
      <c r="H257" s="32">
        <v>0</v>
      </c>
      <c r="I257">
        <v>1</v>
      </c>
      <c r="J257" s="33">
        <v>0</v>
      </c>
      <c r="K257" s="33">
        <v>0</v>
      </c>
      <c r="L257" s="33">
        <v>0</v>
      </c>
      <c r="M257">
        <v>1</v>
      </c>
      <c r="N257">
        <v>0</v>
      </c>
      <c r="O257">
        <v>1</v>
      </c>
      <c r="P257" t="s">
        <v>54</v>
      </c>
      <c r="Q257" t="s">
        <v>54</v>
      </c>
      <c r="R257" t="s">
        <v>54</v>
      </c>
      <c r="S257" t="s">
        <v>54</v>
      </c>
      <c r="T257" t="s">
        <v>54</v>
      </c>
      <c r="U257" t="s">
        <v>54</v>
      </c>
      <c r="V257" t="s">
        <v>54</v>
      </c>
      <c r="W257" t="s">
        <v>54</v>
      </c>
      <c r="X257" s="23" t="s">
        <v>54</v>
      </c>
      <c r="Y257" s="23" t="s">
        <v>54</v>
      </c>
      <c r="Z257" s="23" t="s">
        <v>54</v>
      </c>
      <c r="AA257" s="23" t="s">
        <v>54</v>
      </c>
      <c r="AB257" t="s">
        <v>54</v>
      </c>
      <c r="AC257" t="s">
        <v>54</v>
      </c>
      <c r="AD257" t="s">
        <v>54</v>
      </c>
      <c r="AE257" t="s">
        <v>54</v>
      </c>
      <c r="AF257" s="23" t="s">
        <v>54</v>
      </c>
      <c r="AG257" s="23" t="s">
        <v>54</v>
      </c>
      <c r="AH257" s="23" t="s">
        <v>54</v>
      </c>
      <c r="AI257" s="23" t="s">
        <v>54</v>
      </c>
      <c r="AJ257">
        <v>3</v>
      </c>
      <c r="AK257">
        <v>5</v>
      </c>
      <c r="AL257">
        <v>4</v>
      </c>
      <c r="AM257">
        <v>1</v>
      </c>
      <c r="AN257" s="23">
        <v>0</v>
      </c>
      <c r="AO257" s="23">
        <v>0</v>
      </c>
      <c r="AP257" s="23">
        <v>0</v>
      </c>
      <c r="AQ257" s="23">
        <v>0</v>
      </c>
      <c r="AR257" s="35">
        <v>0</v>
      </c>
      <c r="AS257" s="35">
        <v>0</v>
      </c>
      <c r="AT257" s="35">
        <v>1</v>
      </c>
      <c r="AU257" s="31" t="str">
        <f t="shared" si="6"/>
        <v>库存为1</v>
      </c>
      <c r="AV257" s="36" t="str">
        <f>IFERROR($A$2+AU257,"上周无销量")</f>
        <v>上周无销量</v>
      </c>
    </row>
    <row r="258" spans="1:48">
      <c r="A258" s="21" t="s">
        <v>572</v>
      </c>
      <c r="B258" t="s">
        <v>573</v>
      </c>
      <c r="C258" t="s">
        <v>529</v>
      </c>
      <c r="D258" s="31">
        <v>0</v>
      </c>
      <c r="E258" s="31">
        <v>2</v>
      </c>
      <c r="F258" s="31">
        <v>0</v>
      </c>
      <c r="G258" s="31">
        <v>0</v>
      </c>
      <c r="H258" s="32">
        <v>12</v>
      </c>
      <c r="I258">
        <v>0</v>
      </c>
      <c r="J258" s="33">
        <v>0</v>
      </c>
      <c r="K258" s="33">
        <v>0</v>
      </c>
      <c r="L258" s="33">
        <v>0</v>
      </c>
      <c r="M258">
        <v>0</v>
      </c>
      <c r="N258">
        <v>0</v>
      </c>
      <c r="O258">
        <v>1</v>
      </c>
      <c r="P258" t="s">
        <v>54</v>
      </c>
      <c r="Q258" t="s">
        <v>54</v>
      </c>
      <c r="R258" t="s">
        <v>54</v>
      </c>
      <c r="S258" t="s">
        <v>54</v>
      </c>
      <c r="T258" t="s">
        <v>54</v>
      </c>
      <c r="U258" t="s">
        <v>54</v>
      </c>
      <c r="V258" t="s">
        <v>54</v>
      </c>
      <c r="W258" t="s">
        <v>54</v>
      </c>
      <c r="X258" s="23" t="s">
        <v>54</v>
      </c>
      <c r="Y258" s="23" t="s">
        <v>54</v>
      </c>
      <c r="Z258" s="23" t="s">
        <v>54</v>
      </c>
      <c r="AA258" s="23" t="s">
        <v>54</v>
      </c>
      <c r="AB258" t="s">
        <v>54</v>
      </c>
      <c r="AC258" t="s">
        <v>54</v>
      </c>
      <c r="AD258" t="s">
        <v>54</v>
      </c>
      <c r="AE258" t="s">
        <v>54</v>
      </c>
      <c r="AF258" s="23" t="s">
        <v>54</v>
      </c>
      <c r="AG258" s="23" t="s">
        <v>54</v>
      </c>
      <c r="AH258" s="23" t="s">
        <v>54</v>
      </c>
      <c r="AI258" s="23" t="s">
        <v>54</v>
      </c>
      <c r="AJ258">
        <v>1</v>
      </c>
      <c r="AK258">
        <v>6</v>
      </c>
      <c r="AL258">
        <v>0</v>
      </c>
      <c r="AM258">
        <v>0</v>
      </c>
      <c r="AN258" s="23">
        <v>0</v>
      </c>
      <c r="AO258" s="23">
        <v>0.333333333333333</v>
      </c>
      <c r="AP258" s="23" t="s">
        <v>54</v>
      </c>
      <c r="AQ258" s="23" t="s">
        <v>54</v>
      </c>
      <c r="AR258" s="35">
        <v>0</v>
      </c>
      <c r="AS258" s="35">
        <v>0</v>
      </c>
      <c r="AT258" s="35">
        <v>0</v>
      </c>
      <c r="AU258" s="31" t="str">
        <f t="shared" si="6"/>
        <v>库存为0</v>
      </c>
      <c r="AV258" s="36" t="str">
        <f>IFERROR($A$2+AU258,"上周无销量")</f>
        <v>上周无销量</v>
      </c>
    </row>
    <row r="259" spans="1:48">
      <c r="A259" s="21" t="s">
        <v>574</v>
      </c>
      <c r="B259" t="s">
        <v>575</v>
      </c>
      <c r="C259" t="s">
        <v>529</v>
      </c>
      <c r="D259" s="31">
        <v>0</v>
      </c>
      <c r="E259" s="31">
        <v>1</v>
      </c>
      <c r="F259" s="31">
        <v>0</v>
      </c>
      <c r="G259" s="31">
        <v>0</v>
      </c>
      <c r="H259" s="32">
        <v>12</v>
      </c>
      <c r="I259">
        <v>2</v>
      </c>
      <c r="J259" s="33">
        <v>0</v>
      </c>
      <c r="K259" s="33">
        <v>0</v>
      </c>
      <c r="L259" s="33">
        <v>0</v>
      </c>
      <c r="M259">
        <v>2</v>
      </c>
      <c r="N259">
        <v>0</v>
      </c>
      <c r="O259">
        <v>2</v>
      </c>
      <c r="P259" t="s">
        <v>54</v>
      </c>
      <c r="Q259" t="s">
        <v>54</v>
      </c>
      <c r="R259" t="s">
        <v>54</v>
      </c>
      <c r="S259" t="s">
        <v>54</v>
      </c>
      <c r="T259" t="s">
        <v>54</v>
      </c>
      <c r="U259" t="s">
        <v>54</v>
      </c>
      <c r="V259" t="s">
        <v>54</v>
      </c>
      <c r="W259" t="s">
        <v>54</v>
      </c>
      <c r="X259" s="23" t="s">
        <v>54</v>
      </c>
      <c r="Y259" s="23" t="s">
        <v>54</v>
      </c>
      <c r="Z259" s="23" t="s">
        <v>54</v>
      </c>
      <c r="AA259" s="23" t="s">
        <v>54</v>
      </c>
      <c r="AB259" t="s">
        <v>54</v>
      </c>
      <c r="AC259" t="s">
        <v>54</v>
      </c>
      <c r="AD259" t="s">
        <v>54</v>
      </c>
      <c r="AE259" t="s">
        <v>54</v>
      </c>
      <c r="AF259" s="23" t="s">
        <v>54</v>
      </c>
      <c r="AG259" s="23" t="s">
        <v>54</v>
      </c>
      <c r="AH259" s="23" t="s">
        <v>54</v>
      </c>
      <c r="AI259" s="23" t="s">
        <v>54</v>
      </c>
      <c r="AJ259">
        <v>1</v>
      </c>
      <c r="AK259">
        <v>2</v>
      </c>
      <c r="AL259">
        <v>1</v>
      </c>
      <c r="AM259">
        <v>0</v>
      </c>
      <c r="AN259" s="23">
        <v>0</v>
      </c>
      <c r="AO259" s="23">
        <v>0.5</v>
      </c>
      <c r="AP259" s="23">
        <v>0</v>
      </c>
      <c r="AQ259" s="23" t="s">
        <v>54</v>
      </c>
      <c r="AR259" s="35">
        <v>0</v>
      </c>
      <c r="AS259" s="35">
        <v>0</v>
      </c>
      <c r="AT259" s="35">
        <v>2</v>
      </c>
      <c r="AU259" s="31" t="str">
        <f t="shared" si="6"/>
        <v>库存为2</v>
      </c>
      <c r="AV259" s="36" t="str">
        <f>IFERROR($A$2+AU259,"上周无销量")</f>
        <v>上周无销量</v>
      </c>
    </row>
    <row r="260" spans="1:48">
      <c r="A260" s="21" t="s">
        <v>576</v>
      </c>
      <c r="B260" t="s">
        <v>577</v>
      </c>
      <c r="C260" t="s">
        <v>529</v>
      </c>
      <c r="D260" s="31">
        <v>0</v>
      </c>
      <c r="E260" s="31">
        <v>0</v>
      </c>
      <c r="F260" s="31">
        <v>0</v>
      </c>
      <c r="G260" s="31">
        <v>0</v>
      </c>
      <c r="H260" s="32">
        <v>0</v>
      </c>
      <c r="I260">
        <v>3</v>
      </c>
      <c r="J260" s="33">
        <v>0</v>
      </c>
      <c r="K260" s="33">
        <v>0</v>
      </c>
      <c r="L260" s="33">
        <v>0</v>
      </c>
      <c r="M260">
        <v>3</v>
      </c>
      <c r="N260">
        <v>0</v>
      </c>
      <c r="O260">
        <v>3</v>
      </c>
      <c r="P260" t="s">
        <v>54</v>
      </c>
      <c r="Q260" t="s">
        <v>54</v>
      </c>
      <c r="R260" t="s">
        <v>54</v>
      </c>
      <c r="S260" t="s">
        <v>54</v>
      </c>
      <c r="T260" t="s">
        <v>54</v>
      </c>
      <c r="U260" t="s">
        <v>54</v>
      </c>
      <c r="V260" t="s">
        <v>54</v>
      </c>
      <c r="W260" t="s">
        <v>54</v>
      </c>
      <c r="X260" s="23" t="s">
        <v>54</v>
      </c>
      <c r="Y260" s="23" t="s">
        <v>54</v>
      </c>
      <c r="Z260" s="23" t="s">
        <v>54</v>
      </c>
      <c r="AA260" s="23" t="s">
        <v>54</v>
      </c>
      <c r="AB260" t="s">
        <v>54</v>
      </c>
      <c r="AC260" t="s">
        <v>54</v>
      </c>
      <c r="AD260" t="s">
        <v>54</v>
      </c>
      <c r="AE260" t="s">
        <v>54</v>
      </c>
      <c r="AF260" s="23" t="s">
        <v>54</v>
      </c>
      <c r="AG260" s="23" t="s">
        <v>54</v>
      </c>
      <c r="AH260" s="23" t="s">
        <v>54</v>
      </c>
      <c r="AI260" s="23" t="s">
        <v>54</v>
      </c>
      <c r="AJ260">
        <v>1</v>
      </c>
      <c r="AK260">
        <v>1</v>
      </c>
      <c r="AL260">
        <v>0</v>
      </c>
      <c r="AM260">
        <v>1</v>
      </c>
      <c r="AN260" s="23">
        <v>0</v>
      </c>
      <c r="AO260" s="23">
        <v>0</v>
      </c>
      <c r="AP260" s="23" t="s">
        <v>54</v>
      </c>
      <c r="AQ260" s="23">
        <v>0</v>
      </c>
      <c r="AR260" s="35">
        <v>0</v>
      </c>
      <c r="AS260" s="35">
        <v>0</v>
      </c>
      <c r="AT260" s="35">
        <v>3</v>
      </c>
      <c r="AU260" s="31" t="str">
        <f t="shared" si="6"/>
        <v>库存为3</v>
      </c>
      <c r="AV260" s="36" t="str">
        <f>IFERROR($A$2+AU260,"上周无销量")</f>
        <v>上周无销量</v>
      </c>
    </row>
    <row r="261" spans="1:48">
      <c r="A261" s="21" t="s">
        <v>578</v>
      </c>
      <c r="B261" t="s">
        <v>579</v>
      </c>
      <c r="C261" t="s">
        <v>529</v>
      </c>
      <c r="D261" s="31">
        <v>0</v>
      </c>
      <c r="E261" s="31">
        <v>0</v>
      </c>
      <c r="F261" s="31">
        <v>0</v>
      </c>
      <c r="G261" s="31">
        <v>0</v>
      </c>
      <c r="H261" s="32">
        <v>0</v>
      </c>
      <c r="I261">
        <v>3</v>
      </c>
      <c r="J261" s="33">
        <v>0</v>
      </c>
      <c r="K261" s="33">
        <v>0</v>
      </c>
      <c r="L261" s="33">
        <v>0</v>
      </c>
      <c r="M261">
        <v>3</v>
      </c>
      <c r="N261">
        <v>0</v>
      </c>
      <c r="O261">
        <v>3</v>
      </c>
      <c r="P261" t="s">
        <v>54</v>
      </c>
      <c r="Q261" t="s">
        <v>54</v>
      </c>
      <c r="R261" t="s">
        <v>54</v>
      </c>
      <c r="S261" t="s">
        <v>54</v>
      </c>
      <c r="T261" t="s">
        <v>54</v>
      </c>
      <c r="U261" t="s">
        <v>54</v>
      </c>
      <c r="V261" t="s">
        <v>54</v>
      </c>
      <c r="W261" t="s">
        <v>54</v>
      </c>
      <c r="X261" s="23" t="s">
        <v>54</v>
      </c>
      <c r="Y261" s="23" t="s">
        <v>54</v>
      </c>
      <c r="Z261" s="23" t="s">
        <v>54</v>
      </c>
      <c r="AA261" s="23" t="s">
        <v>54</v>
      </c>
      <c r="AB261" t="s">
        <v>54</v>
      </c>
      <c r="AC261" t="s">
        <v>54</v>
      </c>
      <c r="AD261" t="s">
        <v>54</v>
      </c>
      <c r="AE261" t="s">
        <v>54</v>
      </c>
      <c r="AF261" s="23" t="s">
        <v>54</v>
      </c>
      <c r="AG261" s="23" t="s">
        <v>54</v>
      </c>
      <c r="AH261" s="23" t="s">
        <v>54</v>
      </c>
      <c r="AI261" s="23" t="s">
        <v>54</v>
      </c>
      <c r="AJ261">
        <v>1</v>
      </c>
      <c r="AK261">
        <v>0</v>
      </c>
      <c r="AL261">
        <v>3</v>
      </c>
      <c r="AM261">
        <v>1</v>
      </c>
      <c r="AN261" s="23">
        <v>0</v>
      </c>
      <c r="AO261" s="23" t="s">
        <v>54</v>
      </c>
      <c r="AP261" s="23">
        <v>0</v>
      </c>
      <c r="AQ261" s="23">
        <v>0</v>
      </c>
      <c r="AR261" s="35">
        <v>0</v>
      </c>
      <c r="AS261" s="35">
        <v>0</v>
      </c>
      <c r="AT261" s="35">
        <v>3</v>
      </c>
      <c r="AU261" s="31" t="str">
        <f t="shared" ref="AU261:AU324" si="7">IF(AR261="","库存为"&amp;M261,IF(AS261=0,"库存为"&amp;M261,INT(M261/AR261)))</f>
        <v>库存为3</v>
      </c>
      <c r="AV261" s="36" t="str">
        <f>IFERROR($A$2+AU261,"上周无销量")</f>
        <v>上周无销量</v>
      </c>
    </row>
    <row r="262" spans="1:48">
      <c r="A262" s="21" t="s">
        <v>580</v>
      </c>
      <c r="B262" t="s">
        <v>581</v>
      </c>
      <c r="C262" t="s">
        <v>529</v>
      </c>
      <c r="D262" s="31">
        <v>0</v>
      </c>
      <c r="E262" s="31">
        <v>0</v>
      </c>
      <c r="F262" s="31">
        <v>0</v>
      </c>
      <c r="G262" s="31">
        <v>0</v>
      </c>
      <c r="H262" s="32">
        <v>0</v>
      </c>
      <c r="I262">
        <v>3</v>
      </c>
      <c r="J262" s="33">
        <v>0</v>
      </c>
      <c r="K262" s="33">
        <v>0</v>
      </c>
      <c r="L262" s="33">
        <v>0</v>
      </c>
      <c r="M262">
        <v>3</v>
      </c>
      <c r="N262">
        <v>0</v>
      </c>
      <c r="O262">
        <v>3</v>
      </c>
      <c r="P262" t="s">
        <v>54</v>
      </c>
      <c r="Q262" t="s">
        <v>54</v>
      </c>
      <c r="R262" t="s">
        <v>54</v>
      </c>
      <c r="S262" t="s">
        <v>54</v>
      </c>
      <c r="T262" t="s">
        <v>54</v>
      </c>
      <c r="U262" t="s">
        <v>54</v>
      </c>
      <c r="V262" t="s">
        <v>54</v>
      </c>
      <c r="W262" t="s">
        <v>54</v>
      </c>
      <c r="X262" s="23" t="s">
        <v>54</v>
      </c>
      <c r="Y262" s="23" t="s">
        <v>54</v>
      </c>
      <c r="Z262" s="23" t="s">
        <v>54</v>
      </c>
      <c r="AA262" s="23" t="s">
        <v>54</v>
      </c>
      <c r="AB262" t="s">
        <v>54</v>
      </c>
      <c r="AC262" t="s">
        <v>54</v>
      </c>
      <c r="AD262" t="s">
        <v>54</v>
      </c>
      <c r="AE262" t="s">
        <v>54</v>
      </c>
      <c r="AF262" s="23" t="s">
        <v>54</v>
      </c>
      <c r="AG262" s="23" t="s">
        <v>54</v>
      </c>
      <c r="AH262" s="23" t="s">
        <v>54</v>
      </c>
      <c r="AI262" s="23" t="s">
        <v>54</v>
      </c>
      <c r="AJ262">
        <v>2</v>
      </c>
      <c r="AK262">
        <v>0</v>
      </c>
      <c r="AL262">
        <v>4</v>
      </c>
      <c r="AM262">
        <v>3</v>
      </c>
      <c r="AN262" s="23">
        <v>0</v>
      </c>
      <c r="AO262" s="23" t="s">
        <v>54</v>
      </c>
      <c r="AP262" s="23">
        <v>0</v>
      </c>
      <c r="AQ262" s="23">
        <v>0</v>
      </c>
      <c r="AR262" s="35">
        <v>0</v>
      </c>
      <c r="AS262" s="35">
        <v>0</v>
      </c>
      <c r="AT262" s="35">
        <v>3</v>
      </c>
      <c r="AU262" s="31" t="str">
        <f t="shared" si="7"/>
        <v>库存为3</v>
      </c>
      <c r="AV262" s="36" t="str">
        <f>IFERROR($A$2+AU262,"上周无销量")</f>
        <v>上周无销量</v>
      </c>
    </row>
    <row r="263" spans="1:48">
      <c r="A263" s="21" t="s">
        <v>582</v>
      </c>
      <c r="B263" t="s">
        <v>583</v>
      </c>
      <c r="C263" t="s">
        <v>529</v>
      </c>
      <c r="D263" s="31">
        <v>0</v>
      </c>
      <c r="E263" s="31">
        <v>0</v>
      </c>
      <c r="F263" s="31">
        <v>0</v>
      </c>
      <c r="G263" s="31">
        <v>0</v>
      </c>
      <c r="H263" s="32">
        <v>0</v>
      </c>
      <c r="I263">
        <v>3</v>
      </c>
      <c r="J263" s="33">
        <v>0</v>
      </c>
      <c r="K263" s="33">
        <v>0</v>
      </c>
      <c r="L263" s="33">
        <v>0</v>
      </c>
      <c r="M263">
        <v>3</v>
      </c>
      <c r="N263">
        <v>0</v>
      </c>
      <c r="O263">
        <v>3</v>
      </c>
      <c r="P263" t="s">
        <v>54</v>
      </c>
      <c r="Q263" t="s">
        <v>54</v>
      </c>
      <c r="R263" t="s">
        <v>54</v>
      </c>
      <c r="S263" t="s">
        <v>54</v>
      </c>
      <c r="T263" t="s">
        <v>54</v>
      </c>
      <c r="U263" t="s">
        <v>54</v>
      </c>
      <c r="V263" t="s">
        <v>54</v>
      </c>
      <c r="W263" t="s">
        <v>54</v>
      </c>
      <c r="X263" s="23" t="s">
        <v>54</v>
      </c>
      <c r="Y263" s="23" t="s">
        <v>54</v>
      </c>
      <c r="Z263" s="23" t="s">
        <v>54</v>
      </c>
      <c r="AA263" s="23" t="s">
        <v>54</v>
      </c>
      <c r="AB263" t="s">
        <v>54</v>
      </c>
      <c r="AC263" t="s">
        <v>54</v>
      </c>
      <c r="AD263" t="s">
        <v>54</v>
      </c>
      <c r="AE263" t="s">
        <v>54</v>
      </c>
      <c r="AF263" s="23" t="s">
        <v>54</v>
      </c>
      <c r="AG263" s="23" t="s">
        <v>54</v>
      </c>
      <c r="AH263" s="23" t="s">
        <v>54</v>
      </c>
      <c r="AI263" s="23" t="s">
        <v>54</v>
      </c>
      <c r="AJ263">
        <v>1</v>
      </c>
      <c r="AK263">
        <v>1</v>
      </c>
      <c r="AL263">
        <v>1</v>
      </c>
      <c r="AM263">
        <v>1</v>
      </c>
      <c r="AN263" s="23">
        <v>0</v>
      </c>
      <c r="AO263" s="23">
        <v>0</v>
      </c>
      <c r="AP263" s="23">
        <v>0</v>
      </c>
      <c r="AQ263" s="23">
        <v>0</v>
      </c>
      <c r="AR263" s="35">
        <v>0</v>
      </c>
      <c r="AS263" s="35">
        <v>0</v>
      </c>
      <c r="AT263" s="35">
        <v>3</v>
      </c>
      <c r="AU263" s="31" t="str">
        <f t="shared" si="7"/>
        <v>库存为3</v>
      </c>
      <c r="AV263" s="36" t="str">
        <f>IFERROR($A$2+AU263,"上周无销量")</f>
        <v>上周无销量</v>
      </c>
    </row>
    <row r="264" spans="1:48">
      <c r="A264" s="21" t="s">
        <v>584</v>
      </c>
      <c r="B264" t="s">
        <v>585</v>
      </c>
      <c r="C264" t="s">
        <v>529</v>
      </c>
      <c r="D264" s="31">
        <v>0</v>
      </c>
      <c r="E264" s="31">
        <v>0</v>
      </c>
      <c r="F264" s="31">
        <v>0</v>
      </c>
      <c r="G264" s="31">
        <v>0</v>
      </c>
      <c r="H264" s="32">
        <v>0</v>
      </c>
      <c r="I264">
        <v>3</v>
      </c>
      <c r="J264" s="33">
        <v>0</v>
      </c>
      <c r="K264" s="33">
        <v>0</v>
      </c>
      <c r="L264" s="33">
        <v>0</v>
      </c>
      <c r="M264">
        <v>3</v>
      </c>
      <c r="N264">
        <v>0</v>
      </c>
      <c r="O264">
        <v>3</v>
      </c>
      <c r="P264" t="s">
        <v>54</v>
      </c>
      <c r="Q264" t="s">
        <v>54</v>
      </c>
      <c r="R264" t="s">
        <v>54</v>
      </c>
      <c r="S264" t="s">
        <v>54</v>
      </c>
      <c r="T264" t="s">
        <v>54</v>
      </c>
      <c r="U264" t="s">
        <v>54</v>
      </c>
      <c r="V264" t="s">
        <v>54</v>
      </c>
      <c r="W264" t="s">
        <v>54</v>
      </c>
      <c r="X264" s="23" t="s">
        <v>54</v>
      </c>
      <c r="Y264" s="23" t="s">
        <v>54</v>
      </c>
      <c r="Z264" s="23" t="s">
        <v>54</v>
      </c>
      <c r="AA264" s="23" t="s">
        <v>54</v>
      </c>
      <c r="AB264" t="s">
        <v>54</v>
      </c>
      <c r="AC264" t="s">
        <v>54</v>
      </c>
      <c r="AD264" t="s">
        <v>54</v>
      </c>
      <c r="AE264" t="s">
        <v>54</v>
      </c>
      <c r="AF264" s="23" t="s">
        <v>54</v>
      </c>
      <c r="AG264" s="23" t="s">
        <v>54</v>
      </c>
      <c r="AH264" s="23" t="s">
        <v>54</v>
      </c>
      <c r="AI264" s="23" t="s">
        <v>54</v>
      </c>
      <c r="AJ264">
        <v>1</v>
      </c>
      <c r="AK264">
        <v>2</v>
      </c>
      <c r="AL264">
        <v>1</v>
      </c>
      <c r="AM264">
        <v>1</v>
      </c>
      <c r="AN264" s="23">
        <v>0</v>
      </c>
      <c r="AO264" s="23">
        <v>0</v>
      </c>
      <c r="AP264" s="23">
        <v>0</v>
      </c>
      <c r="AQ264" s="23">
        <v>0</v>
      </c>
      <c r="AR264" s="35">
        <v>0</v>
      </c>
      <c r="AS264" s="35">
        <v>0</v>
      </c>
      <c r="AT264" s="35">
        <v>3</v>
      </c>
      <c r="AU264" s="31" t="str">
        <f t="shared" si="7"/>
        <v>库存为3</v>
      </c>
      <c r="AV264" s="36" t="str">
        <f>IFERROR($A$2+AU264,"上周无销量")</f>
        <v>上周无销量</v>
      </c>
    </row>
    <row r="265" spans="1:48">
      <c r="A265" s="21" t="s">
        <v>586</v>
      </c>
      <c r="B265" t="s">
        <v>587</v>
      </c>
      <c r="C265" t="s">
        <v>588</v>
      </c>
      <c r="D265" s="31">
        <v>0</v>
      </c>
      <c r="E265" s="31">
        <v>0</v>
      </c>
      <c r="F265" s="31">
        <v>0</v>
      </c>
      <c r="G265" s="31">
        <v>1</v>
      </c>
      <c r="H265" s="32">
        <v>17.9</v>
      </c>
      <c r="I265">
        <v>17</v>
      </c>
      <c r="J265" s="33">
        <v>0</v>
      </c>
      <c r="K265" s="33">
        <v>0</v>
      </c>
      <c r="L265" s="33">
        <v>0</v>
      </c>
      <c r="M265">
        <v>17</v>
      </c>
      <c r="N265">
        <v>0</v>
      </c>
      <c r="O265">
        <v>0</v>
      </c>
      <c r="P265">
        <v>77</v>
      </c>
      <c r="Q265">
        <v>137</v>
      </c>
      <c r="R265">
        <v>0</v>
      </c>
      <c r="S265">
        <v>45</v>
      </c>
      <c r="T265">
        <v>0</v>
      </c>
      <c r="U265">
        <v>1</v>
      </c>
      <c r="V265">
        <v>0</v>
      </c>
      <c r="W265">
        <v>0</v>
      </c>
      <c r="X265" s="23">
        <v>0</v>
      </c>
      <c r="Y265" s="23">
        <v>0.0072992700729927</v>
      </c>
      <c r="Z265" s="23" t="s">
        <v>54</v>
      </c>
      <c r="AA265" s="23">
        <v>0</v>
      </c>
      <c r="AB265">
        <v>0</v>
      </c>
      <c r="AC265">
        <v>0.4</v>
      </c>
      <c r="AD265">
        <v>0</v>
      </c>
      <c r="AE265">
        <v>0</v>
      </c>
      <c r="AF265" s="23" t="s">
        <v>54</v>
      </c>
      <c r="AG265" s="23">
        <v>0</v>
      </c>
      <c r="AH265" s="23" t="s">
        <v>54</v>
      </c>
      <c r="AI265" s="23" t="s">
        <v>54</v>
      </c>
      <c r="AJ265">
        <v>13</v>
      </c>
      <c r="AK265">
        <v>6</v>
      </c>
      <c r="AL265">
        <v>18</v>
      </c>
      <c r="AM265">
        <v>9</v>
      </c>
      <c r="AN265" s="23">
        <v>0</v>
      </c>
      <c r="AO265" s="23">
        <v>0</v>
      </c>
      <c r="AP265" s="23">
        <v>0</v>
      </c>
      <c r="AQ265" s="23">
        <v>0.111111111111111</v>
      </c>
      <c r="AR265" s="35">
        <v>0</v>
      </c>
      <c r="AS265" s="35">
        <v>0</v>
      </c>
      <c r="AT265" s="35">
        <v>17</v>
      </c>
      <c r="AU265" s="31" t="str">
        <f t="shared" si="7"/>
        <v>库存为17</v>
      </c>
      <c r="AV265" s="36" t="str">
        <f>IFERROR($A$2+AU265,"上周无销量")</f>
        <v>上周无销量</v>
      </c>
    </row>
    <row r="266" spans="1:48">
      <c r="A266" s="21" t="s">
        <v>589</v>
      </c>
      <c r="B266" t="s">
        <v>590</v>
      </c>
      <c r="C266" t="s">
        <v>588</v>
      </c>
      <c r="D266" s="31">
        <v>0</v>
      </c>
      <c r="E266" s="31">
        <v>0</v>
      </c>
      <c r="F266" s="31">
        <v>0</v>
      </c>
      <c r="G266" s="31">
        <v>0</v>
      </c>
      <c r="H266" s="32">
        <v>0</v>
      </c>
      <c r="I266">
        <v>8</v>
      </c>
      <c r="J266" s="33">
        <v>0</v>
      </c>
      <c r="K266" s="33">
        <v>0</v>
      </c>
      <c r="L266" s="33">
        <v>0</v>
      </c>
      <c r="M266">
        <v>8</v>
      </c>
      <c r="N266">
        <v>0</v>
      </c>
      <c r="O266">
        <v>3</v>
      </c>
      <c r="P266" t="s">
        <v>54</v>
      </c>
      <c r="Q266" t="s">
        <v>54</v>
      </c>
      <c r="R266" t="s">
        <v>54</v>
      </c>
      <c r="S266" t="s">
        <v>54</v>
      </c>
      <c r="T266" t="s">
        <v>54</v>
      </c>
      <c r="U266" t="s">
        <v>54</v>
      </c>
      <c r="V266" t="s">
        <v>54</v>
      </c>
      <c r="W266" t="s">
        <v>54</v>
      </c>
      <c r="X266" s="23" t="s">
        <v>54</v>
      </c>
      <c r="Y266" s="23" t="s">
        <v>54</v>
      </c>
      <c r="Z266" s="23" t="s">
        <v>54</v>
      </c>
      <c r="AA266" s="23" t="s">
        <v>54</v>
      </c>
      <c r="AB266" t="s">
        <v>54</v>
      </c>
      <c r="AC266" t="s">
        <v>54</v>
      </c>
      <c r="AD266" t="s">
        <v>54</v>
      </c>
      <c r="AE266" t="s">
        <v>54</v>
      </c>
      <c r="AF266" s="23" t="s">
        <v>54</v>
      </c>
      <c r="AG266" s="23" t="s">
        <v>54</v>
      </c>
      <c r="AH266" s="23" t="s">
        <v>54</v>
      </c>
      <c r="AI266" s="23" t="s">
        <v>54</v>
      </c>
      <c r="AJ266">
        <v>3</v>
      </c>
      <c r="AK266">
        <v>4</v>
      </c>
      <c r="AL266">
        <v>6</v>
      </c>
      <c r="AM266">
        <v>3</v>
      </c>
      <c r="AN266" s="23">
        <v>0</v>
      </c>
      <c r="AO266" s="23">
        <v>0</v>
      </c>
      <c r="AP266" s="23">
        <v>0</v>
      </c>
      <c r="AQ266" s="23">
        <v>0</v>
      </c>
      <c r="AR266" s="35">
        <v>0</v>
      </c>
      <c r="AS266" s="35">
        <v>0</v>
      </c>
      <c r="AT266" s="35">
        <v>8</v>
      </c>
      <c r="AU266" s="31" t="str">
        <f t="shared" si="7"/>
        <v>库存为8</v>
      </c>
      <c r="AV266" s="36" t="str">
        <f>IFERROR($A$2+AU266,"上周无销量")</f>
        <v>上周无销量</v>
      </c>
    </row>
    <row r="267" spans="1:48">
      <c r="A267" s="21" t="s">
        <v>591</v>
      </c>
      <c r="B267" t="s">
        <v>592</v>
      </c>
      <c r="C267" t="s">
        <v>588</v>
      </c>
      <c r="D267" s="31">
        <v>3</v>
      </c>
      <c r="E267" s="31">
        <v>1</v>
      </c>
      <c r="F267" s="31">
        <v>0</v>
      </c>
      <c r="G267" s="31">
        <v>3</v>
      </c>
      <c r="H267" s="32">
        <v>18.1857142857143</v>
      </c>
      <c r="I267">
        <v>0</v>
      </c>
      <c r="J267" s="33">
        <v>13</v>
      </c>
      <c r="K267" s="33">
        <v>0</v>
      </c>
      <c r="L267" s="33">
        <v>0</v>
      </c>
      <c r="M267">
        <v>13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1511</v>
      </c>
      <c r="T267">
        <v>0</v>
      </c>
      <c r="U267">
        <v>0</v>
      </c>
      <c r="V267">
        <v>0</v>
      </c>
      <c r="W267">
        <v>0</v>
      </c>
      <c r="X267" s="23" t="s">
        <v>54</v>
      </c>
      <c r="Y267" s="23" t="s">
        <v>54</v>
      </c>
      <c r="Z267" s="23" t="s">
        <v>54</v>
      </c>
      <c r="AA267" s="23">
        <v>0</v>
      </c>
      <c r="AB267">
        <v>0</v>
      </c>
      <c r="AC267">
        <v>0</v>
      </c>
      <c r="AD267">
        <v>0</v>
      </c>
      <c r="AE267">
        <v>0</v>
      </c>
      <c r="AF267" s="23" t="s">
        <v>54</v>
      </c>
      <c r="AG267" s="23" t="s">
        <v>54</v>
      </c>
      <c r="AH267" s="23" t="s">
        <v>54</v>
      </c>
      <c r="AI267" s="23" t="s">
        <v>54</v>
      </c>
      <c r="AJ267">
        <v>12</v>
      </c>
      <c r="AK267">
        <v>2</v>
      </c>
      <c r="AL267">
        <v>0</v>
      </c>
      <c r="AM267">
        <v>6</v>
      </c>
      <c r="AN267" s="23">
        <v>0.25</v>
      </c>
      <c r="AO267" s="23">
        <v>0.5</v>
      </c>
      <c r="AP267" s="23" t="s">
        <v>54</v>
      </c>
      <c r="AQ267" s="23">
        <v>0.5</v>
      </c>
      <c r="AR267" s="35">
        <v>0.428571428571429</v>
      </c>
      <c r="AS267" s="35">
        <v>25.7142857142857</v>
      </c>
      <c r="AT267" s="35">
        <v>-12.7142857142857</v>
      </c>
      <c r="AU267" s="31">
        <f t="shared" si="7"/>
        <v>30</v>
      </c>
      <c r="AV267" s="36">
        <f>IFERROR($A$2+AU267,"上周无销量")</f>
        <v>43320</v>
      </c>
    </row>
    <row r="268" spans="1:48">
      <c r="A268" s="21" t="s">
        <v>593</v>
      </c>
      <c r="B268" t="s">
        <v>594</v>
      </c>
      <c r="C268" t="s">
        <v>588</v>
      </c>
      <c r="D268" s="31">
        <v>1</v>
      </c>
      <c r="E268" s="31">
        <v>1</v>
      </c>
      <c r="F268" s="31">
        <v>2</v>
      </c>
      <c r="G268" s="31">
        <v>6</v>
      </c>
      <c r="H268" s="32">
        <v>18.072</v>
      </c>
      <c r="I268">
        <v>0</v>
      </c>
      <c r="J268" s="33">
        <v>15</v>
      </c>
      <c r="K268" s="33">
        <v>0</v>
      </c>
      <c r="L268" s="33">
        <v>0</v>
      </c>
      <c r="M268">
        <v>15</v>
      </c>
      <c r="N268">
        <v>0</v>
      </c>
      <c r="O268">
        <v>0</v>
      </c>
      <c r="P268">
        <v>9791</v>
      </c>
      <c r="Q268">
        <v>6067</v>
      </c>
      <c r="R268">
        <v>11024</v>
      </c>
      <c r="S268">
        <v>24200</v>
      </c>
      <c r="T268">
        <v>30</v>
      </c>
      <c r="U268">
        <v>19</v>
      </c>
      <c r="V268">
        <v>39</v>
      </c>
      <c r="W268">
        <v>22</v>
      </c>
      <c r="X268" s="23">
        <v>0.00306403840261465</v>
      </c>
      <c r="Y268" s="23">
        <v>0.00313169606065601</v>
      </c>
      <c r="Z268" s="23">
        <v>0.0035377358490566</v>
      </c>
      <c r="AA268" s="23">
        <v>0.000909090909090909</v>
      </c>
      <c r="AB268">
        <v>21.47</v>
      </c>
      <c r="AC268">
        <v>13.83</v>
      </c>
      <c r="AD268">
        <v>30.2</v>
      </c>
      <c r="AE268">
        <v>16.07</v>
      </c>
      <c r="AF268" s="23">
        <v>1.18802567507747</v>
      </c>
      <c r="AG268" s="23">
        <v>0.76527224435591</v>
      </c>
      <c r="AH268" s="23">
        <v>0.835546702080567</v>
      </c>
      <c r="AI268" s="23">
        <v>0.148203482366829</v>
      </c>
      <c r="AJ268">
        <v>21</v>
      </c>
      <c r="AK268">
        <v>13</v>
      </c>
      <c r="AL268">
        <v>40</v>
      </c>
      <c r="AM268">
        <v>29</v>
      </c>
      <c r="AN268" s="23">
        <v>0.0476190476190476</v>
      </c>
      <c r="AO268" s="23">
        <v>0.0769230769230769</v>
      </c>
      <c r="AP268" s="23">
        <v>0.05</v>
      </c>
      <c r="AQ268" s="23">
        <v>0.206896551724138</v>
      </c>
      <c r="AR268" s="35">
        <v>0.142857142857143</v>
      </c>
      <c r="AS268" s="35">
        <v>8.57142857142857</v>
      </c>
      <c r="AT268" s="35">
        <v>6.42857142857143</v>
      </c>
      <c r="AU268" s="31">
        <f t="shared" si="7"/>
        <v>105</v>
      </c>
      <c r="AV268" s="36">
        <f>IFERROR($A$2+AU268,"上周无销量")</f>
        <v>43395</v>
      </c>
    </row>
    <row r="269" spans="1:48">
      <c r="A269" s="21" t="s">
        <v>595</v>
      </c>
      <c r="B269" t="s">
        <v>596</v>
      </c>
      <c r="C269" t="s">
        <v>588</v>
      </c>
      <c r="D269" s="31">
        <v>3</v>
      </c>
      <c r="E269" s="31">
        <v>1</v>
      </c>
      <c r="F269" s="31">
        <v>0</v>
      </c>
      <c r="G269" s="31">
        <v>1</v>
      </c>
      <c r="H269" s="32">
        <v>18.3</v>
      </c>
      <c r="I269">
        <v>8</v>
      </c>
      <c r="J269" s="33">
        <v>0</v>
      </c>
      <c r="K269" s="33">
        <v>0</v>
      </c>
      <c r="L269" s="33">
        <v>0</v>
      </c>
      <c r="M269">
        <v>8</v>
      </c>
      <c r="N269">
        <v>0</v>
      </c>
      <c r="O269">
        <v>2</v>
      </c>
      <c r="P269" t="s">
        <v>54</v>
      </c>
      <c r="Q269" t="s">
        <v>54</v>
      </c>
      <c r="R269" t="s">
        <v>54</v>
      </c>
      <c r="S269" t="s">
        <v>54</v>
      </c>
      <c r="T269" t="s">
        <v>54</v>
      </c>
      <c r="U269" t="s">
        <v>54</v>
      </c>
      <c r="V269" t="s">
        <v>54</v>
      </c>
      <c r="W269" t="s">
        <v>54</v>
      </c>
      <c r="X269" s="23" t="s">
        <v>54</v>
      </c>
      <c r="Y269" s="23" t="s">
        <v>54</v>
      </c>
      <c r="Z269" s="23" t="s">
        <v>54</v>
      </c>
      <c r="AA269" s="23" t="s">
        <v>54</v>
      </c>
      <c r="AB269" t="s">
        <v>54</v>
      </c>
      <c r="AC269" t="s">
        <v>54</v>
      </c>
      <c r="AD269" t="s">
        <v>54</v>
      </c>
      <c r="AE269" t="s">
        <v>54</v>
      </c>
      <c r="AF269" s="23" t="s">
        <v>54</v>
      </c>
      <c r="AG269" s="23" t="s">
        <v>54</v>
      </c>
      <c r="AH269" s="23" t="s">
        <v>54</v>
      </c>
      <c r="AI269" s="23" t="s">
        <v>54</v>
      </c>
      <c r="AJ269">
        <v>6</v>
      </c>
      <c r="AK269">
        <v>2</v>
      </c>
      <c r="AL269">
        <v>12</v>
      </c>
      <c r="AM269">
        <v>5</v>
      </c>
      <c r="AN269" s="23">
        <v>0.5</v>
      </c>
      <c r="AO269" s="23">
        <v>0.5</v>
      </c>
      <c r="AP269" s="23">
        <v>0</v>
      </c>
      <c r="AQ269" s="23">
        <v>0.2</v>
      </c>
      <c r="AR269" s="35">
        <v>0.428571428571429</v>
      </c>
      <c r="AS269" s="35">
        <v>25.7142857142857</v>
      </c>
      <c r="AT269" s="35">
        <v>-17.7142857142857</v>
      </c>
      <c r="AU269" s="31">
        <f t="shared" si="7"/>
        <v>18</v>
      </c>
      <c r="AV269" s="36">
        <f>IFERROR($A$2+AU269,"上周无销量")</f>
        <v>43308</v>
      </c>
    </row>
    <row r="270" spans="1:48">
      <c r="A270" s="21" t="s">
        <v>597</v>
      </c>
      <c r="B270" t="s">
        <v>598</v>
      </c>
      <c r="C270" t="s">
        <v>588</v>
      </c>
      <c r="D270" s="31">
        <v>0</v>
      </c>
      <c r="E270" s="31">
        <v>0</v>
      </c>
      <c r="F270" s="31">
        <v>0</v>
      </c>
      <c r="G270" s="31">
        <v>0</v>
      </c>
      <c r="H270" s="32">
        <v>0</v>
      </c>
      <c r="I270">
        <v>21</v>
      </c>
      <c r="J270" s="33">
        <v>0</v>
      </c>
      <c r="K270" s="33">
        <v>0</v>
      </c>
      <c r="L270" s="33">
        <v>0</v>
      </c>
      <c r="M270">
        <v>21</v>
      </c>
      <c r="N270">
        <v>0</v>
      </c>
      <c r="O270">
        <v>4</v>
      </c>
      <c r="P270" t="s">
        <v>54</v>
      </c>
      <c r="Q270" t="s">
        <v>54</v>
      </c>
      <c r="R270" t="s">
        <v>54</v>
      </c>
      <c r="S270" t="s">
        <v>54</v>
      </c>
      <c r="T270" t="s">
        <v>54</v>
      </c>
      <c r="U270" t="s">
        <v>54</v>
      </c>
      <c r="V270" t="s">
        <v>54</v>
      </c>
      <c r="W270" t="s">
        <v>54</v>
      </c>
      <c r="X270" s="23" t="s">
        <v>54</v>
      </c>
      <c r="Y270" s="23" t="s">
        <v>54</v>
      </c>
      <c r="Z270" s="23" t="s">
        <v>54</v>
      </c>
      <c r="AA270" s="23" t="s">
        <v>54</v>
      </c>
      <c r="AB270" t="s">
        <v>54</v>
      </c>
      <c r="AC270" t="s">
        <v>54</v>
      </c>
      <c r="AD270" t="s">
        <v>54</v>
      </c>
      <c r="AE270" t="s">
        <v>54</v>
      </c>
      <c r="AF270" s="23" t="s">
        <v>54</v>
      </c>
      <c r="AG270" s="23" t="s">
        <v>54</v>
      </c>
      <c r="AH270" s="23" t="s">
        <v>54</v>
      </c>
      <c r="AI270" s="23" t="s">
        <v>54</v>
      </c>
      <c r="AJ270">
        <v>2</v>
      </c>
      <c r="AK270">
        <v>1</v>
      </c>
      <c r="AL270">
        <v>6</v>
      </c>
      <c r="AM270">
        <v>2</v>
      </c>
      <c r="AN270" s="23">
        <v>0</v>
      </c>
      <c r="AO270" s="23">
        <v>0</v>
      </c>
      <c r="AP270" s="23">
        <v>0</v>
      </c>
      <c r="AQ270" s="23">
        <v>0</v>
      </c>
      <c r="AR270" s="35">
        <v>0</v>
      </c>
      <c r="AS270" s="35">
        <v>0</v>
      </c>
      <c r="AT270" s="35">
        <v>21</v>
      </c>
      <c r="AU270" s="31" t="str">
        <f t="shared" si="7"/>
        <v>库存为21</v>
      </c>
      <c r="AV270" s="36" t="str">
        <f>IFERROR($A$2+AU270,"上周无销量")</f>
        <v>上周无销量</v>
      </c>
    </row>
    <row r="271" spans="1:48">
      <c r="A271" s="21" t="s">
        <v>599</v>
      </c>
      <c r="B271" t="s">
        <v>600</v>
      </c>
      <c r="C271" t="s">
        <v>601</v>
      </c>
      <c r="D271" s="31">
        <v>0</v>
      </c>
      <c r="E271" s="31">
        <v>0</v>
      </c>
      <c r="F271" s="31">
        <v>0</v>
      </c>
      <c r="G271" s="31">
        <v>0</v>
      </c>
      <c r="H271" s="32">
        <v>0</v>
      </c>
      <c r="I271">
        <v>3</v>
      </c>
      <c r="J271" s="33">
        <v>0</v>
      </c>
      <c r="K271" s="33">
        <v>0</v>
      </c>
      <c r="L271" s="33">
        <v>0</v>
      </c>
      <c r="M271">
        <v>3</v>
      </c>
      <c r="N271">
        <v>0</v>
      </c>
      <c r="O271">
        <v>3</v>
      </c>
      <c r="P271" t="s">
        <v>54</v>
      </c>
      <c r="Q271" t="s">
        <v>54</v>
      </c>
      <c r="R271" t="s">
        <v>54</v>
      </c>
      <c r="S271" t="s">
        <v>54</v>
      </c>
      <c r="T271" t="s">
        <v>54</v>
      </c>
      <c r="U271" t="s">
        <v>54</v>
      </c>
      <c r="V271" t="s">
        <v>54</v>
      </c>
      <c r="W271" t="s">
        <v>54</v>
      </c>
      <c r="X271" s="23" t="s">
        <v>54</v>
      </c>
      <c r="Y271" s="23" t="s">
        <v>54</v>
      </c>
      <c r="Z271" s="23" t="s">
        <v>54</v>
      </c>
      <c r="AA271" s="23" t="s">
        <v>54</v>
      </c>
      <c r="AB271" t="s">
        <v>54</v>
      </c>
      <c r="AC271" t="s">
        <v>54</v>
      </c>
      <c r="AD271" t="s">
        <v>54</v>
      </c>
      <c r="AE271" t="s">
        <v>54</v>
      </c>
      <c r="AF271" s="23" t="s">
        <v>54</v>
      </c>
      <c r="AG271" s="23" t="s">
        <v>54</v>
      </c>
      <c r="AH271" s="23" t="s">
        <v>54</v>
      </c>
      <c r="AI271" s="23" t="s">
        <v>54</v>
      </c>
      <c r="AJ271">
        <v>0</v>
      </c>
      <c r="AK271">
        <v>2</v>
      </c>
      <c r="AL271">
        <v>2</v>
      </c>
      <c r="AM271">
        <v>2</v>
      </c>
      <c r="AN271" s="23" t="s">
        <v>54</v>
      </c>
      <c r="AO271" s="23">
        <v>0</v>
      </c>
      <c r="AP271" s="23">
        <v>0</v>
      </c>
      <c r="AQ271" s="23">
        <v>0</v>
      </c>
      <c r="AR271" s="35">
        <v>0</v>
      </c>
      <c r="AS271" s="35">
        <v>0</v>
      </c>
      <c r="AT271" s="35">
        <v>3</v>
      </c>
      <c r="AU271" s="31" t="str">
        <f t="shared" si="7"/>
        <v>库存为3</v>
      </c>
      <c r="AV271" s="36" t="str">
        <f>IFERROR($A$2+AU271,"上周无销量")</f>
        <v>上周无销量</v>
      </c>
    </row>
    <row r="272" spans="1:48">
      <c r="A272" s="21" t="s">
        <v>602</v>
      </c>
      <c r="B272" t="s">
        <v>603</v>
      </c>
      <c r="C272" t="s">
        <v>601</v>
      </c>
      <c r="D272" s="31">
        <v>1</v>
      </c>
      <c r="E272" s="31">
        <v>0</v>
      </c>
      <c r="F272" s="31">
        <v>0</v>
      </c>
      <c r="G272" s="31">
        <v>0</v>
      </c>
      <c r="H272" s="32">
        <v>12</v>
      </c>
      <c r="I272">
        <v>3</v>
      </c>
      <c r="J272" s="33">
        <v>0</v>
      </c>
      <c r="K272" s="33">
        <v>0</v>
      </c>
      <c r="L272" s="33">
        <v>0</v>
      </c>
      <c r="M272">
        <v>3</v>
      </c>
      <c r="N272">
        <v>0</v>
      </c>
      <c r="O272">
        <v>3</v>
      </c>
      <c r="P272" t="s">
        <v>54</v>
      </c>
      <c r="Q272" t="s">
        <v>54</v>
      </c>
      <c r="R272" t="s">
        <v>54</v>
      </c>
      <c r="S272" t="s">
        <v>54</v>
      </c>
      <c r="T272" t="s">
        <v>54</v>
      </c>
      <c r="U272" t="s">
        <v>54</v>
      </c>
      <c r="V272" t="s">
        <v>54</v>
      </c>
      <c r="W272" t="s">
        <v>54</v>
      </c>
      <c r="X272" s="23" t="s">
        <v>54</v>
      </c>
      <c r="Y272" s="23" t="s">
        <v>54</v>
      </c>
      <c r="Z272" s="23" t="s">
        <v>54</v>
      </c>
      <c r="AA272" s="23" t="s">
        <v>54</v>
      </c>
      <c r="AB272" t="s">
        <v>54</v>
      </c>
      <c r="AC272" t="s">
        <v>54</v>
      </c>
      <c r="AD272" t="s">
        <v>54</v>
      </c>
      <c r="AE272" t="s">
        <v>54</v>
      </c>
      <c r="AF272" s="23" t="s">
        <v>54</v>
      </c>
      <c r="AG272" s="23" t="s">
        <v>54</v>
      </c>
      <c r="AH272" s="23" t="s">
        <v>54</v>
      </c>
      <c r="AI272" s="23" t="s">
        <v>54</v>
      </c>
      <c r="AJ272">
        <v>1</v>
      </c>
      <c r="AK272">
        <v>4</v>
      </c>
      <c r="AL272">
        <v>1</v>
      </c>
      <c r="AM272">
        <v>2</v>
      </c>
      <c r="AN272" s="23">
        <v>1</v>
      </c>
      <c r="AO272" s="23">
        <v>0</v>
      </c>
      <c r="AP272" s="23">
        <v>0</v>
      </c>
      <c r="AQ272" s="23">
        <v>0</v>
      </c>
      <c r="AR272" s="35">
        <v>0.142857142857143</v>
      </c>
      <c r="AS272" s="35">
        <v>8.57142857142857</v>
      </c>
      <c r="AT272" s="35">
        <v>-5.57142857142857</v>
      </c>
      <c r="AU272" s="31">
        <f t="shared" si="7"/>
        <v>21</v>
      </c>
      <c r="AV272" s="36">
        <f>IFERROR($A$2+AU272,"上周无销量")</f>
        <v>43311</v>
      </c>
    </row>
    <row r="273" spans="1:48">
      <c r="A273" s="21" t="s">
        <v>604</v>
      </c>
      <c r="B273" t="s">
        <v>605</v>
      </c>
      <c r="C273" t="s">
        <v>601</v>
      </c>
      <c r="D273" s="31">
        <v>0</v>
      </c>
      <c r="E273" s="31">
        <v>0</v>
      </c>
      <c r="F273" s="31">
        <v>0</v>
      </c>
      <c r="G273" s="31">
        <v>0</v>
      </c>
      <c r="H273" s="32">
        <v>0</v>
      </c>
      <c r="I273">
        <v>0</v>
      </c>
      <c r="J273" s="33">
        <v>0</v>
      </c>
      <c r="K273" s="33">
        <v>0</v>
      </c>
      <c r="L273" s="33">
        <v>0</v>
      </c>
      <c r="M273">
        <v>0</v>
      </c>
      <c r="N273">
        <v>0</v>
      </c>
      <c r="O273">
        <v>0</v>
      </c>
      <c r="P273" t="s">
        <v>54</v>
      </c>
      <c r="Q273" t="s">
        <v>54</v>
      </c>
      <c r="R273" t="s">
        <v>54</v>
      </c>
      <c r="S273" t="s">
        <v>54</v>
      </c>
      <c r="T273" t="s">
        <v>54</v>
      </c>
      <c r="U273" t="s">
        <v>54</v>
      </c>
      <c r="V273" t="s">
        <v>54</v>
      </c>
      <c r="W273" t="s">
        <v>54</v>
      </c>
      <c r="X273" s="23" t="s">
        <v>54</v>
      </c>
      <c r="Y273" s="23" t="s">
        <v>54</v>
      </c>
      <c r="Z273" s="23" t="s">
        <v>54</v>
      </c>
      <c r="AA273" s="23" t="s">
        <v>54</v>
      </c>
      <c r="AB273" t="s">
        <v>54</v>
      </c>
      <c r="AC273" t="s">
        <v>54</v>
      </c>
      <c r="AD273" t="s">
        <v>54</v>
      </c>
      <c r="AE273" t="s">
        <v>54</v>
      </c>
      <c r="AF273" s="23" t="s">
        <v>54</v>
      </c>
      <c r="AG273" s="23" t="s">
        <v>54</v>
      </c>
      <c r="AH273" s="23" t="s">
        <v>54</v>
      </c>
      <c r="AI273" s="23" t="s">
        <v>54</v>
      </c>
      <c r="AJ273">
        <v>0</v>
      </c>
      <c r="AK273">
        <v>0</v>
      </c>
      <c r="AL273">
        <v>0</v>
      </c>
      <c r="AM273">
        <v>0</v>
      </c>
      <c r="AN273" s="23" t="s">
        <v>54</v>
      </c>
      <c r="AO273" s="23" t="s">
        <v>54</v>
      </c>
      <c r="AP273" s="23" t="s">
        <v>54</v>
      </c>
      <c r="AQ273" s="23" t="s">
        <v>54</v>
      </c>
      <c r="AR273" s="35">
        <v>0</v>
      </c>
      <c r="AS273" s="35">
        <v>0</v>
      </c>
      <c r="AT273" s="35">
        <v>0</v>
      </c>
      <c r="AU273" s="31" t="str">
        <f t="shared" si="7"/>
        <v>库存为0</v>
      </c>
      <c r="AV273" s="36" t="str">
        <f>IFERROR($A$2+AU273,"上周无销量")</f>
        <v>上周无销量</v>
      </c>
    </row>
    <row r="274" spans="1:48">
      <c r="A274" s="21" t="s">
        <v>606</v>
      </c>
      <c r="B274" t="s">
        <v>607</v>
      </c>
      <c r="C274" t="s">
        <v>601</v>
      </c>
      <c r="D274" s="31">
        <v>0</v>
      </c>
      <c r="E274" s="31">
        <v>0</v>
      </c>
      <c r="F274" s="31">
        <v>0</v>
      </c>
      <c r="G274" s="31">
        <v>0</v>
      </c>
      <c r="H274" s="32">
        <v>0</v>
      </c>
      <c r="I274">
        <v>4</v>
      </c>
      <c r="J274" s="33">
        <v>0</v>
      </c>
      <c r="K274" s="33">
        <v>0</v>
      </c>
      <c r="L274" s="33">
        <v>0</v>
      </c>
      <c r="M274">
        <v>4</v>
      </c>
      <c r="N274">
        <v>0</v>
      </c>
      <c r="O274">
        <v>4</v>
      </c>
      <c r="P274" t="s">
        <v>54</v>
      </c>
      <c r="Q274" t="s">
        <v>54</v>
      </c>
      <c r="R274" t="s">
        <v>54</v>
      </c>
      <c r="S274" t="s">
        <v>54</v>
      </c>
      <c r="T274" t="s">
        <v>54</v>
      </c>
      <c r="U274" t="s">
        <v>54</v>
      </c>
      <c r="V274" t="s">
        <v>54</v>
      </c>
      <c r="W274" t="s">
        <v>54</v>
      </c>
      <c r="X274" s="23" t="s">
        <v>54</v>
      </c>
      <c r="Y274" s="23" t="s">
        <v>54</v>
      </c>
      <c r="Z274" s="23" t="s">
        <v>54</v>
      </c>
      <c r="AA274" s="23" t="s">
        <v>54</v>
      </c>
      <c r="AB274" t="s">
        <v>54</v>
      </c>
      <c r="AC274" t="s">
        <v>54</v>
      </c>
      <c r="AD274" t="s">
        <v>54</v>
      </c>
      <c r="AE274" t="s">
        <v>54</v>
      </c>
      <c r="AF274" s="23" t="s">
        <v>54</v>
      </c>
      <c r="AG274" s="23" t="s">
        <v>54</v>
      </c>
      <c r="AH274" s="23" t="s">
        <v>54</v>
      </c>
      <c r="AI274" s="23" t="s">
        <v>54</v>
      </c>
      <c r="AJ274">
        <v>4</v>
      </c>
      <c r="AK274">
        <v>4</v>
      </c>
      <c r="AL274">
        <v>1</v>
      </c>
      <c r="AM274">
        <v>3</v>
      </c>
      <c r="AN274" s="23">
        <v>0</v>
      </c>
      <c r="AO274" s="23">
        <v>0</v>
      </c>
      <c r="AP274" s="23">
        <v>0</v>
      </c>
      <c r="AQ274" s="23">
        <v>0</v>
      </c>
      <c r="AR274" s="35">
        <v>0</v>
      </c>
      <c r="AS274" s="35">
        <v>0</v>
      </c>
      <c r="AT274" s="35">
        <v>4</v>
      </c>
      <c r="AU274" s="31" t="str">
        <f t="shared" si="7"/>
        <v>库存为4</v>
      </c>
      <c r="AV274" s="36" t="str">
        <f>IFERROR($A$2+AU274,"上周无销量")</f>
        <v>上周无销量</v>
      </c>
    </row>
    <row r="275" spans="1:48">
      <c r="A275" s="21" t="s">
        <v>608</v>
      </c>
      <c r="B275" t="s">
        <v>609</v>
      </c>
      <c r="C275" t="s">
        <v>601</v>
      </c>
      <c r="D275" s="31">
        <v>0</v>
      </c>
      <c r="E275" s="31">
        <v>0</v>
      </c>
      <c r="F275" s="31">
        <v>0</v>
      </c>
      <c r="G275" s="31">
        <v>0</v>
      </c>
      <c r="H275" s="32">
        <v>0</v>
      </c>
      <c r="I275">
        <v>4</v>
      </c>
      <c r="J275" s="33">
        <v>0</v>
      </c>
      <c r="K275" s="33">
        <v>0</v>
      </c>
      <c r="L275" s="33">
        <v>0</v>
      </c>
      <c r="M275">
        <v>4</v>
      </c>
      <c r="N275">
        <v>0</v>
      </c>
      <c r="O275">
        <v>4</v>
      </c>
      <c r="P275" t="s">
        <v>54</v>
      </c>
      <c r="Q275" t="s">
        <v>54</v>
      </c>
      <c r="R275" t="s">
        <v>54</v>
      </c>
      <c r="S275" t="s">
        <v>54</v>
      </c>
      <c r="T275" t="s">
        <v>54</v>
      </c>
      <c r="U275" t="s">
        <v>54</v>
      </c>
      <c r="V275" t="s">
        <v>54</v>
      </c>
      <c r="W275" t="s">
        <v>54</v>
      </c>
      <c r="X275" s="23" t="s">
        <v>54</v>
      </c>
      <c r="Y275" s="23" t="s">
        <v>54</v>
      </c>
      <c r="Z275" s="23" t="s">
        <v>54</v>
      </c>
      <c r="AA275" s="23" t="s">
        <v>54</v>
      </c>
      <c r="AB275" t="s">
        <v>54</v>
      </c>
      <c r="AC275" t="s">
        <v>54</v>
      </c>
      <c r="AD275" t="s">
        <v>54</v>
      </c>
      <c r="AE275" t="s">
        <v>54</v>
      </c>
      <c r="AF275" s="23" t="s">
        <v>54</v>
      </c>
      <c r="AG275" s="23" t="s">
        <v>54</v>
      </c>
      <c r="AH275" s="23" t="s">
        <v>54</v>
      </c>
      <c r="AI275" s="23" t="s">
        <v>54</v>
      </c>
      <c r="AJ275">
        <v>0</v>
      </c>
      <c r="AK275">
        <v>1</v>
      </c>
      <c r="AL275">
        <v>3</v>
      </c>
      <c r="AM275">
        <v>7</v>
      </c>
      <c r="AN275" s="23" t="s">
        <v>54</v>
      </c>
      <c r="AO275" s="23">
        <v>0</v>
      </c>
      <c r="AP275" s="23">
        <v>0</v>
      </c>
      <c r="AQ275" s="23">
        <v>0</v>
      </c>
      <c r="AR275" s="35">
        <v>0</v>
      </c>
      <c r="AS275" s="35">
        <v>0</v>
      </c>
      <c r="AT275" s="35">
        <v>4</v>
      </c>
      <c r="AU275" s="31" t="str">
        <f t="shared" si="7"/>
        <v>库存为4</v>
      </c>
      <c r="AV275" s="36" t="str">
        <f>IFERROR($A$2+AU275,"上周无销量")</f>
        <v>上周无销量</v>
      </c>
    </row>
    <row r="276" spans="1:48">
      <c r="A276" s="21" t="s">
        <v>610</v>
      </c>
      <c r="B276" t="s">
        <v>611</v>
      </c>
      <c r="C276" t="s">
        <v>601</v>
      </c>
      <c r="D276" s="31">
        <v>0</v>
      </c>
      <c r="E276" s="31">
        <v>0</v>
      </c>
      <c r="F276" s="31">
        <v>0</v>
      </c>
      <c r="G276" s="31">
        <v>0</v>
      </c>
      <c r="H276" s="32">
        <v>0</v>
      </c>
      <c r="I276">
        <v>5</v>
      </c>
      <c r="J276" s="33">
        <v>0</v>
      </c>
      <c r="K276" s="33">
        <v>0</v>
      </c>
      <c r="L276" s="33">
        <v>0</v>
      </c>
      <c r="M276">
        <v>5</v>
      </c>
      <c r="N276">
        <v>0</v>
      </c>
      <c r="O276">
        <v>5</v>
      </c>
      <c r="P276" t="s">
        <v>54</v>
      </c>
      <c r="Q276" t="s">
        <v>54</v>
      </c>
      <c r="R276" t="s">
        <v>54</v>
      </c>
      <c r="S276" t="s">
        <v>54</v>
      </c>
      <c r="T276" t="s">
        <v>54</v>
      </c>
      <c r="U276" t="s">
        <v>54</v>
      </c>
      <c r="V276" t="s">
        <v>54</v>
      </c>
      <c r="W276" t="s">
        <v>54</v>
      </c>
      <c r="X276" s="23" t="s">
        <v>54</v>
      </c>
      <c r="Y276" s="23" t="s">
        <v>54</v>
      </c>
      <c r="Z276" s="23" t="s">
        <v>54</v>
      </c>
      <c r="AA276" s="23" t="s">
        <v>54</v>
      </c>
      <c r="AB276" t="s">
        <v>54</v>
      </c>
      <c r="AC276" t="s">
        <v>54</v>
      </c>
      <c r="AD276" t="s">
        <v>54</v>
      </c>
      <c r="AE276" t="s">
        <v>54</v>
      </c>
      <c r="AF276" s="23" t="s">
        <v>54</v>
      </c>
      <c r="AG276" s="23" t="s">
        <v>54</v>
      </c>
      <c r="AH276" s="23" t="s">
        <v>54</v>
      </c>
      <c r="AI276" s="23" t="s">
        <v>54</v>
      </c>
      <c r="AJ276">
        <v>1</v>
      </c>
      <c r="AK276">
        <v>2</v>
      </c>
      <c r="AL276">
        <v>2</v>
      </c>
      <c r="AM276">
        <v>3</v>
      </c>
      <c r="AN276" s="23">
        <v>0</v>
      </c>
      <c r="AO276" s="23">
        <v>0</v>
      </c>
      <c r="AP276" s="23">
        <v>0</v>
      </c>
      <c r="AQ276" s="23">
        <v>0</v>
      </c>
      <c r="AR276" s="35">
        <v>0</v>
      </c>
      <c r="AS276" s="35">
        <v>0</v>
      </c>
      <c r="AT276" s="35">
        <v>5</v>
      </c>
      <c r="AU276" s="31" t="str">
        <f t="shared" si="7"/>
        <v>库存为5</v>
      </c>
      <c r="AV276" s="36" t="str">
        <f>IFERROR($A$2+AU276,"上周无销量")</f>
        <v>上周无销量</v>
      </c>
    </row>
    <row r="277" spans="1:48">
      <c r="A277" s="21" t="s">
        <v>612</v>
      </c>
      <c r="B277" t="s">
        <v>613</v>
      </c>
      <c r="C277" t="s">
        <v>601</v>
      </c>
      <c r="D277" s="31">
        <v>0</v>
      </c>
      <c r="E277" s="31">
        <v>0</v>
      </c>
      <c r="F277" s="31">
        <v>0</v>
      </c>
      <c r="G277" s="31">
        <v>0</v>
      </c>
      <c r="H277" s="32">
        <v>0</v>
      </c>
      <c r="I277">
        <v>4</v>
      </c>
      <c r="J277" s="33">
        <v>0</v>
      </c>
      <c r="K277" s="33">
        <v>0</v>
      </c>
      <c r="L277" s="33">
        <v>0</v>
      </c>
      <c r="M277">
        <v>4</v>
      </c>
      <c r="N277">
        <v>0</v>
      </c>
      <c r="O277">
        <v>3</v>
      </c>
      <c r="P277" t="s">
        <v>54</v>
      </c>
      <c r="Q277" t="s">
        <v>54</v>
      </c>
      <c r="R277" t="s">
        <v>54</v>
      </c>
      <c r="S277" t="s">
        <v>54</v>
      </c>
      <c r="T277" t="s">
        <v>54</v>
      </c>
      <c r="U277" t="s">
        <v>54</v>
      </c>
      <c r="V277" t="s">
        <v>54</v>
      </c>
      <c r="W277" t="s">
        <v>54</v>
      </c>
      <c r="X277" s="23" t="s">
        <v>54</v>
      </c>
      <c r="Y277" s="23" t="s">
        <v>54</v>
      </c>
      <c r="Z277" s="23" t="s">
        <v>54</v>
      </c>
      <c r="AA277" s="23" t="s">
        <v>54</v>
      </c>
      <c r="AB277" t="s">
        <v>54</v>
      </c>
      <c r="AC277" t="s">
        <v>54</v>
      </c>
      <c r="AD277" t="s">
        <v>54</v>
      </c>
      <c r="AE277" t="s">
        <v>54</v>
      </c>
      <c r="AF277" s="23" t="s">
        <v>54</v>
      </c>
      <c r="AG277" s="23" t="s">
        <v>54</v>
      </c>
      <c r="AH277" s="23" t="s">
        <v>54</v>
      </c>
      <c r="AI277" s="23" t="s">
        <v>54</v>
      </c>
      <c r="AJ277">
        <v>0</v>
      </c>
      <c r="AK277">
        <v>3</v>
      </c>
      <c r="AL277">
        <v>1</v>
      </c>
      <c r="AM277">
        <v>2</v>
      </c>
      <c r="AN277" s="23" t="s">
        <v>54</v>
      </c>
      <c r="AO277" s="23">
        <v>0</v>
      </c>
      <c r="AP277" s="23">
        <v>0</v>
      </c>
      <c r="AQ277" s="23">
        <v>0</v>
      </c>
      <c r="AR277" s="35">
        <v>0</v>
      </c>
      <c r="AS277" s="35">
        <v>0</v>
      </c>
      <c r="AT277" s="35">
        <v>4</v>
      </c>
      <c r="AU277" s="31" t="str">
        <f t="shared" si="7"/>
        <v>库存为4</v>
      </c>
      <c r="AV277" s="36" t="str">
        <f>IFERROR($A$2+AU277,"上周无销量")</f>
        <v>上周无销量</v>
      </c>
    </row>
    <row r="278" spans="1:48">
      <c r="A278" s="21" t="s">
        <v>614</v>
      </c>
      <c r="B278" t="s">
        <v>615</v>
      </c>
      <c r="C278" t="s">
        <v>601</v>
      </c>
      <c r="D278" s="31">
        <v>0</v>
      </c>
      <c r="E278" s="31">
        <v>0</v>
      </c>
      <c r="F278" s="31">
        <v>0</v>
      </c>
      <c r="G278" s="31">
        <v>0</v>
      </c>
      <c r="H278" s="32">
        <v>0</v>
      </c>
      <c r="I278">
        <v>2</v>
      </c>
      <c r="J278" s="33">
        <v>0</v>
      </c>
      <c r="K278" s="33">
        <v>0</v>
      </c>
      <c r="L278" s="33">
        <v>1</v>
      </c>
      <c r="M278">
        <v>3</v>
      </c>
      <c r="N278">
        <v>0</v>
      </c>
      <c r="O278">
        <v>4</v>
      </c>
      <c r="P278" t="s">
        <v>54</v>
      </c>
      <c r="Q278" t="s">
        <v>54</v>
      </c>
      <c r="R278" t="s">
        <v>54</v>
      </c>
      <c r="S278" t="s">
        <v>54</v>
      </c>
      <c r="T278" t="s">
        <v>54</v>
      </c>
      <c r="U278" t="s">
        <v>54</v>
      </c>
      <c r="V278" t="s">
        <v>54</v>
      </c>
      <c r="W278" t="s">
        <v>54</v>
      </c>
      <c r="X278" s="23" t="s">
        <v>54</v>
      </c>
      <c r="Y278" s="23" t="s">
        <v>54</v>
      </c>
      <c r="Z278" s="23" t="s">
        <v>54</v>
      </c>
      <c r="AA278" s="23" t="s">
        <v>54</v>
      </c>
      <c r="AB278" t="s">
        <v>54</v>
      </c>
      <c r="AC278" t="s">
        <v>54</v>
      </c>
      <c r="AD278" t="s">
        <v>54</v>
      </c>
      <c r="AE278" t="s">
        <v>54</v>
      </c>
      <c r="AF278" s="23" t="s">
        <v>54</v>
      </c>
      <c r="AG278" s="23" t="s">
        <v>54</v>
      </c>
      <c r="AH278" s="23" t="s">
        <v>54</v>
      </c>
      <c r="AI278" s="23" t="s">
        <v>54</v>
      </c>
      <c r="AJ278">
        <v>0</v>
      </c>
      <c r="AK278">
        <v>2</v>
      </c>
      <c r="AL278">
        <v>2</v>
      </c>
      <c r="AM278">
        <v>2</v>
      </c>
      <c r="AN278" s="23" t="s">
        <v>54</v>
      </c>
      <c r="AO278" s="23">
        <v>0</v>
      </c>
      <c r="AP278" s="23">
        <v>0</v>
      </c>
      <c r="AQ278" s="23">
        <v>0</v>
      </c>
      <c r="AR278" s="35">
        <v>0</v>
      </c>
      <c r="AS278" s="35">
        <v>0</v>
      </c>
      <c r="AT278" s="35">
        <v>3</v>
      </c>
      <c r="AU278" s="31" t="str">
        <f t="shared" si="7"/>
        <v>库存为3</v>
      </c>
      <c r="AV278" s="36" t="str">
        <f>IFERROR($A$2+AU278,"上周无销量")</f>
        <v>上周无销量</v>
      </c>
    </row>
    <row r="279" spans="1:48">
      <c r="A279" s="21" t="s">
        <v>616</v>
      </c>
      <c r="B279" t="s">
        <v>617</v>
      </c>
      <c r="C279" t="s">
        <v>601</v>
      </c>
      <c r="D279" s="31">
        <v>0</v>
      </c>
      <c r="E279" s="31">
        <v>0</v>
      </c>
      <c r="F279" s="31">
        <v>0</v>
      </c>
      <c r="G279" s="31">
        <v>0</v>
      </c>
      <c r="H279" s="32">
        <v>0</v>
      </c>
      <c r="I279">
        <v>5</v>
      </c>
      <c r="J279" s="33">
        <v>0</v>
      </c>
      <c r="K279" s="33">
        <v>0</v>
      </c>
      <c r="L279" s="33">
        <v>0</v>
      </c>
      <c r="M279">
        <v>5</v>
      </c>
      <c r="N279">
        <v>0</v>
      </c>
      <c r="O279">
        <v>5</v>
      </c>
      <c r="P279" t="s">
        <v>54</v>
      </c>
      <c r="Q279" t="s">
        <v>54</v>
      </c>
      <c r="R279" t="s">
        <v>54</v>
      </c>
      <c r="S279" t="s">
        <v>54</v>
      </c>
      <c r="T279" t="s">
        <v>54</v>
      </c>
      <c r="U279" t="s">
        <v>54</v>
      </c>
      <c r="V279" t="s">
        <v>54</v>
      </c>
      <c r="W279" t="s">
        <v>54</v>
      </c>
      <c r="X279" s="23" t="s">
        <v>54</v>
      </c>
      <c r="Y279" s="23" t="s">
        <v>54</v>
      </c>
      <c r="Z279" s="23" t="s">
        <v>54</v>
      </c>
      <c r="AA279" s="23" t="s">
        <v>54</v>
      </c>
      <c r="AB279" t="s">
        <v>54</v>
      </c>
      <c r="AC279" t="s">
        <v>54</v>
      </c>
      <c r="AD279" t="s">
        <v>54</v>
      </c>
      <c r="AE279" t="s">
        <v>54</v>
      </c>
      <c r="AF279" s="23" t="s">
        <v>54</v>
      </c>
      <c r="AG279" s="23" t="s">
        <v>54</v>
      </c>
      <c r="AH279" s="23" t="s">
        <v>54</v>
      </c>
      <c r="AI279" s="23" t="s">
        <v>54</v>
      </c>
      <c r="AJ279">
        <v>4</v>
      </c>
      <c r="AK279">
        <v>2</v>
      </c>
      <c r="AL279">
        <v>2</v>
      </c>
      <c r="AM279">
        <v>5</v>
      </c>
      <c r="AN279" s="23">
        <v>0</v>
      </c>
      <c r="AO279" s="23">
        <v>0</v>
      </c>
      <c r="AP279" s="23">
        <v>0</v>
      </c>
      <c r="AQ279" s="23">
        <v>0</v>
      </c>
      <c r="AR279" s="35">
        <v>0</v>
      </c>
      <c r="AS279" s="35">
        <v>0</v>
      </c>
      <c r="AT279" s="35">
        <v>5</v>
      </c>
      <c r="AU279" s="31" t="str">
        <f t="shared" si="7"/>
        <v>库存为5</v>
      </c>
      <c r="AV279" s="36" t="str">
        <f>IFERROR($A$2+AU279,"上周无销量")</f>
        <v>上周无销量</v>
      </c>
    </row>
    <row r="280" spans="1:48">
      <c r="A280" s="21" t="s">
        <v>618</v>
      </c>
      <c r="B280" t="s">
        <v>619</v>
      </c>
      <c r="C280" t="s">
        <v>601</v>
      </c>
      <c r="D280" s="31">
        <v>0</v>
      </c>
      <c r="E280" s="31">
        <v>0</v>
      </c>
      <c r="F280" s="31">
        <v>0</v>
      </c>
      <c r="G280" s="31">
        <v>0</v>
      </c>
      <c r="H280" s="32">
        <v>0</v>
      </c>
      <c r="I280">
        <v>4</v>
      </c>
      <c r="J280" s="33">
        <v>0</v>
      </c>
      <c r="K280" s="33">
        <v>0</v>
      </c>
      <c r="L280" s="33">
        <v>0</v>
      </c>
      <c r="M280">
        <v>4</v>
      </c>
      <c r="N280">
        <v>0</v>
      </c>
      <c r="O280">
        <v>3</v>
      </c>
      <c r="P280" t="s">
        <v>54</v>
      </c>
      <c r="Q280" t="s">
        <v>54</v>
      </c>
      <c r="R280" t="s">
        <v>54</v>
      </c>
      <c r="S280" t="s">
        <v>54</v>
      </c>
      <c r="T280" t="s">
        <v>54</v>
      </c>
      <c r="U280" t="s">
        <v>54</v>
      </c>
      <c r="V280" t="s">
        <v>54</v>
      </c>
      <c r="W280" t="s">
        <v>54</v>
      </c>
      <c r="X280" s="23" t="s">
        <v>54</v>
      </c>
      <c r="Y280" s="23" t="s">
        <v>54</v>
      </c>
      <c r="Z280" s="23" t="s">
        <v>54</v>
      </c>
      <c r="AA280" s="23" t="s">
        <v>54</v>
      </c>
      <c r="AB280" t="s">
        <v>54</v>
      </c>
      <c r="AC280" t="s">
        <v>54</v>
      </c>
      <c r="AD280" t="s">
        <v>54</v>
      </c>
      <c r="AE280" t="s">
        <v>54</v>
      </c>
      <c r="AF280" s="23" t="s">
        <v>54</v>
      </c>
      <c r="AG280" s="23" t="s">
        <v>54</v>
      </c>
      <c r="AH280" s="23" t="s">
        <v>54</v>
      </c>
      <c r="AI280" s="23" t="s">
        <v>54</v>
      </c>
      <c r="AJ280">
        <v>1</v>
      </c>
      <c r="AK280">
        <v>1</v>
      </c>
      <c r="AL280">
        <v>1</v>
      </c>
      <c r="AM280">
        <v>4</v>
      </c>
      <c r="AN280" s="23">
        <v>0</v>
      </c>
      <c r="AO280" s="23">
        <v>0</v>
      </c>
      <c r="AP280" s="23">
        <v>0</v>
      </c>
      <c r="AQ280" s="23">
        <v>0</v>
      </c>
      <c r="AR280" s="35">
        <v>0</v>
      </c>
      <c r="AS280" s="35">
        <v>0</v>
      </c>
      <c r="AT280" s="35">
        <v>4</v>
      </c>
      <c r="AU280" s="31" t="str">
        <f t="shared" si="7"/>
        <v>库存为4</v>
      </c>
      <c r="AV280" s="36" t="str">
        <f>IFERROR($A$2+AU280,"上周无销量")</f>
        <v>上周无销量</v>
      </c>
    </row>
    <row r="281" spans="1:48">
      <c r="A281" s="21" t="s">
        <v>620</v>
      </c>
      <c r="B281" t="s">
        <v>621</v>
      </c>
      <c r="C281" t="s">
        <v>601</v>
      </c>
      <c r="D281" s="31">
        <v>1</v>
      </c>
      <c r="E281" s="31">
        <v>0</v>
      </c>
      <c r="F281" s="31">
        <v>0</v>
      </c>
      <c r="G281" s="31">
        <v>0</v>
      </c>
      <c r="H281" s="32">
        <v>12</v>
      </c>
      <c r="I281">
        <v>4</v>
      </c>
      <c r="J281" s="33">
        <v>0</v>
      </c>
      <c r="K281" s="33">
        <v>0</v>
      </c>
      <c r="L281" s="33">
        <v>0</v>
      </c>
      <c r="M281">
        <v>4</v>
      </c>
      <c r="N281">
        <v>0</v>
      </c>
      <c r="O281">
        <v>4</v>
      </c>
      <c r="P281" t="s">
        <v>54</v>
      </c>
      <c r="Q281" t="s">
        <v>54</v>
      </c>
      <c r="R281" t="s">
        <v>54</v>
      </c>
      <c r="S281" t="s">
        <v>54</v>
      </c>
      <c r="T281" t="s">
        <v>54</v>
      </c>
      <c r="U281" t="s">
        <v>54</v>
      </c>
      <c r="V281" t="s">
        <v>54</v>
      </c>
      <c r="W281" t="s">
        <v>54</v>
      </c>
      <c r="X281" s="23" t="s">
        <v>54</v>
      </c>
      <c r="Y281" s="23" t="s">
        <v>54</v>
      </c>
      <c r="Z281" s="23" t="s">
        <v>54</v>
      </c>
      <c r="AA281" s="23" t="s">
        <v>54</v>
      </c>
      <c r="AB281" t="s">
        <v>54</v>
      </c>
      <c r="AC281" t="s">
        <v>54</v>
      </c>
      <c r="AD281" t="s">
        <v>54</v>
      </c>
      <c r="AE281" t="s">
        <v>54</v>
      </c>
      <c r="AF281" s="23" t="s">
        <v>54</v>
      </c>
      <c r="AG281" s="23" t="s">
        <v>54</v>
      </c>
      <c r="AH281" s="23" t="s">
        <v>54</v>
      </c>
      <c r="AI281" s="23" t="s">
        <v>54</v>
      </c>
      <c r="AJ281">
        <v>2</v>
      </c>
      <c r="AK281">
        <v>1</v>
      </c>
      <c r="AL281">
        <v>2</v>
      </c>
      <c r="AM281">
        <v>0</v>
      </c>
      <c r="AN281" s="23">
        <v>0.5</v>
      </c>
      <c r="AO281" s="23">
        <v>0</v>
      </c>
      <c r="AP281" s="23">
        <v>0</v>
      </c>
      <c r="AQ281" s="23" t="s">
        <v>54</v>
      </c>
      <c r="AR281" s="35">
        <v>0.142857142857143</v>
      </c>
      <c r="AS281" s="35">
        <v>8.57142857142857</v>
      </c>
      <c r="AT281" s="35">
        <v>-4.57142857142857</v>
      </c>
      <c r="AU281" s="31">
        <f t="shared" si="7"/>
        <v>28</v>
      </c>
      <c r="AV281" s="36">
        <f>IFERROR($A$2+AU281,"上周无销量")</f>
        <v>43318</v>
      </c>
    </row>
    <row r="282" spans="1:48">
      <c r="A282" s="21" t="s">
        <v>622</v>
      </c>
      <c r="B282" t="s">
        <v>623</v>
      </c>
      <c r="C282" t="s">
        <v>601</v>
      </c>
      <c r="D282" s="31">
        <v>0</v>
      </c>
      <c r="E282" s="31">
        <v>0</v>
      </c>
      <c r="F282" s="31">
        <v>0</v>
      </c>
      <c r="G282" s="31">
        <v>0</v>
      </c>
      <c r="H282" s="32">
        <v>0</v>
      </c>
      <c r="I282">
        <v>3</v>
      </c>
      <c r="J282" s="33">
        <v>0</v>
      </c>
      <c r="K282" s="33">
        <v>0</v>
      </c>
      <c r="L282" s="33">
        <v>0</v>
      </c>
      <c r="M282">
        <v>3</v>
      </c>
      <c r="N282">
        <v>0</v>
      </c>
      <c r="O282">
        <v>2</v>
      </c>
      <c r="P282" t="s">
        <v>54</v>
      </c>
      <c r="Q282" t="s">
        <v>54</v>
      </c>
      <c r="R282" t="s">
        <v>54</v>
      </c>
      <c r="S282" t="s">
        <v>54</v>
      </c>
      <c r="T282" t="s">
        <v>54</v>
      </c>
      <c r="U282" t="s">
        <v>54</v>
      </c>
      <c r="V282" t="s">
        <v>54</v>
      </c>
      <c r="W282" t="s">
        <v>54</v>
      </c>
      <c r="X282" s="23" t="s">
        <v>54</v>
      </c>
      <c r="Y282" s="23" t="s">
        <v>54</v>
      </c>
      <c r="Z282" s="23" t="s">
        <v>54</v>
      </c>
      <c r="AA282" s="23" t="s">
        <v>54</v>
      </c>
      <c r="AB282" t="s">
        <v>54</v>
      </c>
      <c r="AC282" t="s">
        <v>54</v>
      </c>
      <c r="AD282" t="s">
        <v>54</v>
      </c>
      <c r="AE282" t="s">
        <v>54</v>
      </c>
      <c r="AF282" s="23" t="s">
        <v>54</v>
      </c>
      <c r="AG282" s="23" t="s">
        <v>54</v>
      </c>
      <c r="AH282" s="23" t="s">
        <v>54</v>
      </c>
      <c r="AI282" s="23" t="s">
        <v>54</v>
      </c>
      <c r="AJ282">
        <v>2</v>
      </c>
      <c r="AK282">
        <v>5</v>
      </c>
      <c r="AL282">
        <v>2</v>
      </c>
      <c r="AM282">
        <v>3</v>
      </c>
      <c r="AN282" s="23">
        <v>0</v>
      </c>
      <c r="AO282" s="23">
        <v>0</v>
      </c>
      <c r="AP282" s="23">
        <v>0</v>
      </c>
      <c r="AQ282" s="23">
        <v>0</v>
      </c>
      <c r="AR282" s="35">
        <v>0</v>
      </c>
      <c r="AS282" s="35">
        <v>0</v>
      </c>
      <c r="AT282" s="35">
        <v>3</v>
      </c>
      <c r="AU282" s="31" t="str">
        <f t="shared" si="7"/>
        <v>库存为3</v>
      </c>
      <c r="AV282" s="36" t="str">
        <f>IFERROR($A$2+AU282,"上周无销量")</f>
        <v>上周无销量</v>
      </c>
    </row>
    <row r="283" spans="1:48">
      <c r="A283" s="21" t="s">
        <v>624</v>
      </c>
      <c r="B283" t="s">
        <v>625</v>
      </c>
      <c r="C283" t="s">
        <v>601</v>
      </c>
      <c r="D283" s="31">
        <v>0</v>
      </c>
      <c r="E283" s="31">
        <v>0</v>
      </c>
      <c r="F283" s="31">
        <v>0</v>
      </c>
      <c r="G283" s="31">
        <v>0</v>
      </c>
      <c r="H283" s="32">
        <v>0</v>
      </c>
      <c r="I283">
        <v>5</v>
      </c>
      <c r="J283" s="33">
        <v>0</v>
      </c>
      <c r="K283" s="33">
        <v>0</v>
      </c>
      <c r="L283" s="33">
        <v>0</v>
      </c>
      <c r="M283">
        <v>5</v>
      </c>
      <c r="N283">
        <v>0</v>
      </c>
      <c r="O283">
        <v>5</v>
      </c>
      <c r="P283" t="s">
        <v>54</v>
      </c>
      <c r="Q283" t="s">
        <v>54</v>
      </c>
      <c r="R283" t="s">
        <v>54</v>
      </c>
      <c r="S283" t="s">
        <v>54</v>
      </c>
      <c r="T283" t="s">
        <v>54</v>
      </c>
      <c r="U283" t="s">
        <v>54</v>
      </c>
      <c r="V283" t="s">
        <v>54</v>
      </c>
      <c r="W283" t="s">
        <v>54</v>
      </c>
      <c r="X283" s="23" t="s">
        <v>54</v>
      </c>
      <c r="Y283" s="23" t="s">
        <v>54</v>
      </c>
      <c r="Z283" s="23" t="s">
        <v>54</v>
      </c>
      <c r="AA283" s="23" t="s">
        <v>54</v>
      </c>
      <c r="AB283" t="s">
        <v>54</v>
      </c>
      <c r="AC283" t="s">
        <v>54</v>
      </c>
      <c r="AD283" t="s">
        <v>54</v>
      </c>
      <c r="AE283" t="s">
        <v>54</v>
      </c>
      <c r="AF283" s="23" t="s">
        <v>54</v>
      </c>
      <c r="AG283" s="23" t="s">
        <v>54</v>
      </c>
      <c r="AH283" s="23" t="s">
        <v>54</v>
      </c>
      <c r="AI283" s="23" t="s">
        <v>54</v>
      </c>
      <c r="AJ283">
        <v>2</v>
      </c>
      <c r="AK283">
        <v>1</v>
      </c>
      <c r="AL283">
        <v>2</v>
      </c>
      <c r="AM283">
        <v>3</v>
      </c>
      <c r="AN283" s="23">
        <v>0</v>
      </c>
      <c r="AO283" s="23">
        <v>0</v>
      </c>
      <c r="AP283" s="23">
        <v>0</v>
      </c>
      <c r="AQ283" s="23">
        <v>0</v>
      </c>
      <c r="AR283" s="35">
        <v>0</v>
      </c>
      <c r="AS283" s="35">
        <v>0</v>
      </c>
      <c r="AT283" s="35">
        <v>5</v>
      </c>
      <c r="AU283" s="31" t="str">
        <f t="shared" si="7"/>
        <v>库存为5</v>
      </c>
      <c r="AV283" s="36" t="str">
        <f>IFERROR($A$2+AU283,"上周无销量")</f>
        <v>上周无销量</v>
      </c>
    </row>
    <row r="284" spans="1:48">
      <c r="A284" s="21" t="s">
        <v>626</v>
      </c>
      <c r="B284" t="s">
        <v>627</v>
      </c>
      <c r="C284" t="s">
        <v>601</v>
      </c>
      <c r="D284" s="31">
        <v>1</v>
      </c>
      <c r="E284" s="31">
        <v>0</v>
      </c>
      <c r="F284" s="31">
        <v>0</v>
      </c>
      <c r="G284" s="31">
        <v>0</v>
      </c>
      <c r="H284" s="32">
        <v>12</v>
      </c>
      <c r="I284">
        <v>4</v>
      </c>
      <c r="J284" s="33">
        <v>0</v>
      </c>
      <c r="K284" s="33">
        <v>0</v>
      </c>
      <c r="L284" s="33">
        <v>0</v>
      </c>
      <c r="M284">
        <v>4</v>
      </c>
      <c r="N284">
        <v>0</v>
      </c>
      <c r="O284">
        <v>4</v>
      </c>
      <c r="P284" t="s">
        <v>54</v>
      </c>
      <c r="Q284" t="s">
        <v>54</v>
      </c>
      <c r="R284" t="s">
        <v>54</v>
      </c>
      <c r="S284" t="s">
        <v>54</v>
      </c>
      <c r="T284" t="s">
        <v>54</v>
      </c>
      <c r="U284" t="s">
        <v>54</v>
      </c>
      <c r="V284" t="s">
        <v>54</v>
      </c>
      <c r="W284" t="s">
        <v>54</v>
      </c>
      <c r="X284" s="23" t="s">
        <v>54</v>
      </c>
      <c r="Y284" s="23" t="s">
        <v>54</v>
      </c>
      <c r="Z284" s="23" t="s">
        <v>54</v>
      </c>
      <c r="AA284" s="23" t="s">
        <v>54</v>
      </c>
      <c r="AB284" t="s">
        <v>54</v>
      </c>
      <c r="AC284" t="s">
        <v>54</v>
      </c>
      <c r="AD284" t="s">
        <v>54</v>
      </c>
      <c r="AE284" t="s">
        <v>54</v>
      </c>
      <c r="AF284" s="23" t="s">
        <v>54</v>
      </c>
      <c r="AG284" s="23" t="s">
        <v>54</v>
      </c>
      <c r="AH284" s="23" t="s">
        <v>54</v>
      </c>
      <c r="AI284" s="23" t="s">
        <v>54</v>
      </c>
      <c r="AJ284">
        <v>0</v>
      </c>
      <c r="AK284">
        <v>2</v>
      </c>
      <c r="AL284">
        <v>1</v>
      </c>
      <c r="AM284">
        <v>2</v>
      </c>
      <c r="AN284" s="23" t="s">
        <v>54</v>
      </c>
      <c r="AO284" s="23">
        <v>0</v>
      </c>
      <c r="AP284" s="23">
        <v>0</v>
      </c>
      <c r="AQ284" s="23">
        <v>0</v>
      </c>
      <c r="AR284" s="35">
        <v>0.142857142857143</v>
      </c>
      <c r="AS284" s="35">
        <v>8.57142857142857</v>
      </c>
      <c r="AT284" s="35">
        <v>-4.57142857142857</v>
      </c>
      <c r="AU284" s="31">
        <f t="shared" si="7"/>
        <v>28</v>
      </c>
      <c r="AV284" s="36">
        <f>IFERROR($A$2+AU284,"上周无销量")</f>
        <v>43318</v>
      </c>
    </row>
    <row r="285" spans="1:48">
      <c r="A285" s="21" t="s">
        <v>628</v>
      </c>
      <c r="B285" t="s">
        <v>629</v>
      </c>
      <c r="C285" t="s">
        <v>601</v>
      </c>
      <c r="D285" s="31">
        <v>0</v>
      </c>
      <c r="E285" s="31">
        <v>0</v>
      </c>
      <c r="F285" s="31">
        <v>0</v>
      </c>
      <c r="G285" s="31">
        <v>0</v>
      </c>
      <c r="H285" s="32">
        <v>0</v>
      </c>
      <c r="I285">
        <v>3</v>
      </c>
      <c r="J285" s="33">
        <v>0</v>
      </c>
      <c r="K285" s="33">
        <v>0</v>
      </c>
      <c r="L285" s="33">
        <v>0</v>
      </c>
      <c r="M285">
        <v>3</v>
      </c>
      <c r="N285">
        <v>0</v>
      </c>
      <c r="O285">
        <v>3</v>
      </c>
      <c r="P285" t="s">
        <v>54</v>
      </c>
      <c r="Q285" t="s">
        <v>54</v>
      </c>
      <c r="R285" t="s">
        <v>54</v>
      </c>
      <c r="S285" t="s">
        <v>54</v>
      </c>
      <c r="T285" t="s">
        <v>54</v>
      </c>
      <c r="U285" t="s">
        <v>54</v>
      </c>
      <c r="V285" t="s">
        <v>54</v>
      </c>
      <c r="W285" t="s">
        <v>54</v>
      </c>
      <c r="X285" s="23" t="s">
        <v>54</v>
      </c>
      <c r="Y285" s="23" t="s">
        <v>54</v>
      </c>
      <c r="Z285" s="23" t="s">
        <v>54</v>
      </c>
      <c r="AA285" s="23" t="s">
        <v>54</v>
      </c>
      <c r="AB285" t="s">
        <v>54</v>
      </c>
      <c r="AC285" t="s">
        <v>54</v>
      </c>
      <c r="AD285" t="s">
        <v>54</v>
      </c>
      <c r="AE285" t="s">
        <v>54</v>
      </c>
      <c r="AF285" s="23" t="s">
        <v>54</v>
      </c>
      <c r="AG285" s="23" t="s">
        <v>54</v>
      </c>
      <c r="AH285" s="23" t="s">
        <v>54</v>
      </c>
      <c r="AI285" s="23" t="s">
        <v>54</v>
      </c>
      <c r="AJ285">
        <v>2</v>
      </c>
      <c r="AK285">
        <v>4</v>
      </c>
      <c r="AL285">
        <v>2</v>
      </c>
      <c r="AM285">
        <v>2</v>
      </c>
      <c r="AN285" s="23">
        <v>0</v>
      </c>
      <c r="AO285" s="23">
        <v>0</v>
      </c>
      <c r="AP285" s="23">
        <v>0</v>
      </c>
      <c r="AQ285" s="23">
        <v>0</v>
      </c>
      <c r="AR285" s="35">
        <v>0</v>
      </c>
      <c r="AS285" s="35">
        <v>0</v>
      </c>
      <c r="AT285" s="35">
        <v>3</v>
      </c>
      <c r="AU285" s="31" t="str">
        <f t="shared" si="7"/>
        <v>库存为3</v>
      </c>
      <c r="AV285" s="36" t="str">
        <f>IFERROR($A$2+AU285,"上周无销量")</f>
        <v>上周无销量</v>
      </c>
    </row>
    <row r="286" spans="1:48">
      <c r="A286" s="21" t="s">
        <v>630</v>
      </c>
      <c r="B286" t="s">
        <v>631</v>
      </c>
      <c r="C286" t="s">
        <v>601</v>
      </c>
      <c r="D286" s="31">
        <v>1</v>
      </c>
      <c r="E286" s="31">
        <v>0</v>
      </c>
      <c r="F286" s="31">
        <v>0</v>
      </c>
      <c r="G286" s="31">
        <v>0</v>
      </c>
      <c r="H286" s="32">
        <v>12</v>
      </c>
      <c r="I286">
        <v>2</v>
      </c>
      <c r="J286" s="33">
        <v>0</v>
      </c>
      <c r="K286" s="33">
        <v>0</v>
      </c>
      <c r="L286" s="33">
        <v>0</v>
      </c>
      <c r="M286">
        <v>2</v>
      </c>
      <c r="N286">
        <v>0</v>
      </c>
      <c r="O286">
        <v>2</v>
      </c>
      <c r="P286" t="s">
        <v>54</v>
      </c>
      <c r="Q286" t="s">
        <v>54</v>
      </c>
      <c r="R286" t="s">
        <v>54</v>
      </c>
      <c r="S286" t="s">
        <v>54</v>
      </c>
      <c r="T286" t="s">
        <v>54</v>
      </c>
      <c r="U286" t="s">
        <v>54</v>
      </c>
      <c r="V286" t="s">
        <v>54</v>
      </c>
      <c r="W286" t="s">
        <v>54</v>
      </c>
      <c r="X286" s="23" t="s">
        <v>54</v>
      </c>
      <c r="Y286" s="23" t="s">
        <v>54</v>
      </c>
      <c r="Z286" s="23" t="s">
        <v>54</v>
      </c>
      <c r="AA286" s="23" t="s">
        <v>54</v>
      </c>
      <c r="AB286" t="s">
        <v>54</v>
      </c>
      <c r="AC286" t="s">
        <v>54</v>
      </c>
      <c r="AD286" t="s">
        <v>54</v>
      </c>
      <c r="AE286" t="s">
        <v>54</v>
      </c>
      <c r="AF286" s="23" t="s">
        <v>54</v>
      </c>
      <c r="AG286" s="23" t="s">
        <v>54</v>
      </c>
      <c r="AH286" s="23" t="s">
        <v>54</v>
      </c>
      <c r="AI286" s="23" t="s">
        <v>54</v>
      </c>
      <c r="AJ286">
        <v>1</v>
      </c>
      <c r="AK286">
        <v>2</v>
      </c>
      <c r="AL286">
        <v>1</v>
      </c>
      <c r="AM286">
        <v>2</v>
      </c>
      <c r="AN286" s="23">
        <v>1</v>
      </c>
      <c r="AO286" s="23">
        <v>0</v>
      </c>
      <c r="AP286" s="23">
        <v>0</v>
      </c>
      <c r="AQ286" s="23">
        <v>0</v>
      </c>
      <c r="AR286" s="35">
        <v>0.142857142857143</v>
      </c>
      <c r="AS286" s="35">
        <v>8.57142857142857</v>
      </c>
      <c r="AT286" s="35">
        <v>-6.57142857142857</v>
      </c>
      <c r="AU286" s="31">
        <f t="shared" si="7"/>
        <v>14</v>
      </c>
      <c r="AV286" s="36">
        <f>IFERROR($A$2+AU286,"上周无销量")</f>
        <v>43304</v>
      </c>
    </row>
    <row r="287" spans="1:48">
      <c r="A287" s="21" t="s">
        <v>632</v>
      </c>
      <c r="B287" t="s">
        <v>633</v>
      </c>
      <c r="C287" t="s">
        <v>601</v>
      </c>
      <c r="D287" s="31">
        <v>0</v>
      </c>
      <c r="E287" s="31">
        <v>0</v>
      </c>
      <c r="F287" s="31">
        <v>0</v>
      </c>
      <c r="G287" s="31">
        <v>0</v>
      </c>
      <c r="H287" s="32">
        <v>0</v>
      </c>
      <c r="I287">
        <v>5</v>
      </c>
      <c r="J287" s="33">
        <v>0</v>
      </c>
      <c r="K287" s="33">
        <v>0</v>
      </c>
      <c r="L287" s="33">
        <v>0</v>
      </c>
      <c r="M287">
        <v>5</v>
      </c>
      <c r="N287">
        <v>0</v>
      </c>
      <c r="O287">
        <v>5</v>
      </c>
      <c r="P287" t="s">
        <v>54</v>
      </c>
      <c r="Q287" t="s">
        <v>54</v>
      </c>
      <c r="R287" t="s">
        <v>54</v>
      </c>
      <c r="S287" t="s">
        <v>54</v>
      </c>
      <c r="T287" t="s">
        <v>54</v>
      </c>
      <c r="U287" t="s">
        <v>54</v>
      </c>
      <c r="V287" t="s">
        <v>54</v>
      </c>
      <c r="W287" t="s">
        <v>54</v>
      </c>
      <c r="X287" s="23" t="s">
        <v>54</v>
      </c>
      <c r="Y287" s="23" t="s">
        <v>54</v>
      </c>
      <c r="Z287" s="23" t="s">
        <v>54</v>
      </c>
      <c r="AA287" s="23" t="s">
        <v>54</v>
      </c>
      <c r="AB287" t="s">
        <v>54</v>
      </c>
      <c r="AC287" t="s">
        <v>54</v>
      </c>
      <c r="AD287" t="s">
        <v>54</v>
      </c>
      <c r="AE287" t="s">
        <v>54</v>
      </c>
      <c r="AF287" s="23" t="s">
        <v>54</v>
      </c>
      <c r="AG287" s="23" t="s">
        <v>54</v>
      </c>
      <c r="AH287" s="23" t="s">
        <v>54</v>
      </c>
      <c r="AI287" s="23" t="s">
        <v>54</v>
      </c>
      <c r="AJ287">
        <v>1</v>
      </c>
      <c r="AK287">
        <v>1</v>
      </c>
      <c r="AL287">
        <v>2</v>
      </c>
      <c r="AM287">
        <v>4</v>
      </c>
      <c r="AN287" s="23">
        <v>0</v>
      </c>
      <c r="AO287" s="23">
        <v>0</v>
      </c>
      <c r="AP287" s="23">
        <v>0</v>
      </c>
      <c r="AQ287" s="23">
        <v>0</v>
      </c>
      <c r="AR287" s="35">
        <v>0</v>
      </c>
      <c r="AS287" s="35">
        <v>0</v>
      </c>
      <c r="AT287" s="35">
        <v>5</v>
      </c>
      <c r="AU287" s="31" t="str">
        <f t="shared" si="7"/>
        <v>库存为5</v>
      </c>
      <c r="AV287" s="36" t="str">
        <f>IFERROR($A$2+AU287,"上周无销量")</f>
        <v>上周无销量</v>
      </c>
    </row>
    <row r="288" spans="1:48">
      <c r="A288" s="21" t="s">
        <v>634</v>
      </c>
      <c r="B288" t="s">
        <v>635</v>
      </c>
      <c r="C288" t="s">
        <v>601</v>
      </c>
      <c r="D288" s="31">
        <v>0</v>
      </c>
      <c r="E288" s="31">
        <v>0</v>
      </c>
      <c r="F288" s="31">
        <v>1</v>
      </c>
      <c r="G288" s="31">
        <v>0</v>
      </c>
      <c r="H288" s="32">
        <v>12</v>
      </c>
      <c r="I288">
        <v>1</v>
      </c>
      <c r="J288" s="33">
        <v>0</v>
      </c>
      <c r="K288" s="33">
        <v>0</v>
      </c>
      <c r="L288" s="33">
        <v>0</v>
      </c>
      <c r="M288">
        <v>1</v>
      </c>
      <c r="N288">
        <v>0</v>
      </c>
      <c r="O288">
        <v>0</v>
      </c>
      <c r="P288" t="s">
        <v>54</v>
      </c>
      <c r="Q288" t="s">
        <v>54</v>
      </c>
      <c r="R288" t="s">
        <v>54</v>
      </c>
      <c r="S288" t="s">
        <v>54</v>
      </c>
      <c r="T288" t="s">
        <v>54</v>
      </c>
      <c r="U288" t="s">
        <v>54</v>
      </c>
      <c r="V288" t="s">
        <v>54</v>
      </c>
      <c r="W288" t="s">
        <v>54</v>
      </c>
      <c r="X288" s="23" t="s">
        <v>54</v>
      </c>
      <c r="Y288" s="23" t="s">
        <v>54</v>
      </c>
      <c r="Z288" s="23" t="s">
        <v>54</v>
      </c>
      <c r="AA288" s="23" t="s">
        <v>54</v>
      </c>
      <c r="AB288" t="s">
        <v>54</v>
      </c>
      <c r="AC288" t="s">
        <v>54</v>
      </c>
      <c r="AD288" t="s">
        <v>54</v>
      </c>
      <c r="AE288" t="s">
        <v>54</v>
      </c>
      <c r="AF288" s="23" t="s">
        <v>54</v>
      </c>
      <c r="AG288" s="23" t="s">
        <v>54</v>
      </c>
      <c r="AH288" s="23" t="s">
        <v>54</v>
      </c>
      <c r="AI288" s="23" t="s">
        <v>54</v>
      </c>
      <c r="AJ288">
        <v>2</v>
      </c>
      <c r="AK288">
        <v>3</v>
      </c>
      <c r="AL288">
        <v>2</v>
      </c>
      <c r="AM288">
        <v>2</v>
      </c>
      <c r="AN288" s="23">
        <v>0</v>
      </c>
      <c r="AO288" s="23">
        <v>0</v>
      </c>
      <c r="AP288" s="23">
        <v>0.5</v>
      </c>
      <c r="AQ288" s="23">
        <v>0</v>
      </c>
      <c r="AR288" s="35">
        <v>0</v>
      </c>
      <c r="AS288" s="35">
        <v>0</v>
      </c>
      <c r="AT288" s="35">
        <v>1</v>
      </c>
      <c r="AU288" s="31" t="str">
        <f t="shared" si="7"/>
        <v>库存为1</v>
      </c>
      <c r="AV288" s="36" t="str">
        <f>IFERROR($A$2+AU288,"上周无销量")</f>
        <v>上周无销量</v>
      </c>
    </row>
    <row r="289" spans="1:48">
      <c r="A289" s="21" t="s">
        <v>636</v>
      </c>
      <c r="B289" t="s">
        <v>637</v>
      </c>
      <c r="C289" t="s">
        <v>601</v>
      </c>
      <c r="D289" s="31">
        <v>0</v>
      </c>
      <c r="E289" s="31">
        <v>0</v>
      </c>
      <c r="F289" s="31">
        <v>0</v>
      </c>
      <c r="G289" s="31">
        <v>0</v>
      </c>
      <c r="H289" s="32">
        <v>0</v>
      </c>
      <c r="I289">
        <v>5</v>
      </c>
      <c r="J289" s="33">
        <v>0</v>
      </c>
      <c r="K289" s="33">
        <v>0</v>
      </c>
      <c r="L289" s="33">
        <v>0</v>
      </c>
      <c r="M289">
        <v>5</v>
      </c>
      <c r="N289">
        <v>0</v>
      </c>
      <c r="O289">
        <v>5</v>
      </c>
      <c r="P289" t="s">
        <v>54</v>
      </c>
      <c r="Q289" t="s">
        <v>54</v>
      </c>
      <c r="R289" t="s">
        <v>54</v>
      </c>
      <c r="S289" t="s">
        <v>54</v>
      </c>
      <c r="T289" t="s">
        <v>54</v>
      </c>
      <c r="U289" t="s">
        <v>54</v>
      </c>
      <c r="V289" t="s">
        <v>54</v>
      </c>
      <c r="W289" t="s">
        <v>54</v>
      </c>
      <c r="X289" s="23" t="s">
        <v>54</v>
      </c>
      <c r="Y289" s="23" t="s">
        <v>54</v>
      </c>
      <c r="Z289" s="23" t="s">
        <v>54</v>
      </c>
      <c r="AA289" s="23" t="s">
        <v>54</v>
      </c>
      <c r="AB289" t="s">
        <v>54</v>
      </c>
      <c r="AC289" t="s">
        <v>54</v>
      </c>
      <c r="AD289" t="s">
        <v>54</v>
      </c>
      <c r="AE289" t="s">
        <v>54</v>
      </c>
      <c r="AF289" s="23" t="s">
        <v>54</v>
      </c>
      <c r="AG289" s="23" t="s">
        <v>54</v>
      </c>
      <c r="AH289" s="23" t="s">
        <v>54</v>
      </c>
      <c r="AI289" s="23" t="s">
        <v>54</v>
      </c>
      <c r="AJ289">
        <v>2</v>
      </c>
      <c r="AK289">
        <v>2</v>
      </c>
      <c r="AL289">
        <v>2</v>
      </c>
      <c r="AM289">
        <v>0</v>
      </c>
      <c r="AN289" s="23">
        <v>0</v>
      </c>
      <c r="AO289" s="23">
        <v>0</v>
      </c>
      <c r="AP289" s="23">
        <v>0</v>
      </c>
      <c r="AQ289" s="23" t="s">
        <v>54</v>
      </c>
      <c r="AR289" s="35">
        <v>0</v>
      </c>
      <c r="AS289" s="35">
        <v>0</v>
      </c>
      <c r="AT289" s="35">
        <v>5</v>
      </c>
      <c r="AU289" s="31" t="str">
        <f t="shared" si="7"/>
        <v>库存为5</v>
      </c>
      <c r="AV289" s="36" t="str">
        <f>IFERROR($A$2+AU289,"上周无销量")</f>
        <v>上周无销量</v>
      </c>
    </row>
    <row r="290" spans="1:48">
      <c r="A290" s="21" t="s">
        <v>638</v>
      </c>
      <c r="B290" t="s">
        <v>639</v>
      </c>
      <c r="C290" t="s">
        <v>601</v>
      </c>
      <c r="D290" s="31">
        <v>0</v>
      </c>
      <c r="E290" s="31">
        <v>0</v>
      </c>
      <c r="F290" s="31">
        <v>0</v>
      </c>
      <c r="G290" s="31">
        <v>0</v>
      </c>
      <c r="H290" s="32">
        <v>0</v>
      </c>
      <c r="I290">
        <v>4</v>
      </c>
      <c r="J290" s="33">
        <v>0</v>
      </c>
      <c r="K290" s="33">
        <v>0</v>
      </c>
      <c r="L290" s="33">
        <v>0</v>
      </c>
      <c r="M290">
        <v>4</v>
      </c>
      <c r="N290">
        <v>0</v>
      </c>
      <c r="O290">
        <v>4</v>
      </c>
      <c r="P290" t="s">
        <v>54</v>
      </c>
      <c r="Q290" t="s">
        <v>54</v>
      </c>
      <c r="R290" t="s">
        <v>54</v>
      </c>
      <c r="S290" t="s">
        <v>54</v>
      </c>
      <c r="T290" t="s">
        <v>54</v>
      </c>
      <c r="U290" t="s">
        <v>54</v>
      </c>
      <c r="V290" t="s">
        <v>54</v>
      </c>
      <c r="W290" t="s">
        <v>54</v>
      </c>
      <c r="X290" s="23" t="s">
        <v>54</v>
      </c>
      <c r="Y290" s="23" t="s">
        <v>54</v>
      </c>
      <c r="Z290" s="23" t="s">
        <v>54</v>
      </c>
      <c r="AA290" s="23" t="s">
        <v>54</v>
      </c>
      <c r="AB290" t="s">
        <v>54</v>
      </c>
      <c r="AC290" t="s">
        <v>54</v>
      </c>
      <c r="AD290" t="s">
        <v>54</v>
      </c>
      <c r="AE290" t="s">
        <v>54</v>
      </c>
      <c r="AF290" s="23" t="s">
        <v>54</v>
      </c>
      <c r="AG290" s="23" t="s">
        <v>54</v>
      </c>
      <c r="AH290" s="23" t="s">
        <v>54</v>
      </c>
      <c r="AI290" s="23" t="s">
        <v>54</v>
      </c>
      <c r="AJ290">
        <v>2</v>
      </c>
      <c r="AK290">
        <v>0</v>
      </c>
      <c r="AL290">
        <v>5</v>
      </c>
      <c r="AM290">
        <v>2</v>
      </c>
      <c r="AN290" s="23">
        <v>0</v>
      </c>
      <c r="AO290" s="23" t="s">
        <v>54</v>
      </c>
      <c r="AP290" s="23">
        <v>0</v>
      </c>
      <c r="AQ290" s="23">
        <v>0</v>
      </c>
      <c r="AR290" s="35">
        <v>0</v>
      </c>
      <c r="AS290" s="35">
        <v>0</v>
      </c>
      <c r="AT290" s="35">
        <v>4</v>
      </c>
      <c r="AU290" s="31" t="str">
        <f t="shared" si="7"/>
        <v>库存为4</v>
      </c>
      <c r="AV290" s="36" t="str">
        <f>IFERROR($A$2+AU290,"上周无销量")</f>
        <v>上周无销量</v>
      </c>
    </row>
    <row r="291" spans="1:48">
      <c r="A291" s="21" t="s">
        <v>640</v>
      </c>
      <c r="B291" t="s">
        <v>641</v>
      </c>
      <c r="C291" t="s">
        <v>601</v>
      </c>
      <c r="D291" s="31">
        <v>0</v>
      </c>
      <c r="E291" s="31">
        <v>1</v>
      </c>
      <c r="F291" s="31">
        <v>1</v>
      </c>
      <c r="G291" s="31">
        <v>0</v>
      </c>
      <c r="H291" s="32">
        <v>12</v>
      </c>
      <c r="I291">
        <v>1</v>
      </c>
      <c r="J291" s="33">
        <v>0</v>
      </c>
      <c r="K291" s="33">
        <v>0</v>
      </c>
      <c r="L291" s="33">
        <v>0</v>
      </c>
      <c r="M291">
        <v>1</v>
      </c>
      <c r="N291">
        <v>0</v>
      </c>
      <c r="O291">
        <v>0</v>
      </c>
      <c r="P291" t="s">
        <v>54</v>
      </c>
      <c r="Q291" t="s">
        <v>54</v>
      </c>
      <c r="R291" t="s">
        <v>54</v>
      </c>
      <c r="S291" t="s">
        <v>54</v>
      </c>
      <c r="T291" t="s">
        <v>54</v>
      </c>
      <c r="U291" t="s">
        <v>54</v>
      </c>
      <c r="V291" t="s">
        <v>54</v>
      </c>
      <c r="W291" t="s">
        <v>54</v>
      </c>
      <c r="X291" s="23" t="s">
        <v>54</v>
      </c>
      <c r="Y291" s="23" t="s">
        <v>54</v>
      </c>
      <c r="Z291" s="23" t="s">
        <v>54</v>
      </c>
      <c r="AA291" s="23" t="s">
        <v>54</v>
      </c>
      <c r="AB291" t="s">
        <v>54</v>
      </c>
      <c r="AC291" t="s">
        <v>54</v>
      </c>
      <c r="AD291" t="s">
        <v>54</v>
      </c>
      <c r="AE291" t="s">
        <v>54</v>
      </c>
      <c r="AF291" s="23" t="s">
        <v>54</v>
      </c>
      <c r="AG291" s="23" t="s">
        <v>54</v>
      </c>
      <c r="AH291" s="23" t="s">
        <v>54</v>
      </c>
      <c r="AI291" s="23" t="s">
        <v>54</v>
      </c>
      <c r="AJ291">
        <v>3</v>
      </c>
      <c r="AK291">
        <v>2</v>
      </c>
      <c r="AL291">
        <v>2</v>
      </c>
      <c r="AM291">
        <v>2</v>
      </c>
      <c r="AN291" s="23">
        <v>0</v>
      </c>
      <c r="AO291" s="23">
        <v>0.5</v>
      </c>
      <c r="AP291" s="23">
        <v>0.5</v>
      </c>
      <c r="AQ291" s="23">
        <v>0</v>
      </c>
      <c r="AR291" s="35">
        <v>0</v>
      </c>
      <c r="AS291" s="35">
        <v>0</v>
      </c>
      <c r="AT291" s="35">
        <v>1</v>
      </c>
      <c r="AU291" s="31" t="str">
        <f t="shared" si="7"/>
        <v>库存为1</v>
      </c>
      <c r="AV291" s="36" t="str">
        <f>IFERROR($A$2+AU291,"上周无销量")</f>
        <v>上周无销量</v>
      </c>
    </row>
    <row r="292" spans="1:48">
      <c r="A292" s="21" t="s">
        <v>642</v>
      </c>
      <c r="B292" t="s">
        <v>643</v>
      </c>
      <c r="C292" t="s">
        <v>601</v>
      </c>
      <c r="D292" s="31">
        <v>0</v>
      </c>
      <c r="E292" s="31">
        <v>0</v>
      </c>
      <c r="F292" s="31">
        <v>0</v>
      </c>
      <c r="G292" s="31">
        <v>0</v>
      </c>
      <c r="H292" s="32">
        <v>0</v>
      </c>
      <c r="I292">
        <v>4</v>
      </c>
      <c r="J292" s="33">
        <v>0</v>
      </c>
      <c r="K292" s="33">
        <v>0</v>
      </c>
      <c r="L292" s="33">
        <v>0</v>
      </c>
      <c r="M292">
        <v>4</v>
      </c>
      <c r="N292">
        <v>0</v>
      </c>
      <c r="O292">
        <v>3</v>
      </c>
      <c r="P292" t="s">
        <v>54</v>
      </c>
      <c r="Q292" t="s">
        <v>54</v>
      </c>
      <c r="R292" t="s">
        <v>54</v>
      </c>
      <c r="S292" t="s">
        <v>54</v>
      </c>
      <c r="T292" t="s">
        <v>54</v>
      </c>
      <c r="U292" t="s">
        <v>54</v>
      </c>
      <c r="V292" t="s">
        <v>54</v>
      </c>
      <c r="W292" t="s">
        <v>54</v>
      </c>
      <c r="X292" s="23" t="s">
        <v>54</v>
      </c>
      <c r="Y292" s="23" t="s">
        <v>54</v>
      </c>
      <c r="Z292" s="23" t="s">
        <v>54</v>
      </c>
      <c r="AA292" s="23" t="s">
        <v>54</v>
      </c>
      <c r="AB292" t="s">
        <v>54</v>
      </c>
      <c r="AC292" t="s">
        <v>54</v>
      </c>
      <c r="AD292" t="s">
        <v>54</v>
      </c>
      <c r="AE292" t="s">
        <v>54</v>
      </c>
      <c r="AF292" s="23" t="s">
        <v>54</v>
      </c>
      <c r="AG292" s="23" t="s">
        <v>54</v>
      </c>
      <c r="AH292" s="23" t="s">
        <v>54</v>
      </c>
      <c r="AI292" s="23" t="s">
        <v>54</v>
      </c>
      <c r="AJ292">
        <v>1</v>
      </c>
      <c r="AK292">
        <v>2</v>
      </c>
      <c r="AL292">
        <v>3</v>
      </c>
      <c r="AM292">
        <v>5</v>
      </c>
      <c r="AN292" s="23">
        <v>0</v>
      </c>
      <c r="AO292" s="23">
        <v>0</v>
      </c>
      <c r="AP292" s="23">
        <v>0</v>
      </c>
      <c r="AQ292" s="23">
        <v>0</v>
      </c>
      <c r="AR292" s="35">
        <v>0</v>
      </c>
      <c r="AS292" s="35">
        <v>0</v>
      </c>
      <c r="AT292" s="35">
        <v>4</v>
      </c>
      <c r="AU292" s="31" t="str">
        <f t="shared" si="7"/>
        <v>库存为4</v>
      </c>
      <c r="AV292" s="36" t="str">
        <f>IFERROR($A$2+AU292,"上周无销量")</f>
        <v>上周无销量</v>
      </c>
    </row>
    <row r="293" spans="1:48">
      <c r="A293" s="21" t="s">
        <v>644</v>
      </c>
      <c r="B293" t="s">
        <v>645</v>
      </c>
      <c r="C293" t="s">
        <v>601</v>
      </c>
      <c r="D293" s="31">
        <v>0</v>
      </c>
      <c r="E293" s="31">
        <v>0</v>
      </c>
      <c r="F293" s="31">
        <v>0</v>
      </c>
      <c r="G293" s="31">
        <v>0</v>
      </c>
      <c r="H293" s="32">
        <v>0</v>
      </c>
      <c r="I293">
        <v>0</v>
      </c>
      <c r="J293" s="33">
        <v>0</v>
      </c>
      <c r="K293" s="33">
        <v>0</v>
      </c>
      <c r="L293" s="33">
        <v>0</v>
      </c>
      <c r="M293">
        <v>0</v>
      </c>
      <c r="N293">
        <v>0</v>
      </c>
      <c r="O293">
        <v>0</v>
      </c>
      <c r="P293" t="s">
        <v>54</v>
      </c>
      <c r="Q293" t="s">
        <v>54</v>
      </c>
      <c r="R293" t="s">
        <v>54</v>
      </c>
      <c r="S293" t="s">
        <v>54</v>
      </c>
      <c r="T293" t="s">
        <v>54</v>
      </c>
      <c r="U293" t="s">
        <v>54</v>
      </c>
      <c r="V293" t="s">
        <v>54</v>
      </c>
      <c r="W293" t="s">
        <v>54</v>
      </c>
      <c r="X293" s="23" t="s">
        <v>54</v>
      </c>
      <c r="Y293" s="23" t="s">
        <v>54</v>
      </c>
      <c r="Z293" s="23" t="s">
        <v>54</v>
      </c>
      <c r="AA293" s="23" t="s">
        <v>54</v>
      </c>
      <c r="AB293" t="s">
        <v>54</v>
      </c>
      <c r="AC293" t="s">
        <v>54</v>
      </c>
      <c r="AD293" t="s">
        <v>54</v>
      </c>
      <c r="AE293" t="s">
        <v>54</v>
      </c>
      <c r="AF293" s="23" t="s">
        <v>54</v>
      </c>
      <c r="AG293" s="23" t="s">
        <v>54</v>
      </c>
      <c r="AH293" s="23" t="s">
        <v>54</v>
      </c>
      <c r="AI293" s="23" t="s">
        <v>54</v>
      </c>
      <c r="AJ293">
        <v>0</v>
      </c>
      <c r="AK293">
        <v>0</v>
      </c>
      <c r="AL293">
        <v>0</v>
      </c>
      <c r="AM293">
        <v>0</v>
      </c>
      <c r="AN293" s="23" t="s">
        <v>54</v>
      </c>
      <c r="AO293" s="23" t="s">
        <v>54</v>
      </c>
      <c r="AP293" s="23" t="s">
        <v>54</v>
      </c>
      <c r="AQ293" s="23" t="s">
        <v>54</v>
      </c>
      <c r="AR293" s="35">
        <v>0</v>
      </c>
      <c r="AS293" s="35">
        <v>0</v>
      </c>
      <c r="AT293" s="35">
        <v>0</v>
      </c>
      <c r="AU293" s="31" t="str">
        <f t="shared" si="7"/>
        <v>库存为0</v>
      </c>
      <c r="AV293" s="36" t="str">
        <f>IFERROR($A$2+AU293,"上周无销量")</f>
        <v>上周无销量</v>
      </c>
    </row>
    <row r="294" spans="1:48">
      <c r="A294" s="21" t="s">
        <v>646</v>
      </c>
      <c r="B294" t="s">
        <v>647</v>
      </c>
      <c r="C294" t="s">
        <v>601</v>
      </c>
      <c r="D294" s="31">
        <v>0</v>
      </c>
      <c r="E294" s="31">
        <v>0</v>
      </c>
      <c r="F294" s="31">
        <v>0</v>
      </c>
      <c r="G294" s="31">
        <v>0</v>
      </c>
      <c r="H294" s="32">
        <v>0</v>
      </c>
      <c r="I294">
        <v>0</v>
      </c>
      <c r="J294" s="33">
        <v>0</v>
      </c>
      <c r="K294" s="33">
        <v>0</v>
      </c>
      <c r="L294" s="33">
        <v>0</v>
      </c>
      <c r="M294">
        <v>0</v>
      </c>
      <c r="N294">
        <v>0</v>
      </c>
      <c r="O294">
        <v>0</v>
      </c>
      <c r="P294" t="s">
        <v>54</v>
      </c>
      <c r="Q294" t="s">
        <v>54</v>
      </c>
      <c r="R294" t="s">
        <v>54</v>
      </c>
      <c r="S294" t="s">
        <v>54</v>
      </c>
      <c r="T294" t="s">
        <v>54</v>
      </c>
      <c r="U294" t="s">
        <v>54</v>
      </c>
      <c r="V294" t="s">
        <v>54</v>
      </c>
      <c r="W294" t="s">
        <v>54</v>
      </c>
      <c r="X294" s="23" t="s">
        <v>54</v>
      </c>
      <c r="Y294" s="23" t="s">
        <v>54</v>
      </c>
      <c r="Z294" s="23" t="s">
        <v>54</v>
      </c>
      <c r="AA294" s="23" t="s">
        <v>54</v>
      </c>
      <c r="AB294" t="s">
        <v>54</v>
      </c>
      <c r="AC294" t="s">
        <v>54</v>
      </c>
      <c r="AD294" t="s">
        <v>54</v>
      </c>
      <c r="AE294" t="s">
        <v>54</v>
      </c>
      <c r="AF294" s="23" t="s">
        <v>54</v>
      </c>
      <c r="AG294" s="23" t="s">
        <v>54</v>
      </c>
      <c r="AH294" s="23" t="s">
        <v>54</v>
      </c>
      <c r="AI294" s="23" t="s">
        <v>54</v>
      </c>
      <c r="AJ294">
        <v>0</v>
      </c>
      <c r="AK294">
        <v>0</v>
      </c>
      <c r="AL294">
        <v>0</v>
      </c>
      <c r="AM294">
        <v>0</v>
      </c>
      <c r="AN294" s="23" t="s">
        <v>54</v>
      </c>
      <c r="AO294" s="23" t="s">
        <v>54</v>
      </c>
      <c r="AP294" s="23" t="s">
        <v>54</v>
      </c>
      <c r="AQ294" s="23" t="s">
        <v>54</v>
      </c>
      <c r="AR294" s="35">
        <v>0</v>
      </c>
      <c r="AS294" s="35">
        <v>0</v>
      </c>
      <c r="AT294" s="35">
        <v>0</v>
      </c>
      <c r="AU294" s="31" t="str">
        <f t="shared" si="7"/>
        <v>库存为0</v>
      </c>
      <c r="AV294" s="36" t="str">
        <f>IFERROR($A$2+AU294,"上周无销量")</f>
        <v>上周无销量</v>
      </c>
    </row>
    <row r="295" spans="1:48">
      <c r="A295" s="21" t="s">
        <v>648</v>
      </c>
      <c r="B295" t="s">
        <v>649</v>
      </c>
      <c r="C295" t="s">
        <v>601</v>
      </c>
      <c r="D295" s="31">
        <v>1</v>
      </c>
      <c r="E295" s="31">
        <v>0</v>
      </c>
      <c r="F295" s="31">
        <v>1</v>
      </c>
      <c r="G295" s="31">
        <v>0</v>
      </c>
      <c r="H295" s="32">
        <v>12</v>
      </c>
      <c r="I295">
        <v>0</v>
      </c>
      <c r="J295" s="33">
        <v>0</v>
      </c>
      <c r="K295" s="33">
        <v>0</v>
      </c>
      <c r="L295" s="33">
        <v>0</v>
      </c>
      <c r="M295">
        <v>0</v>
      </c>
      <c r="N295">
        <v>0</v>
      </c>
      <c r="O295">
        <v>0</v>
      </c>
      <c r="P295" t="s">
        <v>54</v>
      </c>
      <c r="Q295" t="s">
        <v>54</v>
      </c>
      <c r="R295" t="s">
        <v>54</v>
      </c>
      <c r="S295" t="s">
        <v>54</v>
      </c>
      <c r="T295" t="s">
        <v>54</v>
      </c>
      <c r="U295" t="s">
        <v>54</v>
      </c>
      <c r="V295" t="s">
        <v>54</v>
      </c>
      <c r="W295" t="s">
        <v>54</v>
      </c>
      <c r="X295" s="23" t="s">
        <v>54</v>
      </c>
      <c r="Y295" s="23" t="s">
        <v>54</v>
      </c>
      <c r="Z295" s="23" t="s">
        <v>54</v>
      </c>
      <c r="AA295" s="23" t="s">
        <v>54</v>
      </c>
      <c r="AB295" t="s">
        <v>54</v>
      </c>
      <c r="AC295" t="s">
        <v>54</v>
      </c>
      <c r="AD295" t="s">
        <v>54</v>
      </c>
      <c r="AE295" t="s">
        <v>54</v>
      </c>
      <c r="AF295" s="23" t="s">
        <v>54</v>
      </c>
      <c r="AG295" s="23" t="s">
        <v>54</v>
      </c>
      <c r="AH295" s="23" t="s">
        <v>54</v>
      </c>
      <c r="AI295" s="23" t="s">
        <v>54</v>
      </c>
      <c r="AJ295">
        <v>0</v>
      </c>
      <c r="AK295">
        <v>0</v>
      </c>
      <c r="AL295">
        <v>0</v>
      </c>
      <c r="AM295">
        <v>5</v>
      </c>
      <c r="AN295" s="23" t="s">
        <v>54</v>
      </c>
      <c r="AO295" s="23" t="s">
        <v>54</v>
      </c>
      <c r="AP295" s="23" t="s">
        <v>54</v>
      </c>
      <c r="AQ295" s="23">
        <v>0</v>
      </c>
      <c r="AR295" s="35">
        <v>0.142857142857143</v>
      </c>
      <c r="AS295" s="35">
        <v>8.57142857142857</v>
      </c>
      <c r="AT295" s="35">
        <v>-8.57142857142857</v>
      </c>
      <c r="AU295" s="31">
        <f t="shared" si="7"/>
        <v>0</v>
      </c>
      <c r="AV295" s="36">
        <f>IFERROR($A$2+AU295,"上周无销量")</f>
        <v>43290</v>
      </c>
    </row>
    <row r="296" spans="1:48">
      <c r="A296" s="21" t="s">
        <v>650</v>
      </c>
      <c r="B296" t="s">
        <v>651</v>
      </c>
      <c r="C296" t="s">
        <v>652</v>
      </c>
      <c r="D296" s="31">
        <v>0</v>
      </c>
      <c r="E296" s="31">
        <v>1</v>
      </c>
      <c r="F296" s="31">
        <v>0</v>
      </c>
      <c r="G296" s="31">
        <v>0</v>
      </c>
      <c r="H296" s="32">
        <v>9.99</v>
      </c>
      <c r="I296">
        <v>0</v>
      </c>
      <c r="J296" s="33">
        <v>0</v>
      </c>
      <c r="K296" s="33">
        <v>10</v>
      </c>
      <c r="L296" s="33">
        <v>0</v>
      </c>
      <c r="M296">
        <v>10</v>
      </c>
      <c r="N296">
        <v>0</v>
      </c>
      <c r="O296">
        <v>0</v>
      </c>
      <c r="P296" t="s">
        <v>54</v>
      </c>
      <c r="Q296" t="s">
        <v>54</v>
      </c>
      <c r="R296" t="s">
        <v>54</v>
      </c>
      <c r="S296" t="s">
        <v>54</v>
      </c>
      <c r="T296" t="s">
        <v>54</v>
      </c>
      <c r="U296" t="s">
        <v>54</v>
      </c>
      <c r="V296" t="s">
        <v>54</v>
      </c>
      <c r="W296" t="s">
        <v>54</v>
      </c>
      <c r="X296" s="23" t="s">
        <v>54</v>
      </c>
      <c r="Y296" s="23" t="s">
        <v>54</v>
      </c>
      <c r="Z296" s="23" t="s">
        <v>54</v>
      </c>
      <c r="AA296" s="23" t="s">
        <v>54</v>
      </c>
      <c r="AB296" t="s">
        <v>54</v>
      </c>
      <c r="AC296" t="s">
        <v>54</v>
      </c>
      <c r="AD296" t="s">
        <v>54</v>
      </c>
      <c r="AE296" t="s">
        <v>54</v>
      </c>
      <c r="AF296" s="23" t="s">
        <v>54</v>
      </c>
      <c r="AG296" s="23" t="s">
        <v>54</v>
      </c>
      <c r="AH296" s="23" t="s">
        <v>54</v>
      </c>
      <c r="AI296" s="23" t="s">
        <v>54</v>
      </c>
      <c r="AJ296">
        <v>0</v>
      </c>
      <c r="AK296">
        <v>2</v>
      </c>
      <c r="AL296">
        <v>18</v>
      </c>
      <c r="AM296">
        <v>4</v>
      </c>
      <c r="AN296" s="23" t="s">
        <v>54</v>
      </c>
      <c r="AO296" s="23">
        <v>0.5</v>
      </c>
      <c r="AP296" s="23">
        <v>0</v>
      </c>
      <c r="AQ296" s="23">
        <v>0</v>
      </c>
      <c r="AR296" s="35">
        <v>0</v>
      </c>
      <c r="AS296" s="35">
        <v>0</v>
      </c>
      <c r="AT296" s="35">
        <v>10</v>
      </c>
      <c r="AU296" s="31" t="str">
        <f t="shared" si="7"/>
        <v>库存为10</v>
      </c>
      <c r="AV296" s="36" t="str">
        <f>IFERROR($A$2+AU296,"上周无销量")</f>
        <v>上周无销量</v>
      </c>
    </row>
    <row r="297" spans="1:48">
      <c r="A297" s="21" t="s">
        <v>653</v>
      </c>
      <c r="B297" t="s">
        <v>654</v>
      </c>
      <c r="C297" t="s">
        <v>652</v>
      </c>
      <c r="D297" s="31">
        <v>0</v>
      </c>
      <c r="E297" s="31">
        <v>1</v>
      </c>
      <c r="F297" s="31">
        <v>1</v>
      </c>
      <c r="G297" s="31">
        <v>0</v>
      </c>
      <c r="H297" s="32">
        <v>10.495</v>
      </c>
      <c r="I297">
        <v>10</v>
      </c>
      <c r="J297" s="33">
        <v>0</v>
      </c>
      <c r="K297" s="33">
        <v>0</v>
      </c>
      <c r="L297" s="33">
        <v>1</v>
      </c>
      <c r="M297">
        <v>11</v>
      </c>
      <c r="N297">
        <v>0</v>
      </c>
      <c r="O297">
        <v>2</v>
      </c>
      <c r="P297">
        <v>1147</v>
      </c>
      <c r="Q297">
        <v>2029</v>
      </c>
      <c r="R297">
        <v>1309</v>
      </c>
      <c r="S297">
        <v>20</v>
      </c>
      <c r="T297">
        <v>10</v>
      </c>
      <c r="U297">
        <v>20</v>
      </c>
      <c r="V297">
        <v>21</v>
      </c>
      <c r="W297">
        <v>0</v>
      </c>
      <c r="X297" s="23">
        <v>0.00871839581517001</v>
      </c>
      <c r="Y297" s="23">
        <v>0.0098570724494825</v>
      </c>
      <c r="Z297" s="23">
        <v>0.0160427807486631</v>
      </c>
      <c r="AA297" s="23">
        <v>0</v>
      </c>
      <c r="AB297">
        <v>7.83</v>
      </c>
      <c r="AC297">
        <v>24.07</v>
      </c>
      <c r="AD297">
        <v>27.48</v>
      </c>
      <c r="AE297">
        <v>0</v>
      </c>
      <c r="AF297" s="23">
        <v>0</v>
      </c>
      <c r="AG297" s="23">
        <v>2.2934730824202</v>
      </c>
      <c r="AH297" s="23">
        <v>2.61838970938542</v>
      </c>
      <c r="AI297" s="23" t="s">
        <v>54</v>
      </c>
      <c r="AJ297">
        <v>20</v>
      </c>
      <c r="AK297">
        <v>26</v>
      </c>
      <c r="AL297">
        <v>28</v>
      </c>
      <c r="AM297">
        <v>23</v>
      </c>
      <c r="AN297" s="23">
        <v>0</v>
      </c>
      <c r="AO297" s="23">
        <v>0.0384615384615385</v>
      </c>
      <c r="AP297" s="23">
        <v>0.0357142857142857</v>
      </c>
      <c r="AQ297" s="23">
        <v>0</v>
      </c>
      <c r="AR297" s="35">
        <v>0</v>
      </c>
      <c r="AS297" s="35">
        <v>0</v>
      </c>
      <c r="AT297" s="35">
        <v>11</v>
      </c>
      <c r="AU297" s="31" t="str">
        <f t="shared" si="7"/>
        <v>库存为11</v>
      </c>
      <c r="AV297" s="36" t="str">
        <f>IFERROR($A$2+AU297,"上周无销量")</f>
        <v>上周无销量</v>
      </c>
    </row>
    <row r="298" spans="1:48">
      <c r="A298" s="21" t="s">
        <v>655</v>
      </c>
      <c r="B298" t="s">
        <v>656</v>
      </c>
      <c r="C298" t="s">
        <v>652</v>
      </c>
      <c r="D298" s="31">
        <v>11</v>
      </c>
      <c r="E298" s="31">
        <v>1</v>
      </c>
      <c r="F298" s="31">
        <v>0</v>
      </c>
      <c r="G298" s="31">
        <v>0</v>
      </c>
      <c r="H298" s="32">
        <v>12.99</v>
      </c>
      <c r="I298">
        <v>2</v>
      </c>
      <c r="J298" s="33">
        <v>0</v>
      </c>
      <c r="K298" s="33">
        <v>0</v>
      </c>
      <c r="L298" s="33">
        <v>0</v>
      </c>
      <c r="M298">
        <v>2</v>
      </c>
      <c r="N298">
        <v>0</v>
      </c>
      <c r="O298">
        <v>0</v>
      </c>
      <c r="P298" t="s">
        <v>54</v>
      </c>
      <c r="Q298" t="s">
        <v>54</v>
      </c>
      <c r="R298" t="s">
        <v>54</v>
      </c>
      <c r="S298" t="s">
        <v>54</v>
      </c>
      <c r="T298" t="s">
        <v>54</v>
      </c>
      <c r="U298" t="s">
        <v>54</v>
      </c>
      <c r="V298" t="s">
        <v>54</v>
      </c>
      <c r="W298" t="s">
        <v>54</v>
      </c>
      <c r="X298" s="23" t="s">
        <v>54</v>
      </c>
      <c r="Y298" s="23" t="s">
        <v>54</v>
      </c>
      <c r="Z298" s="23" t="s">
        <v>54</v>
      </c>
      <c r="AA298" s="23" t="s">
        <v>54</v>
      </c>
      <c r="AB298" t="s">
        <v>54</v>
      </c>
      <c r="AC298" t="s">
        <v>54</v>
      </c>
      <c r="AD298" t="s">
        <v>54</v>
      </c>
      <c r="AE298" t="s">
        <v>54</v>
      </c>
      <c r="AF298" s="23" t="s">
        <v>54</v>
      </c>
      <c r="AG298" s="23" t="s">
        <v>54</v>
      </c>
      <c r="AH298" s="23" t="s">
        <v>54</v>
      </c>
      <c r="AI298" s="23" t="s">
        <v>54</v>
      </c>
      <c r="AJ298">
        <v>7</v>
      </c>
      <c r="AK298">
        <v>9</v>
      </c>
      <c r="AL298">
        <v>12</v>
      </c>
      <c r="AM298">
        <v>4</v>
      </c>
      <c r="AN298" s="23">
        <v>1.57142857142857</v>
      </c>
      <c r="AO298" s="23">
        <v>0.111111111111111</v>
      </c>
      <c r="AP298" s="23">
        <v>0</v>
      </c>
      <c r="AQ298" s="23">
        <v>0</v>
      </c>
      <c r="AR298" s="35">
        <v>1.57142857142857</v>
      </c>
      <c r="AS298" s="35">
        <v>94.2857142857143</v>
      </c>
      <c r="AT298" s="35">
        <v>-92.2857142857143</v>
      </c>
      <c r="AU298" s="31">
        <f t="shared" si="7"/>
        <v>1</v>
      </c>
      <c r="AV298" s="36">
        <f>IFERROR($A$2+AU298,"上周无销量")</f>
        <v>43291</v>
      </c>
    </row>
    <row r="299" spans="1:48">
      <c r="A299" s="21" t="s">
        <v>657</v>
      </c>
      <c r="B299" t="s">
        <v>658</v>
      </c>
      <c r="C299" t="s">
        <v>652</v>
      </c>
      <c r="D299" s="31">
        <v>0</v>
      </c>
      <c r="E299" s="31">
        <v>0</v>
      </c>
      <c r="F299" s="31">
        <v>0</v>
      </c>
      <c r="G299" s="31">
        <v>0</v>
      </c>
      <c r="H299" s="32">
        <v>0</v>
      </c>
      <c r="I299">
        <v>11</v>
      </c>
      <c r="J299" s="33">
        <v>0</v>
      </c>
      <c r="K299" s="33">
        <v>0</v>
      </c>
      <c r="L299" s="33">
        <v>0</v>
      </c>
      <c r="M299">
        <v>11</v>
      </c>
      <c r="N299">
        <v>0</v>
      </c>
      <c r="O299">
        <v>2</v>
      </c>
      <c r="P299">
        <v>3009</v>
      </c>
      <c r="Q299">
        <v>2271</v>
      </c>
      <c r="R299">
        <v>508</v>
      </c>
      <c r="S299">
        <v>114</v>
      </c>
      <c r="T299">
        <v>13</v>
      </c>
      <c r="U299">
        <v>12</v>
      </c>
      <c r="V299">
        <v>8</v>
      </c>
      <c r="W299">
        <v>0</v>
      </c>
      <c r="X299" s="23">
        <v>0.00432037221668328</v>
      </c>
      <c r="Y299" s="23">
        <v>0.00528401585204756</v>
      </c>
      <c r="Z299" s="23">
        <v>0.015748031496063</v>
      </c>
      <c r="AA299" s="23">
        <v>0</v>
      </c>
      <c r="AB299">
        <v>15.2</v>
      </c>
      <c r="AC299">
        <v>15.12</v>
      </c>
      <c r="AD299">
        <v>7.15</v>
      </c>
      <c r="AE299">
        <v>0</v>
      </c>
      <c r="AF299" s="23">
        <v>0</v>
      </c>
      <c r="AG299" s="23">
        <v>0</v>
      </c>
      <c r="AH299" s="23">
        <v>0</v>
      </c>
      <c r="AI299" s="23" t="s">
        <v>54</v>
      </c>
      <c r="AJ299">
        <v>14</v>
      </c>
      <c r="AK299">
        <v>20</v>
      </c>
      <c r="AL299">
        <v>16</v>
      </c>
      <c r="AM299">
        <v>15</v>
      </c>
      <c r="AN299" s="23">
        <v>0</v>
      </c>
      <c r="AO299" s="23">
        <v>0</v>
      </c>
      <c r="AP299" s="23">
        <v>0</v>
      </c>
      <c r="AQ299" s="23">
        <v>0</v>
      </c>
      <c r="AR299" s="35">
        <v>0</v>
      </c>
      <c r="AS299" s="35">
        <v>0</v>
      </c>
      <c r="AT299" s="35">
        <v>11</v>
      </c>
      <c r="AU299" s="31" t="str">
        <f t="shared" si="7"/>
        <v>库存为11</v>
      </c>
      <c r="AV299" s="36" t="str">
        <f>IFERROR($A$2+AU299,"上周无销量")</f>
        <v>上周无销量</v>
      </c>
    </row>
    <row r="300" spans="1:48">
      <c r="A300" s="21" t="s">
        <v>659</v>
      </c>
      <c r="B300" t="s">
        <v>660</v>
      </c>
      <c r="C300" t="s">
        <v>652</v>
      </c>
      <c r="D300" s="31">
        <v>0</v>
      </c>
      <c r="E300" s="31">
        <v>0</v>
      </c>
      <c r="F300" s="31">
        <v>2</v>
      </c>
      <c r="G300" s="31">
        <v>0</v>
      </c>
      <c r="H300" s="32">
        <v>11.49</v>
      </c>
      <c r="I300">
        <v>3</v>
      </c>
      <c r="J300" s="33">
        <v>0</v>
      </c>
      <c r="K300" s="33">
        <v>10</v>
      </c>
      <c r="L300" s="33">
        <v>0</v>
      </c>
      <c r="M300">
        <v>13</v>
      </c>
      <c r="N300">
        <v>0</v>
      </c>
      <c r="O300">
        <v>3</v>
      </c>
      <c r="P300" t="s">
        <v>54</v>
      </c>
      <c r="Q300" t="s">
        <v>54</v>
      </c>
      <c r="R300" t="s">
        <v>54</v>
      </c>
      <c r="S300" t="s">
        <v>54</v>
      </c>
      <c r="T300" t="s">
        <v>54</v>
      </c>
      <c r="U300" t="s">
        <v>54</v>
      </c>
      <c r="V300" t="s">
        <v>54</v>
      </c>
      <c r="W300" t="s">
        <v>54</v>
      </c>
      <c r="X300" s="23" t="s">
        <v>54</v>
      </c>
      <c r="Y300" s="23" t="s">
        <v>54</v>
      </c>
      <c r="Z300" s="23" t="s">
        <v>54</v>
      </c>
      <c r="AA300" s="23" t="s">
        <v>54</v>
      </c>
      <c r="AB300" t="s">
        <v>54</v>
      </c>
      <c r="AC300" t="s">
        <v>54</v>
      </c>
      <c r="AD300" t="s">
        <v>54</v>
      </c>
      <c r="AE300" t="s">
        <v>54</v>
      </c>
      <c r="AF300" s="23" t="s">
        <v>54</v>
      </c>
      <c r="AG300" s="23" t="s">
        <v>54</v>
      </c>
      <c r="AH300" s="23" t="s">
        <v>54</v>
      </c>
      <c r="AI300" s="23" t="s">
        <v>54</v>
      </c>
      <c r="AJ300">
        <v>8</v>
      </c>
      <c r="AK300">
        <v>6</v>
      </c>
      <c r="AL300">
        <v>15</v>
      </c>
      <c r="AM300">
        <v>5</v>
      </c>
      <c r="AN300" s="23">
        <v>0</v>
      </c>
      <c r="AO300" s="23">
        <v>0</v>
      </c>
      <c r="AP300" s="23">
        <v>0.133333333333333</v>
      </c>
      <c r="AQ300" s="23">
        <v>0</v>
      </c>
      <c r="AR300" s="35">
        <v>0</v>
      </c>
      <c r="AS300" s="35">
        <v>0</v>
      </c>
      <c r="AT300" s="35">
        <v>13</v>
      </c>
      <c r="AU300" s="31" t="str">
        <f t="shared" si="7"/>
        <v>库存为13</v>
      </c>
      <c r="AV300" s="36" t="str">
        <f>IFERROR($A$2+AU300,"上周无销量")</f>
        <v>上周无销量</v>
      </c>
    </row>
    <row r="301" spans="1:48">
      <c r="A301" s="21" t="s">
        <v>661</v>
      </c>
      <c r="B301" t="s">
        <v>662</v>
      </c>
      <c r="C301" t="s">
        <v>652</v>
      </c>
      <c r="D301" s="31">
        <v>0</v>
      </c>
      <c r="E301" s="31">
        <v>1</v>
      </c>
      <c r="F301" s="31">
        <v>0</v>
      </c>
      <c r="G301" s="31">
        <v>0</v>
      </c>
      <c r="H301" s="32">
        <v>8</v>
      </c>
      <c r="I301">
        <v>11</v>
      </c>
      <c r="J301" s="33">
        <v>0</v>
      </c>
      <c r="K301" s="33">
        <v>0</v>
      </c>
      <c r="L301" s="33">
        <v>0</v>
      </c>
      <c r="M301">
        <v>11</v>
      </c>
      <c r="N301">
        <v>0</v>
      </c>
      <c r="O301">
        <v>2</v>
      </c>
      <c r="P301">
        <v>41</v>
      </c>
      <c r="Q301">
        <v>1934</v>
      </c>
      <c r="R301">
        <v>1893</v>
      </c>
      <c r="S301">
        <v>132</v>
      </c>
      <c r="T301">
        <v>0</v>
      </c>
      <c r="U301">
        <v>5</v>
      </c>
      <c r="V301">
        <v>7</v>
      </c>
      <c r="W301">
        <v>0</v>
      </c>
      <c r="X301" s="23">
        <v>0</v>
      </c>
      <c r="Y301" s="23">
        <v>0.00258531540847983</v>
      </c>
      <c r="Z301" s="23">
        <v>0.00369783412572636</v>
      </c>
      <c r="AA301" s="23">
        <v>0</v>
      </c>
      <c r="AB301">
        <v>0</v>
      </c>
      <c r="AC301">
        <v>7.17</v>
      </c>
      <c r="AD301">
        <v>5.7</v>
      </c>
      <c r="AE301">
        <v>0</v>
      </c>
      <c r="AF301" s="23" t="s">
        <v>54</v>
      </c>
      <c r="AG301" s="23">
        <v>0.89625</v>
      </c>
      <c r="AH301" s="23">
        <v>0</v>
      </c>
      <c r="AI301" s="23" t="s">
        <v>54</v>
      </c>
      <c r="AJ301">
        <v>8</v>
      </c>
      <c r="AK301">
        <v>15</v>
      </c>
      <c r="AL301">
        <v>23</v>
      </c>
      <c r="AM301">
        <v>16</v>
      </c>
      <c r="AN301" s="23">
        <v>0</v>
      </c>
      <c r="AO301" s="23">
        <v>0.0666666666666667</v>
      </c>
      <c r="AP301" s="23">
        <v>0</v>
      </c>
      <c r="AQ301" s="23">
        <v>0</v>
      </c>
      <c r="AR301" s="35">
        <v>0</v>
      </c>
      <c r="AS301" s="35">
        <v>0</v>
      </c>
      <c r="AT301" s="35">
        <v>11</v>
      </c>
      <c r="AU301" s="31" t="str">
        <f t="shared" si="7"/>
        <v>库存为11</v>
      </c>
      <c r="AV301" s="36" t="str">
        <f>IFERROR($A$2+AU301,"上周无销量")</f>
        <v>上周无销量</v>
      </c>
    </row>
    <row r="302" spans="1:48">
      <c r="A302" s="21" t="s">
        <v>663</v>
      </c>
      <c r="B302" t="s">
        <v>664</v>
      </c>
      <c r="C302" t="s">
        <v>665</v>
      </c>
      <c r="D302" s="31">
        <v>2</v>
      </c>
      <c r="E302" s="31">
        <v>1</v>
      </c>
      <c r="F302" s="31">
        <v>1</v>
      </c>
      <c r="G302" s="31">
        <v>0</v>
      </c>
      <c r="H302" s="32">
        <v>10.99</v>
      </c>
      <c r="I302">
        <v>0</v>
      </c>
      <c r="J302" s="33">
        <v>10</v>
      </c>
      <c r="K302" s="33">
        <v>0</v>
      </c>
      <c r="L302" s="33">
        <v>0</v>
      </c>
      <c r="M302">
        <v>10</v>
      </c>
      <c r="N302">
        <v>0</v>
      </c>
      <c r="O302">
        <v>0</v>
      </c>
      <c r="P302">
        <v>2101</v>
      </c>
      <c r="Q302">
        <v>3911</v>
      </c>
      <c r="R302">
        <v>2016</v>
      </c>
      <c r="S302">
        <v>0</v>
      </c>
      <c r="T302">
        <v>25</v>
      </c>
      <c r="U302">
        <v>37</v>
      </c>
      <c r="V302">
        <v>13</v>
      </c>
      <c r="W302">
        <v>0</v>
      </c>
      <c r="X302" s="23">
        <v>0.0118990956687292</v>
      </c>
      <c r="Y302" s="23">
        <v>0.00946049603681923</v>
      </c>
      <c r="Z302" s="23">
        <v>0.0064484126984127</v>
      </c>
      <c r="AA302" s="23" t="s">
        <v>54</v>
      </c>
      <c r="AB302">
        <v>21.07</v>
      </c>
      <c r="AC302">
        <v>34.35</v>
      </c>
      <c r="AD302">
        <v>15.08</v>
      </c>
      <c r="AE302">
        <v>0</v>
      </c>
      <c r="AF302" s="23">
        <v>0.95859872611465</v>
      </c>
      <c r="AG302" s="23">
        <v>3.12556869881711</v>
      </c>
      <c r="AH302" s="23">
        <v>1.37215650591447</v>
      </c>
      <c r="AI302" s="23" t="s">
        <v>54</v>
      </c>
      <c r="AJ302">
        <v>24</v>
      </c>
      <c r="AK302">
        <v>25</v>
      </c>
      <c r="AL302">
        <v>10</v>
      </c>
      <c r="AM302">
        <v>0</v>
      </c>
      <c r="AN302" s="23">
        <v>0.0833333333333333</v>
      </c>
      <c r="AO302" s="23">
        <v>0.04</v>
      </c>
      <c r="AP302" s="23">
        <v>0.1</v>
      </c>
      <c r="AQ302" s="23" t="s">
        <v>54</v>
      </c>
      <c r="AR302" s="35">
        <v>0.285714285714286</v>
      </c>
      <c r="AS302" s="35">
        <v>17.1428571428571</v>
      </c>
      <c r="AT302" s="35">
        <v>-7.14285714285714</v>
      </c>
      <c r="AU302" s="31">
        <f t="shared" si="7"/>
        <v>35</v>
      </c>
      <c r="AV302" s="36">
        <f>IFERROR($A$2+AU302,"上周无销量")</f>
        <v>43325</v>
      </c>
    </row>
    <row r="303" spans="1:48">
      <c r="A303" s="21" t="s">
        <v>666</v>
      </c>
      <c r="B303" t="s">
        <v>667</v>
      </c>
      <c r="C303" t="s">
        <v>665</v>
      </c>
      <c r="D303" s="31">
        <v>2</v>
      </c>
      <c r="E303" s="31">
        <v>0</v>
      </c>
      <c r="F303" s="31">
        <v>0</v>
      </c>
      <c r="G303" s="31">
        <v>0</v>
      </c>
      <c r="H303" s="32">
        <v>10.99</v>
      </c>
      <c r="I303">
        <v>3</v>
      </c>
      <c r="J303" s="33">
        <v>0</v>
      </c>
      <c r="K303" s="33">
        <v>0</v>
      </c>
      <c r="L303" s="33">
        <v>0</v>
      </c>
      <c r="M303">
        <v>3</v>
      </c>
      <c r="N303">
        <v>0</v>
      </c>
      <c r="O303">
        <v>0</v>
      </c>
      <c r="P303">
        <v>112</v>
      </c>
      <c r="Q303">
        <v>1868</v>
      </c>
      <c r="R303">
        <v>1790</v>
      </c>
      <c r="S303">
        <v>0</v>
      </c>
      <c r="T303">
        <v>3</v>
      </c>
      <c r="U303">
        <v>12</v>
      </c>
      <c r="V303">
        <v>10</v>
      </c>
      <c r="W303">
        <v>0</v>
      </c>
      <c r="X303" s="23">
        <v>0.0267857142857143</v>
      </c>
      <c r="Y303" s="23">
        <v>0.00642398286937901</v>
      </c>
      <c r="Z303" s="23">
        <v>0.00558659217877095</v>
      </c>
      <c r="AA303" s="23" t="s">
        <v>54</v>
      </c>
      <c r="AB303">
        <v>2.14</v>
      </c>
      <c r="AC303">
        <v>12.39</v>
      </c>
      <c r="AD303">
        <v>11.73</v>
      </c>
      <c r="AE303">
        <v>0</v>
      </c>
      <c r="AF303" s="23">
        <v>0.097361237488626</v>
      </c>
      <c r="AG303" s="23">
        <v>0</v>
      </c>
      <c r="AH303" s="23">
        <v>0</v>
      </c>
      <c r="AI303" s="23" t="s">
        <v>54</v>
      </c>
      <c r="AJ303">
        <v>12</v>
      </c>
      <c r="AK303">
        <v>9</v>
      </c>
      <c r="AL303">
        <v>6</v>
      </c>
      <c r="AM303">
        <v>0</v>
      </c>
      <c r="AN303" s="23">
        <v>0.166666666666667</v>
      </c>
      <c r="AO303" s="23">
        <v>0</v>
      </c>
      <c r="AP303" s="23">
        <v>0</v>
      </c>
      <c r="AQ303" s="23" t="s">
        <v>54</v>
      </c>
      <c r="AR303" s="35">
        <v>0.285714285714286</v>
      </c>
      <c r="AS303" s="35">
        <v>17.1428571428571</v>
      </c>
      <c r="AT303" s="35">
        <v>-14.1428571428571</v>
      </c>
      <c r="AU303" s="31">
        <f t="shared" si="7"/>
        <v>10</v>
      </c>
      <c r="AV303" s="36">
        <f>IFERROR($A$2+AU303,"上周无销量")</f>
        <v>43300</v>
      </c>
    </row>
    <row r="304" spans="1:48">
      <c r="A304" s="21" t="s">
        <v>668</v>
      </c>
      <c r="B304" t="s">
        <v>669</v>
      </c>
      <c r="C304" t="s">
        <v>665</v>
      </c>
      <c r="D304" s="31">
        <v>2</v>
      </c>
      <c r="E304" s="31">
        <v>0</v>
      </c>
      <c r="F304" s="31">
        <v>0</v>
      </c>
      <c r="G304" s="31">
        <v>0</v>
      </c>
      <c r="H304" s="32">
        <v>10.99</v>
      </c>
      <c r="I304">
        <v>3</v>
      </c>
      <c r="J304" s="33">
        <v>0</v>
      </c>
      <c r="K304" s="33">
        <v>0</v>
      </c>
      <c r="L304" s="33">
        <v>0</v>
      </c>
      <c r="M304">
        <v>3</v>
      </c>
      <c r="N304">
        <v>0</v>
      </c>
      <c r="O304">
        <v>0</v>
      </c>
      <c r="P304">
        <v>128</v>
      </c>
      <c r="Q304">
        <v>2320</v>
      </c>
      <c r="R304">
        <v>2396</v>
      </c>
      <c r="S304">
        <v>0</v>
      </c>
      <c r="T304">
        <v>4</v>
      </c>
      <c r="U304">
        <v>6</v>
      </c>
      <c r="V304">
        <v>14</v>
      </c>
      <c r="W304">
        <v>0</v>
      </c>
      <c r="X304" s="23">
        <v>0.03125</v>
      </c>
      <c r="Y304" s="23">
        <v>0.00258620689655172</v>
      </c>
      <c r="Z304" s="23">
        <v>0.00584307178631052</v>
      </c>
      <c r="AA304" s="23" t="s">
        <v>54</v>
      </c>
      <c r="AB304">
        <v>1.07</v>
      </c>
      <c r="AC304">
        <v>6.66</v>
      </c>
      <c r="AD304">
        <v>17.98</v>
      </c>
      <c r="AE304">
        <v>0</v>
      </c>
      <c r="AF304" s="23">
        <v>0.048680618744313</v>
      </c>
      <c r="AG304" s="23">
        <v>0</v>
      </c>
      <c r="AH304" s="23">
        <v>0</v>
      </c>
      <c r="AI304" s="23" t="s">
        <v>54</v>
      </c>
      <c r="AJ304">
        <v>12</v>
      </c>
      <c r="AK304">
        <v>7</v>
      </c>
      <c r="AL304">
        <v>9</v>
      </c>
      <c r="AM304">
        <v>0</v>
      </c>
      <c r="AN304" s="23">
        <v>0.166666666666667</v>
      </c>
      <c r="AO304" s="23">
        <v>0</v>
      </c>
      <c r="AP304" s="23">
        <v>0</v>
      </c>
      <c r="AQ304" s="23" t="s">
        <v>54</v>
      </c>
      <c r="AR304" s="35">
        <v>0.285714285714286</v>
      </c>
      <c r="AS304" s="35">
        <v>17.1428571428571</v>
      </c>
      <c r="AT304" s="35">
        <v>-14.1428571428571</v>
      </c>
      <c r="AU304" s="31">
        <f t="shared" si="7"/>
        <v>10</v>
      </c>
      <c r="AV304" s="36">
        <f>IFERROR($A$2+AU304,"上周无销量")</f>
        <v>43300</v>
      </c>
    </row>
    <row r="305" spans="1:48">
      <c r="A305" s="21" t="s">
        <v>670</v>
      </c>
      <c r="B305" t="s">
        <v>671</v>
      </c>
      <c r="C305" t="s">
        <v>672</v>
      </c>
      <c r="D305" s="31">
        <v>0</v>
      </c>
      <c r="E305" s="31">
        <v>0</v>
      </c>
      <c r="F305" s="31">
        <v>0</v>
      </c>
      <c r="G305" s="31">
        <v>0</v>
      </c>
      <c r="H305" s="32">
        <v>0</v>
      </c>
      <c r="I305">
        <v>0</v>
      </c>
      <c r="J305" s="33">
        <v>0</v>
      </c>
      <c r="K305" s="33">
        <v>0</v>
      </c>
      <c r="L305" s="33">
        <v>0</v>
      </c>
      <c r="M305">
        <v>0</v>
      </c>
      <c r="N305">
        <v>0</v>
      </c>
      <c r="O305">
        <v>0</v>
      </c>
      <c r="P305" t="s">
        <v>54</v>
      </c>
      <c r="Q305" t="s">
        <v>54</v>
      </c>
      <c r="R305" t="s">
        <v>54</v>
      </c>
      <c r="S305" t="s">
        <v>54</v>
      </c>
      <c r="T305" t="s">
        <v>54</v>
      </c>
      <c r="U305" t="s">
        <v>54</v>
      </c>
      <c r="V305" t="s">
        <v>54</v>
      </c>
      <c r="W305" t="s">
        <v>54</v>
      </c>
      <c r="X305" s="23" t="s">
        <v>54</v>
      </c>
      <c r="Y305" s="23" t="s">
        <v>54</v>
      </c>
      <c r="Z305" s="23" t="s">
        <v>54</v>
      </c>
      <c r="AA305" s="23" t="s">
        <v>54</v>
      </c>
      <c r="AB305" t="s">
        <v>54</v>
      </c>
      <c r="AC305" t="s">
        <v>54</v>
      </c>
      <c r="AD305" t="s">
        <v>54</v>
      </c>
      <c r="AE305" t="s">
        <v>54</v>
      </c>
      <c r="AF305" s="23" t="s">
        <v>54</v>
      </c>
      <c r="AG305" s="23" t="s">
        <v>54</v>
      </c>
      <c r="AH305" s="23" t="s">
        <v>54</v>
      </c>
      <c r="AI305" s="23" t="s">
        <v>54</v>
      </c>
      <c r="AJ305">
        <v>0</v>
      </c>
      <c r="AK305">
        <v>0</v>
      </c>
      <c r="AL305">
        <v>0</v>
      </c>
      <c r="AM305">
        <v>0</v>
      </c>
      <c r="AN305" s="23" t="s">
        <v>54</v>
      </c>
      <c r="AO305" s="23" t="s">
        <v>54</v>
      </c>
      <c r="AP305" s="23" t="s">
        <v>54</v>
      </c>
      <c r="AQ305" s="23" t="s">
        <v>54</v>
      </c>
      <c r="AR305" s="35">
        <v>0</v>
      </c>
      <c r="AS305" s="35">
        <v>0</v>
      </c>
      <c r="AT305" s="35">
        <v>0</v>
      </c>
      <c r="AU305" s="31" t="str">
        <f t="shared" si="7"/>
        <v>库存为0</v>
      </c>
      <c r="AV305" s="36" t="str">
        <f>IFERROR($A$2+AU305,"上周无销量")</f>
        <v>上周无销量</v>
      </c>
    </row>
    <row r="306" spans="1:48">
      <c r="A306" s="21" t="s">
        <v>673</v>
      </c>
      <c r="B306" t="s">
        <v>674</v>
      </c>
      <c r="C306" t="s">
        <v>672</v>
      </c>
      <c r="D306" s="31">
        <v>0</v>
      </c>
      <c r="E306" s="31">
        <v>0</v>
      </c>
      <c r="F306" s="31">
        <v>0</v>
      </c>
      <c r="G306" s="31">
        <v>0</v>
      </c>
      <c r="H306" s="32">
        <v>0</v>
      </c>
      <c r="I306">
        <v>0</v>
      </c>
      <c r="J306" s="33">
        <v>0</v>
      </c>
      <c r="K306" s="33">
        <v>0</v>
      </c>
      <c r="L306" s="33">
        <v>0</v>
      </c>
      <c r="M306">
        <v>0</v>
      </c>
      <c r="N306">
        <v>0</v>
      </c>
      <c r="O306">
        <v>0</v>
      </c>
      <c r="P306" t="s">
        <v>54</v>
      </c>
      <c r="Q306" t="s">
        <v>54</v>
      </c>
      <c r="R306" t="s">
        <v>54</v>
      </c>
      <c r="S306" t="s">
        <v>54</v>
      </c>
      <c r="T306" t="s">
        <v>54</v>
      </c>
      <c r="U306" t="s">
        <v>54</v>
      </c>
      <c r="V306" t="s">
        <v>54</v>
      </c>
      <c r="W306" t="s">
        <v>54</v>
      </c>
      <c r="X306" s="23" t="s">
        <v>54</v>
      </c>
      <c r="Y306" s="23" t="s">
        <v>54</v>
      </c>
      <c r="Z306" s="23" t="s">
        <v>54</v>
      </c>
      <c r="AA306" s="23" t="s">
        <v>54</v>
      </c>
      <c r="AB306" t="s">
        <v>54</v>
      </c>
      <c r="AC306" t="s">
        <v>54</v>
      </c>
      <c r="AD306" t="s">
        <v>54</v>
      </c>
      <c r="AE306" t="s">
        <v>54</v>
      </c>
      <c r="AF306" s="23" t="s">
        <v>54</v>
      </c>
      <c r="AG306" s="23" t="s">
        <v>54</v>
      </c>
      <c r="AH306" s="23" t="s">
        <v>54</v>
      </c>
      <c r="AI306" s="23" t="s">
        <v>54</v>
      </c>
      <c r="AJ306">
        <v>0</v>
      </c>
      <c r="AK306">
        <v>0</v>
      </c>
      <c r="AL306">
        <v>0</v>
      </c>
      <c r="AM306">
        <v>0</v>
      </c>
      <c r="AN306" s="23" t="s">
        <v>54</v>
      </c>
      <c r="AO306" s="23" t="s">
        <v>54</v>
      </c>
      <c r="AP306" s="23" t="s">
        <v>54</v>
      </c>
      <c r="AQ306" s="23" t="s">
        <v>54</v>
      </c>
      <c r="AR306" s="35">
        <v>0</v>
      </c>
      <c r="AS306" s="35">
        <v>0</v>
      </c>
      <c r="AT306" s="35">
        <v>0</v>
      </c>
      <c r="AU306" s="31" t="str">
        <f t="shared" si="7"/>
        <v>库存为0</v>
      </c>
      <c r="AV306" s="36" t="str">
        <f>IFERROR($A$2+AU306,"上周无销量")</f>
        <v>上周无销量</v>
      </c>
    </row>
    <row r="307" spans="1:48">
      <c r="A307" s="21" t="s">
        <v>675</v>
      </c>
      <c r="B307" t="s">
        <v>676</v>
      </c>
      <c r="C307" t="s">
        <v>672</v>
      </c>
      <c r="D307" s="31">
        <v>0</v>
      </c>
      <c r="E307" s="31">
        <v>0</v>
      </c>
      <c r="F307" s="31">
        <v>0</v>
      </c>
      <c r="G307" s="31">
        <v>0</v>
      </c>
      <c r="H307" s="32">
        <v>0</v>
      </c>
      <c r="I307">
        <v>0</v>
      </c>
      <c r="J307" s="33">
        <v>0</v>
      </c>
      <c r="K307" s="33">
        <v>0</v>
      </c>
      <c r="L307" s="33">
        <v>0</v>
      </c>
      <c r="M307">
        <v>0</v>
      </c>
      <c r="N307">
        <v>0</v>
      </c>
      <c r="O307">
        <v>0</v>
      </c>
      <c r="P307" t="s">
        <v>54</v>
      </c>
      <c r="Q307" t="s">
        <v>54</v>
      </c>
      <c r="R307" t="s">
        <v>54</v>
      </c>
      <c r="S307" t="s">
        <v>54</v>
      </c>
      <c r="T307" t="s">
        <v>54</v>
      </c>
      <c r="U307" t="s">
        <v>54</v>
      </c>
      <c r="V307" t="s">
        <v>54</v>
      </c>
      <c r="W307" t="s">
        <v>54</v>
      </c>
      <c r="X307" s="23" t="s">
        <v>54</v>
      </c>
      <c r="Y307" s="23" t="s">
        <v>54</v>
      </c>
      <c r="Z307" s="23" t="s">
        <v>54</v>
      </c>
      <c r="AA307" s="23" t="s">
        <v>54</v>
      </c>
      <c r="AB307" t="s">
        <v>54</v>
      </c>
      <c r="AC307" t="s">
        <v>54</v>
      </c>
      <c r="AD307" t="s">
        <v>54</v>
      </c>
      <c r="AE307" t="s">
        <v>54</v>
      </c>
      <c r="AF307" s="23" t="s">
        <v>54</v>
      </c>
      <c r="AG307" s="23" t="s">
        <v>54</v>
      </c>
      <c r="AH307" s="23" t="s">
        <v>54</v>
      </c>
      <c r="AI307" s="23" t="s">
        <v>54</v>
      </c>
      <c r="AJ307">
        <v>0</v>
      </c>
      <c r="AK307">
        <v>0</v>
      </c>
      <c r="AL307">
        <v>0</v>
      </c>
      <c r="AM307">
        <v>0</v>
      </c>
      <c r="AN307" s="23" t="s">
        <v>54</v>
      </c>
      <c r="AO307" s="23" t="s">
        <v>54</v>
      </c>
      <c r="AP307" s="23" t="s">
        <v>54</v>
      </c>
      <c r="AQ307" s="23" t="s">
        <v>54</v>
      </c>
      <c r="AR307" s="35">
        <v>0</v>
      </c>
      <c r="AS307" s="35">
        <v>0</v>
      </c>
      <c r="AT307" s="35">
        <v>0</v>
      </c>
      <c r="AU307" s="31" t="str">
        <f t="shared" si="7"/>
        <v>库存为0</v>
      </c>
      <c r="AV307" s="36" t="str">
        <f>IFERROR($A$2+AU307,"上周无销量")</f>
        <v>上周无销量</v>
      </c>
    </row>
    <row r="308" spans="1:48">
      <c r="A308" s="21" t="s">
        <v>677</v>
      </c>
      <c r="B308" t="s">
        <v>678</v>
      </c>
      <c r="C308" t="s">
        <v>672</v>
      </c>
      <c r="D308" s="31">
        <v>0</v>
      </c>
      <c r="E308" s="31">
        <v>0</v>
      </c>
      <c r="F308" s="31">
        <v>0</v>
      </c>
      <c r="G308" s="31">
        <v>0</v>
      </c>
      <c r="H308" s="32">
        <v>0</v>
      </c>
      <c r="I308">
        <v>0</v>
      </c>
      <c r="J308" s="33">
        <v>0</v>
      </c>
      <c r="K308" s="33">
        <v>0</v>
      </c>
      <c r="L308" s="33">
        <v>0</v>
      </c>
      <c r="M308">
        <v>0</v>
      </c>
      <c r="N308">
        <v>0</v>
      </c>
      <c r="O308">
        <v>0</v>
      </c>
      <c r="P308" t="s">
        <v>54</v>
      </c>
      <c r="Q308" t="s">
        <v>54</v>
      </c>
      <c r="R308" t="s">
        <v>54</v>
      </c>
      <c r="S308" t="s">
        <v>54</v>
      </c>
      <c r="T308" t="s">
        <v>54</v>
      </c>
      <c r="U308" t="s">
        <v>54</v>
      </c>
      <c r="V308" t="s">
        <v>54</v>
      </c>
      <c r="W308" t="s">
        <v>54</v>
      </c>
      <c r="X308" s="23" t="s">
        <v>54</v>
      </c>
      <c r="Y308" s="23" t="s">
        <v>54</v>
      </c>
      <c r="Z308" s="23" t="s">
        <v>54</v>
      </c>
      <c r="AA308" s="23" t="s">
        <v>54</v>
      </c>
      <c r="AB308" t="s">
        <v>54</v>
      </c>
      <c r="AC308" t="s">
        <v>54</v>
      </c>
      <c r="AD308" t="s">
        <v>54</v>
      </c>
      <c r="AE308" t="s">
        <v>54</v>
      </c>
      <c r="AF308" s="23" t="s">
        <v>54</v>
      </c>
      <c r="AG308" s="23" t="s">
        <v>54</v>
      </c>
      <c r="AH308" s="23" t="s">
        <v>54</v>
      </c>
      <c r="AI308" s="23" t="s">
        <v>54</v>
      </c>
      <c r="AJ308">
        <v>0</v>
      </c>
      <c r="AK308">
        <v>0</v>
      </c>
      <c r="AL308">
        <v>0</v>
      </c>
      <c r="AM308">
        <v>0</v>
      </c>
      <c r="AN308" s="23" t="s">
        <v>54</v>
      </c>
      <c r="AO308" s="23" t="s">
        <v>54</v>
      </c>
      <c r="AP308" s="23" t="s">
        <v>54</v>
      </c>
      <c r="AQ308" s="23" t="s">
        <v>54</v>
      </c>
      <c r="AR308" s="35">
        <v>0</v>
      </c>
      <c r="AS308" s="35">
        <v>0</v>
      </c>
      <c r="AT308" s="35">
        <v>0</v>
      </c>
      <c r="AU308" s="31" t="str">
        <f t="shared" si="7"/>
        <v>库存为0</v>
      </c>
      <c r="AV308" s="36" t="str">
        <f>IFERROR($A$2+AU308,"上周无销量")</f>
        <v>上周无销量</v>
      </c>
    </row>
    <row r="309" spans="1:48">
      <c r="A309" s="21" t="s">
        <v>679</v>
      </c>
      <c r="B309" t="s">
        <v>680</v>
      </c>
      <c r="C309" t="s">
        <v>672</v>
      </c>
      <c r="D309" s="31">
        <v>0</v>
      </c>
      <c r="E309" s="31">
        <v>0</v>
      </c>
      <c r="F309" s="31">
        <v>0</v>
      </c>
      <c r="G309" s="31">
        <v>0</v>
      </c>
      <c r="H309" s="32">
        <v>0</v>
      </c>
      <c r="I309">
        <v>0</v>
      </c>
      <c r="J309" s="33">
        <v>0</v>
      </c>
      <c r="K309" s="33">
        <v>0</v>
      </c>
      <c r="L309" s="33">
        <v>0</v>
      </c>
      <c r="M309">
        <v>0</v>
      </c>
      <c r="N309">
        <v>0</v>
      </c>
      <c r="O309">
        <v>0</v>
      </c>
      <c r="P309" t="s">
        <v>54</v>
      </c>
      <c r="Q309" t="s">
        <v>54</v>
      </c>
      <c r="R309" t="s">
        <v>54</v>
      </c>
      <c r="S309" t="s">
        <v>54</v>
      </c>
      <c r="T309" t="s">
        <v>54</v>
      </c>
      <c r="U309" t="s">
        <v>54</v>
      </c>
      <c r="V309" t="s">
        <v>54</v>
      </c>
      <c r="W309" t="s">
        <v>54</v>
      </c>
      <c r="X309" s="23" t="s">
        <v>54</v>
      </c>
      <c r="Y309" s="23" t="s">
        <v>54</v>
      </c>
      <c r="Z309" s="23" t="s">
        <v>54</v>
      </c>
      <c r="AA309" s="23" t="s">
        <v>54</v>
      </c>
      <c r="AB309" t="s">
        <v>54</v>
      </c>
      <c r="AC309" t="s">
        <v>54</v>
      </c>
      <c r="AD309" t="s">
        <v>54</v>
      </c>
      <c r="AE309" t="s">
        <v>54</v>
      </c>
      <c r="AF309" s="23" t="s">
        <v>54</v>
      </c>
      <c r="AG309" s="23" t="s">
        <v>54</v>
      </c>
      <c r="AH309" s="23" t="s">
        <v>54</v>
      </c>
      <c r="AI309" s="23" t="s">
        <v>54</v>
      </c>
      <c r="AJ309">
        <v>0</v>
      </c>
      <c r="AK309">
        <v>0</v>
      </c>
      <c r="AL309">
        <v>0</v>
      </c>
      <c r="AM309">
        <v>0</v>
      </c>
      <c r="AN309" s="23" t="s">
        <v>54</v>
      </c>
      <c r="AO309" s="23" t="s">
        <v>54</v>
      </c>
      <c r="AP309" s="23" t="s">
        <v>54</v>
      </c>
      <c r="AQ309" s="23" t="s">
        <v>54</v>
      </c>
      <c r="AR309" s="35">
        <v>0</v>
      </c>
      <c r="AS309" s="35">
        <v>0</v>
      </c>
      <c r="AT309" s="35">
        <v>0</v>
      </c>
      <c r="AU309" s="31" t="str">
        <f t="shared" si="7"/>
        <v>库存为0</v>
      </c>
      <c r="AV309" s="36" t="str">
        <f>IFERROR($A$2+AU309,"上周无销量")</f>
        <v>上周无销量</v>
      </c>
    </row>
    <row r="310" spans="1:48">
      <c r="A310" s="21" t="s">
        <v>681</v>
      </c>
      <c r="B310" t="s">
        <v>682</v>
      </c>
      <c r="C310" t="s">
        <v>672</v>
      </c>
      <c r="D310" s="31">
        <v>0</v>
      </c>
      <c r="E310" s="31">
        <v>0</v>
      </c>
      <c r="F310" s="31">
        <v>0</v>
      </c>
      <c r="G310" s="31">
        <v>0</v>
      </c>
      <c r="H310" s="32">
        <v>0</v>
      </c>
      <c r="I310">
        <v>0</v>
      </c>
      <c r="J310" s="33">
        <v>0</v>
      </c>
      <c r="K310" s="33">
        <v>0</v>
      </c>
      <c r="L310" s="33">
        <v>0</v>
      </c>
      <c r="M310">
        <v>0</v>
      </c>
      <c r="N310">
        <v>0</v>
      </c>
      <c r="O310">
        <v>0</v>
      </c>
      <c r="P310" t="s">
        <v>54</v>
      </c>
      <c r="Q310" t="s">
        <v>54</v>
      </c>
      <c r="R310" t="s">
        <v>54</v>
      </c>
      <c r="S310" t="s">
        <v>54</v>
      </c>
      <c r="T310" t="s">
        <v>54</v>
      </c>
      <c r="U310" t="s">
        <v>54</v>
      </c>
      <c r="V310" t="s">
        <v>54</v>
      </c>
      <c r="W310" t="s">
        <v>54</v>
      </c>
      <c r="X310" s="23" t="s">
        <v>54</v>
      </c>
      <c r="Y310" s="23" t="s">
        <v>54</v>
      </c>
      <c r="Z310" s="23" t="s">
        <v>54</v>
      </c>
      <c r="AA310" s="23" t="s">
        <v>54</v>
      </c>
      <c r="AB310" t="s">
        <v>54</v>
      </c>
      <c r="AC310" t="s">
        <v>54</v>
      </c>
      <c r="AD310" t="s">
        <v>54</v>
      </c>
      <c r="AE310" t="s">
        <v>54</v>
      </c>
      <c r="AF310" s="23" t="s">
        <v>54</v>
      </c>
      <c r="AG310" s="23" t="s">
        <v>54</v>
      </c>
      <c r="AH310" s="23" t="s">
        <v>54</v>
      </c>
      <c r="AI310" s="23" t="s">
        <v>54</v>
      </c>
      <c r="AJ310">
        <v>0</v>
      </c>
      <c r="AK310">
        <v>0</v>
      </c>
      <c r="AL310">
        <v>0</v>
      </c>
      <c r="AM310">
        <v>0</v>
      </c>
      <c r="AN310" s="23" t="s">
        <v>54</v>
      </c>
      <c r="AO310" s="23" t="s">
        <v>54</v>
      </c>
      <c r="AP310" s="23" t="s">
        <v>54</v>
      </c>
      <c r="AQ310" s="23" t="s">
        <v>54</v>
      </c>
      <c r="AR310" s="35">
        <v>0</v>
      </c>
      <c r="AS310" s="35">
        <v>0</v>
      </c>
      <c r="AT310" s="35">
        <v>0</v>
      </c>
      <c r="AU310" s="31" t="str">
        <f t="shared" si="7"/>
        <v>库存为0</v>
      </c>
      <c r="AV310" s="36" t="str">
        <f>IFERROR($A$2+AU310,"上周无销量")</f>
        <v>上周无销量</v>
      </c>
    </row>
    <row r="311" spans="1:48">
      <c r="A311" s="21" t="s">
        <v>683</v>
      </c>
      <c r="B311" t="s">
        <v>684</v>
      </c>
      <c r="C311" t="s">
        <v>672</v>
      </c>
      <c r="D311" s="31">
        <v>0</v>
      </c>
      <c r="E311" s="31">
        <v>0</v>
      </c>
      <c r="F311" s="31">
        <v>0</v>
      </c>
      <c r="G311" s="31">
        <v>0</v>
      </c>
      <c r="H311" s="32">
        <v>0</v>
      </c>
      <c r="I311">
        <v>0</v>
      </c>
      <c r="J311" s="33">
        <v>0</v>
      </c>
      <c r="K311" s="33">
        <v>0</v>
      </c>
      <c r="L311" s="33">
        <v>0</v>
      </c>
      <c r="M311">
        <v>0</v>
      </c>
      <c r="N311">
        <v>0</v>
      </c>
      <c r="O311">
        <v>0</v>
      </c>
      <c r="P311" t="s">
        <v>54</v>
      </c>
      <c r="Q311" t="s">
        <v>54</v>
      </c>
      <c r="R311" t="s">
        <v>54</v>
      </c>
      <c r="S311" t="s">
        <v>54</v>
      </c>
      <c r="T311" t="s">
        <v>54</v>
      </c>
      <c r="U311" t="s">
        <v>54</v>
      </c>
      <c r="V311" t="s">
        <v>54</v>
      </c>
      <c r="W311" t="s">
        <v>54</v>
      </c>
      <c r="X311" s="23" t="s">
        <v>54</v>
      </c>
      <c r="Y311" s="23" t="s">
        <v>54</v>
      </c>
      <c r="Z311" s="23" t="s">
        <v>54</v>
      </c>
      <c r="AA311" s="23" t="s">
        <v>54</v>
      </c>
      <c r="AB311" t="s">
        <v>54</v>
      </c>
      <c r="AC311" t="s">
        <v>54</v>
      </c>
      <c r="AD311" t="s">
        <v>54</v>
      </c>
      <c r="AE311" t="s">
        <v>54</v>
      </c>
      <c r="AF311" s="23" t="s">
        <v>54</v>
      </c>
      <c r="AG311" s="23" t="s">
        <v>54</v>
      </c>
      <c r="AH311" s="23" t="s">
        <v>54</v>
      </c>
      <c r="AI311" s="23" t="s">
        <v>54</v>
      </c>
      <c r="AJ311">
        <v>0</v>
      </c>
      <c r="AK311">
        <v>0</v>
      </c>
      <c r="AL311">
        <v>0</v>
      </c>
      <c r="AM311">
        <v>0</v>
      </c>
      <c r="AN311" s="23" t="s">
        <v>54</v>
      </c>
      <c r="AO311" s="23" t="s">
        <v>54</v>
      </c>
      <c r="AP311" s="23" t="s">
        <v>54</v>
      </c>
      <c r="AQ311" s="23" t="s">
        <v>54</v>
      </c>
      <c r="AR311" s="35">
        <v>0</v>
      </c>
      <c r="AS311" s="35">
        <v>0</v>
      </c>
      <c r="AT311" s="35">
        <v>0</v>
      </c>
      <c r="AU311" s="31" t="str">
        <f t="shared" si="7"/>
        <v>库存为0</v>
      </c>
      <c r="AV311" s="36" t="str">
        <f>IFERROR($A$2+AU311,"上周无销量")</f>
        <v>上周无销量</v>
      </c>
    </row>
    <row r="312" spans="1:48">
      <c r="A312" s="21" t="s">
        <v>685</v>
      </c>
      <c r="B312" t="s">
        <v>686</v>
      </c>
      <c r="C312" t="s">
        <v>672</v>
      </c>
      <c r="D312" s="31">
        <v>0</v>
      </c>
      <c r="E312" s="31">
        <v>0</v>
      </c>
      <c r="F312" s="31">
        <v>0</v>
      </c>
      <c r="G312" s="31">
        <v>0</v>
      </c>
      <c r="H312" s="32">
        <v>0</v>
      </c>
      <c r="I312">
        <v>0</v>
      </c>
      <c r="J312" s="33">
        <v>0</v>
      </c>
      <c r="K312" s="33">
        <v>0</v>
      </c>
      <c r="L312" s="33">
        <v>0</v>
      </c>
      <c r="M312">
        <v>0</v>
      </c>
      <c r="N312">
        <v>0</v>
      </c>
      <c r="O312">
        <v>0</v>
      </c>
      <c r="P312" t="s">
        <v>54</v>
      </c>
      <c r="Q312" t="s">
        <v>54</v>
      </c>
      <c r="R312" t="s">
        <v>54</v>
      </c>
      <c r="S312" t="s">
        <v>54</v>
      </c>
      <c r="T312" t="s">
        <v>54</v>
      </c>
      <c r="U312" t="s">
        <v>54</v>
      </c>
      <c r="V312" t="s">
        <v>54</v>
      </c>
      <c r="W312" t="s">
        <v>54</v>
      </c>
      <c r="X312" s="23" t="s">
        <v>54</v>
      </c>
      <c r="Y312" s="23" t="s">
        <v>54</v>
      </c>
      <c r="Z312" s="23" t="s">
        <v>54</v>
      </c>
      <c r="AA312" s="23" t="s">
        <v>54</v>
      </c>
      <c r="AB312" t="s">
        <v>54</v>
      </c>
      <c r="AC312" t="s">
        <v>54</v>
      </c>
      <c r="AD312" t="s">
        <v>54</v>
      </c>
      <c r="AE312" t="s">
        <v>54</v>
      </c>
      <c r="AF312" s="23" t="s">
        <v>54</v>
      </c>
      <c r="AG312" s="23" t="s">
        <v>54</v>
      </c>
      <c r="AH312" s="23" t="s">
        <v>54</v>
      </c>
      <c r="AI312" s="23" t="s">
        <v>54</v>
      </c>
      <c r="AJ312">
        <v>0</v>
      </c>
      <c r="AK312">
        <v>0</v>
      </c>
      <c r="AL312">
        <v>0</v>
      </c>
      <c r="AM312">
        <v>0</v>
      </c>
      <c r="AN312" s="23" t="s">
        <v>54</v>
      </c>
      <c r="AO312" s="23" t="s">
        <v>54</v>
      </c>
      <c r="AP312" s="23" t="s">
        <v>54</v>
      </c>
      <c r="AQ312" s="23" t="s">
        <v>54</v>
      </c>
      <c r="AR312" s="35">
        <v>0</v>
      </c>
      <c r="AS312" s="35">
        <v>0</v>
      </c>
      <c r="AT312" s="35">
        <v>0</v>
      </c>
      <c r="AU312" s="31" t="str">
        <f t="shared" si="7"/>
        <v>库存为0</v>
      </c>
      <c r="AV312" s="36" t="str">
        <f>IFERROR($A$2+AU312,"上周无销量")</f>
        <v>上周无销量</v>
      </c>
    </row>
    <row r="313" spans="1:48">
      <c r="A313" s="21" t="s">
        <v>687</v>
      </c>
      <c r="B313" t="s">
        <v>688</v>
      </c>
      <c r="C313" t="s">
        <v>672</v>
      </c>
      <c r="D313" s="31">
        <v>0</v>
      </c>
      <c r="E313" s="31">
        <v>0</v>
      </c>
      <c r="F313" s="31">
        <v>0</v>
      </c>
      <c r="G313" s="31">
        <v>0</v>
      </c>
      <c r="H313" s="32">
        <v>0</v>
      </c>
      <c r="I313">
        <v>0</v>
      </c>
      <c r="J313" s="33">
        <v>0</v>
      </c>
      <c r="K313" s="33">
        <v>0</v>
      </c>
      <c r="L313" s="33">
        <v>0</v>
      </c>
      <c r="M313">
        <v>0</v>
      </c>
      <c r="N313">
        <v>0</v>
      </c>
      <c r="O313">
        <v>0</v>
      </c>
      <c r="P313" t="s">
        <v>54</v>
      </c>
      <c r="Q313" t="s">
        <v>54</v>
      </c>
      <c r="R313" t="s">
        <v>54</v>
      </c>
      <c r="S313" t="s">
        <v>54</v>
      </c>
      <c r="T313" t="s">
        <v>54</v>
      </c>
      <c r="U313" t="s">
        <v>54</v>
      </c>
      <c r="V313" t="s">
        <v>54</v>
      </c>
      <c r="W313" t="s">
        <v>54</v>
      </c>
      <c r="X313" s="23" t="s">
        <v>54</v>
      </c>
      <c r="Y313" s="23" t="s">
        <v>54</v>
      </c>
      <c r="Z313" s="23" t="s">
        <v>54</v>
      </c>
      <c r="AA313" s="23" t="s">
        <v>54</v>
      </c>
      <c r="AB313" t="s">
        <v>54</v>
      </c>
      <c r="AC313" t="s">
        <v>54</v>
      </c>
      <c r="AD313" t="s">
        <v>54</v>
      </c>
      <c r="AE313" t="s">
        <v>54</v>
      </c>
      <c r="AF313" s="23" t="s">
        <v>54</v>
      </c>
      <c r="AG313" s="23" t="s">
        <v>54</v>
      </c>
      <c r="AH313" s="23" t="s">
        <v>54</v>
      </c>
      <c r="AI313" s="23" t="s">
        <v>54</v>
      </c>
      <c r="AJ313">
        <v>0</v>
      </c>
      <c r="AK313">
        <v>0</v>
      </c>
      <c r="AL313">
        <v>0</v>
      </c>
      <c r="AM313">
        <v>0</v>
      </c>
      <c r="AN313" s="23" t="s">
        <v>54</v>
      </c>
      <c r="AO313" s="23" t="s">
        <v>54</v>
      </c>
      <c r="AP313" s="23" t="s">
        <v>54</v>
      </c>
      <c r="AQ313" s="23" t="s">
        <v>54</v>
      </c>
      <c r="AR313" s="35">
        <v>0</v>
      </c>
      <c r="AS313" s="35">
        <v>0</v>
      </c>
      <c r="AT313" s="35">
        <v>0</v>
      </c>
      <c r="AU313" s="31" t="str">
        <f t="shared" si="7"/>
        <v>库存为0</v>
      </c>
      <c r="AV313" s="36" t="str">
        <f>IFERROR($A$2+AU313,"上周无销量")</f>
        <v>上周无销量</v>
      </c>
    </row>
    <row r="314" spans="1:48">
      <c r="A314" s="21" t="s">
        <v>689</v>
      </c>
      <c r="B314" t="s">
        <v>690</v>
      </c>
      <c r="C314" t="s">
        <v>672</v>
      </c>
      <c r="D314" s="31">
        <v>0</v>
      </c>
      <c r="E314" s="31">
        <v>0</v>
      </c>
      <c r="F314" s="31">
        <v>0</v>
      </c>
      <c r="G314" s="31">
        <v>0</v>
      </c>
      <c r="H314" s="32">
        <v>0</v>
      </c>
      <c r="I314">
        <v>0</v>
      </c>
      <c r="J314" s="33">
        <v>0</v>
      </c>
      <c r="K314" s="33">
        <v>0</v>
      </c>
      <c r="L314" s="33">
        <v>0</v>
      </c>
      <c r="M314">
        <v>0</v>
      </c>
      <c r="N314">
        <v>0</v>
      </c>
      <c r="O314">
        <v>0</v>
      </c>
      <c r="P314" t="s">
        <v>54</v>
      </c>
      <c r="Q314" t="s">
        <v>54</v>
      </c>
      <c r="R314" t="s">
        <v>54</v>
      </c>
      <c r="S314" t="s">
        <v>54</v>
      </c>
      <c r="T314" t="s">
        <v>54</v>
      </c>
      <c r="U314" t="s">
        <v>54</v>
      </c>
      <c r="V314" t="s">
        <v>54</v>
      </c>
      <c r="W314" t="s">
        <v>54</v>
      </c>
      <c r="X314" s="23" t="s">
        <v>54</v>
      </c>
      <c r="Y314" s="23" t="s">
        <v>54</v>
      </c>
      <c r="Z314" s="23" t="s">
        <v>54</v>
      </c>
      <c r="AA314" s="23" t="s">
        <v>54</v>
      </c>
      <c r="AB314" t="s">
        <v>54</v>
      </c>
      <c r="AC314" t="s">
        <v>54</v>
      </c>
      <c r="AD314" t="s">
        <v>54</v>
      </c>
      <c r="AE314" t="s">
        <v>54</v>
      </c>
      <c r="AF314" s="23" t="s">
        <v>54</v>
      </c>
      <c r="AG314" s="23" t="s">
        <v>54</v>
      </c>
      <c r="AH314" s="23" t="s">
        <v>54</v>
      </c>
      <c r="AI314" s="23" t="s">
        <v>54</v>
      </c>
      <c r="AJ314">
        <v>0</v>
      </c>
      <c r="AK314">
        <v>0</v>
      </c>
      <c r="AL314">
        <v>0</v>
      </c>
      <c r="AM314">
        <v>0</v>
      </c>
      <c r="AN314" s="23" t="s">
        <v>54</v>
      </c>
      <c r="AO314" s="23" t="s">
        <v>54</v>
      </c>
      <c r="AP314" s="23" t="s">
        <v>54</v>
      </c>
      <c r="AQ314" s="23" t="s">
        <v>54</v>
      </c>
      <c r="AR314" s="35">
        <v>0</v>
      </c>
      <c r="AS314" s="35">
        <v>0</v>
      </c>
      <c r="AT314" s="35">
        <v>0</v>
      </c>
      <c r="AU314" s="31" t="str">
        <f t="shared" si="7"/>
        <v>库存为0</v>
      </c>
      <c r="AV314" s="36" t="str">
        <f>IFERROR($A$2+AU314,"上周无销量")</f>
        <v>上周无销量</v>
      </c>
    </row>
    <row r="315" spans="1:48">
      <c r="A315" s="21" t="s">
        <v>691</v>
      </c>
      <c r="B315" t="s">
        <v>692</v>
      </c>
      <c r="C315" t="s">
        <v>672</v>
      </c>
      <c r="D315" s="31">
        <v>0</v>
      </c>
      <c r="E315" s="31">
        <v>0</v>
      </c>
      <c r="F315" s="31">
        <v>0</v>
      </c>
      <c r="G315" s="31">
        <v>0</v>
      </c>
      <c r="H315" s="32">
        <v>0</v>
      </c>
      <c r="I315">
        <v>0</v>
      </c>
      <c r="J315" s="33">
        <v>0</v>
      </c>
      <c r="K315" s="33">
        <v>0</v>
      </c>
      <c r="L315" s="33">
        <v>0</v>
      </c>
      <c r="M315">
        <v>0</v>
      </c>
      <c r="N315">
        <v>0</v>
      </c>
      <c r="O315">
        <v>0</v>
      </c>
      <c r="P315" t="s">
        <v>54</v>
      </c>
      <c r="Q315" t="s">
        <v>54</v>
      </c>
      <c r="R315" t="s">
        <v>54</v>
      </c>
      <c r="S315" t="s">
        <v>54</v>
      </c>
      <c r="T315" t="s">
        <v>54</v>
      </c>
      <c r="U315" t="s">
        <v>54</v>
      </c>
      <c r="V315" t="s">
        <v>54</v>
      </c>
      <c r="W315" t="s">
        <v>54</v>
      </c>
      <c r="X315" s="23" t="s">
        <v>54</v>
      </c>
      <c r="Y315" s="23" t="s">
        <v>54</v>
      </c>
      <c r="Z315" s="23" t="s">
        <v>54</v>
      </c>
      <c r="AA315" s="23" t="s">
        <v>54</v>
      </c>
      <c r="AB315" t="s">
        <v>54</v>
      </c>
      <c r="AC315" t="s">
        <v>54</v>
      </c>
      <c r="AD315" t="s">
        <v>54</v>
      </c>
      <c r="AE315" t="s">
        <v>54</v>
      </c>
      <c r="AF315" s="23" t="s">
        <v>54</v>
      </c>
      <c r="AG315" s="23" t="s">
        <v>54</v>
      </c>
      <c r="AH315" s="23" t="s">
        <v>54</v>
      </c>
      <c r="AI315" s="23" t="s">
        <v>54</v>
      </c>
      <c r="AJ315">
        <v>0</v>
      </c>
      <c r="AK315">
        <v>0</v>
      </c>
      <c r="AL315">
        <v>0</v>
      </c>
      <c r="AM315">
        <v>0</v>
      </c>
      <c r="AN315" s="23" t="s">
        <v>54</v>
      </c>
      <c r="AO315" s="23" t="s">
        <v>54</v>
      </c>
      <c r="AP315" s="23" t="s">
        <v>54</v>
      </c>
      <c r="AQ315" s="23" t="s">
        <v>54</v>
      </c>
      <c r="AR315" s="35">
        <v>0</v>
      </c>
      <c r="AS315" s="35">
        <v>0</v>
      </c>
      <c r="AT315" s="35">
        <v>0</v>
      </c>
      <c r="AU315" s="31" t="str">
        <f t="shared" si="7"/>
        <v>库存为0</v>
      </c>
      <c r="AV315" s="36" t="str">
        <f>IFERROR($A$2+AU315,"上周无销量")</f>
        <v>上周无销量</v>
      </c>
    </row>
    <row r="316" spans="1:48">
      <c r="A316" s="21" t="s">
        <v>693</v>
      </c>
      <c r="B316" t="s">
        <v>694</v>
      </c>
      <c r="C316" t="s">
        <v>672</v>
      </c>
      <c r="D316" s="31">
        <v>0</v>
      </c>
      <c r="E316" s="31">
        <v>0</v>
      </c>
      <c r="F316" s="31">
        <v>0</v>
      </c>
      <c r="G316" s="31">
        <v>0</v>
      </c>
      <c r="H316" s="32">
        <v>0</v>
      </c>
      <c r="I316">
        <v>0</v>
      </c>
      <c r="J316" s="33">
        <v>0</v>
      </c>
      <c r="K316" s="33">
        <v>0</v>
      </c>
      <c r="L316" s="33">
        <v>0</v>
      </c>
      <c r="M316">
        <v>0</v>
      </c>
      <c r="N316">
        <v>0</v>
      </c>
      <c r="O316">
        <v>0</v>
      </c>
      <c r="P316" t="s">
        <v>54</v>
      </c>
      <c r="Q316" t="s">
        <v>54</v>
      </c>
      <c r="R316" t="s">
        <v>54</v>
      </c>
      <c r="S316" t="s">
        <v>54</v>
      </c>
      <c r="T316" t="s">
        <v>54</v>
      </c>
      <c r="U316" t="s">
        <v>54</v>
      </c>
      <c r="V316" t="s">
        <v>54</v>
      </c>
      <c r="W316" t="s">
        <v>54</v>
      </c>
      <c r="X316" s="23" t="s">
        <v>54</v>
      </c>
      <c r="Y316" s="23" t="s">
        <v>54</v>
      </c>
      <c r="Z316" s="23" t="s">
        <v>54</v>
      </c>
      <c r="AA316" s="23" t="s">
        <v>54</v>
      </c>
      <c r="AB316" t="s">
        <v>54</v>
      </c>
      <c r="AC316" t="s">
        <v>54</v>
      </c>
      <c r="AD316" t="s">
        <v>54</v>
      </c>
      <c r="AE316" t="s">
        <v>54</v>
      </c>
      <c r="AF316" s="23" t="s">
        <v>54</v>
      </c>
      <c r="AG316" s="23" t="s">
        <v>54</v>
      </c>
      <c r="AH316" s="23" t="s">
        <v>54</v>
      </c>
      <c r="AI316" s="23" t="s">
        <v>54</v>
      </c>
      <c r="AJ316">
        <v>0</v>
      </c>
      <c r="AK316">
        <v>0</v>
      </c>
      <c r="AL316">
        <v>0</v>
      </c>
      <c r="AM316">
        <v>0</v>
      </c>
      <c r="AN316" s="23" t="s">
        <v>54</v>
      </c>
      <c r="AO316" s="23" t="s">
        <v>54</v>
      </c>
      <c r="AP316" s="23" t="s">
        <v>54</v>
      </c>
      <c r="AQ316" s="23" t="s">
        <v>54</v>
      </c>
      <c r="AR316" s="35">
        <v>0</v>
      </c>
      <c r="AS316" s="35">
        <v>0</v>
      </c>
      <c r="AT316" s="35">
        <v>0</v>
      </c>
      <c r="AU316" s="31" t="str">
        <f t="shared" si="7"/>
        <v>库存为0</v>
      </c>
      <c r="AV316" s="36" t="str">
        <f>IFERROR($A$2+AU316,"上周无销量")</f>
        <v>上周无销量</v>
      </c>
    </row>
    <row r="317" spans="1:48">
      <c r="A317" s="21" t="s">
        <v>695</v>
      </c>
      <c r="B317" t="s">
        <v>696</v>
      </c>
      <c r="C317" t="s">
        <v>672</v>
      </c>
      <c r="D317" s="31">
        <v>0</v>
      </c>
      <c r="E317" s="31">
        <v>0</v>
      </c>
      <c r="F317" s="31">
        <v>0</v>
      </c>
      <c r="G317" s="31">
        <v>0</v>
      </c>
      <c r="H317" s="32">
        <v>0</v>
      </c>
      <c r="I317">
        <v>0</v>
      </c>
      <c r="J317" s="33">
        <v>0</v>
      </c>
      <c r="K317" s="33">
        <v>0</v>
      </c>
      <c r="L317" s="33">
        <v>0</v>
      </c>
      <c r="M317">
        <v>0</v>
      </c>
      <c r="N317">
        <v>0</v>
      </c>
      <c r="O317">
        <v>0</v>
      </c>
      <c r="P317" t="s">
        <v>54</v>
      </c>
      <c r="Q317" t="s">
        <v>54</v>
      </c>
      <c r="R317" t="s">
        <v>54</v>
      </c>
      <c r="S317" t="s">
        <v>54</v>
      </c>
      <c r="T317" t="s">
        <v>54</v>
      </c>
      <c r="U317" t="s">
        <v>54</v>
      </c>
      <c r="V317" t="s">
        <v>54</v>
      </c>
      <c r="W317" t="s">
        <v>54</v>
      </c>
      <c r="X317" s="23" t="s">
        <v>54</v>
      </c>
      <c r="Y317" s="23" t="s">
        <v>54</v>
      </c>
      <c r="Z317" s="23" t="s">
        <v>54</v>
      </c>
      <c r="AA317" s="23" t="s">
        <v>54</v>
      </c>
      <c r="AB317" t="s">
        <v>54</v>
      </c>
      <c r="AC317" t="s">
        <v>54</v>
      </c>
      <c r="AD317" t="s">
        <v>54</v>
      </c>
      <c r="AE317" t="s">
        <v>54</v>
      </c>
      <c r="AF317" s="23" t="s">
        <v>54</v>
      </c>
      <c r="AG317" s="23" t="s">
        <v>54</v>
      </c>
      <c r="AH317" s="23" t="s">
        <v>54</v>
      </c>
      <c r="AI317" s="23" t="s">
        <v>54</v>
      </c>
      <c r="AJ317">
        <v>0</v>
      </c>
      <c r="AK317">
        <v>0</v>
      </c>
      <c r="AL317">
        <v>0</v>
      </c>
      <c r="AM317">
        <v>0</v>
      </c>
      <c r="AN317" s="23" t="s">
        <v>54</v>
      </c>
      <c r="AO317" s="23" t="s">
        <v>54</v>
      </c>
      <c r="AP317" s="23" t="s">
        <v>54</v>
      </c>
      <c r="AQ317" s="23" t="s">
        <v>54</v>
      </c>
      <c r="AR317" s="35">
        <v>0</v>
      </c>
      <c r="AS317" s="35">
        <v>0</v>
      </c>
      <c r="AT317" s="35">
        <v>0</v>
      </c>
      <c r="AU317" s="31" t="str">
        <f t="shared" si="7"/>
        <v>库存为0</v>
      </c>
      <c r="AV317" s="36" t="str">
        <f>IFERROR($A$2+AU317,"上周无销量")</f>
        <v>上周无销量</v>
      </c>
    </row>
    <row r="318" spans="1:48">
      <c r="A318" s="21" t="s">
        <v>697</v>
      </c>
      <c r="B318" t="s">
        <v>698</v>
      </c>
      <c r="C318" t="s">
        <v>672</v>
      </c>
      <c r="D318" s="31">
        <v>0</v>
      </c>
      <c r="E318" s="31">
        <v>0</v>
      </c>
      <c r="F318" s="31">
        <v>0</v>
      </c>
      <c r="G318" s="31">
        <v>0</v>
      </c>
      <c r="H318" s="32">
        <v>0</v>
      </c>
      <c r="I318">
        <v>0</v>
      </c>
      <c r="J318" s="33">
        <v>0</v>
      </c>
      <c r="K318" s="33">
        <v>0</v>
      </c>
      <c r="L318" s="33">
        <v>0</v>
      </c>
      <c r="M318">
        <v>0</v>
      </c>
      <c r="N318">
        <v>0</v>
      </c>
      <c r="O318">
        <v>0</v>
      </c>
      <c r="P318" t="s">
        <v>54</v>
      </c>
      <c r="Q318" t="s">
        <v>54</v>
      </c>
      <c r="R318" t="s">
        <v>54</v>
      </c>
      <c r="S318" t="s">
        <v>54</v>
      </c>
      <c r="T318" t="s">
        <v>54</v>
      </c>
      <c r="U318" t="s">
        <v>54</v>
      </c>
      <c r="V318" t="s">
        <v>54</v>
      </c>
      <c r="W318" t="s">
        <v>54</v>
      </c>
      <c r="X318" s="23" t="s">
        <v>54</v>
      </c>
      <c r="Y318" s="23" t="s">
        <v>54</v>
      </c>
      <c r="Z318" s="23" t="s">
        <v>54</v>
      </c>
      <c r="AA318" s="23" t="s">
        <v>54</v>
      </c>
      <c r="AB318" t="s">
        <v>54</v>
      </c>
      <c r="AC318" t="s">
        <v>54</v>
      </c>
      <c r="AD318" t="s">
        <v>54</v>
      </c>
      <c r="AE318" t="s">
        <v>54</v>
      </c>
      <c r="AF318" s="23" t="s">
        <v>54</v>
      </c>
      <c r="AG318" s="23" t="s">
        <v>54</v>
      </c>
      <c r="AH318" s="23" t="s">
        <v>54</v>
      </c>
      <c r="AI318" s="23" t="s">
        <v>54</v>
      </c>
      <c r="AJ318">
        <v>0</v>
      </c>
      <c r="AK318">
        <v>0</v>
      </c>
      <c r="AL318">
        <v>0</v>
      </c>
      <c r="AM318">
        <v>0</v>
      </c>
      <c r="AN318" s="23" t="s">
        <v>54</v>
      </c>
      <c r="AO318" s="23" t="s">
        <v>54</v>
      </c>
      <c r="AP318" s="23" t="s">
        <v>54</v>
      </c>
      <c r="AQ318" s="23" t="s">
        <v>54</v>
      </c>
      <c r="AR318" s="35">
        <v>0</v>
      </c>
      <c r="AS318" s="35">
        <v>0</v>
      </c>
      <c r="AT318" s="35">
        <v>0</v>
      </c>
      <c r="AU318" s="31" t="str">
        <f t="shared" si="7"/>
        <v>库存为0</v>
      </c>
      <c r="AV318" s="36" t="str">
        <f>IFERROR($A$2+AU318,"上周无销量")</f>
        <v>上周无销量</v>
      </c>
    </row>
    <row r="319" spans="1:48">
      <c r="A319" s="21" t="s">
        <v>699</v>
      </c>
      <c r="B319" t="s">
        <v>700</v>
      </c>
      <c r="C319" t="s">
        <v>672</v>
      </c>
      <c r="D319" s="31">
        <v>0</v>
      </c>
      <c r="E319" s="31">
        <v>0</v>
      </c>
      <c r="F319" s="31">
        <v>0</v>
      </c>
      <c r="G319" s="31">
        <v>0</v>
      </c>
      <c r="H319" s="32">
        <v>0</v>
      </c>
      <c r="I319">
        <v>0</v>
      </c>
      <c r="J319" s="33">
        <v>0</v>
      </c>
      <c r="K319" s="33">
        <v>0</v>
      </c>
      <c r="L319" s="33">
        <v>0</v>
      </c>
      <c r="M319">
        <v>0</v>
      </c>
      <c r="N319">
        <v>0</v>
      </c>
      <c r="O319">
        <v>0</v>
      </c>
      <c r="P319" t="s">
        <v>54</v>
      </c>
      <c r="Q319" t="s">
        <v>54</v>
      </c>
      <c r="R319" t="s">
        <v>54</v>
      </c>
      <c r="S319" t="s">
        <v>54</v>
      </c>
      <c r="T319" t="s">
        <v>54</v>
      </c>
      <c r="U319" t="s">
        <v>54</v>
      </c>
      <c r="V319" t="s">
        <v>54</v>
      </c>
      <c r="W319" t="s">
        <v>54</v>
      </c>
      <c r="X319" s="23" t="s">
        <v>54</v>
      </c>
      <c r="Y319" s="23" t="s">
        <v>54</v>
      </c>
      <c r="Z319" s="23" t="s">
        <v>54</v>
      </c>
      <c r="AA319" s="23" t="s">
        <v>54</v>
      </c>
      <c r="AB319" t="s">
        <v>54</v>
      </c>
      <c r="AC319" t="s">
        <v>54</v>
      </c>
      <c r="AD319" t="s">
        <v>54</v>
      </c>
      <c r="AE319" t="s">
        <v>54</v>
      </c>
      <c r="AF319" s="23" t="s">
        <v>54</v>
      </c>
      <c r="AG319" s="23" t="s">
        <v>54</v>
      </c>
      <c r="AH319" s="23" t="s">
        <v>54</v>
      </c>
      <c r="AI319" s="23" t="s">
        <v>54</v>
      </c>
      <c r="AJ319">
        <v>0</v>
      </c>
      <c r="AK319">
        <v>0</v>
      </c>
      <c r="AL319">
        <v>0</v>
      </c>
      <c r="AM319">
        <v>0</v>
      </c>
      <c r="AN319" s="23" t="s">
        <v>54</v>
      </c>
      <c r="AO319" s="23" t="s">
        <v>54</v>
      </c>
      <c r="AP319" s="23" t="s">
        <v>54</v>
      </c>
      <c r="AQ319" s="23" t="s">
        <v>54</v>
      </c>
      <c r="AR319" s="35">
        <v>0</v>
      </c>
      <c r="AS319" s="35">
        <v>0</v>
      </c>
      <c r="AT319" s="35">
        <v>0</v>
      </c>
      <c r="AU319" s="31" t="str">
        <f t="shared" si="7"/>
        <v>库存为0</v>
      </c>
      <c r="AV319" s="36" t="str">
        <f>IFERROR($A$2+AU319,"上周无销量")</f>
        <v>上周无销量</v>
      </c>
    </row>
    <row r="320" spans="1:48">
      <c r="A320" s="21" t="s">
        <v>701</v>
      </c>
      <c r="B320" t="s">
        <v>702</v>
      </c>
      <c r="C320" t="s">
        <v>672</v>
      </c>
      <c r="D320" s="31">
        <v>0</v>
      </c>
      <c r="E320" s="31">
        <v>0</v>
      </c>
      <c r="F320" s="31">
        <v>0</v>
      </c>
      <c r="G320" s="31">
        <v>0</v>
      </c>
      <c r="H320" s="32">
        <v>0</v>
      </c>
      <c r="I320">
        <v>0</v>
      </c>
      <c r="J320" s="33">
        <v>0</v>
      </c>
      <c r="K320" s="33">
        <v>0</v>
      </c>
      <c r="L320" s="33">
        <v>0</v>
      </c>
      <c r="M320">
        <v>0</v>
      </c>
      <c r="N320">
        <v>0</v>
      </c>
      <c r="O320">
        <v>0</v>
      </c>
      <c r="P320" t="s">
        <v>54</v>
      </c>
      <c r="Q320" t="s">
        <v>54</v>
      </c>
      <c r="R320" t="s">
        <v>54</v>
      </c>
      <c r="S320" t="s">
        <v>54</v>
      </c>
      <c r="T320" t="s">
        <v>54</v>
      </c>
      <c r="U320" t="s">
        <v>54</v>
      </c>
      <c r="V320" t="s">
        <v>54</v>
      </c>
      <c r="W320" t="s">
        <v>54</v>
      </c>
      <c r="X320" s="23" t="s">
        <v>54</v>
      </c>
      <c r="Y320" s="23" t="s">
        <v>54</v>
      </c>
      <c r="Z320" s="23" t="s">
        <v>54</v>
      </c>
      <c r="AA320" s="23" t="s">
        <v>54</v>
      </c>
      <c r="AB320" t="s">
        <v>54</v>
      </c>
      <c r="AC320" t="s">
        <v>54</v>
      </c>
      <c r="AD320" t="s">
        <v>54</v>
      </c>
      <c r="AE320" t="s">
        <v>54</v>
      </c>
      <c r="AF320" s="23" t="s">
        <v>54</v>
      </c>
      <c r="AG320" s="23" t="s">
        <v>54</v>
      </c>
      <c r="AH320" s="23" t="s">
        <v>54</v>
      </c>
      <c r="AI320" s="23" t="s">
        <v>54</v>
      </c>
      <c r="AJ320">
        <v>0</v>
      </c>
      <c r="AK320">
        <v>0</v>
      </c>
      <c r="AL320">
        <v>0</v>
      </c>
      <c r="AM320">
        <v>0</v>
      </c>
      <c r="AN320" s="23" t="s">
        <v>54</v>
      </c>
      <c r="AO320" s="23" t="s">
        <v>54</v>
      </c>
      <c r="AP320" s="23" t="s">
        <v>54</v>
      </c>
      <c r="AQ320" s="23" t="s">
        <v>54</v>
      </c>
      <c r="AR320" s="35">
        <v>0</v>
      </c>
      <c r="AS320" s="35">
        <v>0</v>
      </c>
      <c r="AT320" s="35">
        <v>0</v>
      </c>
      <c r="AU320" s="31" t="str">
        <f t="shared" si="7"/>
        <v>库存为0</v>
      </c>
      <c r="AV320" s="36" t="str">
        <f>IFERROR($A$2+AU320,"上周无销量")</f>
        <v>上周无销量</v>
      </c>
    </row>
    <row r="321" spans="1:48">
      <c r="A321" s="21" t="s">
        <v>703</v>
      </c>
      <c r="B321" t="s">
        <v>704</v>
      </c>
      <c r="C321" t="s">
        <v>672</v>
      </c>
      <c r="D321" s="31">
        <v>0</v>
      </c>
      <c r="E321" s="31">
        <v>0</v>
      </c>
      <c r="F321" s="31">
        <v>0</v>
      </c>
      <c r="G321" s="31">
        <v>0</v>
      </c>
      <c r="H321" s="32">
        <v>0</v>
      </c>
      <c r="I321">
        <v>0</v>
      </c>
      <c r="J321" s="33">
        <v>0</v>
      </c>
      <c r="K321" s="33">
        <v>0</v>
      </c>
      <c r="L321" s="33">
        <v>0</v>
      </c>
      <c r="M321">
        <v>0</v>
      </c>
      <c r="N321">
        <v>0</v>
      </c>
      <c r="O321">
        <v>0</v>
      </c>
      <c r="P321" t="s">
        <v>54</v>
      </c>
      <c r="Q321" t="s">
        <v>54</v>
      </c>
      <c r="R321" t="s">
        <v>54</v>
      </c>
      <c r="S321" t="s">
        <v>54</v>
      </c>
      <c r="T321" t="s">
        <v>54</v>
      </c>
      <c r="U321" t="s">
        <v>54</v>
      </c>
      <c r="V321" t="s">
        <v>54</v>
      </c>
      <c r="W321" t="s">
        <v>54</v>
      </c>
      <c r="X321" s="23" t="s">
        <v>54</v>
      </c>
      <c r="Y321" s="23" t="s">
        <v>54</v>
      </c>
      <c r="Z321" s="23" t="s">
        <v>54</v>
      </c>
      <c r="AA321" s="23" t="s">
        <v>54</v>
      </c>
      <c r="AB321" t="s">
        <v>54</v>
      </c>
      <c r="AC321" t="s">
        <v>54</v>
      </c>
      <c r="AD321" t="s">
        <v>54</v>
      </c>
      <c r="AE321" t="s">
        <v>54</v>
      </c>
      <c r="AF321" s="23" t="s">
        <v>54</v>
      </c>
      <c r="AG321" s="23" t="s">
        <v>54</v>
      </c>
      <c r="AH321" s="23" t="s">
        <v>54</v>
      </c>
      <c r="AI321" s="23" t="s">
        <v>54</v>
      </c>
      <c r="AJ321">
        <v>0</v>
      </c>
      <c r="AK321">
        <v>0</v>
      </c>
      <c r="AL321">
        <v>0</v>
      </c>
      <c r="AM321">
        <v>0</v>
      </c>
      <c r="AN321" s="23" t="s">
        <v>54</v>
      </c>
      <c r="AO321" s="23" t="s">
        <v>54</v>
      </c>
      <c r="AP321" s="23" t="s">
        <v>54</v>
      </c>
      <c r="AQ321" s="23" t="s">
        <v>54</v>
      </c>
      <c r="AR321" s="35">
        <v>0</v>
      </c>
      <c r="AS321" s="35">
        <v>0</v>
      </c>
      <c r="AT321" s="35">
        <v>0</v>
      </c>
      <c r="AU321" s="31" t="str">
        <f t="shared" si="7"/>
        <v>库存为0</v>
      </c>
      <c r="AV321" s="36" t="str">
        <f>IFERROR($A$2+AU321,"上周无销量")</f>
        <v>上周无销量</v>
      </c>
    </row>
    <row r="322" spans="1:48">
      <c r="A322" s="21" t="s">
        <v>705</v>
      </c>
      <c r="B322" t="s">
        <v>706</v>
      </c>
      <c r="C322" t="s">
        <v>672</v>
      </c>
      <c r="D322" s="31">
        <v>0</v>
      </c>
      <c r="E322" s="31">
        <v>0</v>
      </c>
      <c r="F322" s="31">
        <v>0</v>
      </c>
      <c r="G322" s="31">
        <v>0</v>
      </c>
      <c r="H322" s="32">
        <v>0</v>
      </c>
      <c r="I322">
        <v>0</v>
      </c>
      <c r="J322" s="33">
        <v>0</v>
      </c>
      <c r="K322" s="33">
        <v>0</v>
      </c>
      <c r="L322" s="33">
        <v>0</v>
      </c>
      <c r="M322">
        <v>0</v>
      </c>
      <c r="N322">
        <v>0</v>
      </c>
      <c r="O322">
        <v>0</v>
      </c>
      <c r="P322" t="s">
        <v>54</v>
      </c>
      <c r="Q322" t="s">
        <v>54</v>
      </c>
      <c r="R322" t="s">
        <v>54</v>
      </c>
      <c r="S322" t="s">
        <v>54</v>
      </c>
      <c r="T322" t="s">
        <v>54</v>
      </c>
      <c r="U322" t="s">
        <v>54</v>
      </c>
      <c r="V322" t="s">
        <v>54</v>
      </c>
      <c r="W322" t="s">
        <v>54</v>
      </c>
      <c r="X322" s="23" t="s">
        <v>54</v>
      </c>
      <c r="Y322" s="23" t="s">
        <v>54</v>
      </c>
      <c r="Z322" s="23" t="s">
        <v>54</v>
      </c>
      <c r="AA322" s="23" t="s">
        <v>54</v>
      </c>
      <c r="AB322" t="s">
        <v>54</v>
      </c>
      <c r="AC322" t="s">
        <v>54</v>
      </c>
      <c r="AD322" t="s">
        <v>54</v>
      </c>
      <c r="AE322" t="s">
        <v>54</v>
      </c>
      <c r="AF322" s="23" t="s">
        <v>54</v>
      </c>
      <c r="AG322" s="23" t="s">
        <v>54</v>
      </c>
      <c r="AH322" s="23" t="s">
        <v>54</v>
      </c>
      <c r="AI322" s="23" t="s">
        <v>54</v>
      </c>
      <c r="AJ322">
        <v>0</v>
      </c>
      <c r="AK322">
        <v>0</v>
      </c>
      <c r="AL322">
        <v>0</v>
      </c>
      <c r="AM322">
        <v>0</v>
      </c>
      <c r="AN322" s="23" t="s">
        <v>54</v>
      </c>
      <c r="AO322" s="23" t="s">
        <v>54</v>
      </c>
      <c r="AP322" s="23" t="s">
        <v>54</v>
      </c>
      <c r="AQ322" s="23" t="s">
        <v>54</v>
      </c>
      <c r="AR322" s="35">
        <v>0</v>
      </c>
      <c r="AS322" s="35">
        <v>0</v>
      </c>
      <c r="AT322" s="35">
        <v>0</v>
      </c>
      <c r="AU322" s="31" t="str">
        <f t="shared" si="7"/>
        <v>库存为0</v>
      </c>
      <c r="AV322" s="36" t="str">
        <f>IFERROR($A$2+AU322,"上周无销量")</f>
        <v>上周无销量</v>
      </c>
    </row>
    <row r="323" spans="1:48">
      <c r="A323" s="21" t="s">
        <v>707</v>
      </c>
      <c r="B323" t="s">
        <v>708</v>
      </c>
      <c r="C323" t="s">
        <v>672</v>
      </c>
      <c r="D323" s="31">
        <v>0</v>
      </c>
      <c r="E323" s="31">
        <v>0</v>
      </c>
      <c r="F323" s="31">
        <v>0</v>
      </c>
      <c r="G323" s="31">
        <v>0</v>
      </c>
      <c r="H323" s="32">
        <v>0</v>
      </c>
      <c r="I323">
        <v>0</v>
      </c>
      <c r="J323" s="33">
        <v>0</v>
      </c>
      <c r="K323" s="33">
        <v>0</v>
      </c>
      <c r="L323" s="33">
        <v>0</v>
      </c>
      <c r="M323">
        <v>0</v>
      </c>
      <c r="N323">
        <v>0</v>
      </c>
      <c r="O323">
        <v>0</v>
      </c>
      <c r="P323" t="s">
        <v>54</v>
      </c>
      <c r="Q323" t="s">
        <v>54</v>
      </c>
      <c r="R323" t="s">
        <v>54</v>
      </c>
      <c r="S323" t="s">
        <v>54</v>
      </c>
      <c r="T323" t="s">
        <v>54</v>
      </c>
      <c r="U323" t="s">
        <v>54</v>
      </c>
      <c r="V323" t="s">
        <v>54</v>
      </c>
      <c r="W323" t="s">
        <v>54</v>
      </c>
      <c r="X323" s="23" t="s">
        <v>54</v>
      </c>
      <c r="Y323" s="23" t="s">
        <v>54</v>
      </c>
      <c r="Z323" s="23" t="s">
        <v>54</v>
      </c>
      <c r="AA323" s="23" t="s">
        <v>54</v>
      </c>
      <c r="AB323" t="s">
        <v>54</v>
      </c>
      <c r="AC323" t="s">
        <v>54</v>
      </c>
      <c r="AD323" t="s">
        <v>54</v>
      </c>
      <c r="AE323" t="s">
        <v>54</v>
      </c>
      <c r="AF323" s="23" t="s">
        <v>54</v>
      </c>
      <c r="AG323" s="23" t="s">
        <v>54</v>
      </c>
      <c r="AH323" s="23" t="s">
        <v>54</v>
      </c>
      <c r="AI323" s="23" t="s">
        <v>54</v>
      </c>
      <c r="AJ323">
        <v>0</v>
      </c>
      <c r="AK323">
        <v>0</v>
      </c>
      <c r="AL323">
        <v>0</v>
      </c>
      <c r="AM323">
        <v>0</v>
      </c>
      <c r="AN323" s="23" t="s">
        <v>54</v>
      </c>
      <c r="AO323" s="23" t="s">
        <v>54</v>
      </c>
      <c r="AP323" s="23" t="s">
        <v>54</v>
      </c>
      <c r="AQ323" s="23" t="s">
        <v>54</v>
      </c>
      <c r="AR323" s="35">
        <v>0</v>
      </c>
      <c r="AS323" s="35">
        <v>0</v>
      </c>
      <c r="AT323" s="35">
        <v>0</v>
      </c>
      <c r="AU323" s="31" t="str">
        <f t="shared" si="7"/>
        <v>库存为0</v>
      </c>
      <c r="AV323" s="36" t="str">
        <f>IFERROR($A$2+AU323,"上周无销量")</f>
        <v>上周无销量</v>
      </c>
    </row>
    <row r="324" spans="1:48">
      <c r="A324" s="21" t="s">
        <v>709</v>
      </c>
      <c r="B324" t="s">
        <v>710</v>
      </c>
      <c r="C324" t="s">
        <v>672</v>
      </c>
      <c r="D324" s="31">
        <v>0</v>
      </c>
      <c r="E324" s="31">
        <v>0</v>
      </c>
      <c r="F324" s="31">
        <v>0</v>
      </c>
      <c r="G324" s="31">
        <v>0</v>
      </c>
      <c r="H324" s="32">
        <v>0</v>
      </c>
      <c r="I324">
        <v>0</v>
      </c>
      <c r="J324" s="33">
        <v>0</v>
      </c>
      <c r="K324" s="33">
        <v>0</v>
      </c>
      <c r="L324" s="33">
        <v>0</v>
      </c>
      <c r="M324">
        <v>0</v>
      </c>
      <c r="N324">
        <v>0</v>
      </c>
      <c r="O324">
        <v>0</v>
      </c>
      <c r="P324" t="s">
        <v>54</v>
      </c>
      <c r="Q324" t="s">
        <v>54</v>
      </c>
      <c r="R324" t="s">
        <v>54</v>
      </c>
      <c r="S324" t="s">
        <v>54</v>
      </c>
      <c r="T324" t="s">
        <v>54</v>
      </c>
      <c r="U324" t="s">
        <v>54</v>
      </c>
      <c r="V324" t="s">
        <v>54</v>
      </c>
      <c r="W324" t="s">
        <v>54</v>
      </c>
      <c r="X324" s="23" t="s">
        <v>54</v>
      </c>
      <c r="Y324" s="23" t="s">
        <v>54</v>
      </c>
      <c r="Z324" s="23" t="s">
        <v>54</v>
      </c>
      <c r="AA324" s="23" t="s">
        <v>54</v>
      </c>
      <c r="AB324" t="s">
        <v>54</v>
      </c>
      <c r="AC324" t="s">
        <v>54</v>
      </c>
      <c r="AD324" t="s">
        <v>54</v>
      </c>
      <c r="AE324" t="s">
        <v>54</v>
      </c>
      <c r="AF324" s="23" t="s">
        <v>54</v>
      </c>
      <c r="AG324" s="23" t="s">
        <v>54</v>
      </c>
      <c r="AH324" s="23" t="s">
        <v>54</v>
      </c>
      <c r="AI324" s="23" t="s">
        <v>54</v>
      </c>
      <c r="AJ324">
        <v>0</v>
      </c>
      <c r="AK324">
        <v>0</v>
      </c>
      <c r="AL324">
        <v>0</v>
      </c>
      <c r="AM324">
        <v>0</v>
      </c>
      <c r="AN324" s="23" t="s">
        <v>54</v>
      </c>
      <c r="AO324" s="23" t="s">
        <v>54</v>
      </c>
      <c r="AP324" s="23" t="s">
        <v>54</v>
      </c>
      <c r="AQ324" s="23" t="s">
        <v>54</v>
      </c>
      <c r="AR324" s="35">
        <v>0</v>
      </c>
      <c r="AS324" s="35">
        <v>0</v>
      </c>
      <c r="AT324" s="35">
        <v>0</v>
      </c>
      <c r="AU324" s="31" t="str">
        <f t="shared" si="7"/>
        <v>库存为0</v>
      </c>
      <c r="AV324" s="36" t="str">
        <f>IFERROR($A$2+AU324,"上周无销量")</f>
        <v>上周无销量</v>
      </c>
    </row>
    <row r="325" spans="1:48">
      <c r="A325" s="21" t="s">
        <v>711</v>
      </c>
      <c r="B325" t="s">
        <v>712</v>
      </c>
      <c r="C325" t="s">
        <v>672</v>
      </c>
      <c r="D325" s="31">
        <v>0</v>
      </c>
      <c r="E325" s="31">
        <v>0</v>
      </c>
      <c r="F325" s="31">
        <v>0</v>
      </c>
      <c r="G325" s="31">
        <v>0</v>
      </c>
      <c r="H325" s="32">
        <v>0</v>
      </c>
      <c r="I325">
        <v>0</v>
      </c>
      <c r="J325" s="33">
        <v>0</v>
      </c>
      <c r="K325" s="33">
        <v>0</v>
      </c>
      <c r="L325" s="33">
        <v>0</v>
      </c>
      <c r="M325">
        <v>0</v>
      </c>
      <c r="N325">
        <v>0</v>
      </c>
      <c r="O325">
        <v>0</v>
      </c>
      <c r="P325" t="s">
        <v>54</v>
      </c>
      <c r="Q325" t="s">
        <v>54</v>
      </c>
      <c r="R325" t="s">
        <v>54</v>
      </c>
      <c r="S325" t="s">
        <v>54</v>
      </c>
      <c r="T325" t="s">
        <v>54</v>
      </c>
      <c r="U325" t="s">
        <v>54</v>
      </c>
      <c r="V325" t="s">
        <v>54</v>
      </c>
      <c r="W325" t="s">
        <v>54</v>
      </c>
      <c r="X325" s="23" t="s">
        <v>54</v>
      </c>
      <c r="Y325" s="23" t="s">
        <v>54</v>
      </c>
      <c r="Z325" s="23" t="s">
        <v>54</v>
      </c>
      <c r="AA325" s="23" t="s">
        <v>54</v>
      </c>
      <c r="AB325" t="s">
        <v>54</v>
      </c>
      <c r="AC325" t="s">
        <v>54</v>
      </c>
      <c r="AD325" t="s">
        <v>54</v>
      </c>
      <c r="AE325" t="s">
        <v>54</v>
      </c>
      <c r="AF325" s="23" t="s">
        <v>54</v>
      </c>
      <c r="AG325" s="23" t="s">
        <v>54</v>
      </c>
      <c r="AH325" s="23" t="s">
        <v>54</v>
      </c>
      <c r="AI325" s="23" t="s">
        <v>54</v>
      </c>
      <c r="AJ325">
        <v>0</v>
      </c>
      <c r="AK325">
        <v>0</v>
      </c>
      <c r="AL325">
        <v>0</v>
      </c>
      <c r="AM325">
        <v>0</v>
      </c>
      <c r="AN325" s="23" t="s">
        <v>54</v>
      </c>
      <c r="AO325" s="23" t="s">
        <v>54</v>
      </c>
      <c r="AP325" s="23" t="s">
        <v>54</v>
      </c>
      <c r="AQ325" s="23" t="s">
        <v>54</v>
      </c>
      <c r="AR325" s="35">
        <v>0</v>
      </c>
      <c r="AS325" s="35">
        <v>0</v>
      </c>
      <c r="AT325" s="35">
        <v>0</v>
      </c>
      <c r="AU325" s="31" t="str">
        <f t="shared" ref="AU325:AU388" si="8">IF(AR325="","库存为"&amp;M325,IF(AS325=0,"库存为"&amp;M325,INT(M325/AR325)))</f>
        <v>库存为0</v>
      </c>
      <c r="AV325" s="36" t="str">
        <f>IFERROR($A$2+AU325,"上周无销量")</f>
        <v>上周无销量</v>
      </c>
    </row>
    <row r="326" spans="1:48">
      <c r="A326" s="21" t="s">
        <v>713</v>
      </c>
      <c r="B326" t="s">
        <v>714</v>
      </c>
      <c r="C326" t="s">
        <v>672</v>
      </c>
      <c r="D326" s="31">
        <v>0</v>
      </c>
      <c r="E326" s="31">
        <v>0</v>
      </c>
      <c r="F326" s="31">
        <v>0</v>
      </c>
      <c r="G326" s="31">
        <v>0</v>
      </c>
      <c r="H326" s="32">
        <v>0</v>
      </c>
      <c r="I326">
        <v>0</v>
      </c>
      <c r="J326" s="33">
        <v>0</v>
      </c>
      <c r="K326" s="33">
        <v>0</v>
      </c>
      <c r="L326" s="33">
        <v>0</v>
      </c>
      <c r="M326">
        <v>0</v>
      </c>
      <c r="N326">
        <v>0</v>
      </c>
      <c r="O326">
        <v>0</v>
      </c>
      <c r="P326" t="s">
        <v>54</v>
      </c>
      <c r="Q326" t="s">
        <v>54</v>
      </c>
      <c r="R326" t="s">
        <v>54</v>
      </c>
      <c r="S326" t="s">
        <v>54</v>
      </c>
      <c r="T326" t="s">
        <v>54</v>
      </c>
      <c r="U326" t="s">
        <v>54</v>
      </c>
      <c r="V326" t="s">
        <v>54</v>
      </c>
      <c r="W326" t="s">
        <v>54</v>
      </c>
      <c r="X326" s="23" t="s">
        <v>54</v>
      </c>
      <c r="Y326" s="23" t="s">
        <v>54</v>
      </c>
      <c r="Z326" s="23" t="s">
        <v>54</v>
      </c>
      <c r="AA326" s="23" t="s">
        <v>54</v>
      </c>
      <c r="AB326" t="s">
        <v>54</v>
      </c>
      <c r="AC326" t="s">
        <v>54</v>
      </c>
      <c r="AD326" t="s">
        <v>54</v>
      </c>
      <c r="AE326" t="s">
        <v>54</v>
      </c>
      <c r="AF326" s="23" t="s">
        <v>54</v>
      </c>
      <c r="AG326" s="23" t="s">
        <v>54</v>
      </c>
      <c r="AH326" s="23" t="s">
        <v>54</v>
      </c>
      <c r="AI326" s="23" t="s">
        <v>54</v>
      </c>
      <c r="AJ326">
        <v>0</v>
      </c>
      <c r="AK326">
        <v>0</v>
      </c>
      <c r="AL326">
        <v>0</v>
      </c>
      <c r="AM326">
        <v>0</v>
      </c>
      <c r="AN326" s="23" t="s">
        <v>54</v>
      </c>
      <c r="AO326" s="23" t="s">
        <v>54</v>
      </c>
      <c r="AP326" s="23" t="s">
        <v>54</v>
      </c>
      <c r="AQ326" s="23" t="s">
        <v>54</v>
      </c>
      <c r="AR326" s="35">
        <v>0</v>
      </c>
      <c r="AS326" s="35">
        <v>0</v>
      </c>
      <c r="AT326" s="35">
        <v>0</v>
      </c>
      <c r="AU326" s="31" t="str">
        <f t="shared" si="8"/>
        <v>库存为0</v>
      </c>
      <c r="AV326" s="36" t="str">
        <f>IFERROR($A$2+AU326,"上周无销量")</f>
        <v>上周无销量</v>
      </c>
    </row>
    <row r="327" spans="1:48">
      <c r="A327" s="21" t="s">
        <v>715</v>
      </c>
      <c r="B327" t="s">
        <v>716</v>
      </c>
      <c r="C327" t="s">
        <v>672</v>
      </c>
      <c r="D327" s="31">
        <v>0</v>
      </c>
      <c r="E327" s="31">
        <v>0</v>
      </c>
      <c r="F327" s="31">
        <v>0</v>
      </c>
      <c r="G327" s="31">
        <v>0</v>
      </c>
      <c r="H327" s="32">
        <v>0</v>
      </c>
      <c r="I327">
        <v>0</v>
      </c>
      <c r="J327" s="33">
        <v>0</v>
      </c>
      <c r="K327" s="33">
        <v>0</v>
      </c>
      <c r="L327" s="33">
        <v>0</v>
      </c>
      <c r="M327">
        <v>0</v>
      </c>
      <c r="N327">
        <v>0</v>
      </c>
      <c r="O327">
        <v>0</v>
      </c>
      <c r="P327" t="s">
        <v>54</v>
      </c>
      <c r="Q327" t="s">
        <v>54</v>
      </c>
      <c r="R327" t="s">
        <v>54</v>
      </c>
      <c r="S327" t="s">
        <v>54</v>
      </c>
      <c r="T327" t="s">
        <v>54</v>
      </c>
      <c r="U327" t="s">
        <v>54</v>
      </c>
      <c r="V327" t="s">
        <v>54</v>
      </c>
      <c r="W327" t="s">
        <v>54</v>
      </c>
      <c r="X327" s="23" t="s">
        <v>54</v>
      </c>
      <c r="Y327" s="23" t="s">
        <v>54</v>
      </c>
      <c r="Z327" s="23" t="s">
        <v>54</v>
      </c>
      <c r="AA327" s="23" t="s">
        <v>54</v>
      </c>
      <c r="AB327" t="s">
        <v>54</v>
      </c>
      <c r="AC327" t="s">
        <v>54</v>
      </c>
      <c r="AD327" t="s">
        <v>54</v>
      </c>
      <c r="AE327" t="s">
        <v>54</v>
      </c>
      <c r="AF327" s="23" t="s">
        <v>54</v>
      </c>
      <c r="AG327" s="23" t="s">
        <v>54</v>
      </c>
      <c r="AH327" s="23" t="s">
        <v>54</v>
      </c>
      <c r="AI327" s="23" t="s">
        <v>54</v>
      </c>
      <c r="AJ327">
        <v>0</v>
      </c>
      <c r="AK327">
        <v>0</v>
      </c>
      <c r="AL327">
        <v>0</v>
      </c>
      <c r="AM327">
        <v>0</v>
      </c>
      <c r="AN327" s="23" t="s">
        <v>54</v>
      </c>
      <c r="AO327" s="23" t="s">
        <v>54</v>
      </c>
      <c r="AP327" s="23" t="s">
        <v>54</v>
      </c>
      <c r="AQ327" s="23" t="s">
        <v>54</v>
      </c>
      <c r="AR327" s="35">
        <v>0</v>
      </c>
      <c r="AS327" s="35">
        <v>0</v>
      </c>
      <c r="AT327" s="35">
        <v>0</v>
      </c>
      <c r="AU327" s="31" t="str">
        <f t="shared" si="8"/>
        <v>库存为0</v>
      </c>
      <c r="AV327" s="36" t="str">
        <f>IFERROR($A$2+AU327,"上周无销量")</f>
        <v>上周无销量</v>
      </c>
    </row>
    <row r="328" spans="1:48">
      <c r="A328" s="21" t="s">
        <v>717</v>
      </c>
      <c r="B328" t="s">
        <v>718</v>
      </c>
      <c r="C328" t="s">
        <v>672</v>
      </c>
      <c r="D328" s="31">
        <v>0</v>
      </c>
      <c r="E328" s="31">
        <v>0</v>
      </c>
      <c r="F328" s="31">
        <v>0</v>
      </c>
      <c r="G328" s="31">
        <v>0</v>
      </c>
      <c r="H328" s="32">
        <v>0</v>
      </c>
      <c r="I328">
        <v>0</v>
      </c>
      <c r="J328" s="33">
        <v>0</v>
      </c>
      <c r="K328" s="33">
        <v>0</v>
      </c>
      <c r="L328" s="33">
        <v>0</v>
      </c>
      <c r="M328">
        <v>0</v>
      </c>
      <c r="N328">
        <v>0</v>
      </c>
      <c r="O328">
        <v>0</v>
      </c>
      <c r="P328" t="s">
        <v>54</v>
      </c>
      <c r="Q328" t="s">
        <v>54</v>
      </c>
      <c r="R328" t="s">
        <v>54</v>
      </c>
      <c r="S328" t="s">
        <v>54</v>
      </c>
      <c r="T328" t="s">
        <v>54</v>
      </c>
      <c r="U328" t="s">
        <v>54</v>
      </c>
      <c r="V328" t="s">
        <v>54</v>
      </c>
      <c r="W328" t="s">
        <v>54</v>
      </c>
      <c r="X328" s="23" t="s">
        <v>54</v>
      </c>
      <c r="Y328" s="23" t="s">
        <v>54</v>
      </c>
      <c r="Z328" s="23" t="s">
        <v>54</v>
      </c>
      <c r="AA328" s="23" t="s">
        <v>54</v>
      </c>
      <c r="AB328" t="s">
        <v>54</v>
      </c>
      <c r="AC328" t="s">
        <v>54</v>
      </c>
      <c r="AD328" t="s">
        <v>54</v>
      </c>
      <c r="AE328" t="s">
        <v>54</v>
      </c>
      <c r="AF328" s="23" t="s">
        <v>54</v>
      </c>
      <c r="AG328" s="23" t="s">
        <v>54</v>
      </c>
      <c r="AH328" s="23" t="s">
        <v>54</v>
      </c>
      <c r="AI328" s="23" t="s">
        <v>54</v>
      </c>
      <c r="AJ328">
        <v>0</v>
      </c>
      <c r="AK328">
        <v>0</v>
      </c>
      <c r="AL328">
        <v>0</v>
      </c>
      <c r="AM328">
        <v>0</v>
      </c>
      <c r="AN328" s="23" t="s">
        <v>54</v>
      </c>
      <c r="AO328" s="23" t="s">
        <v>54</v>
      </c>
      <c r="AP328" s="23" t="s">
        <v>54</v>
      </c>
      <c r="AQ328" s="23" t="s">
        <v>54</v>
      </c>
      <c r="AR328" s="35">
        <v>0</v>
      </c>
      <c r="AS328" s="35">
        <v>0</v>
      </c>
      <c r="AT328" s="35">
        <v>0</v>
      </c>
      <c r="AU328" s="31" t="str">
        <f t="shared" si="8"/>
        <v>库存为0</v>
      </c>
      <c r="AV328" s="36" t="str">
        <f>IFERROR($A$2+AU328,"上周无销量")</f>
        <v>上周无销量</v>
      </c>
    </row>
    <row r="329" spans="1:48">
      <c r="A329" s="21" t="s">
        <v>719</v>
      </c>
      <c r="B329" t="s">
        <v>720</v>
      </c>
      <c r="C329" t="s">
        <v>721</v>
      </c>
      <c r="D329" s="31">
        <v>0</v>
      </c>
      <c r="E329" s="31">
        <v>0</v>
      </c>
      <c r="F329" s="31">
        <v>0</v>
      </c>
      <c r="G329" s="31">
        <v>0</v>
      </c>
      <c r="H329" s="32">
        <v>0</v>
      </c>
      <c r="I329">
        <v>0</v>
      </c>
      <c r="J329" s="33">
        <v>0</v>
      </c>
      <c r="K329" s="33">
        <v>0</v>
      </c>
      <c r="L329" s="33">
        <v>0</v>
      </c>
      <c r="M329">
        <v>0</v>
      </c>
      <c r="N329">
        <v>0</v>
      </c>
      <c r="O329">
        <v>0</v>
      </c>
      <c r="P329" t="s">
        <v>54</v>
      </c>
      <c r="Q329" t="s">
        <v>54</v>
      </c>
      <c r="R329" t="s">
        <v>54</v>
      </c>
      <c r="S329" t="s">
        <v>54</v>
      </c>
      <c r="T329" t="s">
        <v>54</v>
      </c>
      <c r="U329" t="s">
        <v>54</v>
      </c>
      <c r="V329" t="s">
        <v>54</v>
      </c>
      <c r="W329" t="s">
        <v>54</v>
      </c>
      <c r="X329" s="23" t="s">
        <v>54</v>
      </c>
      <c r="Y329" s="23" t="s">
        <v>54</v>
      </c>
      <c r="Z329" s="23" t="s">
        <v>54</v>
      </c>
      <c r="AA329" s="23" t="s">
        <v>54</v>
      </c>
      <c r="AB329" t="s">
        <v>54</v>
      </c>
      <c r="AC329" t="s">
        <v>54</v>
      </c>
      <c r="AD329" t="s">
        <v>54</v>
      </c>
      <c r="AE329" t="s">
        <v>54</v>
      </c>
      <c r="AF329" s="23" t="s">
        <v>54</v>
      </c>
      <c r="AG329" s="23" t="s">
        <v>54</v>
      </c>
      <c r="AH329" s="23" t="s">
        <v>54</v>
      </c>
      <c r="AI329" s="23" t="s">
        <v>54</v>
      </c>
      <c r="AJ329">
        <v>0</v>
      </c>
      <c r="AK329">
        <v>0</v>
      </c>
      <c r="AL329">
        <v>0</v>
      </c>
      <c r="AM329">
        <v>0</v>
      </c>
      <c r="AN329" s="23" t="s">
        <v>54</v>
      </c>
      <c r="AO329" s="23" t="s">
        <v>54</v>
      </c>
      <c r="AP329" s="23" t="s">
        <v>54</v>
      </c>
      <c r="AQ329" s="23" t="s">
        <v>54</v>
      </c>
      <c r="AR329" s="35">
        <v>0</v>
      </c>
      <c r="AS329" s="35">
        <v>0</v>
      </c>
      <c r="AT329" s="35">
        <v>0</v>
      </c>
      <c r="AU329" s="31" t="str">
        <f t="shared" si="8"/>
        <v>库存为0</v>
      </c>
      <c r="AV329" s="36" t="str">
        <f>IFERROR($A$2+AU329,"上周无销量")</f>
        <v>上周无销量</v>
      </c>
    </row>
    <row r="330" spans="1:48">
      <c r="A330" s="21" t="s">
        <v>722</v>
      </c>
      <c r="B330" t="s">
        <v>723</v>
      </c>
      <c r="C330" t="s">
        <v>721</v>
      </c>
      <c r="D330" s="31">
        <v>0</v>
      </c>
      <c r="E330" s="31">
        <v>0</v>
      </c>
      <c r="F330" s="31">
        <v>0</v>
      </c>
      <c r="G330" s="31">
        <v>0</v>
      </c>
      <c r="H330" s="32">
        <v>0</v>
      </c>
      <c r="I330">
        <v>0</v>
      </c>
      <c r="J330" s="33">
        <v>0</v>
      </c>
      <c r="K330" s="33">
        <v>0</v>
      </c>
      <c r="L330" s="33">
        <v>0</v>
      </c>
      <c r="M330">
        <v>0</v>
      </c>
      <c r="N330">
        <v>0</v>
      </c>
      <c r="O330">
        <v>0</v>
      </c>
      <c r="P330" t="s">
        <v>54</v>
      </c>
      <c r="Q330" t="s">
        <v>54</v>
      </c>
      <c r="R330" t="s">
        <v>54</v>
      </c>
      <c r="S330" t="s">
        <v>54</v>
      </c>
      <c r="T330" t="s">
        <v>54</v>
      </c>
      <c r="U330" t="s">
        <v>54</v>
      </c>
      <c r="V330" t="s">
        <v>54</v>
      </c>
      <c r="W330" t="s">
        <v>54</v>
      </c>
      <c r="X330" s="23" t="s">
        <v>54</v>
      </c>
      <c r="Y330" s="23" t="s">
        <v>54</v>
      </c>
      <c r="Z330" s="23" t="s">
        <v>54</v>
      </c>
      <c r="AA330" s="23" t="s">
        <v>54</v>
      </c>
      <c r="AB330" t="s">
        <v>54</v>
      </c>
      <c r="AC330" t="s">
        <v>54</v>
      </c>
      <c r="AD330" t="s">
        <v>54</v>
      </c>
      <c r="AE330" t="s">
        <v>54</v>
      </c>
      <c r="AF330" s="23" t="s">
        <v>54</v>
      </c>
      <c r="AG330" s="23" t="s">
        <v>54</v>
      </c>
      <c r="AH330" s="23" t="s">
        <v>54</v>
      </c>
      <c r="AI330" s="23" t="s">
        <v>54</v>
      </c>
      <c r="AJ330">
        <v>0</v>
      </c>
      <c r="AK330">
        <v>0</v>
      </c>
      <c r="AL330">
        <v>0</v>
      </c>
      <c r="AM330">
        <v>0</v>
      </c>
      <c r="AN330" s="23" t="s">
        <v>54</v>
      </c>
      <c r="AO330" s="23" t="s">
        <v>54</v>
      </c>
      <c r="AP330" s="23" t="s">
        <v>54</v>
      </c>
      <c r="AQ330" s="23" t="s">
        <v>54</v>
      </c>
      <c r="AR330" s="35">
        <v>0</v>
      </c>
      <c r="AS330" s="35">
        <v>0</v>
      </c>
      <c r="AT330" s="35">
        <v>0</v>
      </c>
      <c r="AU330" s="31" t="str">
        <f t="shared" si="8"/>
        <v>库存为0</v>
      </c>
      <c r="AV330" s="36" t="str">
        <f>IFERROR($A$2+AU330,"上周无销量")</f>
        <v>上周无销量</v>
      </c>
    </row>
    <row r="331" spans="1:48">
      <c r="A331" s="21" t="s">
        <v>724</v>
      </c>
      <c r="B331" t="s">
        <v>725</v>
      </c>
      <c r="C331" t="s">
        <v>721</v>
      </c>
      <c r="D331" s="31">
        <v>0</v>
      </c>
      <c r="E331" s="31">
        <v>0</v>
      </c>
      <c r="F331" s="31">
        <v>0</v>
      </c>
      <c r="G331" s="31">
        <v>0</v>
      </c>
      <c r="H331" s="32">
        <v>0</v>
      </c>
      <c r="I331">
        <v>0</v>
      </c>
      <c r="J331" s="33">
        <v>0</v>
      </c>
      <c r="K331" s="33">
        <v>0</v>
      </c>
      <c r="L331" s="33">
        <v>0</v>
      </c>
      <c r="M331">
        <v>0</v>
      </c>
      <c r="N331">
        <v>0</v>
      </c>
      <c r="O331">
        <v>0</v>
      </c>
      <c r="P331" t="s">
        <v>54</v>
      </c>
      <c r="Q331" t="s">
        <v>54</v>
      </c>
      <c r="R331" t="s">
        <v>54</v>
      </c>
      <c r="S331" t="s">
        <v>54</v>
      </c>
      <c r="T331" t="s">
        <v>54</v>
      </c>
      <c r="U331" t="s">
        <v>54</v>
      </c>
      <c r="V331" t="s">
        <v>54</v>
      </c>
      <c r="W331" t="s">
        <v>54</v>
      </c>
      <c r="X331" s="23" t="s">
        <v>54</v>
      </c>
      <c r="Y331" s="23" t="s">
        <v>54</v>
      </c>
      <c r="Z331" s="23" t="s">
        <v>54</v>
      </c>
      <c r="AA331" s="23" t="s">
        <v>54</v>
      </c>
      <c r="AB331" t="s">
        <v>54</v>
      </c>
      <c r="AC331" t="s">
        <v>54</v>
      </c>
      <c r="AD331" t="s">
        <v>54</v>
      </c>
      <c r="AE331" t="s">
        <v>54</v>
      </c>
      <c r="AF331" s="23" t="s">
        <v>54</v>
      </c>
      <c r="AG331" s="23" t="s">
        <v>54</v>
      </c>
      <c r="AH331" s="23" t="s">
        <v>54</v>
      </c>
      <c r="AI331" s="23" t="s">
        <v>54</v>
      </c>
      <c r="AJ331">
        <v>0</v>
      </c>
      <c r="AK331">
        <v>0</v>
      </c>
      <c r="AL331">
        <v>0</v>
      </c>
      <c r="AM331">
        <v>0</v>
      </c>
      <c r="AN331" s="23" t="s">
        <v>54</v>
      </c>
      <c r="AO331" s="23" t="s">
        <v>54</v>
      </c>
      <c r="AP331" s="23" t="s">
        <v>54</v>
      </c>
      <c r="AQ331" s="23" t="s">
        <v>54</v>
      </c>
      <c r="AR331" s="35">
        <v>0</v>
      </c>
      <c r="AS331" s="35">
        <v>0</v>
      </c>
      <c r="AT331" s="35">
        <v>0</v>
      </c>
      <c r="AU331" s="31" t="str">
        <f t="shared" si="8"/>
        <v>库存为0</v>
      </c>
      <c r="AV331" s="36" t="str">
        <f>IFERROR($A$2+AU331,"上周无销量")</f>
        <v>上周无销量</v>
      </c>
    </row>
    <row r="332" spans="1:48">
      <c r="A332" s="21" t="s">
        <v>726</v>
      </c>
      <c r="B332" t="s">
        <v>727</v>
      </c>
      <c r="C332" t="s">
        <v>721</v>
      </c>
      <c r="D332" s="31">
        <v>0</v>
      </c>
      <c r="E332" s="31">
        <v>0</v>
      </c>
      <c r="F332" s="31">
        <v>0</v>
      </c>
      <c r="G332" s="31">
        <v>0</v>
      </c>
      <c r="H332" s="32">
        <v>0</v>
      </c>
      <c r="I332">
        <v>0</v>
      </c>
      <c r="J332" s="33">
        <v>0</v>
      </c>
      <c r="K332" s="33">
        <v>0</v>
      </c>
      <c r="L332" s="33">
        <v>0</v>
      </c>
      <c r="M332">
        <v>0</v>
      </c>
      <c r="N332">
        <v>0</v>
      </c>
      <c r="O332">
        <v>0</v>
      </c>
      <c r="P332" t="s">
        <v>54</v>
      </c>
      <c r="Q332" t="s">
        <v>54</v>
      </c>
      <c r="R332" t="s">
        <v>54</v>
      </c>
      <c r="S332" t="s">
        <v>54</v>
      </c>
      <c r="T332" t="s">
        <v>54</v>
      </c>
      <c r="U332" t="s">
        <v>54</v>
      </c>
      <c r="V332" t="s">
        <v>54</v>
      </c>
      <c r="W332" t="s">
        <v>54</v>
      </c>
      <c r="X332" s="23" t="s">
        <v>54</v>
      </c>
      <c r="Y332" s="23" t="s">
        <v>54</v>
      </c>
      <c r="Z332" s="23" t="s">
        <v>54</v>
      </c>
      <c r="AA332" s="23" t="s">
        <v>54</v>
      </c>
      <c r="AB332" t="s">
        <v>54</v>
      </c>
      <c r="AC332" t="s">
        <v>54</v>
      </c>
      <c r="AD332" t="s">
        <v>54</v>
      </c>
      <c r="AE332" t="s">
        <v>54</v>
      </c>
      <c r="AF332" s="23" t="s">
        <v>54</v>
      </c>
      <c r="AG332" s="23" t="s">
        <v>54</v>
      </c>
      <c r="AH332" s="23" t="s">
        <v>54</v>
      </c>
      <c r="AI332" s="23" t="s">
        <v>54</v>
      </c>
      <c r="AJ332">
        <v>0</v>
      </c>
      <c r="AK332">
        <v>0</v>
      </c>
      <c r="AL332">
        <v>0</v>
      </c>
      <c r="AM332">
        <v>0</v>
      </c>
      <c r="AN332" s="23" t="s">
        <v>54</v>
      </c>
      <c r="AO332" s="23" t="s">
        <v>54</v>
      </c>
      <c r="AP332" s="23" t="s">
        <v>54</v>
      </c>
      <c r="AQ332" s="23" t="s">
        <v>54</v>
      </c>
      <c r="AR332" s="35">
        <v>0</v>
      </c>
      <c r="AS332" s="35">
        <v>0</v>
      </c>
      <c r="AT332" s="35">
        <v>0</v>
      </c>
      <c r="AU332" s="31" t="str">
        <f t="shared" si="8"/>
        <v>库存为0</v>
      </c>
      <c r="AV332" s="36" t="str">
        <f>IFERROR($A$2+AU332,"上周无销量")</f>
        <v>上周无销量</v>
      </c>
    </row>
    <row r="333" spans="1:48">
      <c r="A333" s="21" t="s">
        <v>728</v>
      </c>
      <c r="B333" t="s">
        <v>729</v>
      </c>
      <c r="C333" t="s">
        <v>721</v>
      </c>
      <c r="D333" s="31">
        <v>0</v>
      </c>
      <c r="E333" s="31">
        <v>0</v>
      </c>
      <c r="F333" s="31">
        <v>0</v>
      </c>
      <c r="G333" s="31">
        <v>0</v>
      </c>
      <c r="H333" s="32">
        <v>0</v>
      </c>
      <c r="I333">
        <v>0</v>
      </c>
      <c r="J333" s="33">
        <v>0</v>
      </c>
      <c r="K333" s="33">
        <v>0</v>
      </c>
      <c r="L333" s="33">
        <v>0</v>
      </c>
      <c r="M333">
        <v>0</v>
      </c>
      <c r="N333">
        <v>0</v>
      </c>
      <c r="O333">
        <v>0</v>
      </c>
      <c r="P333" t="s">
        <v>54</v>
      </c>
      <c r="Q333" t="s">
        <v>54</v>
      </c>
      <c r="R333" t="s">
        <v>54</v>
      </c>
      <c r="S333" t="s">
        <v>54</v>
      </c>
      <c r="T333" t="s">
        <v>54</v>
      </c>
      <c r="U333" t="s">
        <v>54</v>
      </c>
      <c r="V333" t="s">
        <v>54</v>
      </c>
      <c r="W333" t="s">
        <v>54</v>
      </c>
      <c r="X333" s="23" t="s">
        <v>54</v>
      </c>
      <c r="Y333" s="23" t="s">
        <v>54</v>
      </c>
      <c r="Z333" s="23" t="s">
        <v>54</v>
      </c>
      <c r="AA333" s="23" t="s">
        <v>54</v>
      </c>
      <c r="AB333" t="s">
        <v>54</v>
      </c>
      <c r="AC333" t="s">
        <v>54</v>
      </c>
      <c r="AD333" t="s">
        <v>54</v>
      </c>
      <c r="AE333" t="s">
        <v>54</v>
      </c>
      <c r="AF333" s="23" t="s">
        <v>54</v>
      </c>
      <c r="AG333" s="23" t="s">
        <v>54</v>
      </c>
      <c r="AH333" s="23" t="s">
        <v>54</v>
      </c>
      <c r="AI333" s="23" t="s">
        <v>54</v>
      </c>
      <c r="AJ333">
        <v>0</v>
      </c>
      <c r="AK333">
        <v>0</v>
      </c>
      <c r="AL333">
        <v>0</v>
      </c>
      <c r="AM333">
        <v>0</v>
      </c>
      <c r="AN333" s="23" t="s">
        <v>54</v>
      </c>
      <c r="AO333" s="23" t="s">
        <v>54</v>
      </c>
      <c r="AP333" s="23" t="s">
        <v>54</v>
      </c>
      <c r="AQ333" s="23" t="s">
        <v>54</v>
      </c>
      <c r="AR333" s="35">
        <v>0</v>
      </c>
      <c r="AS333" s="35">
        <v>0</v>
      </c>
      <c r="AT333" s="35">
        <v>0</v>
      </c>
      <c r="AU333" s="31" t="str">
        <f t="shared" si="8"/>
        <v>库存为0</v>
      </c>
      <c r="AV333" s="36" t="str">
        <f>IFERROR($A$2+AU333,"上周无销量")</f>
        <v>上周无销量</v>
      </c>
    </row>
    <row r="334" spans="1:48">
      <c r="A334" s="21" t="s">
        <v>730</v>
      </c>
      <c r="B334" t="s">
        <v>731</v>
      </c>
      <c r="C334" t="s">
        <v>732</v>
      </c>
      <c r="D334" s="31">
        <v>0</v>
      </c>
      <c r="E334" s="31">
        <v>0</v>
      </c>
      <c r="F334" s="31">
        <v>0</v>
      </c>
      <c r="G334" s="31">
        <v>0</v>
      </c>
      <c r="H334" s="32">
        <v>0</v>
      </c>
      <c r="I334">
        <v>0</v>
      </c>
      <c r="J334" s="33">
        <v>0</v>
      </c>
      <c r="K334" s="33">
        <v>0</v>
      </c>
      <c r="L334" s="33">
        <v>0</v>
      </c>
      <c r="M334">
        <v>0</v>
      </c>
      <c r="N334">
        <v>0</v>
      </c>
      <c r="O334">
        <v>0</v>
      </c>
      <c r="P334" t="s">
        <v>54</v>
      </c>
      <c r="Q334" t="s">
        <v>54</v>
      </c>
      <c r="R334" t="s">
        <v>54</v>
      </c>
      <c r="S334" t="s">
        <v>54</v>
      </c>
      <c r="T334" t="s">
        <v>54</v>
      </c>
      <c r="U334" t="s">
        <v>54</v>
      </c>
      <c r="V334" t="s">
        <v>54</v>
      </c>
      <c r="W334" t="s">
        <v>54</v>
      </c>
      <c r="X334" s="23" t="s">
        <v>54</v>
      </c>
      <c r="Y334" s="23" t="s">
        <v>54</v>
      </c>
      <c r="Z334" s="23" t="s">
        <v>54</v>
      </c>
      <c r="AA334" s="23" t="s">
        <v>54</v>
      </c>
      <c r="AB334" t="s">
        <v>54</v>
      </c>
      <c r="AC334" t="s">
        <v>54</v>
      </c>
      <c r="AD334" t="s">
        <v>54</v>
      </c>
      <c r="AE334" t="s">
        <v>54</v>
      </c>
      <c r="AF334" s="23" t="s">
        <v>54</v>
      </c>
      <c r="AG334" s="23" t="s">
        <v>54</v>
      </c>
      <c r="AH334" s="23" t="s">
        <v>54</v>
      </c>
      <c r="AI334" s="23" t="s">
        <v>54</v>
      </c>
      <c r="AJ334">
        <v>0</v>
      </c>
      <c r="AK334">
        <v>0</v>
      </c>
      <c r="AL334">
        <v>0</v>
      </c>
      <c r="AM334">
        <v>0</v>
      </c>
      <c r="AN334" s="23" t="s">
        <v>54</v>
      </c>
      <c r="AO334" s="23" t="s">
        <v>54</v>
      </c>
      <c r="AP334" s="23" t="s">
        <v>54</v>
      </c>
      <c r="AQ334" s="23" t="s">
        <v>54</v>
      </c>
      <c r="AR334" s="35">
        <v>0</v>
      </c>
      <c r="AS334" s="35">
        <v>0</v>
      </c>
      <c r="AT334" s="35">
        <v>0</v>
      </c>
      <c r="AU334" s="31" t="str">
        <f t="shared" si="8"/>
        <v>库存为0</v>
      </c>
      <c r="AV334" s="36" t="str">
        <f>IFERROR($A$2+AU334,"上周无销量")</f>
        <v>上周无销量</v>
      </c>
    </row>
    <row r="335" spans="1:48">
      <c r="A335" s="21" t="s">
        <v>733</v>
      </c>
      <c r="B335" t="s">
        <v>734</v>
      </c>
      <c r="C335" t="s">
        <v>732</v>
      </c>
      <c r="D335" s="31">
        <v>0</v>
      </c>
      <c r="E335" s="31">
        <v>0</v>
      </c>
      <c r="F335" s="31">
        <v>0</v>
      </c>
      <c r="G335" s="31">
        <v>0</v>
      </c>
      <c r="H335" s="32">
        <v>0</v>
      </c>
      <c r="I335">
        <v>0</v>
      </c>
      <c r="J335" s="33">
        <v>0</v>
      </c>
      <c r="K335" s="33">
        <v>0</v>
      </c>
      <c r="L335" s="33">
        <v>0</v>
      </c>
      <c r="M335">
        <v>0</v>
      </c>
      <c r="N335">
        <v>0</v>
      </c>
      <c r="O335">
        <v>0</v>
      </c>
      <c r="P335" t="s">
        <v>54</v>
      </c>
      <c r="Q335" t="s">
        <v>54</v>
      </c>
      <c r="R335" t="s">
        <v>54</v>
      </c>
      <c r="S335" t="s">
        <v>54</v>
      </c>
      <c r="T335" t="s">
        <v>54</v>
      </c>
      <c r="U335" t="s">
        <v>54</v>
      </c>
      <c r="V335" t="s">
        <v>54</v>
      </c>
      <c r="W335" t="s">
        <v>54</v>
      </c>
      <c r="X335" s="23" t="s">
        <v>54</v>
      </c>
      <c r="Y335" s="23" t="s">
        <v>54</v>
      </c>
      <c r="Z335" s="23" t="s">
        <v>54</v>
      </c>
      <c r="AA335" s="23" t="s">
        <v>54</v>
      </c>
      <c r="AB335" t="s">
        <v>54</v>
      </c>
      <c r="AC335" t="s">
        <v>54</v>
      </c>
      <c r="AD335" t="s">
        <v>54</v>
      </c>
      <c r="AE335" t="s">
        <v>54</v>
      </c>
      <c r="AF335" s="23" t="s">
        <v>54</v>
      </c>
      <c r="AG335" s="23" t="s">
        <v>54</v>
      </c>
      <c r="AH335" s="23" t="s">
        <v>54</v>
      </c>
      <c r="AI335" s="23" t="s">
        <v>54</v>
      </c>
      <c r="AJ335">
        <v>0</v>
      </c>
      <c r="AK335">
        <v>0</v>
      </c>
      <c r="AL335">
        <v>0</v>
      </c>
      <c r="AM335">
        <v>0</v>
      </c>
      <c r="AN335" s="23" t="s">
        <v>54</v>
      </c>
      <c r="AO335" s="23" t="s">
        <v>54</v>
      </c>
      <c r="AP335" s="23" t="s">
        <v>54</v>
      </c>
      <c r="AQ335" s="23" t="s">
        <v>54</v>
      </c>
      <c r="AR335" s="35">
        <v>0</v>
      </c>
      <c r="AS335" s="35">
        <v>0</v>
      </c>
      <c r="AT335" s="35">
        <v>0</v>
      </c>
      <c r="AU335" s="31" t="str">
        <f t="shared" si="8"/>
        <v>库存为0</v>
      </c>
      <c r="AV335" s="36" t="str">
        <f>IFERROR($A$2+AU335,"上周无销量")</f>
        <v>上周无销量</v>
      </c>
    </row>
    <row r="336" spans="1:48">
      <c r="A336" s="21" t="s">
        <v>735</v>
      </c>
      <c r="B336" t="s">
        <v>736</v>
      </c>
      <c r="C336" t="s">
        <v>732</v>
      </c>
      <c r="D336" s="31">
        <v>0</v>
      </c>
      <c r="E336" s="31">
        <v>0</v>
      </c>
      <c r="F336" s="31">
        <v>0</v>
      </c>
      <c r="G336" s="31">
        <v>0</v>
      </c>
      <c r="H336" s="32">
        <v>0</v>
      </c>
      <c r="I336">
        <v>0</v>
      </c>
      <c r="J336" s="33">
        <v>0</v>
      </c>
      <c r="K336" s="33">
        <v>0</v>
      </c>
      <c r="L336" s="33">
        <v>0</v>
      </c>
      <c r="M336">
        <v>0</v>
      </c>
      <c r="N336">
        <v>0</v>
      </c>
      <c r="O336">
        <v>0</v>
      </c>
      <c r="P336" t="s">
        <v>54</v>
      </c>
      <c r="Q336" t="s">
        <v>54</v>
      </c>
      <c r="R336" t="s">
        <v>54</v>
      </c>
      <c r="S336" t="s">
        <v>54</v>
      </c>
      <c r="T336" t="s">
        <v>54</v>
      </c>
      <c r="U336" t="s">
        <v>54</v>
      </c>
      <c r="V336" t="s">
        <v>54</v>
      </c>
      <c r="W336" t="s">
        <v>54</v>
      </c>
      <c r="X336" s="23" t="s">
        <v>54</v>
      </c>
      <c r="Y336" s="23" t="s">
        <v>54</v>
      </c>
      <c r="Z336" s="23" t="s">
        <v>54</v>
      </c>
      <c r="AA336" s="23" t="s">
        <v>54</v>
      </c>
      <c r="AB336" t="s">
        <v>54</v>
      </c>
      <c r="AC336" t="s">
        <v>54</v>
      </c>
      <c r="AD336" t="s">
        <v>54</v>
      </c>
      <c r="AE336" t="s">
        <v>54</v>
      </c>
      <c r="AF336" s="23" t="s">
        <v>54</v>
      </c>
      <c r="AG336" s="23" t="s">
        <v>54</v>
      </c>
      <c r="AH336" s="23" t="s">
        <v>54</v>
      </c>
      <c r="AI336" s="23" t="s">
        <v>54</v>
      </c>
      <c r="AJ336">
        <v>0</v>
      </c>
      <c r="AK336">
        <v>0</v>
      </c>
      <c r="AL336">
        <v>0</v>
      </c>
      <c r="AM336">
        <v>0</v>
      </c>
      <c r="AN336" s="23" t="s">
        <v>54</v>
      </c>
      <c r="AO336" s="23" t="s">
        <v>54</v>
      </c>
      <c r="AP336" s="23" t="s">
        <v>54</v>
      </c>
      <c r="AQ336" s="23" t="s">
        <v>54</v>
      </c>
      <c r="AR336" s="35">
        <v>0</v>
      </c>
      <c r="AS336" s="35">
        <v>0</v>
      </c>
      <c r="AT336" s="35">
        <v>0</v>
      </c>
      <c r="AU336" s="31" t="str">
        <f t="shared" si="8"/>
        <v>库存为0</v>
      </c>
      <c r="AV336" s="36" t="str">
        <f>IFERROR($A$2+AU336,"上周无销量")</f>
        <v>上周无销量</v>
      </c>
    </row>
    <row r="337" spans="1:48">
      <c r="A337" s="21" t="s">
        <v>737</v>
      </c>
      <c r="B337" t="s">
        <v>738</v>
      </c>
      <c r="C337" t="s">
        <v>732</v>
      </c>
      <c r="D337" s="31">
        <v>0</v>
      </c>
      <c r="E337" s="31">
        <v>0</v>
      </c>
      <c r="F337" s="31">
        <v>0</v>
      </c>
      <c r="G337" s="31">
        <v>0</v>
      </c>
      <c r="H337" s="32">
        <v>0</v>
      </c>
      <c r="I337">
        <v>0</v>
      </c>
      <c r="J337" s="33">
        <v>0</v>
      </c>
      <c r="K337" s="33">
        <v>0</v>
      </c>
      <c r="L337" s="33">
        <v>0</v>
      </c>
      <c r="M337">
        <v>0</v>
      </c>
      <c r="N337">
        <v>0</v>
      </c>
      <c r="O337">
        <v>0</v>
      </c>
      <c r="P337" t="s">
        <v>54</v>
      </c>
      <c r="Q337" t="s">
        <v>54</v>
      </c>
      <c r="R337" t="s">
        <v>54</v>
      </c>
      <c r="S337" t="s">
        <v>54</v>
      </c>
      <c r="T337" t="s">
        <v>54</v>
      </c>
      <c r="U337" t="s">
        <v>54</v>
      </c>
      <c r="V337" t="s">
        <v>54</v>
      </c>
      <c r="W337" t="s">
        <v>54</v>
      </c>
      <c r="X337" s="23" t="s">
        <v>54</v>
      </c>
      <c r="Y337" s="23" t="s">
        <v>54</v>
      </c>
      <c r="Z337" s="23" t="s">
        <v>54</v>
      </c>
      <c r="AA337" s="23" t="s">
        <v>54</v>
      </c>
      <c r="AB337" t="s">
        <v>54</v>
      </c>
      <c r="AC337" t="s">
        <v>54</v>
      </c>
      <c r="AD337" t="s">
        <v>54</v>
      </c>
      <c r="AE337" t="s">
        <v>54</v>
      </c>
      <c r="AF337" s="23" t="s">
        <v>54</v>
      </c>
      <c r="AG337" s="23" t="s">
        <v>54</v>
      </c>
      <c r="AH337" s="23" t="s">
        <v>54</v>
      </c>
      <c r="AI337" s="23" t="s">
        <v>54</v>
      </c>
      <c r="AJ337">
        <v>0</v>
      </c>
      <c r="AK337">
        <v>0</v>
      </c>
      <c r="AL337">
        <v>0</v>
      </c>
      <c r="AM337">
        <v>0</v>
      </c>
      <c r="AN337" s="23" t="s">
        <v>54</v>
      </c>
      <c r="AO337" s="23" t="s">
        <v>54</v>
      </c>
      <c r="AP337" s="23" t="s">
        <v>54</v>
      </c>
      <c r="AQ337" s="23" t="s">
        <v>54</v>
      </c>
      <c r="AR337" s="35">
        <v>0</v>
      </c>
      <c r="AS337" s="35">
        <v>0</v>
      </c>
      <c r="AT337" s="35">
        <v>0</v>
      </c>
      <c r="AU337" s="31" t="str">
        <f t="shared" si="8"/>
        <v>库存为0</v>
      </c>
      <c r="AV337" s="36" t="str">
        <f>IFERROR($A$2+AU337,"上周无销量")</f>
        <v>上周无销量</v>
      </c>
    </row>
    <row r="338" spans="1:48">
      <c r="A338" s="21" t="s">
        <v>739</v>
      </c>
      <c r="B338" t="s">
        <v>740</v>
      </c>
      <c r="C338" t="s">
        <v>732</v>
      </c>
      <c r="D338" s="31">
        <v>0</v>
      </c>
      <c r="E338" s="31">
        <v>0</v>
      </c>
      <c r="F338" s="31">
        <v>0</v>
      </c>
      <c r="G338" s="31">
        <v>0</v>
      </c>
      <c r="H338" s="32">
        <v>0</v>
      </c>
      <c r="I338">
        <v>0</v>
      </c>
      <c r="J338" s="33">
        <v>0</v>
      </c>
      <c r="K338" s="33">
        <v>0</v>
      </c>
      <c r="L338" s="33">
        <v>0</v>
      </c>
      <c r="M338">
        <v>0</v>
      </c>
      <c r="N338">
        <v>0</v>
      </c>
      <c r="O338">
        <v>0</v>
      </c>
      <c r="P338" t="s">
        <v>54</v>
      </c>
      <c r="Q338" t="s">
        <v>54</v>
      </c>
      <c r="R338" t="s">
        <v>54</v>
      </c>
      <c r="S338" t="s">
        <v>54</v>
      </c>
      <c r="T338" t="s">
        <v>54</v>
      </c>
      <c r="U338" t="s">
        <v>54</v>
      </c>
      <c r="V338" t="s">
        <v>54</v>
      </c>
      <c r="W338" t="s">
        <v>54</v>
      </c>
      <c r="X338" s="23" t="s">
        <v>54</v>
      </c>
      <c r="Y338" s="23" t="s">
        <v>54</v>
      </c>
      <c r="Z338" s="23" t="s">
        <v>54</v>
      </c>
      <c r="AA338" s="23" t="s">
        <v>54</v>
      </c>
      <c r="AB338" t="s">
        <v>54</v>
      </c>
      <c r="AC338" t="s">
        <v>54</v>
      </c>
      <c r="AD338" t="s">
        <v>54</v>
      </c>
      <c r="AE338" t="s">
        <v>54</v>
      </c>
      <c r="AF338" s="23" t="s">
        <v>54</v>
      </c>
      <c r="AG338" s="23" t="s">
        <v>54</v>
      </c>
      <c r="AH338" s="23" t="s">
        <v>54</v>
      </c>
      <c r="AI338" s="23" t="s">
        <v>54</v>
      </c>
      <c r="AJ338">
        <v>0</v>
      </c>
      <c r="AK338">
        <v>0</v>
      </c>
      <c r="AL338">
        <v>0</v>
      </c>
      <c r="AM338">
        <v>0</v>
      </c>
      <c r="AN338" s="23" t="s">
        <v>54</v>
      </c>
      <c r="AO338" s="23" t="s">
        <v>54</v>
      </c>
      <c r="AP338" s="23" t="s">
        <v>54</v>
      </c>
      <c r="AQ338" s="23" t="s">
        <v>54</v>
      </c>
      <c r="AR338" s="35">
        <v>0</v>
      </c>
      <c r="AS338" s="35">
        <v>0</v>
      </c>
      <c r="AT338" s="35">
        <v>0</v>
      </c>
      <c r="AU338" s="31" t="str">
        <f t="shared" si="8"/>
        <v>库存为0</v>
      </c>
      <c r="AV338" s="36" t="str">
        <f>IFERROR($A$2+AU338,"上周无销量")</f>
        <v>上周无销量</v>
      </c>
    </row>
    <row r="339" spans="1:48">
      <c r="A339" s="21" t="s">
        <v>741</v>
      </c>
      <c r="B339" t="s">
        <v>742</v>
      </c>
      <c r="C339" t="s">
        <v>743</v>
      </c>
      <c r="D339" s="31">
        <v>0</v>
      </c>
      <c r="E339" s="31">
        <v>0</v>
      </c>
      <c r="F339" s="31">
        <v>0</v>
      </c>
      <c r="G339" s="31">
        <v>0</v>
      </c>
      <c r="H339" s="32">
        <v>0</v>
      </c>
      <c r="I339">
        <v>0</v>
      </c>
      <c r="J339" s="33">
        <v>0</v>
      </c>
      <c r="K339" s="33">
        <v>0</v>
      </c>
      <c r="L339" s="33">
        <v>0</v>
      </c>
      <c r="M339">
        <v>0</v>
      </c>
      <c r="N339">
        <v>0</v>
      </c>
      <c r="O339">
        <v>0</v>
      </c>
      <c r="P339" t="s">
        <v>54</v>
      </c>
      <c r="Q339" t="s">
        <v>54</v>
      </c>
      <c r="R339" t="s">
        <v>54</v>
      </c>
      <c r="S339" t="s">
        <v>54</v>
      </c>
      <c r="T339" t="s">
        <v>54</v>
      </c>
      <c r="U339" t="s">
        <v>54</v>
      </c>
      <c r="V339" t="s">
        <v>54</v>
      </c>
      <c r="W339" t="s">
        <v>54</v>
      </c>
      <c r="X339" s="23" t="s">
        <v>54</v>
      </c>
      <c r="Y339" s="23" t="s">
        <v>54</v>
      </c>
      <c r="Z339" s="23" t="s">
        <v>54</v>
      </c>
      <c r="AA339" s="23" t="s">
        <v>54</v>
      </c>
      <c r="AB339" t="s">
        <v>54</v>
      </c>
      <c r="AC339" t="s">
        <v>54</v>
      </c>
      <c r="AD339" t="s">
        <v>54</v>
      </c>
      <c r="AE339" t="s">
        <v>54</v>
      </c>
      <c r="AF339" s="23" t="s">
        <v>54</v>
      </c>
      <c r="AG339" s="23" t="s">
        <v>54</v>
      </c>
      <c r="AH339" s="23" t="s">
        <v>54</v>
      </c>
      <c r="AI339" s="23" t="s">
        <v>54</v>
      </c>
      <c r="AJ339">
        <v>0</v>
      </c>
      <c r="AK339">
        <v>0</v>
      </c>
      <c r="AL339">
        <v>0</v>
      </c>
      <c r="AM339">
        <v>0</v>
      </c>
      <c r="AN339" s="23" t="s">
        <v>54</v>
      </c>
      <c r="AO339" s="23" t="s">
        <v>54</v>
      </c>
      <c r="AP339" s="23" t="s">
        <v>54</v>
      </c>
      <c r="AQ339" s="23" t="s">
        <v>54</v>
      </c>
      <c r="AR339" s="35">
        <v>0</v>
      </c>
      <c r="AS339" s="35">
        <v>0</v>
      </c>
      <c r="AT339" s="35">
        <v>0</v>
      </c>
      <c r="AU339" s="31" t="str">
        <f t="shared" si="8"/>
        <v>库存为0</v>
      </c>
      <c r="AV339" s="36" t="str">
        <f>IFERROR($A$2+AU339,"上周无销量")</f>
        <v>上周无销量</v>
      </c>
    </row>
    <row r="340" spans="1:48">
      <c r="A340" s="21" t="s">
        <v>744</v>
      </c>
      <c r="B340" t="s">
        <v>745</v>
      </c>
      <c r="C340" t="s">
        <v>743</v>
      </c>
      <c r="D340" s="31">
        <v>0</v>
      </c>
      <c r="E340" s="31">
        <v>0</v>
      </c>
      <c r="F340" s="31">
        <v>0</v>
      </c>
      <c r="G340" s="31">
        <v>0</v>
      </c>
      <c r="H340" s="32">
        <v>0</v>
      </c>
      <c r="I340">
        <v>0</v>
      </c>
      <c r="J340" s="33">
        <v>0</v>
      </c>
      <c r="K340" s="33">
        <v>0</v>
      </c>
      <c r="L340" s="33">
        <v>0</v>
      </c>
      <c r="M340">
        <v>0</v>
      </c>
      <c r="N340">
        <v>0</v>
      </c>
      <c r="O340">
        <v>0</v>
      </c>
      <c r="P340" t="s">
        <v>54</v>
      </c>
      <c r="Q340" t="s">
        <v>54</v>
      </c>
      <c r="R340" t="s">
        <v>54</v>
      </c>
      <c r="S340" t="s">
        <v>54</v>
      </c>
      <c r="T340" t="s">
        <v>54</v>
      </c>
      <c r="U340" t="s">
        <v>54</v>
      </c>
      <c r="V340" t="s">
        <v>54</v>
      </c>
      <c r="W340" t="s">
        <v>54</v>
      </c>
      <c r="X340" s="23" t="s">
        <v>54</v>
      </c>
      <c r="Y340" s="23" t="s">
        <v>54</v>
      </c>
      <c r="Z340" s="23" t="s">
        <v>54</v>
      </c>
      <c r="AA340" s="23" t="s">
        <v>54</v>
      </c>
      <c r="AB340" t="s">
        <v>54</v>
      </c>
      <c r="AC340" t="s">
        <v>54</v>
      </c>
      <c r="AD340" t="s">
        <v>54</v>
      </c>
      <c r="AE340" t="s">
        <v>54</v>
      </c>
      <c r="AF340" s="23" t="s">
        <v>54</v>
      </c>
      <c r="AG340" s="23" t="s">
        <v>54</v>
      </c>
      <c r="AH340" s="23" t="s">
        <v>54</v>
      </c>
      <c r="AI340" s="23" t="s">
        <v>54</v>
      </c>
      <c r="AJ340">
        <v>0</v>
      </c>
      <c r="AK340">
        <v>0</v>
      </c>
      <c r="AL340">
        <v>0</v>
      </c>
      <c r="AM340">
        <v>0</v>
      </c>
      <c r="AN340" s="23" t="s">
        <v>54</v>
      </c>
      <c r="AO340" s="23" t="s">
        <v>54</v>
      </c>
      <c r="AP340" s="23" t="s">
        <v>54</v>
      </c>
      <c r="AQ340" s="23" t="s">
        <v>54</v>
      </c>
      <c r="AR340" s="35">
        <v>0</v>
      </c>
      <c r="AS340" s="35">
        <v>0</v>
      </c>
      <c r="AT340" s="35">
        <v>0</v>
      </c>
      <c r="AU340" s="31" t="str">
        <f t="shared" si="8"/>
        <v>库存为0</v>
      </c>
      <c r="AV340" s="36" t="str">
        <f>IFERROR($A$2+AU340,"上周无销量")</f>
        <v>上周无销量</v>
      </c>
    </row>
    <row r="341" spans="1:48">
      <c r="A341" s="21" t="s">
        <v>746</v>
      </c>
      <c r="B341" t="s">
        <v>747</v>
      </c>
      <c r="C341" t="s">
        <v>743</v>
      </c>
      <c r="D341" s="31">
        <v>0</v>
      </c>
      <c r="E341" s="31">
        <v>0</v>
      </c>
      <c r="F341" s="31">
        <v>0</v>
      </c>
      <c r="G341" s="31">
        <v>0</v>
      </c>
      <c r="H341" s="32">
        <v>0</v>
      </c>
      <c r="I341">
        <v>0</v>
      </c>
      <c r="J341" s="33">
        <v>0</v>
      </c>
      <c r="K341" s="33">
        <v>0</v>
      </c>
      <c r="L341" s="33">
        <v>0</v>
      </c>
      <c r="M341">
        <v>0</v>
      </c>
      <c r="N341">
        <v>0</v>
      </c>
      <c r="O341">
        <v>0</v>
      </c>
      <c r="P341" t="s">
        <v>54</v>
      </c>
      <c r="Q341" t="s">
        <v>54</v>
      </c>
      <c r="R341" t="s">
        <v>54</v>
      </c>
      <c r="S341" t="s">
        <v>54</v>
      </c>
      <c r="T341" t="s">
        <v>54</v>
      </c>
      <c r="U341" t="s">
        <v>54</v>
      </c>
      <c r="V341" t="s">
        <v>54</v>
      </c>
      <c r="W341" t="s">
        <v>54</v>
      </c>
      <c r="X341" s="23" t="s">
        <v>54</v>
      </c>
      <c r="Y341" s="23" t="s">
        <v>54</v>
      </c>
      <c r="Z341" s="23" t="s">
        <v>54</v>
      </c>
      <c r="AA341" s="23" t="s">
        <v>54</v>
      </c>
      <c r="AB341" t="s">
        <v>54</v>
      </c>
      <c r="AC341" t="s">
        <v>54</v>
      </c>
      <c r="AD341" t="s">
        <v>54</v>
      </c>
      <c r="AE341" t="s">
        <v>54</v>
      </c>
      <c r="AF341" s="23" t="s">
        <v>54</v>
      </c>
      <c r="AG341" s="23" t="s">
        <v>54</v>
      </c>
      <c r="AH341" s="23" t="s">
        <v>54</v>
      </c>
      <c r="AI341" s="23" t="s">
        <v>54</v>
      </c>
      <c r="AJ341">
        <v>0</v>
      </c>
      <c r="AK341">
        <v>0</v>
      </c>
      <c r="AL341">
        <v>0</v>
      </c>
      <c r="AM341">
        <v>0</v>
      </c>
      <c r="AN341" s="23" t="s">
        <v>54</v>
      </c>
      <c r="AO341" s="23" t="s">
        <v>54</v>
      </c>
      <c r="AP341" s="23" t="s">
        <v>54</v>
      </c>
      <c r="AQ341" s="23" t="s">
        <v>54</v>
      </c>
      <c r="AR341" s="35">
        <v>0</v>
      </c>
      <c r="AS341" s="35">
        <v>0</v>
      </c>
      <c r="AT341" s="35">
        <v>0</v>
      </c>
      <c r="AU341" s="31" t="str">
        <f t="shared" si="8"/>
        <v>库存为0</v>
      </c>
      <c r="AV341" s="36" t="str">
        <f>IFERROR($A$2+AU341,"上周无销量")</f>
        <v>上周无销量</v>
      </c>
    </row>
    <row r="342" spans="1:48">
      <c r="A342" s="21" t="s">
        <v>748</v>
      </c>
      <c r="B342" t="s">
        <v>749</v>
      </c>
      <c r="C342" t="s">
        <v>743</v>
      </c>
      <c r="D342" s="31">
        <v>0</v>
      </c>
      <c r="E342" s="31">
        <v>0</v>
      </c>
      <c r="F342" s="31">
        <v>0</v>
      </c>
      <c r="G342" s="31">
        <v>0</v>
      </c>
      <c r="H342" s="32">
        <v>0</v>
      </c>
      <c r="I342">
        <v>0</v>
      </c>
      <c r="J342" s="33">
        <v>0</v>
      </c>
      <c r="K342" s="33">
        <v>0</v>
      </c>
      <c r="L342" s="33">
        <v>0</v>
      </c>
      <c r="M342">
        <v>0</v>
      </c>
      <c r="N342">
        <v>0</v>
      </c>
      <c r="O342">
        <v>0</v>
      </c>
      <c r="P342" t="s">
        <v>54</v>
      </c>
      <c r="Q342" t="s">
        <v>54</v>
      </c>
      <c r="R342" t="s">
        <v>54</v>
      </c>
      <c r="S342" t="s">
        <v>54</v>
      </c>
      <c r="T342" t="s">
        <v>54</v>
      </c>
      <c r="U342" t="s">
        <v>54</v>
      </c>
      <c r="V342" t="s">
        <v>54</v>
      </c>
      <c r="W342" t="s">
        <v>54</v>
      </c>
      <c r="X342" s="23" t="s">
        <v>54</v>
      </c>
      <c r="Y342" s="23" t="s">
        <v>54</v>
      </c>
      <c r="Z342" s="23" t="s">
        <v>54</v>
      </c>
      <c r="AA342" s="23" t="s">
        <v>54</v>
      </c>
      <c r="AB342" t="s">
        <v>54</v>
      </c>
      <c r="AC342" t="s">
        <v>54</v>
      </c>
      <c r="AD342" t="s">
        <v>54</v>
      </c>
      <c r="AE342" t="s">
        <v>54</v>
      </c>
      <c r="AF342" s="23" t="s">
        <v>54</v>
      </c>
      <c r="AG342" s="23" t="s">
        <v>54</v>
      </c>
      <c r="AH342" s="23" t="s">
        <v>54</v>
      </c>
      <c r="AI342" s="23" t="s">
        <v>54</v>
      </c>
      <c r="AJ342">
        <v>0</v>
      </c>
      <c r="AK342">
        <v>0</v>
      </c>
      <c r="AL342">
        <v>0</v>
      </c>
      <c r="AM342">
        <v>0</v>
      </c>
      <c r="AN342" s="23" t="s">
        <v>54</v>
      </c>
      <c r="AO342" s="23" t="s">
        <v>54</v>
      </c>
      <c r="AP342" s="23" t="s">
        <v>54</v>
      </c>
      <c r="AQ342" s="23" t="s">
        <v>54</v>
      </c>
      <c r="AR342" s="35">
        <v>0</v>
      </c>
      <c r="AS342" s="35">
        <v>0</v>
      </c>
      <c r="AT342" s="35">
        <v>0</v>
      </c>
      <c r="AU342" s="31" t="str">
        <f t="shared" si="8"/>
        <v>库存为0</v>
      </c>
      <c r="AV342" s="36" t="str">
        <f>IFERROR($A$2+AU342,"上周无销量")</f>
        <v>上周无销量</v>
      </c>
    </row>
    <row r="343" spans="1:48">
      <c r="A343" s="21" t="s">
        <v>750</v>
      </c>
      <c r="B343" t="s">
        <v>751</v>
      </c>
      <c r="C343" t="s">
        <v>743</v>
      </c>
      <c r="D343" s="31">
        <v>0</v>
      </c>
      <c r="E343" s="31">
        <v>0</v>
      </c>
      <c r="F343" s="31">
        <v>0</v>
      </c>
      <c r="G343" s="31">
        <v>0</v>
      </c>
      <c r="H343" s="32">
        <v>0</v>
      </c>
      <c r="I343">
        <v>0</v>
      </c>
      <c r="J343" s="33">
        <v>0</v>
      </c>
      <c r="K343" s="33">
        <v>0</v>
      </c>
      <c r="L343" s="33">
        <v>0</v>
      </c>
      <c r="M343">
        <v>0</v>
      </c>
      <c r="N343">
        <v>0</v>
      </c>
      <c r="O343">
        <v>0</v>
      </c>
      <c r="P343" t="s">
        <v>54</v>
      </c>
      <c r="Q343" t="s">
        <v>54</v>
      </c>
      <c r="R343" t="s">
        <v>54</v>
      </c>
      <c r="S343" t="s">
        <v>54</v>
      </c>
      <c r="T343" t="s">
        <v>54</v>
      </c>
      <c r="U343" t="s">
        <v>54</v>
      </c>
      <c r="V343" t="s">
        <v>54</v>
      </c>
      <c r="W343" t="s">
        <v>54</v>
      </c>
      <c r="X343" s="23" t="s">
        <v>54</v>
      </c>
      <c r="Y343" s="23" t="s">
        <v>54</v>
      </c>
      <c r="Z343" s="23" t="s">
        <v>54</v>
      </c>
      <c r="AA343" s="23" t="s">
        <v>54</v>
      </c>
      <c r="AB343" t="s">
        <v>54</v>
      </c>
      <c r="AC343" t="s">
        <v>54</v>
      </c>
      <c r="AD343" t="s">
        <v>54</v>
      </c>
      <c r="AE343" t="s">
        <v>54</v>
      </c>
      <c r="AF343" s="23" t="s">
        <v>54</v>
      </c>
      <c r="AG343" s="23" t="s">
        <v>54</v>
      </c>
      <c r="AH343" s="23" t="s">
        <v>54</v>
      </c>
      <c r="AI343" s="23" t="s">
        <v>54</v>
      </c>
      <c r="AJ343">
        <v>0</v>
      </c>
      <c r="AK343">
        <v>0</v>
      </c>
      <c r="AL343">
        <v>0</v>
      </c>
      <c r="AM343">
        <v>0</v>
      </c>
      <c r="AN343" s="23" t="s">
        <v>54</v>
      </c>
      <c r="AO343" s="23" t="s">
        <v>54</v>
      </c>
      <c r="AP343" s="23" t="s">
        <v>54</v>
      </c>
      <c r="AQ343" s="23" t="s">
        <v>54</v>
      </c>
      <c r="AR343" s="35">
        <v>0</v>
      </c>
      <c r="AS343" s="35">
        <v>0</v>
      </c>
      <c r="AT343" s="35">
        <v>0</v>
      </c>
      <c r="AU343" s="31" t="str">
        <f t="shared" si="8"/>
        <v>库存为0</v>
      </c>
      <c r="AV343" s="36" t="str">
        <f>IFERROR($A$2+AU343,"上周无销量")</f>
        <v>上周无销量</v>
      </c>
    </row>
    <row r="344" spans="1:48">
      <c r="A344" s="21" t="s">
        <v>752</v>
      </c>
      <c r="B344" t="s">
        <v>753</v>
      </c>
      <c r="C344" t="s">
        <v>743</v>
      </c>
      <c r="D344" s="31">
        <v>0</v>
      </c>
      <c r="E344" s="31">
        <v>0</v>
      </c>
      <c r="F344" s="31">
        <v>0</v>
      </c>
      <c r="G344" s="31">
        <v>0</v>
      </c>
      <c r="H344" s="32">
        <v>0</v>
      </c>
      <c r="I344">
        <v>0</v>
      </c>
      <c r="J344" s="33">
        <v>0</v>
      </c>
      <c r="K344" s="33">
        <v>0</v>
      </c>
      <c r="L344" s="33">
        <v>0</v>
      </c>
      <c r="M344">
        <v>0</v>
      </c>
      <c r="N344">
        <v>0</v>
      </c>
      <c r="O344">
        <v>0</v>
      </c>
      <c r="P344" t="s">
        <v>54</v>
      </c>
      <c r="Q344" t="s">
        <v>54</v>
      </c>
      <c r="R344" t="s">
        <v>54</v>
      </c>
      <c r="S344" t="s">
        <v>54</v>
      </c>
      <c r="T344" t="s">
        <v>54</v>
      </c>
      <c r="U344" t="s">
        <v>54</v>
      </c>
      <c r="V344" t="s">
        <v>54</v>
      </c>
      <c r="W344" t="s">
        <v>54</v>
      </c>
      <c r="X344" s="23" t="s">
        <v>54</v>
      </c>
      <c r="Y344" s="23" t="s">
        <v>54</v>
      </c>
      <c r="Z344" s="23" t="s">
        <v>54</v>
      </c>
      <c r="AA344" s="23" t="s">
        <v>54</v>
      </c>
      <c r="AB344" t="s">
        <v>54</v>
      </c>
      <c r="AC344" t="s">
        <v>54</v>
      </c>
      <c r="AD344" t="s">
        <v>54</v>
      </c>
      <c r="AE344" t="s">
        <v>54</v>
      </c>
      <c r="AF344" s="23" t="s">
        <v>54</v>
      </c>
      <c r="AG344" s="23" t="s">
        <v>54</v>
      </c>
      <c r="AH344" s="23" t="s">
        <v>54</v>
      </c>
      <c r="AI344" s="23" t="s">
        <v>54</v>
      </c>
      <c r="AJ344">
        <v>0</v>
      </c>
      <c r="AK344">
        <v>0</v>
      </c>
      <c r="AL344">
        <v>0</v>
      </c>
      <c r="AM344">
        <v>0</v>
      </c>
      <c r="AN344" s="23" t="s">
        <v>54</v>
      </c>
      <c r="AO344" s="23" t="s">
        <v>54</v>
      </c>
      <c r="AP344" s="23" t="s">
        <v>54</v>
      </c>
      <c r="AQ344" s="23" t="s">
        <v>54</v>
      </c>
      <c r="AR344" s="35">
        <v>0</v>
      </c>
      <c r="AS344" s="35">
        <v>0</v>
      </c>
      <c r="AT344" s="35">
        <v>0</v>
      </c>
      <c r="AU344" s="31" t="str">
        <f t="shared" si="8"/>
        <v>库存为0</v>
      </c>
      <c r="AV344" s="36" t="str">
        <f>IFERROR($A$2+AU344,"上周无销量")</f>
        <v>上周无销量</v>
      </c>
    </row>
    <row r="345" spans="1:48">
      <c r="A345" s="21" t="s">
        <v>754</v>
      </c>
      <c r="B345" t="s">
        <v>755</v>
      </c>
      <c r="C345" t="s">
        <v>743</v>
      </c>
      <c r="D345" s="31">
        <v>0</v>
      </c>
      <c r="E345" s="31">
        <v>0</v>
      </c>
      <c r="F345" s="31">
        <v>0</v>
      </c>
      <c r="G345" s="31">
        <v>0</v>
      </c>
      <c r="H345" s="32">
        <v>0</v>
      </c>
      <c r="I345">
        <v>0</v>
      </c>
      <c r="J345" s="33">
        <v>0</v>
      </c>
      <c r="K345" s="33">
        <v>0</v>
      </c>
      <c r="L345" s="33">
        <v>0</v>
      </c>
      <c r="M345">
        <v>0</v>
      </c>
      <c r="N345">
        <v>0</v>
      </c>
      <c r="O345">
        <v>0</v>
      </c>
      <c r="P345" t="s">
        <v>54</v>
      </c>
      <c r="Q345" t="s">
        <v>54</v>
      </c>
      <c r="R345" t="s">
        <v>54</v>
      </c>
      <c r="S345" t="s">
        <v>54</v>
      </c>
      <c r="T345" t="s">
        <v>54</v>
      </c>
      <c r="U345" t="s">
        <v>54</v>
      </c>
      <c r="V345" t="s">
        <v>54</v>
      </c>
      <c r="W345" t="s">
        <v>54</v>
      </c>
      <c r="X345" s="23" t="s">
        <v>54</v>
      </c>
      <c r="Y345" s="23" t="s">
        <v>54</v>
      </c>
      <c r="Z345" s="23" t="s">
        <v>54</v>
      </c>
      <c r="AA345" s="23" t="s">
        <v>54</v>
      </c>
      <c r="AB345" t="s">
        <v>54</v>
      </c>
      <c r="AC345" t="s">
        <v>54</v>
      </c>
      <c r="AD345" t="s">
        <v>54</v>
      </c>
      <c r="AE345" t="s">
        <v>54</v>
      </c>
      <c r="AF345" s="23" t="s">
        <v>54</v>
      </c>
      <c r="AG345" s="23" t="s">
        <v>54</v>
      </c>
      <c r="AH345" s="23" t="s">
        <v>54</v>
      </c>
      <c r="AI345" s="23" t="s">
        <v>54</v>
      </c>
      <c r="AJ345">
        <v>0</v>
      </c>
      <c r="AK345">
        <v>0</v>
      </c>
      <c r="AL345">
        <v>0</v>
      </c>
      <c r="AM345">
        <v>0</v>
      </c>
      <c r="AN345" s="23" t="s">
        <v>54</v>
      </c>
      <c r="AO345" s="23" t="s">
        <v>54</v>
      </c>
      <c r="AP345" s="23" t="s">
        <v>54</v>
      </c>
      <c r="AQ345" s="23" t="s">
        <v>54</v>
      </c>
      <c r="AR345" s="35">
        <v>0</v>
      </c>
      <c r="AS345" s="35">
        <v>0</v>
      </c>
      <c r="AT345" s="35">
        <v>0</v>
      </c>
      <c r="AU345" s="31" t="str">
        <f t="shared" si="8"/>
        <v>库存为0</v>
      </c>
      <c r="AV345" s="36" t="str">
        <f>IFERROR($A$2+AU345,"上周无销量")</f>
        <v>上周无销量</v>
      </c>
    </row>
    <row r="346" spans="1:48">
      <c r="A346" s="21" t="s">
        <v>756</v>
      </c>
      <c r="B346" t="s">
        <v>757</v>
      </c>
      <c r="C346" t="s">
        <v>743</v>
      </c>
      <c r="D346" s="31">
        <v>0</v>
      </c>
      <c r="E346" s="31">
        <v>0</v>
      </c>
      <c r="F346" s="31">
        <v>0</v>
      </c>
      <c r="G346" s="31">
        <v>0</v>
      </c>
      <c r="H346" s="32">
        <v>0</v>
      </c>
      <c r="I346">
        <v>0</v>
      </c>
      <c r="J346" s="33">
        <v>0</v>
      </c>
      <c r="K346" s="33">
        <v>0</v>
      </c>
      <c r="L346" s="33">
        <v>0</v>
      </c>
      <c r="M346">
        <v>0</v>
      </c>
      <c r="N346">
        <v>0</v>
      </c>
      <c r="O346">
        <v>0</v>
      </c>
      <c r="P346" t="s">
        <v>54</v>
      </c>
      <c r="Q346" t="s">
        <v>54</v>
      </c>
      <c r="R346" t="s">
        <v>54</v>
      </c>
      <c r="S346" t="s">
        <v>54</v>
      </c>
      <c r="T346" t="s">
        <v>54</v>
      </c>
      <c r="U346" t="s">
        <v>54</v>
      </c>
      <c r="V346" t="s">
        <v>54</v>
      </c>
      <c r="W346" t="s">
        <v>54</v>
      </c>
      <c r="X346" s="23" t="s">
        <v>54</v>
      </c>
      <c r="Y346" s="23" t="s">
        <v>54</v>
      </c>
      <c r="Z346" s="23" t="s">
        <v>54</v>
      </c>
      <c r="AA346" s="23" t="s">
        <v>54</v>
      </c>
      <c r="AB346" t="s">
        <v>54</v>
      </c>
      <c r="AC346" t="s">
        <v>54</v>
      </c>
      <c r="AD346" t="s">
        <v>54</v>
      </c>
      <c r="AE346" t="s">
        <v>54</v>
      </c>
      <c r="AF346" s="23" t="s">
        <v>54</v>
      </c>
      <c r="AG346" s="23" t="s">
        <v>54</v>
      </c>
      <c r="AH346" s="23" t="s">
        <v>54</v>
      </c>
      <c r="AI346" s="23" t="s">
        <v>54</v>
      </c>
      <c r="AJ346">
        <v>0</v>
      </c>
      <c r="AK346">
        <v>0</v>
      </c>
      <c r="AL346">
        <v>0</v>
      </c>
      <c r="AM346">
        <v>0</v>
      </c>
      <c r="AN346" s="23" t="s">
        <v>54</v>
      </c>
      <c r="AO346" s="23" t="s">
        <v>54</v>
      </c>
      <c r="AP346" s="23" t="s">
        <v>54</v>
      </c>
      <c r="AQ346" s="23" t="s">
        <v>54</v>
      </c>
      <c r="AR346" s="35">
        <v>0</v>
      </c>
      <c r="AS346" s="35">
        <v>0</v>
      </c>
      <c r="AT346" s="35">
        <v>0</v>
      </c>
      <c r="AU346" s="31" t="str">
        <f t="shared" si="8"/>
        <v>库存为0</v>
      </c>
      <c r="AV346" s="36" t="str">
        <f>IFERROR($A$2+AU346,"上周无销量")</f>
        <v>上周无销量</v>
      </c>
    </row>
    <row r="347" spans="1:48">
      <c r="A347" s="21" t="s">
        <v>758</v>
      </c>
      <c r="B347" t="s">
        <v>759</v>
      </c>
      <c r="C347" t="s">
        <v>743</v>
      </c>
      <c r="D347" s="31">
        <v>0</v>
      </c>
      <c r="E347" s="31">
        <v>0</v>
      </c>
      <c r="F347" s="31">
        <v>0</v>
      </c>
      <c r="G347" s="31">
        <v>0</v>
      </c>
      <c r="H347" s="32">
        <v>0</v>
      </c>
      <c r="I347">
        <v>0</v>
      </c>
      <c r="J347" s="33">
        <v>0</v>
      </c>
      <c r="K347" s="33">
        <v>0</v>
      </c>
      <c r="L347" s="33">
        <v>0</v>
      </c>
      <c r="M347">
        <v>0</v>
      </c>
      <c r="N347">
        <v>0</v>
      </c>
      <c r="O347">
        <v>0</v>
      </c>
      <c r="P347" t="s">
        <v>54</v>
      </c>
      <c r="Q347" t="s">
        <v>54</v>
      </c>
      <c r="R347" t="s">
        <v>54</v>
      </c>
      <c r="S347" t="s">
        <v>54</v>
      </c>
      <c r="T347" t="s">
        <v>54</v>
      </c>
      <c r="U347" t="s">
        <v>54</v>
      </c>
      <c r="V347" t="s">
        <v>54</v>
      </c>
      <c r="W347" t="s">
        <v>54</v>
      </c>
      <c r="X347" s="23" t="s">
        <v>54</v>
      </c>
      <c r="Y347" s="23" t="s">
        <v>54</v>
      </c>
      <c r="Z347" s="23" t="s">
        <v>54</v>
      </c>
      <c r="AA347" s="23" t="s">
        <v>54</v>
      </c>
      <c r="AB347" t="s">
        <v>54</v>
      </c>
      <c r="AC347" t="s">
        <v>54</v>
      </c>
      <c r="AD347" t="s">
        <v>54</v>
      </c>
      <c r="AE347" t="s">
        <v>54</v>
      </c>
      <c r="AF347" s="23" t="s">
        <v>54</v>
      </c>
      <c r="AG347" s="23" t="s">
        <v>54</v>
      </c>
      <c r="AH347" s="23" t="s">
        <v>54</v>
      </c>
      <c r="AI347" s="23" t="s">
        <v>54</v>
      </c>
      <c r="AJ347">
        <v>0</v>
      </c>
      <c r="AK347">
        <v>0</v>
      </c>
      <c r="AL347">
        <v>0</v>
      </c>
      <c r="AM347">
        <v>0</v>
      </c>
      <c r="AN347" s="23" t="s">
        <v>54</v>
      </c>
      <c r="AO347" s="23" t="s">
        <v>54</v>
      </c>
      <c r="AP347" s="23" t="s">
        <v>54</v>
      </c>
      <c r="AQ347" s="23" t="s">
        <v>54</v>
      </c>
      <c r="AR347" s="35">
        <v>0</v>
      </c>
      <c r="AS347" s="35">
        <v>0</v>
      </c>
      <c r="AT347" s="35">
        <v>0</v>
      </c>
      <c r="AU347" s="31" t="str">
        <f t="shared" si="8"/>
        <v>库存为0</v>
      </c>
      <c r="AV347" s="36" t="str">
        <f>IFERROR($A$2+AU347,"上周无销量")</f>
        <v>上周无销量</v>
      </c>
    </row>
    <row r="348" spans="1:48">
      <c r="A348" s="21" t="s">
        <v>760</v>
      </c>
      <c r="B348" t="s">
        <v>761</v>
      </c>
      <c r="C348" t="s">
        <v>743</v>
      </c>
      <c r="D348" s="31">
        <v>0</v>
      </c>
      <c r="E348" s="31">
        <v>0</v>
      </c>
      <c r="F348" s="31">
        <v>0</v>
      </c>
      <c r="G348" s="31">
        <v>0</v>
      </c>
      <c r="H348" s="32">
        <v>0</v>
      </c>
      <c r="I348">
        <v>0</v>
      </c>
      <c r="J348" s="33">
        <v>0</v>
      </c>
      <c r="K348" s="33">
        <v>0</v>
      </c>
      <c r="L348" s="33">
        <v>0</v>
      </c>
      <c r="M348">
        <v>0</v>
      </c>
      <c r="N348">
        <v>0</v>
      </c>
      <c r="O348">
        <v>0</v>
      </c>
      <c r="P348" t="s">
        <v>54</v>
      </c>
      <c r="Q348" t="s">
        <v>54</v>
      </c>
      <c r="R348" t="s">
        <v>54</v>
      </c>
      <c r="S348" t="s">
        <v>54</v>
      </c>
      <c r="T348" t="s">
        <v>54</v>
      </c>
      <c r="U348" t="s">
        <v>54</v>
      </c>
      <c r="V348" t="s">
        <v>54</v>
      </c>
      <c r="W348" t="s">
        <v>54</v>
      </c>
      <c r="X348" s="23" t="s">
        <v>54</v>
      </c>
      <c r="Y348" s="23" t="s">
        <v>54</v>
      </c>
      <c r="Z348" s="23" t="s">
        <v>54</v>
      </c>
      <c r="AA348" s="23" t="s">
        <v>54</v>
      </c>
      <c r="AB348" t="s">
        <v>54</v>
      </c>
      <c r="AC348" t="s">
        <v>54</v>
      </c>
      <c r="AD348" t="s">
        <v>54</v>
      </c>
      <c r="AE348" t="s">
        <v>54</v>
      </c>
      <c r="AF348" s="23" t="s">
        <v>54</v>
      </c>
      <c r="AG348" s="23" t="s">
        <v>54</v>
      </c>
      <c r="AH348" s="23" t="s">
        <v>54</v>
      </c>
      <c r="AI348" s="23" t="s">
        <v>54</v>
      </c>
      <c r="AJ348">
        <v>0</v>
      </c>
      <c r="AK348">
        <v>0</v>
      </c>
      <c r="AL348">
        <v>0</v>
      </c>
      <c r="AM348">
        <v>0</v>
      </c>
      <c r="AN348" s="23" t="s">
        <v>54</v>
      </c>
      <c r="AO348" s="23" t="s">
        <v>54</v>
      </c>
      <c r="AP348" s="23" t="s">
        <v>54</v>
      </c>
      <c r="AQ348" s="23" t="s">
        <v>54</v>
      </c>
      <c r="AR348" s="35">
        <v>0</v>
      </c>
      <c r="AS348" s="35">
        <v>0</v>
      </c>
      <c r="AT348" s="35">
        <v>0</v>
      </c>
      <c r="AU348" s="31" t="str">
        <f t="shared" si="8"/>
        <v>库存为0</v>
      </c>
      <c r="AV348" s="36" t="str">
        <f>IFERROR($A$2+AU348,"上周无销量")</f>
        <v>上周无销量</v>
      </c>
    </row>
    <row r="349" spans="1:48">
      <c r="A349" s="21" t="s">
        <v>762</v>
      </c>
      <c r="B349" t="s">
        <v>763</v>
      </c>
      <c r="C349" t="s">
        <v>764</v>
      </c>
      <c r="D349" s="31">
        <v>0</v>
      </c>
      <c r="E349" s="31">
        <v>0</v>
      </c>
      <c r="F349" s="31">
        <v>0</v>
      </c>
      <c r="G349" s="31">
        <v>0</v>
      </c>
      <c r="H349" s="32">
        <v>0</v>
      </c>
      <c r="I349">
        <v>0</v>
      </c>
      <c r="J349" s="33">
        <v>0</v>
      </c>
      <c r="K349" s="33">
        <v>0</v>
      </c>
      <c r="L349" s="33">
        <v>0</v>
      </c>
      <c r="M349">
        <v>0</v>
      </c>
      <c r="N349">
        <v>2</v>
      </c>
      <c r="O349">
        <v>0</v>
      </c>
      <c r="P349" t="s">
        <v>54</v>
      </c>
      <c r="Q349" t="s">
        <v>54</v>
      </c>
      <c r="R349" t="s">
        <v>54</v>
      </c>
      <c r="S349" t="s">
        <v>54</v>
      </c>
      <c r="T349" t="s">
        <v>54</v>
      </c>
      <c r="U349" t="s">
        <v>54</v>
      </c>
      <c r="V349" t="s">
        <v>54</v>
      </c>
      <c r="W349" t="s">
        <v>54</v>
      </c>
      <c r="X349" s="23" t="s">
        <v>54</v>
      </c>
      <c r="Y349" s="23" t="s">
        <v>54</v>
      </c>
      <c r="Z349" s="23" t="s">
        <v>54</v>
      </c>
      <c r="AA349" s="23" t="s">
        <v>54</v>
      </c>
      <c r="AB349" t="s">
        <v>54</v>
      </c>
      <c r="AC349" t="s">
        <v>54</v>
      </c>
      <c r="AD349" t="s">
        <v>54</v>
      </c>
      <c r="AE349" t="s">
        <v>54</v>
      </c>
      <c r="AF349" s="23" t="s">
        <v>54</v>
      </c>
      <c r="AG349" s="23" t="s">
        <v>54</v>
      </c>
      <c r="AH349" s="23" t="s">
        <v>54</v>
      </c>
      <c r="AI349" s="23" t="s">
        <v>54</v>
      </c>
      <c r="AJ349">
        <v>0</v>
      </c>
      <c r="AK349">
        <v>0</v>
      </c>
      <c r="AL349">
        <v>0</v>
      </c>
      <c r="AM349">
        <v>0</v>
      </c>
      <c r="AN349" s="23" t="s">
        <v>54</v>
      </c>
      <c r="AO349" s="23" t="s">
        <v>54</v>
      </c>
      <c r="AP349" s="23" t="s">
        <v>54</v>
      </c>
      <c r="AQ349" s="23" t="s">
        <v>54</v>
      </c>
      <c r="AR349" s="35">
        <v>0</v>
      </c>
      <c r="AS349" s="35">
        <v>0</v>
      </c>
      <c r="AT349" s="35">
        <v>0</v>
      </c>
      <c r="AU349" s="31" t="str">
        <f t="shared" si="8"/>
        <v>库存为0</v>
      </c>
      <c r="AV349" s="36" t="str">
        <f>IFERROR($A$2+AU349,"上周无销量")</f>
        <v>上周无销量</v>
      </c>
    </row>
    <row r="350" spans="1:48">
      <c r="A350" s="21" t="s">
        <v>765</v>
      </c>
      <c r="B350" t="s">
        <v>766</v>
      </c>
      <c r="C350" t="s">
        <v>764</v>
      </c>
      <c r="D350" s="31">
        <v>0</v>
      </c>
      <c r="E350" s="31">
        <v>0</v>
      </c>
      <c r="F350" s="31">
        <v>0</v>
      </c>
      <c r="G350" s="31">
        <v>0</v>
      </c>
      <c r="H350" s="32">
        <v>0</v>
      </c>
      <c r="I350">
        <v>0</v>
      </c>
      <c r="J350" s="33">
        <v>0</v>
      </c>
      <c r="K350" s="33">
        <v>0</v>
      </c>
      <c r="L350" s="33">
        <v>0</v>
      </c>
      <c r="M350">
        <v>0</v>
      </c>
      <c r="N350">
        <v>0</v>
      </c>
      <c r="O350">
        <v>0</v>
      </c>
      <c r="P350" t="s">
        <v>54</v>
      </c>
      <c r="Q350" t="s">
        <v>54</v>
      </c>
      <c r="R350" t="s">
        <v>54</v>
      </c>
      <c r="S350" t="s">
        <v>54</v>
      </c>
      <c r="T350" t="s">
        <v>54</v>
      </c>
      <c r="U350" t="s">
        <v>54</v>
      </c>
      <c r="V350" t="s">
        <v>54</v>
      </c>
      <c r="W350" t="s">
        <v>54</v>
      </c>
      <c r="X350" s="23" t="s">
        <v>54</v>
      </c>
      <c r="Y350" s="23" t="s">
        <v>54</v>
      </c>
      <c r="Z350" s="23" t="s">
        <v>54</v>
      </c>
      <c r="AA350" s="23" t="s">
        <v>54</v>
      </c>
      <c r="AB350" t="s">
        <v>54</v>
      </c>
      <c r="AC350" t="s">
        <v>54</v>
      </c>
      <c r="AD350" t="s">
        <v>54</v>
      </c>
      <c r="AE350" t="s">
        <v>54</v>
      </c>
      <c r="AF350" s="23" t="s">
        <v>54</v>
      </c>
      <c r="AG350" s="23" t="s">
        <v>54</v>
      </c>
      <c r="AH350" s="23" t="s">
        <v>54</v>
      </c>
      <c r="AI350" s="23" t="s">
        <v>54</v>
      </c>
      <c r="AJ350">
        <v>0</v>
      </c>
      <c r="AK350">
        <v>0</v>
      </c>
      <c r="AL350">
        <v>0</v>
      </c>
      <c r="AM350">
        <v>0</v>
      </c>
      <c r="AN350" s="23" t="s">
        <v>54</v>
      </c>
      <c r="AO350" s="23" t="s">
        <v>54</v>
      </c>
      <c r="AP350" s="23" t="s">
        <v>54</v>
      </c>
      <c r="AQ350" s="23" t="s">
        <v>54</v>
      </c>
      <c r="AR350" s="35">
        <v>0</v>
      </c>
      <c r="AS350" s="35">
        <v>0</v>
      </c>
      <c r="AT350" s="35">
        <v>0</v>
      </c>
      <c r="AU350" s="31" t="str">
        <f t="shared" si="8"/>
        <v>库存为0</v>
      </c>
      <c r="AV350" s="36" t="str">
        <f>IFERROR($A$2+AU350,"上周无销量")</f>
        <v>上周无销量</v>
      </c>
    </row>
    <row r="351" spans="1:48">
      <c r="A351" s="21" t="s">
        <v>767</v>
      </c>
      <c r="B351" t="s">
        <v>768</v>
      </c>
      <c r="C351" t="s">
        <v>764</v>
      </c>
      <c r="D351" s="31">
        <v>0</v>
      </c>
      <c r="E351" s="31">
        <v>0</v>
      </c>
      <c r="F351" s="31">
        <v>0</v>
      </c>
      <c r="G351" s="31">
        <v>0</v>
      </c>
      <c r="H351" s="32">
        <v>0</v>
      </c>
      <c r="I351">
        <v>0</v>
      </c>
      <c r="J351" s="33">
        <v>0</v>
      </c>
      <c r="K351" s="33">
        <v>0</v>
      </c>
      <c r="L351" s="33">
        <v>0</v>
      </c>
      <c r="M351">
        <v>0</v>
      </c>
      <c r="N351">
        <v>0</v>
      </c>
      <c r="O351">
        <v>0</v>
      </c>
      <c r="P351" t="s">
        <v>54</v>
      </c>
      <c r="Q351" t="s">
        <v>54</v>
      </c>
      <c r="R351" t="s">
        <v>54</v>
      </c>
      <c r="S351" t="s">
        <v>54</v>
      </c>
      <c r="T351" t="s">
        <v>54</v>
      </c>
      <c r="U351" t="s">
        <v>54</v>
      </c>
      <c r="V351" t="s">
        <v>54</v>
      </c>
      <c r="W351" t="s">
        <v>54</v>
      </c>
      <c r="X351" s="23" t="s">
        <v>54</v>
      </c>
      <c r="Y351" s="23" t="s">
        <v>54</v>
      </c>
      <c r="Z351" s="23" t="s">
        <v>54</v>
      </c>
      <c r="AA351" s="23" t="s">
        <v>54</v>
      </c>
      <c r="AB351" t="s">
        <v>54</v>
      </c>
      <c r="AC351" t="s">
        <v>54</v>
      </c>
      <c r="AD351" t="s">
        <v>54</v>
      </c>
      <c r="AE351" t="s">
        <v>54</v>
      </c>
      <c r="AF351" s="23" t="s">
        <v>54</v>
      </c>
      <c r="AG351" s="23" t="s">
        <v>54</v>
      </c>
      <c r="AH351" s="23" t="s">
        <v>54</v>
      </c>
      <c r="AI351" s="23" t="s">
        <v>54</v>
      </c>
      <c r="AJ351">
        <v>0</v>
      </c>
      <c r="AK351">
        <v>0</v>
      </c>
      <c r="AL351">
        <v>0</v>
      </c>
      <c r="AM351">
        <v>0</v>
      </c>
      <c r="AN351" s="23" t="s">
        <v>54</v>
      </c>
      <c r="AO351" s="23" t="s">
        <v>54</v>
      </c>
      <c r="AP351" s="23" t="s">
        <v>54</v>
      </c>
      <c r="AQ351" s="23" t="s">
        <v>54</v>
      </c>
      <c r="AR351" s="35">
        <v>0</v>
      </c>
      <c r="AS351" s="35">
        <v>0</v>
      </c>
      <c r="AT351" s="35">
        <v>0</v>
      </c>
      <c r="AU351" s="31" t="str">
        <f t="shared" si="8"/>
        <v>库存为0</v>
      </c>
      <c r="AV351" s="36" t="str">
        <f>IFERROR($A$2+AU351,"上周无销量")</f>
        <v>上周无销量</v>
      </c>
    </row>
    <row r="352" spans="1:48">
      <c r="A352" s="21" t="s">
        <v>769</v>
      </c>
      <c r="B352" t="s">
        <v>770</v>
      </c>
      <c r="C352" t="s">
        <v>764</v>
      </c>
      <c r="D352" s="31">
        <v>0</v>
      </c>
      <c r="E352" s="31">
        <v>0</v>
      </c>
      <c r="F352" s="31">
        <v>0</v>
      </c>
      <c r="G352" s="31">
        <v>0</v>
      </c>
      <c r="H352" s="32">
        <v>0</v>
      </c>
      <c r="I352">
        <v>0</v>
      </c>
      <c r="J352" s="33">
        <v>0</v>
      </c>
      <c r="K352" s="33">
        <v>0</v>
      </c>
      <c r="L352" s="33">
        <v>0</v>
      </c>
      <c r="M352">
        <v>0</v>
      </c>
      <c r="N352">
        <v>1</v>
      </c>
      <c r="O352">
        <v>0</v>
      </c>
      <c r="P352" t="s">
        <v>54</v>
      </c>
      <c r="Q352" t="s">
        <v>54</v>
      </c>
      <c r="R352" t="s">
        <v>54</v>
      </c>
      <c r="S352" t="s">
        <v>54</v>
      </c>
      <c r="T352" t="s">
        <v>54</v>
      </c>
      <c r="U352" t="s">
        <v>54</v>
      </c>
      <c r="V352" t="s">
        <v>54</v>
      </c>
      <c r="W352" t="s">
        <v>54</v>
      </c>
      <c r="X352" s="23" t="s">
        <v>54</v>
      </c>
      <c r="Y352" s="23" t="s">
        <v>54</v>
      </c>
      <c r="Z352" s="23" t="s">
        <v>54</v>
      </c>
      <c r="AA352" s="23" t="s">
        <v>54</v>
      </c>
      <c r="AB352" t="s">
        <v>54</v>
      </c>
      <c r="AC352" t="s">
        <v>54</v>
      </c>
      <c r="AD352" t="s">
        <v>54</v>
      </c>
      <c r="AE352" t="s">
        <v>54</v>
      </c>
      <c r="AF352" s="23" t="s">
        <v>54</v>
      </c>
      <c r="AG352" s="23" t="s">
        <v>54</v>
      </c>
      <c r="AH352" s="23" t="s">
        <v>54</v>
      </c>
      <c r="AI352" s="23" t="s">
        <v>54</v>
      </c>
      <c r="AJ352">
        <v>0</v>
      </c>
      <c r="AK352">
        <v>0</v>
      </c>
      <c r="AL352">
        <v>0</v>
      </c>
      <c r="AM352">
        <v>0</v>
      </c>
      <c r="AN352" s="23" t="s">
        <v>54</v>
      </c>
      <c r="AO352" s="23" t="s">
        <v>54</v>
      </c>
      <c r="AP352" s="23" t="s">
        <v>54</v>
      </c>
      <c r="AQ352" s="23" t="s">
        <v>54</v>
      </c>
      <c r="AR352" s="35">
        <v>0</v>
      </c>
      <c r="AS352" s="35">
        <v>0</v>
      </c>
      <c r="AT352" s="35">
        <v>0</v>
      </c>
      <c r="AU352" s="31" t="str">
        <f t="shared" si="8"/>
        <v>库存为0</v>
      </c>
      <c r="AV352" s="36" t="str">
        <f>IFERROR($A$2+AU352,"上周无销量")</f>
        <v>上周无销量</v>
      </c>
    </row>
    <row r="353" spans="1:48">
      <c r="A353" s="21" t="s">
        <v>771</v>
      </c>
      <c r="B353" t="s">
        <v>772</v>
      </c>
      <c r="C353" t="s">
        <v>764</v>
      </c>
      <c r="D353" s="31">
        <v>0</v>
      </c>
      <c r="E353" s="31">
        <v>0</v>
      </c>
      <c r="F353" s="31">
        <v>0</v>
      </c>
      <c r="G353" s="31">
        <v>0</v>
      </c>
      <c r="H353" s="32">
        <v>0</v>
      </c>
      <c r="I353">
        <v>0</v>
      </c>
      <c r="J353" s="33">
        <v>0</v>
      </c>
      <c r="K353" s="33">
        <v>0</v>
      </c>
      <c r="L353" s="33">
        <v>0</v>
      </c>
      <c r="M353">
        <v>0</v>
      </c>
      <c r="N353">
        <v>0</v>
      </c>
      <c r="O353">
        <v>0</v>
      </c>
      <c r="P353" t="s">
        <v>54</v>
      </c>
      <c r="Q353" t="s">
        <v>54</v>
      </c>
      <c r="R353" t="s">
        <v>54</v>
      </c>
      <c r="S353" t="s">
        <v>54</v>
      </c>
      <c r="T353" t="s">
        <v>54</v>
      </c>
      <c r="U353" t="s">
        <v>54</v>
      </c>
      <c r="V353" t="s">
        <v>54</v>
      </c>
      <c r="W353" t="s">
        <v>54</v>
      </c>
      <c r="X353" s="23" t="s">
        <v>54</v>
      </c>
      <c r="Y353" s="23" t="s">
        <v>54</v>
      </c>
      <c r="Z353" s="23" t="s">
        <v>54</v>
      </c>
      <c r="AA353" s="23" t="s">
        <v>54</v>
      </c>
      <c r="AB353" t="s">
        <v>54</v>
      </c>
      <c r="AC353" t="s">
        <v>54</v>
      </c>
      <c r="AD353" t="s">
        <v>54</v>
      </c>
      <c r="AE353" t="s">
        <v>54</v>
      </c>
      <c r="AF353" s="23" t="s">
        <v>54</v>
      </c>
      <c r="AG353" s="23" t="s">
        <v>54</v>
      </c>
      <c r="AH353" s="23" t="s">
        <v>54</v>
      </c>
      <c r="AI353" s="23" t="s">
        <v>54</v>
      </c>
      <c r="AJ353">
        <v>0</v>
      </c>
      <c r="AK353">
        <v>0</v>
      </c>
      <c r="AL353">
        <v>0</v>
      </c>
      <c r="AM353">
        <v>0</v>
      </c>
      <c r="AN353" s="23" t="s">
        <v>54</v>
      </c>
      <c r="AO353" s="23" t="s">
        <v>54</v>
      </c>
      <c r="AP353" s="23" t="s">
        <v>54</v>
      </c>
      <c r="AQ353" s="23" t="s">
        <v>54</v>
      </c>
      <c r="AR353" s="35">
        <v>0</v>
      </c>
      <c r="AS353" s="35">
        <v>0</v>
      </c>
      <c r="AT353" s="35">
        <v>0</v>
      </c>
      <c r="AU353" s="31" t="str">
        <f t="shared" si="8"/>
        <v>库存为0</v>
      </c>
      <c r="AV353" s="36" t="str">
        <f>IFERROR($A$2+AU353,"上周无销量")</f>
        <v>上周无销量</v>
      </c>
    </row>
    <row r="354" spans="1:48">
      <c r="A354" s="21" t="s">
        <v>773</v>
      </c>
      <c r="B354" t="s">
        <v>774</v>
      </c>
      <c r="C354" t="s">
        <v>764</v>
      </c>
      <c r="D354" s="31">
        <v>0</v>
      </c>
      <c r="E354" s="31">
        <v>0</v>
      </c>
      <c r="F354" s="31">
        <v>0</v>
      </c>
      <c r="G354" s="31">
        <v>0</v>
      </c>
      <c r="H354" s="32">
        <v>0</v>
      </c>
      <c r="I354">
        <v>0</v>
      </c>
      <c r="J354" s="33">
        <v>0</v>
      </c>
      <c r="K354" s="33">
        <v>0</v>
      </c>
      <c r="L354" s="33">
        <v>0</v>
      </c>
      <c r="M354">
        <v>0</v>
      </c>
      <c r="N354">
        <v>0</v>
      </c>
      <c r="O354">
        <v>0</v>
      </c>
      <c r="P354" t="s">
        <v>54</v>
      </c>
      <c r="Q354" t="s">
        <v>54</v>
      </c>
      <c r="R354" t="s">
        <v>54</v>
      </c>
      <c r="S354" t="s">
        <v>54</v>
      </c>
      <c r="T354" t="s">
        <v>54</v>
      </c>
      <c r="U354" t="s">
        <v>54</v>
      </c>
      <c r="V354" t="s">
        <v>54</v>
      </c>
      <c r="W354" t="s">
        <v>54</v>
      </c>
      <c r="X354" s="23" t="s">
        <v>54</v>
      </c>
      <c r="Y354" s="23" t="s">
        <v>54</v>
      </c>
      <c r="Z354" s="23" t="s">
        <v>54</v>
      </c>
      <c r="AA354" s="23" t="s">
        <v>54</v>
      </c>
      <c r="AB354" t="s">
        <v>54</v>
      </c>
      <c r="AC354" t="s">
        <v>54</v>
      </c>
      <c r="AD354" t="s">
        <v>54</v>
      </c>
      <c r="AE354" t="s">
        <v>54</v>
      </c>
      <c r="AF354" s="23" t="s">
        <v>54</v>
      </c>
      <c r="AG354" s="23" t="s">
        <v>54</v>
      </c>
      <c r="AH354" s="23" t="s">
        <v>54</v>
      </c>
      <c r="AI354" s="23" t="s">
        <v>54</v>
      </c>
      <c r="AJ354">
        <v>0</v>
      </c>
      <c r="AK354">
        <v>0</v>
      </c>
      <c r="AL354">
        <v>0</v>
      </c>
      <c r="AM354">
        <v>0</v>
      </c>
      <c r="AN354" s="23" t="s">
        <v>54</v>
      </c>
      <c r="AO354" s="23" t="s">
        <v>54</v>
      </c>
      <c r="AP354" s="23" t="s">
        <v>54</v>
      </c>
      <c r="AQ354" s="23" t="s">
        <v>54</v>
      </c>
      <c r="AR354" s="35">
        <v>0</v>
      </c>
      <c r="AS354" s="35">
        <v>0</v>
      </c>
      <c r="AT354" s="35">
        <v>0</v>
      </c>
      <c r="AU354" s="31" t="str">
        <f t="shared" si="8"/>
        <v>库存为0</v>
      </c>
      <c r="AV354" s="36" t="str">
        <f>IFERROR($A$2+AU354,"上周无销量")</f>
        <v>上周无销量</v>
      </c>
    </row>
    <row r="355" spans="1:48">
      <c r="A355" s="21" t="s">
        <v>775</v>
      </c>
      <c r="B355" t="s">
        <v>776</v>
      </c>
      <c r="C355" t="s">
        <v>764</v>
      </c>
      <c r="D355" s="31">
        <v>0</v>
      </c>
      <c r="E355" s="31">
        <v>0</v>
      </c>
      <c r="F355" s="31">
        <v>0</v>
      </c>
      <c r="G355" s="31">
        <v>0</v>
      </c>
      <c r="H355" s="32">
        <v>0</v>
      </c>
      <c r="I355">
        <v>0</v>
      </c>
      <c r="J355" s="33">
        <v>0</v>
      </c>
      <c r="K355" s="33">
        <v>0</v>
      </c>
      <c r="L355" s="33">
        <v>0</v>
      </c>
      <c r="M355">
        <v>0</v>
      </c>
      <c r="N355">
        <v>0</v>
      </c>
      <c r="O355">
        <v>0</v>
      </c>
      <c r="P355" t="s">
        <v>54</v>
      </c>
      <c r="Q355" t="s">
        <v>54</v>
      </c>
      <c r="R355" t="s">
        <v>54</v>
      </c>
      <c r="S355" t="s">
        <v>54</v>
      </c>
      <c r="T355" t="s">
        <v>54</v>
      </c>
      <c r="U355" t="s">
        <v>54</v>
      </c>
      <c r="V355" t="s">
        <v>54</v>
      </c>
      <c r="W355" t="s">
        <v>54</v>
      </c>
      <c r="X355" s="23" t="s">
        <v>54</v>
      </c>
      <c r="Y355" s="23" t="s">
        <v>54</v>
      </c>
      <c r="Z355" s="23" t="s">
        <v>54</v>
      </c>
      <c r="AA355" s="23" t="s">
        <v>54</v>
      </c>
      <c r="AB355" t="s">
        <v>54</v>
      </c>
      <c r="AC355" t="s">
        <v>54</v>
      </c>
      <c r="AD355" t="s">
        <v>54</v>
      </c>
      <c r="AE355" t="s">
        <v>54</v>
      </c>
      <c r="AF355" s="23" t="s">
        <v>54</v>
      </c>
      <c r="AG355" s="23" t="s">
        <v>54</v>
      </c>
      <c r="AH355" s="23" t="s">
        <v>54</v>
      </c>
      <c r="AI355" s="23" t="s">
        <v>54</v>
      </c>
      <c r="AJ355">
        <v>0</v>
      </c>
      <c r="AK355">
        <v>0</v>
      </c>
      <c r="AL355">
        <v>0</v>
      </c>
      <c r="AM355">
        <v>0</v>
      </c>
      <c r="AN355" s="23" t="s">
        <v>54</v>
      </c>
      <c r="AO355" s="23" t="s">
        <v>54</v>
      </c>
      <c r="AP355" s="23" t="s">
        <v>54</v>
      </c>
      <c r="AQ355" s="23" t="s">
        <v>54</v>
      </c>
      <c r="AR355" s="35">
        <v>0</v>
      </c>
      <c r="AS355" s="35">
        <v>0</v>
      </c>
      <c r="AT355" s="35">
        <v>0</v>
      </c>
      <c r="AU355" s="31" t="str">
        <f t="shared" si="8"/>
        <v>库存为0</v>
      </c>
      <c r="AV355" s="36" t="str">
        <f>IFERROR($A$2+AU355,"上周无销量")</f>
        <v>上周无销量</v>
      </c>
    </row>
    <row r="356" spans="1:48">
      <c r="A356" s="21" t="s">
        <v>777</v>
      </c>
      <c r="B356" t="s">
        <v>778</v>
      </c>
      <c r="C356" t="s">
        <v>764</v>
      </c>
      <c r="D356" s="31">
        <v>0</v>
      </c>
      <c r="E356" s="31">
        <v>0</v>
      </c>
      <c r="F356" s="31">
        <v>0</v>
      </c>
      <c r="G356" s="31">
        <v>0</v>
      </c>
      <c r="H356" s="32">
        <v>0</v>
      </c>
      <c r="I356">
        <v>0</v>
      </c>
      <c r="J356" s="33">
        <v>0</v>
      </c>
      <c r="K356" s="33">
        <v>0</v>
      </c>
      <c r="L356" s="33">
        <v>0</v>
      </c>
      <c r="M356">
        <v>0</v>
      </c>
      <c r="N356">
        <v>0</v>
      </c>
      <c r="O356">
        <v>0</v>
      </c>
      <c r="P356" t="s">
        <v>54</v>
      </c>
      <c r="Q356" t="s">
        <v>54</v>
      </c>
      <c r="R356" t="s">
        <v>54</v>
      </c>
      <c r="S356" t="s">
        <v>54</v>
      </c>
      <c r="T356" t="s">
        <v>54</v>
      </c>
      <c r="U356" t="s">
        <v>54</v>
      </c>
      <c r="V356" t="s">
        <v>54</v>
      </c>
      <c r="W356" t="s">
        <v>54</v>
      </c>
      <c r="X356" s="23" t="s">
        <v>54</v>
      </c>
      <c r="Y356" s="23" t="s">
        <v>54</v>
      </c>
      <c r="Z356" s="23" t="s">
        <v>54</v>
      </c>
      <c r="AA356" s="23" t="s">
        <v>54</v>
      </c>
      <c r="AB356" t="s">
        <v>54</v>
      </c>
      <c r="AC356" t="s">
        <v>54</v>
      </c>
      <c r="AD356" t="s">
        <v>54</v>
      </c>
      <c r="AE356" t="s">
        <v>54</v>
      </c>
      <c r="AF356" s="23" t="s">
        <v>54</v>
      </c>
      <c r="AG356" s="23" t="s">
        <v>54</v>
      </c>
      <c r="AH356" s="23" t="s">
        <v>54</v>
      </c>
      <c r="AI356" s="23" t="s">
        <v>54</v>
      </c>
      <c r="AJ356">
        <v>0</v>
      </c>
      <c r="AK356">
        <v>0</v>
      </c>
      <c r="AL356">
        <v>0</v>
      </c>
      <c r="AM356">
        <v>0</v>
      </c>
      <c r="AN356" s="23" t="s">
        <v>54</v>
      </c>
      <c r="AO356" s="23" t="s">
        <v>54</v>
      </c>
      <c r="AP356" s="23" t="s">
        <v>54</v>
      </c>
      <c r="AQ356" s="23" t="s">
        <v>54</v>
      </c>
      <c r="AR356" s="35">
        <v>0</v>
      </c>
      <c r="AS356" s="35">
        <v>0</v>
      </c>
      <c r="AT356" s="35">
        <v>0</v>
      </c>
      <c r="AU356" s="31" t="str">
        <f t="shared" si="8"/>
        <v>库存为0</v>
      </c>
      <c r="AV356" s="36" t="str">
        <f>IFERROR($A$2+AU356,"上周无销量")</f>
        <v>上周无销量</v>
      </c>
    </row>
    <row r="357" spans="1:48">
      <c r="A357" s="21" t="s">
        <v>779</v>
      </c>
      <c r="B357" t="s">
        <v>780</v>
      </c>
      <c r="C357" t="s">
        <v>764</v>
      </c>
      <c r="D357" s="31">
        <v>0</v>
      </c>
      <c r="E357" s="31">
        <v>0</v>
      </c>
      <c r="F357" s="31">
        <v>0</v>
      </c>
      <c r="G357" s="31">
        <v>0</v>
      </c>
      <c r="H357" s="32">
        <v>0</v>
      </c>
      <c r="I357">
        <v>0</v>
      </c>
      <c r="J357" s="33">
        <v>0</v>
      </c>
      <c r="K357" s="33">
        <v>0</v>
      </c>
      <c r="L357" s="33">
        <v>0</v>
      </c>
      <c r="M357">
        <v>0</v>
      </c>
      <c r="N357">
        <v>2</v>
      </c>
      <c r="O357">
        <v>0</v>
      </c>
      <c r="P357" t="s">
        <v>54</v>
      </c>
      <c r="Q357" t="s">
        <v>54</v>
      </c>
      <c r="R357" t="s">
        <v>54</v>
      </c>
      <c r="S357" t="s">
        <v>54</v>
      </c>
      <c r="T357" t="s">
        <v>54</v>
      </c>
      <c r="U357" t="s">
        <v>54</v>
      </c>
      <c r="V357" t="s">
        <v>54</v>
      </c>
      <c r="W357" t="s">
        <v>54</v>
      </c>
      <c r="X357" s="23" t="s">
        <v>54</v>
      </c>
      <c r="Y357" s="23" t="s">
        <v>54</v>
      </c>
      <c r="Z357" s="23" t="s">
        <v>54</v>
      </c>
      <c r="AA357" s="23" t="s">
        <v>54</v>
      </c>
      <c r="AB357" t="s">
        <v>54</v>
      </c>
      <c r="AC357" t="s">
        <v>54</v>
      </c>
      <c r="AD357" t="s">
        <v>54</v>
      </c>
      <c r="AE357" t="s">
        <v>54</v>
      </c>
      <c r="AF357" s="23" t="s">
        <v>54</v>
      </c>
      <c r="AG357" s="23" t="s">
        <v>54</v>
      </c>
      <c r="AH357" s="23" t="s">
        <v>54</v>
      </c>
      <c r="AI357" s="23" t="s">
        <v>54</v>
      </c>
      <c r="AJ357">
        <v>0</v>
      </c>
      <c r="AK357">
        <v>0</v>
      </c>
      <c r="AL357">
        <v>0</v>
      </c>
      <c r="AM357">
        <v>2</v>
      </c>
      <c r="AN357" s="23" t="s">
        <v>54</v>
      </c>
      <c r="AO357" s="23" t="s">
        <v>54</v>
      </c>
      <c r="AP357" s="23" t="s">
        <v>54</v>
      </c>
      <c r="AQ357" s="23">
        <v>0</v>
      </c>
      <c r="AR357" s="35">
        <v>0</v>
      </c>
      <c r="AS357" s="35">
        <v>0</v>
      </c>
      <c r="AT357" s="35">
        <v>0</v>
      </c>
      <c r="AU357" s="31" t="str">
        <f t="shared" si="8"/>
        <v>库存为0</v>
      </c>
      <c r="AV357" s="36" t="str">
        <f>IFERROR($A$2+AU357,"上周无销量")</f>
        <v>上周无销量</v>
      </c>
    </row>
    <row r="358" spans="1:48">
      <c r="A358" s="21" t="s">
        <v>781</v>
      </c>
      <c r="B358" t="s">
        <v>782</v>
      </c>
      <c r="C358" t="s">
        <v>783</v>
      </c>
      <c r="D358" s="31">
        <v>0</v>
      </c>
      <c r="E358" s="31">
        <v>0</v>
      </c>
      <c r="F358" s="31">
        <v>0</v>
      </c>
      <c r="G358" s="31">
        <v>0</v>
      </c>
      <c r="H358" s="32">
        <v>0</v>
      </c>
      <c r="I358">
        <v>0</v>
      </c>
      <c r="J358" s="33">
        <v>0</v>
      </c>
      <c r="K358" s="33">
        <v>0</v>
      </c>
      <c r="L358" s="33">
        <v>0</v>
      </c>
      <c r="M358">
        <v>0</v>
      </c>
      <c r="N358">
        <v>0</v>
      </c>
      <c r="O358">
        <v>0</v>
      </c>
      <c r="P358" t="s">
        <v>54</v>
      </c>
      <c r="Q358" t="s">
        <v>54</v>
      </c>
      <c r="R358" t="s">
        <v>54</v>
      </c>
      <c r="S358" t="s">
        <v>54</v>
      </c>
      <c r="T358" t="s">
        <v>54</v>
      </c>
      <c r="U358" t="s">
        <v>54</v>
      </c>
      <c r="V358" t="s">
        <v>54</v>
      </c>
      <c r="W358" t="s">
        <v>54</v>
      </c>
      <c r="X358" s="23" t="s">
        <v>54</v>
      </c>
      <c r="Y358" s="23" t="s">
        <v>54</v>
      </c>
      <c r="Z358" s="23" t="s">
        <v>54</v>
      </c>
      <c r="AA358" s="23" t="s">
        <v>54</v>
      </c>
      <c r="AB358" t="s">
        <v>54</v>
      </c>
      <c r="AC358" t="s">
        <v>54</v>
      </c>
      <c r="AD358" t="s">
        <v>54</v>
      </c>
      <c r="AE358" t="s">
        <v>54</v>
      </c>
      <c r="AF358" s="23" t="s">
        <v>54</v>
      </c>
      <c r="AG358" s="23" t="s">
        <v>54</v>
      </c>
      <c r="AH358" s="23" t="s">
        <v>54</v>
      </c>
      <c r="AI358" s="23" t="s">
        <v>54</v>
      </c>
      <c r="AJ358">
        <v>0</v>
      </c>
      <c r="AK358">
        <v>0</v>
      </c>
      <c r="AL358">
        <v>0</v>
      </c>
      <c r="AM358">
        <v>0</v>
      </c>
      <c r="AN358" s="23" t="s">
        <v>54</v>
      </c>
      <c r="AO358" s="23" t="s">
        <v>54</v>
      </c>
      <c r="AP358" s="23" t="s">
        <v>54</v>
      </c>
      <c r="AQ358" s="23" t="s">
        <v>54</v>
      </c>
      <c r="AR358" s="35">
        <v>0</v>
      </c>
      <c r="AS358" s="35">
        <v>0</v>
      </c>
      <c r="AT358" s="35">
        <v>0</v>
      </c>
      <c r="AU358" s="31" t="str">
        <f t="shared" si="8"/>
        <v>库存为0</v>
      </c>
      <c r="AV358" s="36" t="str">
        <f>IFERROR($A$2+AU358,"上周无销量")</f>
        <v>上周无销量</v>
      </c>
    </row>
    <row r="359" spans="1:48">
      <c r="A359" s="21" t="s">
        <v>784</v>
      </c>
      <c r="B359" t="s">
        <v>785</v>
      </c>
      <c r="C359" t="s">
        <v>783</v>
      </c>
      <c r="D359" s="31">
        <v>0</v>
      </c>
      <c r="E359" s="31">
        <v>0</v>
      </c>
      <c r="F359" s="31">
        <v>0</v>
      </c>
      <c r="G359" s="31">
        <v>0</v>
      </c>
      <c r="H359" s="32">
        <v>0</v>
      </c>
      <c r="I359">
        <v>0</v>
      </c>
      <c r="J359" s="33">
        <v>0</v>
      </c>
      <c r="K359" s="33">
        <v>0</v>
      </c>
      <c r="L359" s="33">
        <v>0</v>
      </c>
      <c r="M359">
        <v>0</v>
      </c>
      <c r="N359">
        <v>0</v>
      </c>
      <c r="O359">
        <v>0</v>
      </c>
      <c r="P359" t="s">
        <v>54</v>
      </c>
      <c r="Q359" t="s">
        <v>54</v>
      </c>
      <c r="R359" t="s">
        <v>54</v>
      </c>
      <c r="S359" t="s">
        <v>54</v>
      </c>
      <c r="T359" t="s">
        <v>54</v>
      </c>
      <c r="U359" t="s">
        <v>54</v>
      </c>
      <c r="V359" t="s">
        <v>54</v>
      </c>
      <c r="W359" t="s">
        <v>54</v>
      </c>
      <c r="X359" s="23" t="s">
        <v>54</v>
      </c>
      <c r="Y359" s="23" t="s">
        <v>54</v>
      </c>
      <c r="Z359" s="23" t="s">
        <v>54</v>
      </c>
      <c r="AA359" s="23" t="s">
        <v>54</v>
      </c>
      <c r="AB359" t="s">
        <v>54</v>
      </c>
      <c r="AC359" t="s">
        <v>54</v>
      </c>
      <c r="AD359" t="s">
        <v>54</v>
      </c>
      <c r="AE359" t="s">
        <v>54</v>
      </c>
      <c r="AF359" s="23" t="s">
        <v>54</v>
      </c>
      <c r="AG359" s="23" t="s">
        <v>54</v>
      </c>
      <c r="AH359" s="23" t="s">
        <v>54</v>
      </c>
      <c r="AI359" s="23" t="s">
        <v>54</v>
      </c>
      <c r="AJ359">
        <v>0</v>
      </c>
      <c r="AK359">
        <v>0</v>
      </c>
      <c r="AL359">
        <v>0</v>
      </c>
      <c r="AM359">
        <v>0</v>
      </c>
      <c r="AN359" s="23" t="s">
        <v>54</v>
      </c>
      <c r="AO359" s="23" t="s">
        <v>54</v>
      </c>
      <c r="AP359" s="23" t="s">
        <v>54</v>
      </c>
      <c r="AQ359" s="23" t="s">
        <v>54</v>
      </c>
      <c r="AR359" s="35">
        <v>0</v>
      </c>
      <c r="AS359" s="35">
        <v>0</v>
      </c>
      <c r="AT359" s="35">
        <v>0</v>
      </c>
      <c r="AU359" s="31" t="str">
        <f t="shared" si="8"/>
        <v>库存为0</v>
      </c>
      <c r="AV359" s="36" t="str">
        <f>IFERROR($A$2+AU359,"上周无销量")</f>
        <v>上周无销量</v>
      </c>
    </row>
    <row r="360" spans="1:48">
      <c r="A360" s="21" t="s">
        <v>786</v>
      </c>
      <c r="B360" t="s">
        <v>787</v>
      </c>
      <c r="C360" t="s">
        <v>783</v>
      </c>
      <c r="D360" s="31">
        <v>0</v>
      </c>
      <c r="E360" s="31">
        <v>0</v>
      </c>
      <c r="F360" s="31">
        <v>0</v>
      </c>
      <c r="G360" s="31">
        <v>0</v>
      </c>
      <c r="H360" s="32">
        <v>0</v>
      </c>
      <c r="I360">
        <v>0</v>
      </c>
      <c r="J360" s="33">
        <v>0</v>
      </c>
      <c r="K360" s="33">
        <v>0</v>
      </c>
      <c r="L360" s="33">
        <v>0</v>
      </c>
      <c r="M360">
        <v>0</v>
      </c>
      <c r="N360">
        <v>0</v>
      </c>
      <c r="O360">
        <v>0</v>
      </c>
      <c r="P360" t="s">
        <v>54</v>
      </c>
      <c r="Q360" t="s">
        <v>54</v>
      </c>
      <c r="R360" t="s">
        <v>54</v>
      </c>
      <c r="S360" t="s">
        <v>54</v>
      </c>
      <c r="T360" t="s">
        <v>54</v>
      </c>
      <c r="U360" t="s">
        <v>54</v>
      </c>
      <c r="V360" t="s">
        <v>54</v>
      </c>
      <c r="W360" t="s">
        <v>54</v>
      </c>
      <c r="X360" s="23" t="s">
        <v>54</v>
      </c>
      <c r="Y360" s="23" t="s">
        <v>54</v>
      </c>
      <c r="Z360" s="23" t="s">
        <v>54</v>
      </c>
      <c r="AA360" s="23" t="s">
        <v>54</v>
      </c>
      <c r="AB360" t="s">
        <v>54</v>
      </c>
      <c r="AC360" t="s">
        <v>54</v>
      </c>
      <c r="AD360" t="s">
        <v>54</v>
      </c>
      <c r="AE360" t="s">
        <v>54</v>
      </c>
      <c r="AF360" s="23" t="s">
        <v>54</v>
      </c>
      <c r="AG360" s="23" t="s">
        <v>54</v>
      </c>
      <c r="AH360" s="23" t="s">
        <v>54</v>
      </c>
      <c r="AI360" s="23" t="s">
        <v>54</v>
      </c>
      <c r="AJ360">
        <v>0</v>
      </c>
      <c r="AK360">
        <v>0</v>
      </c>
      <c r="AL360">
        <v>0</v>
      </c>
      <c r="AM360">
        <v>0</v>
      </c>
      <c r="AN360" s="23" t="s">
        <v>54</v>
      </c>
      <c r="AO360" s="23" t="s">
        <v>54</v>
      </c>
      <c r="AP360" s="23" t="s">
        <v>54</v>
      </c>
      <c r="AQ360" s="23" t="s">
        <v>54</v>
      </c>
      <c r="AR360" s="35">
        <v>0</v>
      </c>
      <c r="AS360" s="35">
        <v>0</v>
      </c>
      <c r="AT360" s="35">
        <v>0</v>
      </c>
      <c r="AU360" s="31" t="str">
        <f t="shared" si="8"/>
        <v>库存为0</v>
      </c>
      <c r="AV360" s="36" t="str">
        <f>IFERROR($A$2+AU360,"上周无销量")</f>
        <v>上周无销量</v>
      </c>
    </row>
    <row r="361" spans="1:48">
      <c r="A361" s="21" t="s">
        <v>788</v>
      </c>
      <c r="B361" t="s">
        <v>789</v>
      </c>
      <c r="C361" t="s">
        <v>783</v>
      </c>
      <c r="D361" s="31">
        <v>0</v>
      </c>
      <c r="E361" s="31">
        <v>0</v>
      </c>
      <c r="F361" s="31">
        <v>0</v>
      </c>
      <c r="G361" s="31">
        <v>0</v>
      </c>
      <c r="H361" s="32">
        <v>0</v>
      </c>
      <c r="I361">
        <v>0</v>
      </c>
      <c r="J361" s="33">
        <v>0</v>
      </c>
      <c r="K361" s="33">
        <v>0</v>
      </c>
      <c r="L361" s="33">
        <v>0</v>
      </c>
      <c r="M361">
        <v>0</v>
      </c>
      <c r="N361">
        <v>0</v>
      </c>
      <c r="O361">
        <v>0</v>
      </c>
      <c r="P361" t="s">
        <v>54</v>
      </c>
      <c r="Q361" t="s">
        <v>54</v>
      </c>
      <c r="R361" t="s">
        <v>54</v>
      </c>
      <c r="S361" t="s">
        <v>54</v>
      </c>
      <c r="T361" t="s">
        <v>54</v>
      </c>
      <c r="U361" t="s">
        <v>54</v>
      </c>
      <c r="V361" t="s">
        <v>54</v>
      </c>
      <c r="W361" t="s">
        <v>54</v>
      </c>
      <c r="X361" s="23" t="s">
        <v>54</v>
      </c>
      <c r="Y361" s="23" t="s">
        <v>54</v>
      </c>
      <c r="Z361" s="23" t="s">
        <v>54</v>
      </c>
      <c r="AA361" s="23" t="s">
        <v>54</v>
      </c>
      <c r="AB361" t="s">
        <v>54</v>
      </c>
      <c r="AC361" t="s">
        <v>54</v>
      </c>
      <c r="AD361" t="s">
        <v>54</v>
      </c>
      <c r="AE361" t="s">
        <v>54</v>
      </c>
      <c r="AF361" s="23" t="s">
        <v>54</v>
      </c>
      <c r="AG361" s="23" t="s">
        <v>54</v>
      </c>
      <c r="AH361" s="23" t="s">
        <v>54</v>
      </c>
      <c r="AI361" s="23" t="s">
        <v>54</v>
      </c>
      <c r="AJ361">
        <v>0</v>
      </c>
      <c r="AK361">
        <v>0</v>
      </c>
      <c r="AL361">
        <v>0</v>
      </c>
      <c r="AM361">
        <v>0</v>
      </c>
      <c r="AN361" s="23" t="s">
        <v>54</v>
      </c>
      <c r="AO361" s="23" t="s">
        <v>54</v>
      </c>
      <c r="AP361" s="23" t="s">
        <v>54</v>
      </c>
      <c r="AQ361" s="23" t="s">
        <v>54</v>
      </c>
      <c r="AR361" s="35">
        <v>0</v>
      </c>
      <c r="AS361" s="35">
        <v>0</v>
      </c>
      <c r="AT361" s="35">
        <v>0</v>
      </c>
      <c r="AU361" s="31" t="str">
        <f t="shared" si="8"/>
        <v>库存为0</v>
      </c>
      <c r="AV361" s="36" t="str">
        <f>IFERROR($A$2+AU361,"上周无销量")</f>
        <v>上周无销量</v>
      </c>
    </row>
    <row r="362" spans="1:48">
      <c r="A362" s="21" t="s">
        <v>790</v>
      </c>
      <c r="B362" t="s">
        <v>791</v>
      </c>
      <c r="C362" t="s">
        <v>783</v>
      </c>
      <c r="D362" s="31">
        <v>0</v>
      </c>
      <c r="E362" s="31">
        <v>0</v>
      </c>
      <c r="F362" s="31">
        <v>0</v>
      </c>
      <c r="G362" s="31">
        <v>0</v>
      </c>
      <c r="H362" s="32">
        <v>0</v>
      </c>
      <c r="I362">
        <v>0</v>
      </c>
      <c r="J362" s="33">
        <v>0</v>
      </c>
      <c r="K362" s="33">
        <v>0</v>
      </c>
      <c r="L362" s="33">
        <v>0</v>
      </c>
      <c r="M362">
        <v>0</v>
      </c>
      <c r="N362">
        <v>0</v>
      </c>
      <c r="O362">
        <v>0</v>
      </c>
      <c r="P362" t="s">
        <v>54</v>
      </c>
      <c r="Q362" t="s">
        <v>54</v>
      </c>
      <c r="R362" t="s">
        <v>54</v>
      </c>
      <c r="S362" t="s">
        <v>54</v>
      </c>
      <c r="T362" t="s">
        <v>54</v>
      </c>
      <c r="U362" t="s">
        <v>54</v>
      </c>
      <c r="V362" t="s">
        <v>54</v>
      </c>
      <c r="W362" t="s">
        <v>54</v>
      </c>
      <c r="X362" s="23" t="s">
        <v>54</v>
      </c>
      <c r="Y362" s="23" t="s">
        <v>54</v>
      </c>
      <c r="Z362" s="23" t="s">
        <v>54</v>
      </c>
      <c r="AA362" s="23" t="s">
        <v>54</v>
      </c>
      <c r="AB362" t="s">
        <v>54</v>
      </c>
      <c r="AC362" t="s">
        <v>54</v>
      </c>
      <c r="AD362" t="s">
        <v>54</v>
      </c>
      <c r="AE362" t="s">
        <v>54</v>
      </c>
      <c r="AF362" s="23" t="s">
        <v>54</v>
      </c>
      <c r="AG362" s="23" t="s">
        <v>54</v>
      </c>
      <c r="AH362" s="23" t="s">
        <v>54</v>
      </c>
      <c r="AI362" s="23" t="s">
        <v>54</v>
      </c>
      <c r="AJ362">
        <v>0</v>
      </c>
      <c r="AK362">
        <v>0</v>
      </c>
      <c r="AL362">
        <v>0</v>
      </c>
      <c r="AM362">
        <v>0</v>
      </c>
      <c r="AN362" s="23" t="s">
        <v>54</v>
      </c>
      <c r="AO362" s="23" t="s">
        <v>54</v>
      </c>
      <c r="AP362" s="23" t="s">
        <v>54</v>
      </c>
      <c r="AQ362" s="23" t="s">
        <v>54</v>
      </c>
      <c r="AR362" s="35">
        <v>0</v>
      </c>
      <c r="AS362" s="35">
        <v>0</v>
      </c>
      <c r="AT362" s="35">
        <v>0</v>
      </c>
      <c r="AU362" s="31" t="str">
        <f t="shared" si="8"/>
        <v>库存为0</v>
      </c>
      <c r="AV362" s="36" t="str">
        <f>IFERROR($A$2+AU362,"上周无销量")</f>
        <v>上周无销量</v>
      </c>
    </row>
    <row r="363" spans="1:48">
      <c r="A363" s="21" t="s">
        <v>792</v>
      </c>
      <c r="B363" t="s">
        <v>793</v>
      </c>
      <c r="C363" t="s">
        <v>783</v>
      </c>
      <c r="D363" s="31">
        <v>0</v>
      </c>
      <c r="E363" s="31">
        <v>0</v>
      </c>
      <c r="F363" s="31">
        <v>0</v>
      </c>
      <c r="G363" s="31">
        <v>0</v>
      </c>
      <c r="H363" s="32">
        <v>0</v>
      </c>
      <c r="I363">
        <v>0</v>
      </c>
      <c r="J363" s="33">
        <v>0</v>
      </c>
      <c r="K363" s="33">
        <v>0</v>
      </c>
      <c r="L363" s="33">
        <v>0</v>
      </c>
      <c r="M363">
        <v>0</v>
      </c>
      <c r="N363">
        <v>0</v>
      </c>
      <c r="O363">
        <v>0</v>
      </c>
      <c r="P363" t="s">
        <v>54</v>
      </c>
      <c r="Q363" t="s">
        <v>54</v>
      </c>
      <c r="R363" t="s">
        <v>54</v>
      </c>
      <c r="S363" t="s">
        <v>54</v>
      </c>
      <c r="T363" t="s">
        <v>54</v>
      </c>
      <c r="U363" t="s">
        <v>54</v>
      </c>
      <c r="V363" t="s">
        <v>54</v>
      </c>
      <c r="W363" t="s">
        <v>54</v>
      </c>
      <c r="X363" s="23" t="s">
        <v>54</v>
      </c>
      <c r="Y363" s="23" t="s">
        <v>54</v>
      </c>
      <c r="Z363" s="23" t="s">
        <v>54</v>
      </c>
      <c r="AA363" s="23" t="s">
        <v>54</v>
      </c>
      <c r="AB363" t="s">
        <v>54</v>
      </c>
      <c r="AC363" t="s">
        <v>54</v>
      </c>
      <c r="AD363" t="s">
        <v>54</v>
      </c>
      <c r="AE363" t="s">
        <v>54</v>
      </c>
      <c r="AF363" s="23" t="s">
        <v>54</v>
      </c>
      <c r="AG363" s="23" t="s">
        <v>54</v>
      </c>
      <c r="AH363" s="23" t="s">
        <v>54</v>
      </c>
      <c r="AI363" s="23" t="s">
        <v>54</v>
      </c>
      <c r="AJ363">
        <v>0</v>
      </c>
      <c r="AK363">
        <v>0</v>
      </c>
      <c r="AL363">
        <v>0</v>
      </c>
      <c r="AM363">
        <v>0</v>
      </c>
      <c r="AN363" s="23" t="s">
        <v>54</v>
      </c>
      <c r="AO363" s="23" t="s">
        <v>54</v>
      </c>
      <c r="AP363" s="23" t="s">
        <v>54</v>
      </c>
      <c r="AQ363" s="23" t="s">
        <v>54</v>
      </c>
      <c r="AR363" s="35">
        <v>0</v>
      </c>
      <c r="AS363" s="35">
        <v>0</v>
      </c>
      <c r="AT363" s="35">
        <v>0</v>
      </c>
      <c r="AU363" s="31" t="str">
        <f t="shared" si="8"/>
        <v>库存为0</v>
      </c>
      <c r="AV363" s="36" t="str">
        <f>IFERROR($A$2+AU363,"上周无销量")</f>
        <v>上周无销量</v>
      </c>
    </row>
    <row r="364" spans="1:48">
      <c r="A364" s="21" t="s">
        <v>794</v>
      </c>
      <c r="B364" t="s">
        <v>795</v>
      </c>
      <c r="C364" t="s">
        <v>783</v>
      </c>
      <c r="D364" s="31">
        <v>0</v>
      </c>
      <c r="E364" s="31">
        <v>0</v>
      </c>
      <c r="F364" s="31">
        <v>0</v>
      </c>
      <c r="G364" s="31">
        <v>0</v>
      </c>
      <c r="H364" s="32">
        <v>0</v>
      </c>
      <c r="I364">
        <v>0</v>
      </c>
      <c r="J364" s="33">
        <v>0</v>
      </c>
      <c r="K364" s="33">
        <v>0</v>
      </c>
      <c r="L364" s="33">
        <v>0</v>
      </c>
      <c r="M364">
        <v>0</v>
      </c>
      <c r="N364">
        <v>0</v>
      </c>
      <c r="O364">
        <v>0</v>
      </c>
      <c r="P364" t="s">
        <v>54</v>
      </c>
      <c r="Q364" t="s">
        <v>54</v>
      </c>
      <c r="R364" t="s">
        <v>54</v>
      </c>
      <c r="S364" t="s">
        <v>54</v>
      </c>
      <c r="T364" t="s">
        <v>54</v>
      </c>
      <c r="U364" t="s">
        <v>54</v>
      </c>
      <c r="V364" t="s">
        <v>54</v>
      </c>
      <c r="W364" t="s">
        <v>54</v>
      </c>
      <c r="X364" s="23" t="s">
        <v>54</v>
      </c>
      <c r="Y364" s="23" t="s">
        <v>54</v>
      </c>
      <c r="Z364" s="23" t="s">
        <v>54</v>
      </c>
      <c r="AA364" s="23" t="s">
        <v>54</v>
      </c>
      <c r="AB364" t="s">
        <v>54</v>
      </c>
      <c r="AC364" t="s">
        <v>54</v>
      </c>
      <c r="AD364" t="s">
        <v>54</v>
      </c>
      <c r="AE364" t="s">
        <v>54</v>
      </c>
      <c r="AF364" s="23" t="s">
        <v>54</v>
      </c>
      <c r="AG364" s="23" t="s">
        <v>54</v>
      </c>
      <c r="AH364" s="23" t="s">
        <v>54</v>
      </c>
      <c r="AI364" s="23" t="s">
        <v>54</v>
      </c>
      <c r="AJ364">
        <v>0</v>
      </c>
      <c r="AK364">
        <v>0</v>
      </c>
      <c r="AL364">
        <v>0</v>
      </c>
      <c r="AM364">
        <v>0</v>
      </c>
      <c r="AN364" s="23" t="s">
        <v>54</v>
      </c>
      <c r="AO364" s="23" t="s">
        <v>54</v>
      </c>
      <c r="AP364" s="23" t="s">
        <v>54</v>
      </c>
      <c r="AQ364" s="23" t="s">
        <v>54</v>
      </c>
      <c r="AR364" s="35">
        <v>0</v>
      </c>
      <c r="AS364" s="35">
        <v>0</v>
      </c>
      <c r="AT364" s="35">
        <v>0</v>
      </c>
      <c r="AU364" s="31" t="str">
        <f t="shared" si="8"/>
        <v>库存为0</v>
      </c>
      <c r="AV364" s="36" t="str">
        <f>IFERROR($A$2+AU364,"上周无销量")</f>
        <v>上周无销量</v>
      </c>
    </row>
    <row r="365" spans="1:48">
      <c r="A365" s="21" t="s">
        <v>796</v>
      </c>
      <c r="B365" t="s">
        <v>797</v>
      </c>
      <c r="C365" t="s">
        <v>783</v>
      </c>
      <c r="D365" s="31">
        <v>0</v>
      </c>
      <c r="E365" s="31">
        <v>0</v>
      </c>
      <c r="F365" s="31">
        <v>0</v>
      </c>
      <c r="G365" s="31">
        <v>0</v>
      </c>
      <c r="H365" s="32">
        <v>0</v>
      </c>
      <c r="I365">
        <v>0</v>
      </c>
      <c r="J365" s="33">
        <v>0</v>
      </c>
      <c r="K365" s="33">
        <v>0</v>
      </c>
      <c r="L365" s="33">
        <v>0</v>
      </c>
      <c r="M365">
        <v>0</v>
      </c>
      <c r="N365">
        <v>0</v>
      </c>
      <c r="O365">
        <v>0</v>
      </c>
      <c r="P365" t="s">
        <v>54</v>
      </c>
      <c r="Q365" t="s">
        <v>54</v>
      </c>
      <c r="R365" t="s">
        <v>54</v>
      </c>
      <c r="S365" t="s">
        <v>54</v>
      </c>
      <c r="T365" t="s">
        <v>54</v>
      </c>
      <c r="U365" t="s">
        <v>54</v>
      </c>
      <c r="V365" t="s">
        <v>54</v>
      </c>
      <c r="W365" t="s">
        <v>54</v>
      </c>
      <c r="X365" s="23" t="s">
        <v>54</v>
      </c>
      <c r="Y365" s="23" t="s">
        <v>54</v>
      </c>
      <c r="Z365" s="23" t="s">
        <v>54</v>
      </c>
      <c r="AA365" s="23" t="s">
        <v>54</v>
      </c>
      <c r="AB365" t="s">
        <v>54</v>
      </c>
      <c r="AC365" t="s">
        <v>54</v>
      </c>
      <c r="AD365" t="s">
        <v>54</v>
      </c>
      <c r="AE365" t="s">
        <v>54</v>
      </c>
      <c r="AF365" s="23" t="s">
        <v>54</v>
      </c>
      <c r="AG365" s="23" t="s">
        <v>54</v>
      </c>
      <c r="AH365" s="23" t="s">
        <v>54</v>
      </c>
      <c r="AI365" s="23" t="s">
        <v>54</v>
      </c>
      <c r="AJ365">
        <v>0</v>
      </c>
      <c r="AK365">
        <v>0</v>
      </c>
      <c r="AL365">
        <v>0</v>
      </c>
      <c r="AM365">
        <v>0</v>
      </c>
      <c r="AN365" s="23" t="s">
        <v>54</v>
      </c>
      <c r="AO365" s="23" t="s">
        <v>54</v>
      </c>
      <c r="AP365" s="23" t="s">
        <v>54</v>
      </c>
      <c r="AQ365" s="23" t="s">
        <v>54</v>
      </c>
      <c r="AR365" s="35">
        <v>0</v>
      </c>
      <c r="AS365" s="35">
        <v>0</v>
      </c>
      <c r="AT365" s="35">
        <v>0</v>
      </c>
      <c r="AU365" s="31" t="str">
        <f t="shared" si="8"/>
        <v>库存为0</v>
      </c>
      <c r="AV365" s="36" t="str">
        <f>IFERROR($A$2+AU365,"上周无销量")</f>
        <v>上周无销量</v>
      </c>
    </row>
    <row r="366" spans="1:48">
      <c r="A366" s="21" t="s">
        <v>798</v>
      </c>
      <c r="B366" t="s">
        <v>799</v>
      </c>
      <c r="C366" t="s">
        <v>783</v>
      </c>
      <c r="D366" s="31">
        <v>0</v>
      </c>
      <c r="E366" s="31">
        <v>0</v>
      </c>
      <c r="F366" s="31">
        <v>0</v>
      </c>
      <c r="G366" s="31">
        <v>0</v>
      </c>
      <c r="H366" s="32">
        <v>0</v>
      </c>
      <c r="I366">
        <v>0</v>
      </c>
      <c r="J366" s="33">
        <v>0</v>
      </c>
      <c r="K366" s="33">
        <v>0</v>
      </c>
      <c r="L366" s="33">
        <v>0</v>
      </c>
      <c r="M366">
        <v>0</v>
      </c>
      <c r="N366">
        <v>0</v>
      </c>
      <c r="O366">
        <v>0</v>
      </c>
      <c r="P366" t="s">
        <v>54</v>
      </c>
      <c r="Q366" t="s">
        <v>54</v>
      </c>
      <c r="R366" t="s">
        <v>54</v>
      </c>
      <c r="S366" t="s">
        <v>54</v>
      </c>
      <c r="T366" t="s">
        <v>54</v>
      </c>
      <c r="U366" t="s">
        <v>54</v>
      </c>
      <c r="V366" t="s">
        <v>54</v>
      </c>
      <c r="W366" t="s">
        <v>54</v>
      </c>
      <c r="X366" s="23" t="s">
        <v>54</v>
      </c>
      <c r="Y366" s="23" t="s">
        <v>54</v>
      </c>
      <c r="Z366" s="23" t="s">
        <v>54</v>
      </c>
      <c r="AA366" s="23" t="s">
        <v>54</v>
      </c>
      <c r="AB366" t="s">
        <v>54</v>
      </c>
      <c r="AC366" t="s">
        <v>54</v>
      </c>
      <c r="AD366" t="s">
        <v>54</v>
      </c>
      <c r="AE366" t="s">
        <v>54</v>
      </c>
      <c r="AF366" s="23" t="s">
        <v>54</v>
      </c>
      <c r="AG366" s="23" t="s">
        <v>54</v>
      </c>
      <c r="AH366" s="23" t="s">
        <v>54</v>
      </c>
      <c r="AI366" s="23" t="s">
        <v>54</v>
      </c>
      <c r="AJ366">
        <v>0</v>
      </c>
      <c r="AK366">
        <v>0</v>
      </c>
      <c r="AL366">
        <v>0</v>
      </c>
      <c r="AM366">
        <v>0</v>
      </c>
      <c r="AN366" s="23" t="s">
        <v>54</v>
      </c>
      <c r="AO366" s="23" t="s">
        <v>54</v>
      </c>
      <c r="AP366" s="23" t="s">
        <v>54</v>
      </c>
      <c r="AQ366" s="23" t="s">
        <v>54</v>
      </c>
      <c r="AR366" s="35">
        <v>0</v>
      </c>
      <c r="AS366" s="35">
        <v>0</v>
      </c>
      <c r="AT366" s="35">
        <v>0</v>
      </c>
      <c r="AU366" s="31" t="str">
        <f t="shared" si="8"/>
        <v>库存为0</v>
      </c>
      <c r="AV366" s="36" t="str">
        <f>IFERROR($A$2+AU366,"上周无销量")</f>
        <v>上周无销量</v>
      </c>
    </row>
    <row r="367" spans="1:48">
      <c r="A367" s="21" t="s">
        <v>800</v>
      </c>
      <c r="B367" t="s">
        <v>801</v>
      </c>
      <c r="C367" t="s">
        <v>783</v>
      </c>
      <c r="D367" s="31">
        <v>0</v>
      </c>
      <c r="E367" s="31">
        <v>0</v>
      </c>
      <c r="F367" s="31">
        <v>0</v>
      </c>
      <c r="G367" s="31">
        <v>0</v>
      </c>
      <c r="H367" s="32">
        <v>0</v>
      </c>
      <c r="I367">
        <v>0</v>
      </c>
      <c r="J367" s="33">
        <v>0</v>
      </c>
      <c r="K367" s="33">
        <v>0</v>
      </c>
      <c r="L367" s="33">
        <v>0</v>
      </c>
      <c r="M367">
        <v>0</v>
      </c>
      <c r="N367">
        <v>0</v>
      </c>
      <c r="O367">
        <v>0</v>
      </c>
      <c r="P367" t="s">
        <v>54</v>
      </c>
      <c r="Q367" t="s">
        <v>54</v>
      </c>
      <c r="R367" t="s">
        <v>54</v>
      </c>
      <c r="S367" t="s">
        <v>54</v>
      </c>
      <c r="T367" t="s">
        <v>54</v>
      </c>
      <c r="U367" t="s">
        <v>54</v>
      </c>
      <c r="V367" t="s">
        <v>54</v>
      </c>
      <c r="W367" t="s">
        <v>54</v>
      </c>
      <c r="X367" s="23" t="s">
        <v>54</v>
      </c>
      <c r="Y367" s="23" t="s">
        <v>54</v>
      </c>
      <c r="Z367" s="23" t="s">
        <v>54</v>
      </c>
      <c r="AA367" s="23" t="s">
        <v>54</v>
      </c>
      <c r="AB367" t="s">
        <v>54</v>
      </c>
      <c r="AC367" t="s">
        <v>54</v>
      </c>
      <c r="AD367" t="s">
        <v>54</v>
      </c>
      <c r="AE367" t="s">
        <v>54</v>
      </c>
      <c r="AF367" s="23" t="s">
        <v>54</v>
      </c>
      <c r="AG367" s="23" t="s">
        <v>54</v>
      </c>
      <c r="AH367" s="23" t="s">
        <v>54</v>
      </c>
      <c r="AI367" s="23" t="s">
        <v>54</v>
      </c>
      <c r="AJ367">
        <v>0</v>
      </c>
      <c r="AK367">
        <v>0</v>
      </c>
      <c r="AL367">
        <v>0</v>
      </c>
      <c r="AM367">
        <v>0</v>
      </c>
      <c r="AN367" s="23" t="s">
        <v>54</v>
      </c>
      <c r="AO367" s="23" t="s">
        <v>54</v>
      </c>
      <c r="AP367" s="23" t="s">
        <v>54</v>
      </c>
      <c r="AQ367" s="23" t="s">
        <v>54</v>
      </c>
      <c r="AR367" s="35">
        <v>0</v>
      </c>
      <c r="AS367" s="35">
        <v>0</v>
      </c>
      <c r="AT367" s="35">
        <v>0</v>
      </c>
      <c r="AU367" s="31" t="str">
        <f t="shared" si="8"/>
        <v>库存为0</v>
      </c>
      <c r="AV367" s="36" t="str">
        <f>IFERROR($A$2+AU367,"上周无销量")</f>
        <v>上周无销量</v>
      </c>
    </row>
    <row r="368" spans="1:48">
      <c r="A368" s="21" t="s">
        <v>802</v>
      </c>
      <c r="B368" t="s">
        <v>803</v>
      </c>
      <c r="C368" t="s">
        <v>783</v>
      </c>
      <c r="D368" s="31">
        <v>0</v>
      </c>
      <c r="E368" s="31">
        <v>0</v>
      </c>
      <c r="F368" s="31">
        <v>0</v>
      </c>
      <c r="G368" s="31">
        <v>0</v>
      </c>
      <c r="H368" s="32">
        <v>0</v>
      </c>
      <c r="I368">
        <v>0</v>
      </c>
      <c r="J368" s="33">
        <v>0</v>
      </c>
      <c r="K368" s="33">
        <v>0</v>
      </c>
      <c r="L368" s="33">
        <v>0</v>
      </c>
      <c r="M368">
        <v>0</v>
      </c>
      <c r="N368">
        <v>0</v>
      </c>
      <c r="O368">
        <v>0</v>
      </c>
      <c r="P368" t="s">
        <v>54</v>
      </c>
      <c r="Q368" t="s">
        <v>54</v>
      </c>
      <c r="R368" t="s">
        <v>54</v>
      </c>
      <c r="S368" t="s">
        <v>54</v>
      </c>
      <c r="T368" t="s">
        <v>54</v>
      </c>
      <c r="U368" t="s">
        <v>54</v>
      </c>
      <c r="V368" t="s">
        <v>54</v>
      </c>
      <c r="W368" t="s">
        <v>54</v>
      </c>
      <c r="X368" s="23" t="s">
        <v>54</v>
      </c>
      <c r="Y368" s="23" t="s">
        <v>54</v>
      </c>
      <c r="Z368" s="23" t="s">
        <v>54</v>
      </c>
      <c r="AA368" s="23" t="s">
        <v>54</v>
      </c>
      <c r="AB368" t="s">
        <v>54</v>
      </c>
      <c r="AC368" t="s">
        <v>54</v>
      </c>
      <c r="AD368" t="s">
        <v>54</v>
      </c>
      <c r="AE368" t="s">
        <v>54</v>
      </c>
      <c r="AF368" s="23" t="s">
        <v>54</v>
      </c>
      <c r="AG368" s="23" t="s">
        <v>54</v>
      </c>
      <c r="AH368" s="23" t="s">
        <v>54</v>
      </c>
      <c r="AI368" s="23" t="s">
        <v>54</v>
      </c>
      <c r="AJ368">
        <v>0</v>
      </c>
      <c r="AK368">
        <v>0</v>
      </c>
      <c r="AL368">
        <v>0</v>
      </c>
      <c r="AM368">
        <v>0</v>
      </c>
      <c r="AN368" s="23" t="s">
        <v>54</v>
      </c>
      <c r="AO368" s="23" t="s">
        <v>54</v>
      </c>
      <c r="AP368" s="23" t="s">
        <v>54</v>
      </c>
      <c r="AQ368" s="23" t="s">
        <v>54</v>
      </c>
      <c r="AR368" s="35">
        <v>0</v>
      </c>
      <c r="AS368" s="35">
        <v>0</v>
      </c>
      <c r="AT368" s="35">
        <v>0</v>
      </c>
      <c r="AU368" s="31" t="str">
        <f t="shared" si="8"/>
        <v>库存为0</v>
      </c>
      <c r="AV368" s="36" t="str">
        <f>IFERROR($A$2+AU368,"上周无销量")</f>
        <v>上周无销量</v>
      </c>
    </row>
    <row r="369" spans="1:48">
      <c r="A369" s="21" t="s">
        <v>804</v>
      </c>
      <c r="B369" t="s">
        <v>805</v>
      </c>
      <c r="C369" t="s">
        <v>783</v>
      </c>
      <c r="D369" s="31">
        <v>0</v>
      </c>
      <c r="E369" s="31">
        <v>0</v>
      </c>
      <c r="F369" s="31">
        <v>0</v>
      </c>
      <c r="G369" s="31">
        <v>0</v>
      </c>
      <c r="H369" s="32">
        <v>0</v>
      </c>
      <c r="I369">
        <v>0</v>
      </c>
      <c r="J369" s="33">
        <v>0</v>
      </c>
      <c r="K369" s="33">
        <v>0</v>
      </c>
      <c r="L369" s="33">
        <v>0</v>
      </c>
      <c r="M369">
        <v>0</v>
      </c>
      <c r="N369">
        <v>0</v>
      </c>
      <c r="O369">
        <v>0</v>
      </c>
      <c r="P369" t="s">
        <v>54</v>
      </c>
      <c r="Q369" t="s">
        <v>54</v>
      </c>
      <c r="R369" t="s">
        <v>54</v>
      </c>
      <c r="S369" t="s">
        <v>54</v>
      </c>
      <c r="T369" t="s">
        <v>54</v>
      </c>
      <c r="U369" t="s">
        <v>54</v>
      </c>
      <c r="V369" t="s">
        <v>54</v>
      </c>
      <c r="W369" t="s">
        <v>54</v>
      </c>
      <c r="X369" s="23" t="s">
        <v>54</v>
      </c>
      <c r="Y369" s="23" t="s">
        <v>54</v>
      </c>
      <c r="Z369" s="23" t="s">
        <v>54</v>
      </c>
      <c r="AA369" s="23" t="s">
        <v>54</v>
      </c>
      <c r="AB369" t="s">
        <v>54</v>
      </c>
      <c r="AC369" t="s">
        <v>54</v>
      </c>
      <c r="AD369" t="s">
        <v>54</v>
      </c>
      <c r="AE369" t="s">
        <v>54</v>
      </c>
      <c r="AF369" s="23" t="s">
        <v>54</v>
      </c>
      <c r="AG369" s="23" t="s">
        <v>54</v>
      </c>
      <c r="AH369" s="23" t="s">
        <v>54</v>
      </c>
      <c r="AI369" s="23" t="s">
        <v>54</v>
      </c>
      <c r="AJ369">
        <v>0</v>
      </c>
      <c r="AK369">
        <v>0</v>
      </c>
      <c r="AL369">
        <v>0</v>
      </c>
      <c r="AM369">
        <v>0</v>
      </c>
      <c r="AN369" s="23" t="s">
        <v>54</v>
      </c>
      <c r="AO369" s="23" t="s">
        <v>54</v>
      </c>
      <c r="AP369" s="23" t="s">
        <v>54</v>
      </c>
      <c r="AQ369" s="23" t="s">
        <v>54</v>
      </c>
      <c r="AR369" s="35">
        <v>0</v>
      </c>
      <c r="AS369" s="35">
        <v>0</v>
      </c>
      <c r="AT369" s="35">
        <v>0</v>
      </c>
      <c r="AU369" s="31" t="str">
        <f t="shared" si="8"/>
        <v>库存为0</v>
      </c>
      <c r="AV369" s="36" t="str">
        <f>IFERROR($A$2+AU369,"上周无销量")</f>
        <v>上周无销量</v>
      </c>
    </row>
    <row r="370" spans="1:48">
      <c r="A370" s="21" t="s">
        <v>806</v>
      </c>
      <c r="B370" t="s">
        <v>807</v>
      </c>
      <c r="C370" t="s">
        <v>783</v>
      </c>
      <c r="D370" s="31">
        <v>0</v>
      </c>
      <c r="E370" s="31">
        <v>0</v>
      </c>
      <c r="F370" s="31">
        <v>0</v>
      </c>
      <c r="G370" s="31">
        <v>0</v>
      </c>
      <c r="H370" s="32">
        <v>0</v>
      </c>
      <c r="I370">
        <v>0</v>
      </c>
      <c r="J370" s="33">
        <v>0</v>
      </c>
      <c r="K370" s="33">
        <v>0</v>
      </c>
      <c r="L370" s="33">
        <v>0</v>
      </c>
      <c r="M370">
        <v>0</v>
      </c>
      <c r="N370">
        <v>0</v>
      </c>
      <c r="O370">
        <v>0</v>
      </c>
      <c r="P370" t="s">
        <v>54</v>
      </c>
      <c r="Q370" t="s">
        <v>54</v>
      </c>
      <c r="R370" t="s">
        <v>54</v>
      </c>
      <c r="S370" t="s">
        <v>54</v>
      </c>
      <c r="T370" t="s">
        <v>54</v>
      </c>
      <c r="U370" t="s">
        <v>54</v>
      </c>
      <c r="V370" t="s">
        <v>54</v>
      </c>
      <c r="W370" t="s">
        <v>54</v>
      </c>
      <c r="X370" s="23" t="s">
        <v>54</v>
      </c>
      <c r="Y370" s="23" t="s">
        <v>54</v>
      </c>
      <c r="Z370" s="23" t="s">
        <v>54</v>
      </c>
      <c r="AA370" s="23" t="s">
        <v>54</v>
      </c>
      <c r="AB370" t="s">
        <v>54</v>
      </c>
      <c r="AC370" t="s">
        <v>54</v>
      </c>
      <c r="AD370" t="s">
        <v>54</v>
      </c>
      <c r="AE370" t="s">
        <v>54</v>
      </c>
      <c r="AF370" s="23" t="s">
        <v>54</v>
      </c>
      <c r="AG370" s="23" t="s">
        <v>54</v>
      </c>
      <c r="AH370" s="23" t="s">
        <v>54</v>
      </c>
      <c r="AI370" s="23" t="s">
        <v>54</v>
      </c>
      <c r="AJ370">
        <v>0</v>
      </c>
      <c r="AK370">
        <v>0</v>
      </c>
      <c r="AL370">
        <v>0</v>
      </c>
      <c r="AM370">
        <v>0</v>
      </c>
      <c r="AN370" s="23" t="s">
        <v>54</v>
      </c>
      <c r="AO370" s="23" t="s">
        <v>54</v>
      </c>
      <c r="AP370" s="23" t="s">
        <v>54</v>
      </c>
      <c r="AQ370" s="23" t="s">
        <v>54</v>
      </c>
      <c r="AR370" s="35">
        <v>0</v>
      </c>
      <c r="AS370" s="35">
        <v>0</v>
      </c>
      <c r="AT370" s="35">
        <v>0</v>
      </c>
      <c r="AU370" s="31" t="str">
        <f t="shared" si="8"/>
        <v>库存为0</v>
      </c>
      <c r="AV370" s="36" t="str">
        <f>IFERROR($A$2+AU370,"上周无销量")</f>
        <v>上周无销量</v>
      </c>
    </row>
    <row r="371" spans="1:48">
      <c r="A371" s="21" t="s">
        <v>808</v>
      </c>
      <c r="B371" t="s">
        <v>809</v>
      </c>
      <c r="C371" t="s">
        <v>783</v>
      </c>
      <c r="D371" s="31">
        <v>0</v>
      </c>
      <c r="E371" s="31">
        <v>0</v>
      </c>
      <c r="F371" s="31">
        <v>0</v>
      </c>
      <c r="G371" s="31">
        <v>0</v>
      </c>
      <c r="H371" s="32">
        <v>0</v>
      </c>
      <c r="I371">
        <v>0</v>
      </c>
      <c r="J371" s="33">
        <v>0</v>
      </c>
      <c r="K371" s="33">
        <v>0</v>
      </c>
      <c r="L371" s="33">
        <v>0</v>
      </c>
      <c r="M371">
        <v>0</v>
      </c>
      <c r="N371">
        <v>0</v>
      </c>
      <c r="O371">
        <v>0</v>
      </c>
      <c r="P371" t="s">
        <v>54</v>
      </c>
      <c r="Q371" t="s">
        <v>54</v>
      </c>
      <c r="R371" t="s">
        <v>54</v>
      </c>
      <c r="S371" t="s">
        <v>54</v>
      </c>
      <c r="T371" t="s">
        <v>54</v>
      </c>
      <c r="U371" t="s">
        <v>54</v>
      </c>
      <c r="V371" t="s">
        <v>54</v>
      </c>
      <c r="W371" t="s">
        <v>54</v>
      </c>
      <c r="X371" s="23" t="s">
        <v>54</v>
      </c>
      <c r="Y371" s="23" t="s">
        <v>54</v>
      </c>
      <c r="Z371" s="23" t="s">
        <v>54</v>
      </c>
      <c r="AA371" s="23" t="s">
        <v>54</v>
      </c>
      <c r="AB371" t="s">
        <v>54</v>
      </c>
      <c r="AC371" t="s">
        <v>54</v>
      </c>
      <c r="AD371" t="s">
        <v>54</v>
      </c>
      <c r="AE371" t="s">
        <v>54</v>
      </c>
      <c r="AF371" s="23" t="s">
        <v>54</v>
      </c>
      <c r="AG371" s="23" t="s">
        <v>54</v>
      </c>
      <c r="AH371" s="23" t="s">
        <v>54</v>
      </c>
      <c r="AI371" s="23" t="s">
        <v>54</v>
      </c>
      <c r="AJ371">
        <v>0</v>
      </c>
      <c r="AK371">
        <v>0</v>
      </c>
      <c r="AL371">
        <v>0</v>
      </c>
      <c r="AM371">
        <v>0</v>
      </c>
      <c r="AN371" s="23" t="s">
        <v>54</v>
      </c>
      <c r="AO371" s="23" t="s">
        <v>54</v>
      </c>
      <c r="AP371" s="23" t="s">
        <v>54</v>
      </c>
      <c r="AQ371" s="23" t="s">
        <v>54</v>
      </c>
      <c r="AR371" s="35">
        <v>0</v>
      </c>
      <c r="AS371" s="35">
        <v>0</v>
      </c>
      <c r="AT371" s="35">
        <v>0</v>
      </c>
      <c r="AU371" s="31" t="str">
        <f t="shared" si="8"/>
        <v>库存为0</v>
      </c>
      <c r="AV371" s="36" t="str">
        <f>IFERROR($A$2+AU371,"上周无销量")</f>
        <v>上周无销量</v>
      </c>
    </row>
    <row r="372" spans="1:48">
      <c r="A372" s="21" t="s">
        <v>810</v>
      </c>
      <c r="B372" t="s">
        <v>811</v>
      </c>
      <c r="C372" t="s">
        <v>783</v>
      </c>
      <c r="D372" s="31">
        <v>0</v>
      </c>
      <c r="E372" s="31">
        <v>0</v>
      </c>
      <c r="F372" s="31">
        <v>0</v>
      </c>
      <c r="G372" s="31">
        <v>0</v>
      </c>
      <c r="H372" s="32">
        <v>0</v>
      </c>
      <c r="I372">
        <v>0</v>
      </c>
      <c r="J372" s="33">
        <v>0</v>
      </c>
      <c r="K372" s="33">
        <v>0</v>
      </c>
      <c r="L372" s="33">
        <v>0</v>
      </c>
      <c r="M372">
        <v>0</v>
      </c>
      <c r="N372">
        <v>0</v>
      </c>
      <c r="O372">
        <v>0</v>
      </c>
      <c r="P372" t="s">
        <v>54</v>
      </c>
      <c r="Q372" t="s">
        <v>54</v>
      </c>
      <c r="R372" t="s">
        <v>54</v>
      </c>
      <c r="S372" t="s">
        <v>54</v>
      </c>
      <c r="T372" t="s">
        <v>54</v>
      </c>
      <c r="U372" t="s">
        <v>54</v>
      </c>
      <c r="V372" t="s">
        <v>54</v>
      </c>
      <c r="W372" t="s">
        <v>54</v>
      </c>
      <c r="X372" s="23" t="s">
        <v>54</v>
      </c>
      <c r="Y372" s="23" t="s">
        <v>54</v>
      </c>
      <c r="Z372" s="23" t="s">
        <v>54</v>
      </c>
      <c r="AA372" s="23" t="s">
        <v>54</v>
      </c>
      <c r="AB372" t="s">
        <v>54</v>
      </c>
      <c r="AC372" t="s">
        <v>54</v>
      </c>
      <c r="AD372" t="s">
        <v>54</v>
      </c>
      <c r="AE372" t="s">
        <v>54</v>
      </c>
      <c r="AF372" s="23" t="s">
        <v>54</v>
      </c>
      <c r="AG372" s="23" t="s">
        <v>54</v>
      </c>
      <c r="AH372" s="23" t="s">
        <v>54</v>
      </c>
      <c r="AI372" s="23" t="s">
        <v>54</v>
      </c>
      <c r="AJ372">
        <v>0</v>
      </c>
      <c r="AK372">
        <v>0</v>
      </c>
      <c r="AL372">
        <v>0</v>
      </c>
      <c r="AM372">
        <v>0</v>
      </c>
      <c r="AN372" s="23" t="s">
        <v>54</v>
      </c>
      <c r="AO372" s="23" t="s">
        <v>54</v>
      </c>
      <c r="AP372" s="23" t="s">
        <v>54</v>
      </c>
      <c r="AQ372" s="23" t="s">
        <v>54</v>
      </c>
      <c r="AR372" s="35">
        <v>0</v>
      </c>
      <c r="AS372" s="35">
        <v>0</v>
      </c>
      <c r="AT372" s="35">
        <v>0</v>
      </c>
      <c r="AU372" s="31" t="str">
        <f t="shared" si="8"/>
        <v>库存为0</v>
      </c>
      <c r="AV372" s="36" t="str">
        <f>IFERROR($A$2+AU372,"上周无销量")</f>
        <v>上周无销量</v>
      </c>
    </row>
    <row r="373" spans="1:48">
      <c r="A373" s="21" t="s">
        <v>812</v>
      </c>
      <c r="B373" t="s">
        <v>813</v>
      </c>
      <c r="C373" t="s">
        <v>814</v>
      </c>
      <c r="D373" s="31">
        <v>0</v>
      </c>
      <c r="E373" s="31">
        <v>0</v>
      </c>
      <c r="F373" s="31">
        <v>0</v>
      </c>
      <c r="G373" s="31">
        <v>0</v>
      </c>
      <c r="H373" s="32">
        <v>0</v>
      </c>
      <c r="I373">
        <v>0</v>
      </c>
      <c r="J373" s="33">
        <v>0</v>
      </c>
      <c r="K373" s="33">
        <v>0</v>
      </c>
      <c r="L373" s="33">
        <v>0</v>
      </c>
      <c r="M373">
        <v>0</v>
      </c>
      <c r="N373">
        <v>0</v>
      </c>
      <c r="O373">
        <v>0</v>
      </c>
      <c r="P373" t="s">
        <v>54</v>
      </c>
      <c r="Q373" t="s">
        <v>54</v>
      </c>
      <c r="R373" t="s">
        <v>54</v>
      </c>
      <c r="S373" t="s">
        <v>54</v>
      </c>
      <c r="T373" t="s">
        <v>54</v>
      </c>
      <c r="U373" t="s">
        <v>54</v>
      </c>
      <c r="V373" t="s">
        <v>54</v>
      </c>
      <c r="W373" t="s">
        <v>54</v>
      </c>
      <c r="X373" s="23" t="s">
        <v>54</v>
      </c>
      <c r="Y373" s="23" t="s">
        <v>54</v>
      </c>
      <c r="Z373" s="23" t="s">
        <v>54</v>
      </c>
      <c r="AA373" s="23" t="s">
        <v>54</v>
      </c>
      <c r="AB373" t="s">
        <v>54</v>
      </c>
      <c r="AC373" t="s">
        <v>54</v>
      </c>
      <c r="AD373" t="s">
        <v>54</v>
      </c>
      <c r="AE373" t="s">
        <v>54</v>
      </c>
      <c r="AF373" s="23" t="s">
        <v>54</v>
      </c>
      <c r="AG373" s="23" t="s">
        <v>54</v>
      </c>
      <c r="AH373" s="23" t="s">
        <v>54</v>
      </c>
      <c r="AI373" s="23" t="s">
        <v>54</v>
      </c>
      <c r="AJ373">
        <v>0</v>
      </c>
      <c r="AK373">
        <v>0</v>
      </c>
      <c r="AL373">
        <v>0</v>
      </c>
      <c r="AM373">
        <v>0</v>
      </c>
      <c r="AN373" s="23" t="s">
        <v>54</v>
      </c>
      <c r="AO373" s="23" t="s">
        <v>54</v>
      </c>
      <c r="AP373" s="23" t="s">
        <v>54</v>
      </c>
      <c r="AQ373" s="23" t="s">
        <v>54</v>
      </c>
      <c r="AR373" s="35">
        <v>0</v>
      </c>
      <c r="AS373" s="35">
        <v>0</v>
      </c>
      <c r="AT373" s="35">
        <v>0</v>
      </c>
      <c r="AU373" s="31" t="str">
        <f t="shared" si="8"/>
        <v>库存为0</v>
      </c>
      <c r="AV373" s="36" t="str">
        <f>IFERROR($A$2+AU373,"上周无销量")</f>
        <v>上周无销量</v>
      </c>
    </row>
    <row r="374" spans="1:48">
      <c r="A374" s="21" t="s">
        <v>815</v>
      </c>
      <c r="B374" t="s">
        <v>816</v>
      </c>
      <c r="C374" t="s">
        <v>814</v>
      </c>
      <c r="D374" s="31">
        <v>0</v>
      </c>
      <c r="E374" s="31">
        <v>0</v>
      </c>
      <c r="F374" s="31">
        <v>0</v>
      </c>
      <c r="G374" s="31">
        <v>0</v>
      </c>
      <c r="H374" s="32">
        <v>0</v>
      </c>
      <c r="I374">
        <v>0</v>
      </c>
      <c r="J374" s="33">
        <v>0</v>
      </c>
      <c r="K374" s="33">
        <v>0</v>
      </c>
      <c r="L374" s="33">
        <v>0</v>
      </c>
      <c r="M374">
        <v>0</v>
      </c>
      <c r="N374">
        <v>0</v>
      </c>
      <c r="O374">
        <v>0</v>
      </c>
      <c r="P374" t="s">
        <v>54</v>
      </c>
      <c r="Q374" t="s">
        <v>54</v>
      </c>
      <c r="R374" t="s">
        <v>54</v>
      </c>
      <c r="S374" t="s">
        <v>54</v>
      </c>
      <c r="T374" t="s">
        <v>54</v>
      </c>
      <c r="U374" t="s">
        <v>54</v>
      </c>
      <c r="V374" t="s">
        <v>54</v>
      </c>
      <c r="W374" t="s">
        <v>54</v>
      </c>
      <c r="X374" s="23" t="s">
        <v>54</v>
      </c>
      <c r="Y374" s="23" t="s">
        <v>54</v>
      </c>
      <c r="Z374" s="23" t="s">
        <v>54</v>
      </c>
      <c r="AA374" s="23" t="s">
        <v>54</v>
      </c>
      <c r="AB374" t="s">
        <v>54</v>
      </c>
      <c r="AC374" t="s">
        <v>54</v>
      </c>
      <c r="AD374" t="s">
        <v>54</v>
      </c>
      <c r="AE374" t="s">
        <v>54</v>
      </c>
      <c r="AF374" s="23" t="s">
        <v>54</v>
      </c>
      <c r="AG374" s="23" t="s">
        <v>54</v>
      </c>
      <c r="AH374" s="23" t="s">
        <v>54</v>
      </c>
      <c r="AI374" s="23" t="s">
        <v>54</v>
      </c>
      <c r="AJ374">
        <v>0</v>
      </c>
      <c r="AK374">
        <v>0</v>
      </c>
      <c r="AL374">
        <v>0</v>
      </c>
      <c r="AM374">
        <v>0</v>
      </c>
      <c r="AN374" s="23" t="s">
        <v>54</v>
      </c>
      <c r="AO374" s="23" t="s">
        <v>54</v>
      </c>
      <c r="AP374" s="23" t="s">
        <v>54</v>
      </c>
      <c r="AQ374" s="23" t="s">
        <v>54</v>
      </c>
      <c r="AR374" s="35">
        <v>0</v>
      </c>
      <c r="AS374" s="35">
        <v>0</v>
      </c>
      <c r="AT374" s="35">
        <v>0</v>
      </c>
      <c r="AU374" s="31" t="str">
        <f t="shared" si="8"/>
        <v>库存为0</v>
      </c>
      <c r="AV374" s="36" t="str">
        <f>IFERROR($A$2+AU374,"上周无销量")</f>
        <v>上周无销量</v>
      </c>
    </row>
    <row r="375" spans="1:48">
      <c r="A375" s="21" t="s">
        <v>817</v>
      </c>
      <c r="B375" t="s">
        <v>818</v>
      </c>
      <c r="C375" t="s">
        <v>814</v>
      </c>
      <c r="D375" s="31">
        <v>0</v>
      </c>
      <c r="E375" s="31">
        <v>0</v>
      </c>
      <c r="F375" s="31">
        <v>0</v>
      </c>
      <c r="G375" s="31">
        <v>0</v>
      </c>
      <c r="H375" s="32">
        <v>0</v>
      </c>
      <c r="I375">
        <v>4</v>
      </c>
      <c r="J375" s="33">
        <v>0</v>
      </c>
      <c r="K375" s="33">
        <v>0</v>
      </c>
      <c r="L375" s="33">
        <v>0</v>
      </c>
      <c r="M375">
        <v>4</v>
      </c>
      <c r="N375">
        <v>0</v>
      </c>
      <c r="O375">
        <v>4</v>
      </c>
      <c r="P375" t="s">
        <v>54</v>
      </c>
      <c r="Q375" t="s">
        <v>54</v>
      </c>
      <c r="R375" t="s">
        <v>54</v>
      </c>
      <c r="S375" t="s">
        <v>54</v>
      </c>
      <c r="T375" t="s">
        <v>54</v>
      </c>
      <c r="U375" t="s">
        <v>54</v>
      </c>
      <c r="V375" t="s">
        <v>54</v>
      </c>
      <c r="W375" t="s">
        <v>54</v>
      </c>
      <c r="X375" s="23" t="s">
        <v>54</v>
      </c>
      <c r="Y375" s="23" t="s">
        <v>54</v>
      </c>
      <c r="Z375" s="23" t="s">
        <v>54</v>
      </c>
      <c r="AA375" s="23" t="s">
        <v>54</v>
      </c>
      <c r="AB375" t="s">
        <v>54</v>
      </c>
      <c r="AC375" t="s">
        <v>54</v>
      </c>
      <c r="AD375" t="s">
        <v>54</v>
      </c>
      <c r="AE375" t="s">
        <v>54</v>
      </c>
      <c r="AF375" s="23" t="s">
        <v>54</v>
      </c>
      <c r="AG375" s="23" t="s">
        <v>54</v>
      </c>
      <c r="AH375" s="23" t="s">
        <v>54</v>
      </c>
      <c r="AI375" s="23" t="s">
        <v>54</v>
      </c>
      <c r="AJ375">
        <v>34</v>
      </c>
      <c r="AK375">
        <v>21</v>
      </c>
      <c r="AL375">
        <v>16</v>
      </c>
      <c r="AM375">
        <v>11</v>
      </c>
      <c r="AN375" s="23">
        <v>0</v>
      </c>
      <c r="AO375" s="23">
        <v>0</v>
      </c>
      <c r="AP375" s="23">
        <v>0</v>
      </c>
      <c r="AQ375" s="23">
        <v>0</v>
      </c>
      <c r="AR375" s="35">
        <v>0</v>
      </c>
      <c r="AS375" s="35">
        <v>0</v>
      </c>
      <c r="AT375" s="35">
        <v>4</v>
      </c>
      <c r="AU375" s="31" t="str">
        <f t="shared" si="8"/>
        <v>库存为4</v>
      </c>
      <c r="AV375" s="36" t="str">
        <f>IFERROR($A$2+AU375,"上周无销量")</f>
        <v>上周无销量</v>
      </c>
    </row>
    <row r="376" spans="1:48">
      <c r="A376" s="21" t="s">
        <v>819</v>
      </c>
      <c r="B376" t="s">
        <v>820</v>
      </c>
      <c r="C376" t="s">
        <v>814</v>
      </c>
      <c r="D376" s="31">
        <v>0</v>
      </c>
      <c r="E376" s="31">
        <v>0</v>
      </c>
      <c r="F376" s="31">
        <v>0</v>
      </c>
      <c r="G376" s="31">
        <v>0</v>
      </c>
      <c r="H376" s="32">
        <v>0</v>
      </c>
      <c r="I376">
        <v>6</v>
      </c>
      <c r="J376" s="33">
        <v>0</v>
      </c>
      <c r="K376" s="33">
        <v>0</v>
      </c>
      <c r="L376" s="33">
        <v>0</v>
      </c>
      <c r="M376">
        <v>6</v>
      </c>
      <c r="N376">
        <v>0</v>
      </c>
      <c r="O376">
        <v>6</v>
      </c>
      <c r="P376" t="s">
        <v>54</v>
      </c>
      <c r="Q376" t="s">
        <v>54</v>
      </c>
      <c r="R376" t="s">
        <v>54</v>
      </c>
      <c r="S376" t="s">
        <v>54</v>
      </c>
      <c r="T376" t="s">
        <v>54</v>
      </c>
      <c r="U376" t="s">
        <v>54</v>
      </c>
      <c r="V376" t="s">
        <v>54</v>
      </c>
      <c r="W376" t="s">
        <v>54</v>
      </c>
      <c r="X376" s="23" t="s">
        <v>54</v>
      </c>
      <c r="Y376" s="23" t="s">
        <v>54</v>
      </c>
      <c r="Z376" s="23" t="s">
        <v>54</v>
      </c>
      <c r="AA376" s="23" t="s">
        <v>54</v>
      </c>
      <c r="AB376" t="s">
        <v>54</v>
      </c>
      <c r="AC376" t="s">
        <v>54</v>
      </c>
      <c r="AD376" t="s">
        <v>54</v>
      </c>
      <c r="AE376" t="s">
        <v>54</v>
      </c>
      <c r="AF376" s="23" t="s">
        <v>54</v>
      </c>
      <c r="AG376" s="23" t="s">
        <v>54</v>
      </c>
      <c r="AH376" s="23" t="s">
        <v>54</v>
      </c>
      <c r="AI376" s="23" t="s">
        <v>54</v>
      </c>
      <c r="AJ376">
        <v>1</v>
      </c>
      <c r="AK376">
        <v>1</v>
      </c>
      <c r="AL376">
        <v>3</v>
      </c>
      <c r="AM376">
        <v>2</v>
      </c>
      <c r="AN376" s="23">
        <v>0</v>
      </c>
      <c r="AO376" s="23">
        <v>0</v>
      </c>
      <c r="AP376" s="23">
        <v>0</v>
      </c>
      <c r="AQ376" s="23">
        <v>0</v>
      </c>
      <c r="AR376" s="35">
        <v>0</v>
      </c>
      <c r="AS376" s="35">
        <v>0</v>
      </c>
      <c r="AT376" s="35">
        <v>6</v>
      </c>
      <c r="AU376" s="31" t="str">
        <f t="shared" si="8"/>
        <v>库存为6</v>
      </c>
      <c r="AV376" s="36" t="str">
        <f>IFERROR($A$2+AU376,"上周无销量")</f>
        <v>上周无销量</v>
      </c>
    </row>
    <row r="377" spans="1:48">
      <c r="A377" s="21" t="s">
        <v>821</v>
      </c>
      <c r="B377" t="s">
        <v>822</v>
      </c>
      <c r="C377" t="s">
        <v>814</v>
      </c>
      <c r="D377" s="31">
        <v>0</v>
      </c>
      <c r="E377" s="31">
        <v>0</v>
      </c>
      <c r="F377" s="31">
        <v>0</v>
      </c>
      <c r="G377" s="31">
        <v>0</v>
      </c>
      <c r="H377" s="32">
        <v>0</v>
      </c>
      <c r="I377">
        <v>2</v>
      </c>
      <c r="J377" s="33">
        <v>0</v>
      </c>
      <c r="K377" s="33">
        <v>0</v>
      </c>
      <c r="L377" s="33">
        <v>0</v>
      </c>
      <c r="M377">
        <v>2</v>
      </c>
      <c r="N377">
        <v>0</v>
      </c>
      <c r="O377">
        <v>2</v>
      </c>
      <c r="P377" t="s">
        <v>54</v>
      </c>
      <c r="Q377" t="s">
        <v>54</v>
      </c>
      <c r="R377" t="s">
        <v>54</v>
      </c>
      <c r="S377" t="s">
        <v>54</v>
      </c>
      <c r="T377" t="s">
        <v>54</v>
      </c>
      <c r="U377" t="s">
        <v>54</v>
      </c>
      <c r="V377" t="s">
        <v>54</v>
      </c>
      <c r="W377" t="s">
        <v>54</v>
      </c>
      <c r="X377" s="23" t="s">
        <v>54</v>
      </c>
      <c r="Y377" s="23" t="s">
        <v>54</v>
      </c>
      <c r="Z377" s="23" t="s">
        <v>54</v>
      </c>
      <c r="AA377" s="23" t="s">
        <v>54</v>
      </c>
      <c r="AB377" t="s">
        <v>54</v>
      </c>
      <c r="AC377" t="s">
        <v>54</v>
      </c>
      <c r="AD377" t="s">
        <v>54</v>
      </c>
      <c r="AE377" t="s">
        <v>54</v>
      </c>
      <c r="AF377" s="23" t="s">
        <v>54</v>
      </c>
      <c r="AG377" s="23" t="s">
        <v>54</v>
      </c>
      <c r="AH377" s="23" t="s">
        <v>54</v>
      </c>
      <c r="AI377" s="23" t="s">
        <v>54</v>
      </c>
      <c r="AJ377">
        <v>1</v>
      </c>
      <c r="AK377">
        <v>4</v>
      </c>
      <c r="AL377">
        <v>4</v>
      </c>
      <c r="AM377">
        <v>4</v>
      </c>
      <c r="AN377" s="23">
        <v>0</v>
      </c>
      <c r="AO377" s="23">
        <v>0</v>
      </c>
      <c r="AP377" s="23">
        <v>0</v>
      </c>
      <c r="AQ377" s="23">
        <v>0</v>
      </c>
      <c r="AR377" s="35">
        <v>0</v>
      </c>
      <c r="AS377" s="35">
        <v>0</v>
      </c>
      <c r="AT377" s="35">
        <v>2</v>
      </c>
      <c r="AU377" s="31" t="str">
        <f t="shared" si="8"/>
        <v>库存为2</v>
      </c>
      <c r="AV377" s="36" t="str">
        <f>IFERROR($A$2+AU377,"上周无销量")</f>
        <v>上周无销量</v>
      </c>
    </row>
    <row r="378" spans="1:48">
      <c r="A378" s="21" t="s">
        <v>823</v>
      </c>
      <c r="B378" t="s">
        <v>824</v>
      </c>
      <c r="C378" t="s">
        <v>814</v>
      </c>
      <c r="D378" s="31">
        <v>0</v>
      </c>
      <c r="E378" s="31">
        <v>0</v>
      </c>
      <c r="F378" s="31">
        <v>0</v>
      </c>
      <c r="G378" s="31">
        <v>0</v>
      </c>
      <c r="H378" s="32">
        <v>0</v>
      </c>
      <c r="I378">
        <v>5</v>
      </c>
      <c r="J378" s="33">
        <v>0</v>
      </c>
      <c r="K378" s="33">
        <v>0</v>
      </c>
      <c r="L378" s="33">
        <v>0</v>
      </c>
      <c r="M378">
        <v>5</v>
      </c>
      <c r="N378">
        <v>0</v>
      </c>
      <c r="O378">
        <v>5</v>
      </c>
      <c r="P378" t="s">
        <v>54</v>
      </c>
      <c r="Q378" t="s">
        <v>54</v>
      </c>
      <c r="R378" t="s">
        <v>54</v>
      </c>
      <c r="S378" t="s">
        <v>54</v>
      </c>
      <c r="T378" t="s">
        <v>54</v>
      </c>
      <c r="U378" t="s">
        <v>54</v>
      </c>
      <c r="V378" t="s">
        <v>54</v>
      </c>
      <c r="W378" t="s">
        <v>54</v>
      </c>
      <c r="X378" s="23" t="s">
        <v>54</v>
      </c>
      <c r="Y378" s="23" t="s">
        <v>54</v>
      </c>
      <c r="Z378" s="23" t="s">
        <v>54</v>
      </c>
      <c r="AA378" s="23" t="s">
        <v>54</v>
      </c>
      <c r="AB378" t="s">
        <v>54</v>
      </c>
      <c r="AC378" t="s">
        <v>54</v>
      </c>
      <c r="AD378" t="s">
        <v>54</v>
      </c>
      <c r="AE378" t="s">
        <v>54</v>
      </c>
      <c r="AF378" s="23" t="s">
        <v>54</v>
      </c>
      <c r="AG378" s="23" t="s">
        <v>54</v>
      </c>
      <c r="AH378" s="23" t="s">
        <v>54</v>
      </c>
      <c r="AI378" s="23" t="s">
        <v>54</v>
      </c>
      <c r="AJ378">
        <v>1</v>
      </c>
      <c r="AK378">
        <v>3</v>
      </c>
      <c r="AL378">
        <v>3</v>
      </c>
      <c r="AM378">
        <v>4</v>
      </c>
      <c r="AN378" s="23">
        <v>0</v>
      </c>
      <c r="AO378" s="23">
        <v>0</v>
      </c>
      <c r="AP378" s="23">
        <v>0</v>
      </c>
      <c r="AQ378" s="23">
        <v>0</v>
      </c>
      <c r="AR378" s="35">
        <v>0</v>
      </c>
      <c r="AS378" s="35">
        <v>0</v>
      </c>
      <c r="AT378" s="35">
        <v>5</v>
      </c>
      <c r="AU378" s="31" t="str">
        <f t="shared" si="8"/>
        <v>库存为5</v>
      </c>
      <c r="AV378" s="36" t="str">
        <f>IFERROR($A$2+AU378,"上周无销量")</f>
        <v>上周无销量</v>
      </c>
    </row>
    <row r="379" spans="1:48">
      <c r="A379" s="21" t="s">
        <v>825</v>
      </c>
      <c r="B379" t="s">
        <v>826</v>
      </c>
      <c r="C379" t="s">
        <v>814</v>
      </c>
      <c r="D379" s="31">
        <v>0</v>
      </c>
      <c r="E379" s="31">
        <v>0</v>
      </c>
      <c r="F379" s="31">
        <v>0</v>
      </c>
      <c r="G379" s="31">
        <v>0</v>
      </c>
      <c r="H379" s="32">
        <v>0</v>
      </c>
      <c r="I379">
        <v>7</v>
      </c>
      <c r="J379" s="33">
        <v>0</v>
      </c>
      <c r="K379" s="33">
        <v>0</v>
      </c>
      <c r="L379" s="33">
        <v>0</v>
      </c>
      <c r="M379">
        <v>7</v>
      </c>
      <c r="N379">
        <v>0</v>
      </c>
      <c r="O379">
        <v>7</v>
      </c>
      <c r="P379" t="s">
        <v>54</v>
      </c>
      <c r="Q379" t="s">
        <v>54</v>
      </c>
      <c r="R379" t="s">
        <v>54</v>
      </c>
      <c r="S379" t="s">
        <v>54</v>
      </c>
      <c r="T379" t="s">
        <v>54</v>
      </c>
      <c r="U379" t="s">
        <v>54</v>
      </c>
      <c r="V379" t="s">
        <v>54</v>
      </c>
      <c r="W379" t="s">
        <v>54</v>
      </c>
      <c r="X379" s="23" t="s">
        <v>54</v>
      </c>
      <c r="Y379" s="23" t="s">
        <v>54</v>
      </c>
      <c r="Z379" s="23" t="s">
        <v>54</v>
      </c>
      <c r="AA379" s="23" t="s">
        <v>54</v>
      </c>
      <c r="AB379" t="s">
        <v>54</v>
      </c>
      <c r="AC379" t="s">
        <v>54</v>
      </c>
      <c r="AD379" t="s">
        <v>54</v>
      </c>
      <c r="AE379" t="s">
        <v>54</v>
      </c>
      <c r="AF379" s="23" t="s">
        <v>54</v>
      </c>
      <c r="AG379" s="23" t="s">
        <v>54</v>
      </c>
      <c r="AH379" s="23" t="s">
        <v>54</v>
      </c>
      <c r="AI379" s="23" t="s">
        <v>54</v>
      </c>
      <c r="AJ379">
        <v>0</v>
      </c>
      <c r="AK379">
        <v>2</v>
      </c>
      <c r="AL379">
        <v>4</v>
      </c>
      <c r="AM379">
        <v>2</v>
      </c>
      <c r="AN379" s="23" t="s">
        <v>54</v>
      </c>
      <c r="AO379" s="23">
        <v>0</v>
      </c>
      <c r="AP379" s="23">
        <v>0</v>
      </c>
      <c r="AQ379" s="23">
        <v>0</v>
      </c>
      <c r="AR379" s="35">
        <v>0</v>
      </c>
      <c r="AS379" s="35">
        <v>0</v>
      </c>
      <c r="AT379" s="35">
        <v>7</v>
      </c>
      <c r="AU379" s="31" t="str">
        <f t="shared" si="8"/>
        <v>库存为7</v>
      </c>
      <c r="AV379" s="36" t="str">
        <f>IFERROR($A$2+AU379,"上周无销量")</f>
        <v>上周无销量</v>
      </c>
    </row>
    <row r="380" spans="1:48">
      <c r="A380" s="21" t="s">
        <v>827</v>
      </c>
      <c r="B380" t="s">
        <v>828</v>
      </c>
      <c r="C380" t="s">
        <v>829</v>
      </c>
      <c r="D380" s="31">
        <v>0</v>
      </c>
      <c r="E380" s="31">
        <v>0</v>
      </c>
      <c r="F380" s="31">
        <v>0</v>
      </c>
      <c r="G380" s="31">
        <v>0</v>
      </c>
      <c r="H380" s="32">
        <v>0</v>
      </c>
      <c r="I380">
        <v>6</v>
      </c>
      <c r="J380" s="33">
        <v>0</v>
      </c>
      <c r="K380" s="33">
        <v>0</v>
      </c>
      <c r="L380" s="33">
        <v>0</v>
      </c>
      <c r="M380">
        <v>6</v>
      </c>
      <c r="N380">
        <v>0</v>
      </c>
      <c r="O380">
        <v>6</v>
      </c>
      <c r="P380" t="s">
        <v>54</v>
      </c>
      <c r="Q380" t="s">
        <v>54</v>
      </c>
      <c r="R380" t="s">
        <v>54</v>
      </c>
      <c r="S380" t="s">
        <v>54</v>
      </c>
      <c r="T380" t="s">
        <v>54</v>
      </c>
      <c r="U380" t="s">
        <v>54</v>
      </c>
      <c r="V380" t="s">
        <v>54</v>
      </c>
      <c r="W380" t="s">
        <v>54</v>
      </c>
      <c r="X380" s="23" t="s">
        <v>54</v>
      </c>
      <c r="Y380" s="23" t="s">
        <v>54</v>
      </c>
      <c r="Z380" s="23" t="s">
        <v>54</v>
      </c>
      <c r="AA380" s="23" t="s">
        <v>54</v>
      </c>
      <c r="AB380" t="s">
        <v>54</v>
      </c>
      <c r="AC380" t="s">
        <v>54</v>
      </c>
      <c r="AD380" t="s">
        <v>54</v>
      </c>
      <c r="AE380" t="s">
        <v>54</v>
      </c>
      <c r="AF380" s="23" t="s">
        <v>54</v>
      </c>
      <c r="AG380" s="23" t="s">
        <v>54</v>
      </c>
      <c r="AH380" s="23" t="s">
        <v>54</v>
      </c>
      <c r="AI380" s="23" t="s">
        <v>54</v>
      </c>
      <c r="AJ380">
        <v>2</v>
      </c>
      <c r="AK380">
        <v>2</v>
      </c>
      <c r="AL380">
        <v>5</v>
      </c>
      <c r="AM380">
        <v>3</v>
      </c>
      <c r="AN380" s="23">
        <v>0</v>
      </c>
      <c r="AO380" s="23">
        <v>0</v>
      </c>
      <c r="AP380" s="23">
        <v>0</v>
      </c>
      <c r="AQ380" s="23">
        <v>0</v>
      </c>
      <c r="AR380" s="35">
        <v>0</v>
      </c>
      <c r="AS380" s="35">
        <v>0</v>
      </c>
      <c r="AT380" s="35">
        <v>6</v>
      </c>
      <c r="AU380" s="31" t="str">
        <f t="shared" si="8"/>
        <v>库存为6</v>
      </c>
      <c r="AV380" s="36" t="str">
        <f>IFERROR($A$2+AU380,"上周无销量")</f>
        <v>上周无销量</v>
      </c>
    </row>
    <row r="381" spans="1:48">
      <c r="A381" s="21" t="s">
        <v>830</v>
      </c>
      <c r="B381" t="s">
        <v>831</v>
      </c>
      <c r="C381" t="s">
        <v>829</v>
      </c>
      <c r="D381" s="31">
        <v>0</v>
      </c>
      <c r="E381" s="31">
        <v>0</v>
      </c>
      <c r="F381" s="31">
        <v>0</v>
      </c>
      <c r="G381" s="31">
        <v>0</v>
      </c>
      <c r="H381" s="32">
        <v>0</v>
      </c>
      <c r="I381">
        <v>6</v>
      </c>
      <c r="J381" s="33">
        <v>0</v>
      </c>
      <c r="K381" s="33">
        <v>0</v>
      </c>
      <c r="L381" s="33">
        <v>0</v>
      </c>
      <c r="M381">
        <v>6</v>
      </c>
      <c r="N381">
        <v>0</v>
      </c>
      <c r="O381">
        <v>6</v>
      </c>
      <c r="P381" t="s">
        <v>54</v>
      </c>
      <c r="Q381" t="s">
        <v>54</v>
      </c>
      <c r="R381" t="s">
        <v>54</v>
      </c>
      <c r="S381" t="s">
        <v>54</v>
      </c>
      <c r="T381" t="s">
        <v>54</v>
      </c>
      <c r="U381" t="s">
        <v>54</v>
      </c>
      <c r="V381" t="s">
        <v>54</v>
      </c>
      <c r="W381" t="s">
        <v>54</v>
      </c>
      <c r="X381" s="23" t="s">
        <v>54</v>
      </c>
      <c r="Y381" s="23" t="s">
        <v>54</v>
      </c>
      <c r="Z381" s="23" t="s">
        <v>54</v>
      </c>
      <c r="AA381" s="23" t="s">
        <v>54</v>
      </c>
      <c r="AB381" t="s">
        <v>54</v>
      </c>
      <c r="AC381" t="s">
        <v>54</v>
      </c>
      <c r="AD381" t="s">
        <v>54</v>
      </c>
      <c r="AE381" t="s">
        <v>54</v>
      </c>
      <c r="AF381" s="23" t="s">
        <v>54</v>
      </c>
      <c r="AG381" s="23" t="s">
        <v>54</v>
      </c>
      <c r="AH381" s="23" t="s">
        <v>54</v>
      </c>
      <c r="AI381" s="23" t="s">
        <v>54</v>
      </c>
      <c r="AJ381">
        <v>2</v>
      </c>
      <c r="AK381">
        <v>5</v>
      </c>
      <c r="AL381">
        <v>2</v>
      </c>
      <c r="AM381">
        <v>1</v>
      </c>
      <c r="AN381" s="23">
        <v>0</v>
      </c>
      <c r="AO381" s="23">
        <v>0</v>
      </c>
      <c r="AP381" s="23">
        <v>0</v>
      </c>
      <c r="AQ381" s="23">
        <v>0</v>
      </c>
      <c r="AR381" s="35">
        <v>0</v>
      </c>
      <c r="AS381" s="35">
        <v>0</v>
      </c>
      <c r="AT381" s="35">
        <v>6</v>
      </c>
      <c r="AU381" s="31" t="str">
        <f t="shared" si="8"/>
        <v>库存为6</v>
      </c>
      <c r="AV381" s="36" t="str">
        <f>IFERROR($A$2+AU381,"上周无销量")</f>
        <v>上周无销量</v>
      </c>
    </row>
    <row r="382" spans="1:48">
      <c r="A382" s="21" t="s">
        <v>832</v>
      </c>
      <c r="B382" t="s">
        <v>833</v>
      </c>
      <c r="C382" t="s">
        <v>829</v>
      </c>
      <c r="D382" s="31">
        <v>0</v>
      </c>
      <c r="E382" s="31">
        <v>0</v>
      </c>
      <c r="F382" s="31">
        <v>0</v>
      </c>
      <c r="G382" s="31">
        <v>0</v>
      </c>
      <c r="H382" s="32">
        <v>0</v>
      </c>
      <c r="I382">
        <v>4</v>
      </c>
      <c r="J382" s="33">
        <v>0</v>
      </c>
      <c r="K382" s="33">
        <v>0</v>
      </c>
      <c r="L382" s="33">
        <v>0</v>
      </c>
      <c r="M382">
        <v>4</v>
      </c>
      <c r="N382">
        <v>0</v>
      </c>
      <c r="O382">
        <v>3</v>
      </c>
      <c r="P382" t="s">
        <v>54</v>
      </c>
      <c r="Q382" t="s">
        <v>54</v>
      </c>
      <c r="R382" t="s">
        <v>54</v>
      </c>
      <c r="S382" t="s">
        <v>54</v>
      </c>
      <c r="T382" t="s">
        <v>54</v>
      </c>
      <c r="U382" t="s">
        <v>54</v>
      </c>
      <c r="V382" t="s">
        <v>54</v>
      </c>
      <c r="W382" t="s">
        <v>54</v>
      </c>
      <c r="X382" s="23" t="s">
        <v>54</v>
      </c>
      <c r="Y382" s="23" t="s">
        <v>54</v>
      </c>
      <c r="Z382" s="23" t="s">
        <v>54</v>
      </c>
      <c r="AA382" s="23" t="s">
        <v>54</v>
      </c>
      <c r="AB382" t="s">
        <v>54</v>
      </c>
      <c r="AC382" t="s">
        <v>54</v>
      </c>
      <c r="AD382" t="s">
        <v>54</v>
      </c>
      <c r="AE382" t="s">
        <v>54</v>
      </c>
      <c r="AF382" s="23" t="s">
        <v>54</v>
      </c>
      <c r="AG382" s="23" t="s">
        <v>54</v>
      </c>
      <c r="AH382" s="23" t="s">
        <v>54</v>
      </c>
      <c r="AI382" s="23" t="s">
        <v>54</v>
      </c>
      <c r="AJ382">
        <v>3</v>
      </c>
      <c r="AK382">
        <v>4</v>
      </c>
      <c r="AL382">
        <v>4</v>
      </c>
      <c r="AM382">
        <v>2</v>
      </c>
      <c r="AN382" s="23">
        <v>0</v>
      </c>
      <c r="AO382" s="23">
        <v>0</v>
      </c>
      <c r="AP382" s="23">
        <v>0</v>
      </c>
      <c r="AQ382" s="23">
        <v>0</v>
      </c>
      <c r="AR382" s="35">
        <v>0</v>
      </c>
      <c r="AS382" s="35">
        <v>0</v>
      </c>
      <c r="AT382" s="35">
        <v>4</v>
      </c>
      <c r="AU382" s="31" t="str">
        <f t="shared" si="8"/>
        <v>库存为4</v>
      </c>
      <c r="AV382" s="36" t="str">
        <f>IFERROR($A$2+AU382,"上周无销量")</f>
        <v>上周无销量</v>
      </c>
    </row>
    <row r="383" spans="1:48">
      <c r="A383" s="21" t="s">
        <v>834</v>
      </c>
      <c r="B383" t="s">
        <v>835</v>
      </c>
      <c r="C383" t="s">
        <v>829</v>
      </c>
      <c r="D383" s="31">
        <v>0</v>
      </c>
      <c r="E383" s="31">
        <v>0</v>
      </c>
      <c r="F383" s="31">
        <v>0</v>
      </c>
      <c r="G383" s="31">
        <v>0</v>
      </c>
      <c r="H383" s="32">
        <v>0</v>
      </c>
      <c r="I383">
        <v>10</v>
      </c>
      <c r="J383" s="33">
        <v>0</v>
      </c>
      <c r="K383" s="33">
        <v>0</v>
      </c>
      <c r="L383" s="33">
        <v>0</v>
      </c>
      <c r="M383">
        <v>10</v>
      </c>
      <c r="N383">
        <v>0</v>
      </c>
      <c r="O383">
        <v>10</v>
      </c>
      <c r="P383">
        <v>1849</v>
      </c>
      <c r="Q383">
        <v>488</v>
      </c>
      <c r="R383">
        <v>239</v>
      </c>
      <c r="S383">
        <v>257</v>
      </c>
      <c r="T383">
        <v>2</v>
      </c>
      <c r="U383">
        <v>3</v>
      </c>
      <c r="V383">
        <v>2</v>
      </c>
      <c r="W383">
        <v>0</v>
      </c>
      <c r="X383" s="23">
        <v>0.00108166576527853</v>
      </c>
      <c r="Y383" s="23">
        <v>0.00614754098360656</v>
      </c>
      <c r="Z383" s="23">
        <v>0.00836820083682008</v>
      </c>
      <c r="AA383" s="23">
        <v>0</v>
      </c>
      <c r="AB383">
        <v>0.92</v>
      </c>
      <c r="AC383">
        <v>0.64</v>
      </c>
      <c r="AD383">
        <v>0.62</v>
      </c>
      <c r="AE383">
        <v>0</v>
      </c>
      <c r="AF383" s="23">
        <v>0</v>
      </c>
      <c r="AG383" s="23">
        <v>0</v>
      </c>
      <c r="AH383" s="23">
        <v>0</v>
      </c>
      <c r="AI383" s="23" t="s">
        <v>54</v>
      </c>
      <c r="AJ383">
        <v>5</v>
      </c>
      <c r="AK383">
        <v>0</v>
      </c>
      <c r="AL383">
        <v>3</v>
      </c>
      <c r="AM383">
        <v>5</v>
      </c>
      <c r="AN383" s="23">
        <v>0</v>
      </c>
      <c r="AO383" s="23" t="s">
        <v>54</v>
      </c>
      <c r="AP383" s="23">
        <v>0</v>
      </c>
      <c r="AQ383" s="23">
        <v>0</v>
      </c>
      <c r="AR383" s="35">
        <v>0</v>
      </c>
      <c r="AS383" s="35">
        <v>0</v>
      </c>
      <c r="AT383" s="35">
        <v>10</v>
      </c>
      <c r="AU383" s="31" t="str">
        <f t="shared" si="8"/>
        <v>库存为10</v>
      </c>
      <c r="AV383" s="36" t="str">
        <f>IFERROR($A$2+AU383,"上周无销量")</f>
        <v>上周无销量</v>
      </c>
    </row>
    <row r="384" spans="1:48">
      <c r="A384" s="21" t="s">
        <v>836</v>
      </c>
      <c r="B384" t="s">
        <v>837</v>
      </c>
      <c r="C384" t="s">
        <v>829</v>
      </c>
      <c r="D384" s="31">
        <v>0</v>
      </c>
      <c r="E384" s="31">
        <v>0</v>
      </c>
      <c r="F384" s="31">
        <v>0</v>
      </c>
      <c r="G384" s="31">
        <v>0</v>
      </c>
      <c r="H384" s="32">
        <v>0</v>
      </c>
      <c r="I384">
        <v>3</v>
      </c>
      <c r="J384" s="33">
        <v>0</v>
      </c>
      <c r="K384" s="33">
        <v>0</v>
      </c>
      <c r="L384" s="33">
        <v>0</v>
      </c>
      <c r="M384">
        <v>3</v>
      </c>
      <c r="N384">
        <v>0</v>
      </c>
      <c r="O384">
        <v>3</v>
      </c>
      <c r="P384" t="s">
        <v>54</v>
      </c>
      <c r="Q384" t="s">
        <v>54</v>
      </c>
      <c r="R384" t="s">
        <v>54</v>
      </c>
      <c r="S384" t="s">
        <v>54</v>
      </c>
      <c r="T384" t="s">
        <v>54</v>
      </c>
      <c r="U384" t="s">
        <v>54</v>
      </c>
      <c r="V384" t="s">
        <v>54</v>
      </c>
      <c r="W384" t="s">
        <v>54</v>
      </c>
      <c r="X384" s="23" t="s">
        <v>54</v>
      </c>
      <c r="Y384" s="23" t="s">
        <v>54</v>
      </c>
      <c r="Z384" s="23" t="s">
        <v>54</v>
      </c>
      <c r="AA384" s="23" t="s">
        <v>54</v>
      </c>
      <c r="AB384" t="s">
        <v>54</v>
      </c>
      <c r="AC384" t="s">
        <v>54</v>
      </c>
      <c r="AD384" t="s">
        <v>54</v>
      </c>
      <c r="AE384" t="s">
        <v>54</v>
      </c>
      <c r="AF384" s="23" t="s">
        <v>54</v>
      </c>
      <c r="AG384" s="23" t="s">
        <v>54</v>
      </c>
      <c r="AH384" s="23" t="s">
        <v>54</v>
      </c>
      <c r="AI384" s="23" t="s">
        <v>54</v>
      </c>
      <c r="AJ384">
        <v>5</v>
      </c>
      <c r="AK384">
        <v>1</v>
      </c>
      <c r="AL384">
        <v>3</v>
      </c>
      <c r="AM384">
        <v>2</v>
      </c>
      <c r="AN384" s="23">
        <v>0</v>
      </c>
      <c r="AO384" s="23">
        <v>0</v>
      </c>
      <c r="AP384" s="23">
        <v>0</v>
      </c>
      <c r="AQ384" s="23">
        <v>0</v>
      </c>
      <c r="AR384" s="35">
        <v>0</v>
      </c>
      <c r="AS384" s="35">
        <v>0</v>
      </c>
      <c r="AT384" s="35">
        <v>3</v>
      </c>
      <c r="AU384" s="31" t="str">
        <f t="shared" si="8"/>
        <v>库存为3</v>
      </c>
      <c r="AV384" s="36" t="str">
        <f>IFERROR($A$2+AU384,"上周无销量")</f>
        <v>上周无销量</v>
      </c>
    </row>
    <row r="385" spans="1:48">
      <c r="A385" s="21" t="s">
        <v>838</v>
      </c>
      <c r="B385" t="s">
        <v>839</v>
      </c>
      <c r="C385" t="s">
        <v>829</v>
      </c>
      <c r="D385" s="31">
        <v>0</v>
      </c>
      <c r="E385" s="31">
        <v>0</v>
      </c>
      <c r="F385" s="31">
        <v>0</v>
      </c>
      <c r="G385" s="31">
        <v>0</v>
      </c>
      <c r="H385" s="32">
        <v>0</v>
      </c>
      <c r="I385">
        <v>2</v>
      </c>
      <c r="J385" s="33">
        <v>0</v>
      </c>
      <c r="K385" s="33">
        <v>0</v>
      </c>
      <c r="L385" s="33">
        <v>0</v>
      </c>
      <c r="M385">
        <v>2</v>
      </c>
      <c r="N385">
        <v>0</v>
      </c>
      <c r="O385">
        <v>1</v>
      </c>
      <c r="P385" t="s">
        <v>54</v>
      </c>
      <c r="Q385" t="s">
        <v>54</v>
      </c>
      <c r="R385" t="s">
        <v>54</v>
      </c>
      <c r="S385" t="s">
        <v>54</v>
      </c>
      <c r="T385" t="s">
        <v>54</v>
      </c>
      <c r="U385" t="s">
        <v>54</v>
      </c>
      <c r="V385" t="s">
        <v>54</v>
      </c>
      <c r="W385" t="s">
        <v>54</v>
      </c>
      <c r="X385" s="23" t="s">
        <v>54</v>
      </c>
      <c r="Y385" s="23" t="s">
        <v>54</v>
      </c>
      <c r="Z385" s="23" t="s">
        <v>54</v>
      </c>
      <c r="AA385" s="23" t="s">
        <v>54</v>
      </c>
      <c r="AB385" t="s">
        <v>54</v>
      </c>
      <c r="AC385" t="s">
        <v>54</v>
      </c>
      <c r="AD385" t="s">
        <v>54</v>
      </c>
      <c r="AE385" t="s">
        <v>54</v>
      </c>
      <c r="AF385" s="23" t="s">
        <v>54</v>
      </c>
      <c r="AG385" s="23" t="s">
        <v>54</v>
      </c>
      <c r="AH385" s="23" t="s">
        <v>54</v>
      </c>
      <c r="AI385" s="23" t="s">
        <v>54</v>
      </c>
      <c r="AJ385">
        <v>3</v>
      </c>
      <c r="AK385">
        <v>1</v>
      </c>
      <c r="AL385">
        <v>3</v>
      </c>
      <c r="AM385">
        <v>1</v>
      </c>
      <c r="AN385" s="23">
        <v>0</v>
      </c>
      <c r="AO385" s="23">
        <v>0</v>
      </c>
      <c r="AP385" s="23">
        <v>0</v>
      </c>
      <c r="AQ385" s="23">
        <v>0</v>
      </c>
      <c r="AR385" s="35">
        <v>0</v>
      </c>
      <c r="AS385" s="35">
        <v>0</v>
      </c>
      <c r="AT385" s="35">
        <v>2</v>
      </c>
      <c r="AU385" s="31" t="str">
        <f t="shared" si="8"/>
        <v>库存为2</v>
      </c>
      <c r="AV385" s="36" t="str">
        <f>IFERROR($A$2+AU385,"上周无销量")</f>
        <v>上周无销量</v>
      </c>
    </row>
    <row r="386" spans="1:48">
      <c r="A386" s="21" t="s">
        <v>840</v>
      </c>
      <c r="B386" t="s">
        <v>841</v>
      </c>
      <c r="C386" t="s">
        <v>829</v>
      </c>
      <c r="D386" s="31">
        <v>0</v>
      </c>
      <c r="E386" s="31">
        <v>0</v>
      </c>
      <c r="F386" s="31">
        <v>0</v>
      </c>
      <c r="G386" s="31">
        <v>0</v>
      </c>
      <c r="H386" s="32">
        <v>0</v>
      </c>
      <c r="I386">
        <v>6</v>
      </c>
      <c r="J386" s="33">
        <v>0</v>
      </c>
      <c r="K386" s="33">
        <v>0</v>
      </c>
      <c r="L386" s="33">
        <v>0</v>
      </c>
      <c r="M386">
        <v>6</v>
      </c>
      <c r="N386">
        <v>0</v>
      </c>
      <c r="O386">
        <v>6</v>
      </c>
      <c r="P386" t="s">
        <v>54</v>
      </c>
      <c r="Q386" t="s">
        <v>54</v>
      </c>
      <c r="R386" t="s">
        <v>54</v>
      </c>
      <c r="S386" t="s">
        <v>54</v>
      </c>
      <c r="T386" t="s">
        <v>54</v>
      </c>
      <c r="U386" t="s">
        <v>54</v>
      </c>
      <c r="V386" t="s">
        <v>54</v>
      </c>
      <c r="W386" t="s">
        <v>54</v>
      </c>
      <c r="X386" s="23" t="s">
        <v>54</v>
      </c>
      <c r="Y386" s="23" t="s">
        <v>54</v>
      </c>
      <c r="Z386" s="23" t="s">
        <v>54</v>
      </c>
      <c r="AA386" s="23" t="s">
        <v>54</v>
      </c>
      <c r="AB386" t="s">
        <v>54</v>
      </c>
      <c r="AC386" t="s">
        <v>54</v>
      </c>
      <c r="AD386" t="s">
        <v>54</v>
      </c>
      <c r="AE386" t="s">
        <v>54</v>
      </c>
      <c r="AF386" s="23" t="s">
        <v>54</v>
      </c>
      <c r="AG386" s="23" t="s">
        <v>54</v>
      </c>
      <c r="AH386" s="23" t="s">
        <v>54</v>
      </c>
      <c r="AI386" s="23" t="s">
        <v>54</v>
      </c>
      <c r="AJ386">
        <v>2</v>
      </c>
      <c r="AK386">
        <v>3</v>
      </c>
      <c r="AL386">
        <v>3</v>
      </c>
      <c r="AM386">
        <v>4</v>
      </c>
      <c r="AN386" s="23">
        <v>0</v>
      </c>
      <c r="AO386" s="23">
        <v>0</v>
      </c>
      <c r="AP386" s="23">
        <v>0</v>
      </c>
      <c r="AQ386" s="23">
        <v>0</v>
      </c>
      <c r="AR386" s="35">
        <v>0</v>
      </c>
      <c r="AS386" s="35">
        <v>0</v>
      </c>
      <c r="AT386" s="35">
        <v>6</v>
      </c>
      <c r="AU386" s="31" t="str">
        <f t="shared" si="8"/>
        <v>库存为6</v>
      </c>
      <c r="AV386" s="36" t="str">
        <f>IFERROR($A$2+AU386,"上周无销量")</f>
        <v>上周无销量</v>
      </c>
    </row>
    <row r="387" spans="1:48">
      <c r="A387" s="21" t="s">
        <v>842</v>
      </c>
      <c r="B387" t="s">
        <v>843</v>
      </c>
      <c r="C387" t="s">
        <v>829</v>
      </c>
      <c r="D387" s="31">
        <v>0</v>
      </c>
      <c r="E387" s="31">
        <v>0</v>
      </c>
      <c r="F387" s="31">
        <v>0</v>
      </c>
      <c r="G387" s="31">
        <v>0</v>
      </c>
      <c r="H387" s="32">
        <v>0</v>
      </c>
      <c r="I387">
        <v>6</v>
      </c>
      <c r="J387" s="33">
        <v>0</v>
      </c>
      <c r="K387" s="33">
        <v>0</v>
      </c>
      <c r="L387" s="33">
        <v>0</v>
      </c>
      <c r="M387">
        <v>6</v>
      </c>
      <c r="N387">
        <v>0</v>
      </c>
      <c r="O387">
        <v>6</v>
      </c>
      <c r="P387" t="s">
        <v>54</v>
      </c>
      <c r="Q387" t="s">
        <v>54</v>
      </c>
      <c r="R387" t="s">
        <v>54</v>
      </c>
      <c r="S387" t="s">
        <v>54</v>
      </c>
      <c r="T387" t="s">
        <v>54</v>
      </c>
      <c r="U387" t="s">
        <v>54</v>
      </c>
      <c r="V387" t="s">
        <v>54</v>
      </c>
      <c r="W387" t="s">
        <v>54</v>
      </c>
      <c r="X387" s="23" t="s">
        <v>54</v>
      </c>
      <c r="Y387" s="23" t="s">
        <v>54</v>
      </c>
      <c r="Z387" s="23" t="s">
        <v>54</v>
      </c>
      <c r="AA387" s="23" t="s">
        <v>54</v>
      </c>
      <c r="AB387" t="s">
        <v>54</v>
      </c>
      <c r="AC387" t="s">
        <v>54</v>
      </c>
      <c r="AD387" t="s">
        <v>54</v>
      </c>
      <c r="AE387" t="s">
        <v>54</v>
      </c>
      <c r="AF387" s="23" t="s">
        <v>54</v>
      </c>
      <c r="AG387" s="23" t="s">
        <v>54</v>
      </c>
      <c r="AH387" s="23" t="s">
        <v>54</v>
      </c>
      <c r="AI387" s="23" t="s">
        <v>54</v>
      </c>
      <c r="AJ387">
        <v>3</v>
      </c>
      <c r="AK387">
        <v>1</v>
      </c>
      <c r="AL387">
        <v>3</v>
      </c>
      <c r="AM387">
        <v>2</v>
      </c>
      <c r="AN387" s="23">
        <v>0</v>
      </c>
      <c r="AO387" s="23">
        <v>0</v>
      </c>
      <c r="AP387" s="23">
        <v>0</v>
      </c>
      <c r="AQ387" s="23">
        <v>0</v>
      </c>
      <c r="AR387" s="35">
        <v>0</v>
      </c>
      <c r="AS387" s="35">
        <v>0</v>
      </c>
      <c r="AT387" s="35">
        <v>6</v>
      </c>
      <c r="AU387" s="31" t="str">
        <f t="shared" si="8"/>
        <v>库存为6</v>
      </c>
      <c r="AV387" s="36" t="str">
        <f>IFERROR($A$2+AU387,"上周无销量")</f>
        <v>上周无销量</v>
      </c>
    </row>
    <row r="388" spans="1:48">
      <c r="A388" s="21" t="s">
        <v>844</v>
      </c>
      <c r="B388" t="s">
        <v>845</v>
      </c>
      <c r="C388" t="s">
        <v>829</v>
      </c>
      <c r="D388" s="31">
        <v>0</v>
      </c>
      <c r="E388" s="31">
        <v>0</v>
      </c>
      <c r="F388" s="31">
        <v>0</v>
      </c>
      <c r="G388" s="31">
        <v>0</v>
      </c>
      <c r="H388" s="32">
        <v>0</v>
      </c>
      <c r="I388">
        <v>3</v>
      </c>
      <c r="J388" s="33">
        <v>0</v>
      </c>
      <c r="K388" s="33">
        <v>0</v>
      </c>
      <c r="L388" s="33">
        <v>0</v>
      </c>
      <c r="M388">
        <v>3</v>
      </c>
      <c r="N388">
        <v>0</v>
      </c>
      <c r="O388">
        <v>3</v>
      </c>
      <c r="P388" t="s">
        <v>54</v>
      </c>
      <c r="Q388" t="s">
        <v>54</v>
      </c>
      <c r="R388" t="s">
        <v>54</v>
      </c>
      <c r="S388" t="s">
        <v>54</v>
      </c>
      <c r="T388" t="s">
        <v>54</v>
      </c>
      <c r="U388" t="s">
        <v>54</v>
      </c>
      <c r="V388" t="s">
        <v>54</v>
      </c>
      <c r="W388" t="s">
        <v>54</v>
      </c>
      <c r="X388" s="23" t="s">
        <v>54</v>
      </c>
      <c r="Y388" s="23" t="s">
        <v>54</v>
      </c>
      <c r="Z388" s="23" t="s">
        <v>54</v>
      </c>
      <c r="AA388" s="23" t="s">
        <v>54</v>
      </c>
      <c r="AB388" t="s">
        <v>54</v>
      </c>
      <c r="AC388" t="s">
        <v>54</v>
      </c>
      <c r="AD388" t="s">
        <v>54</v>
      </c>
      <c r="AE388" t="s">
        <v>54</v>
      </c>
      <c r="AF388" s="23" t="s">
        <v>54</v>
      </c>
      <c r="AG388" s="23" t="s">
        <v>54</v>
      </c>
      <c r="AH388" s="23" t="s">
        <v>54</v>
      </c>
      <c r="AI388" s="23" t="s">
        <v>54</v>
      </c>
      <c r="AJ388">
        <v>4</v>
      </c>
      <c r="AK388">
        <v>4</v>
      </c>
      <c r="AL388">
        <v>1</v>
      </c>
      <c r="AM388">
        <v>1</v>
      </c>
      <c r="AN388" s="23">
        <v>0</v>
      </c>
      <c r="AO388" s="23">
        <v>0</v>
      </c>
      <c r="AP388" s="23">
        <v>0</v>
      </c>
      <c r="AQ388" s="23">
        <v>0</v>
      </c>
      <c r="AR388" s="35">
        <v>0</v>
      </c>
      <c r="AS388" s="35">
        <v>0</v>
      </c>
      <c r="AT388" s="35">
        <v>3</v>
      </c>
      <c r="AU388" s="31" t="str">
        <f t="shared" si="8"/>
        <v>库存为3</v>
      </c>
      <c r="AV388" s="36" t="str">
        <f>IFERROR($A$2+AU388,"上周无销量")</f>
        <v>上周无销量</v>
      </c>
    </row>
    <row r="389" spans="1:48">
      <c r="A389" s="21" t="s">
        <v>846</v>
      </c>
      <c r="B389" t="s">
        <v>847</v>
      </c>
      <c r="C389" t="s">
        <v>829</v>
      </c>
      <c r="D389" s="31">
        <v>0</v>
      </c>
      <c r="E389" s="31">
        <v>0</v>
      </c>
      <c r="F389" s="31">
        <v>0</v>
      </c>
      <c r="G389" s="31">
        <v>1</v>
      </c>
      <c r="H389" s="32">
        <v>20</v>
      </c>
      <c r="I389">
        <v>5</v>
      </c>
      <c r="J389" s="33">
        <v>0</v>
      </c>
      <c r="K389" s="33">
        <v>0</v>
      </c>
      <c r="L389" s="33">
        <v>0</v>
      </c>
      <c r="M389">
        <v>5</v>
      </c>
      <c r="N389">
        <v>0</v>
      </c>
      <c r="O389">
        <v>4</v>
      </c>
      <c r="P389">
        <v>688</v>
      </c>
      <c r="Q389">
        <v>552</v>
      </c>
      <c r="R389">
        <v>277</v>
      </c>
      <c r="S389">
        <v>119</v>
      </c>
      <c r="T389">
        <v>3</v>
      </c>
      <c r="U389">
        <v>1</v>
      </c>
      <c r="V389">
        <v>0</v>
      </c>
      <c r="W389">
        <v>0</v>
      </c>
      <c r="X389" s="23">
        <v>0.00436046511627907</v>
      </c>
      <c r="Y389" s="23">
        <v>0.00181159420289855</v>
      </c>
      <c r="Z389" s="23">
        <v>0</v>
      </c>
      <c r="AA389" s="23">
        <v>0</v>
      </c>
      <c r="AB389">
        <v>0.83</v>
      </c>
      <c r="AC389">
        <v>0.24</v>
      </c>
      <c r="AD389">
        <v>0</v>
      </c>
      <c r="AE389">
        <v>0</v>
      </c>
      <c r="AF389" s="23">
        <v>0</v>
      </c>
      <c r="AG389" s="23">
        <v>0</v>
      </c>
      <c r="AH389" s="23" t="s">
        <v>54</v>
      </c>
      <c r="AI389" s="23" t="s">
        <v>54</v>
      </c>
      <c r="AJ389">
        <v>3</v>
      </c>
      <c r="AK389">
        <v>2</v>
      </c>
      <c r="AL389">
        <v>4</v>
      </c>
      <c r="AM389">
        <v>2</v>
      </c>
      <c r="AN389" s="23">
        <v>0</v>
      </c>
      <c r="AO389" s="23">
        <v>0</v>
      </c>
      <c r="AP389" s="23">
        <v>0</v>
      </c>
      <c r="AQ389" s="23">
        <v>0.5</v>
      </c>
      <c r="AR389" s="35">
        <v>0</v>
      </c>
      <c r="AS389" s="35">
        <v>0</v>
      </c>
      <c r="AT389" s="35">
        <v>5</v>
      </c>
      <c r="AU389" s="31" t="str">
        <f t="shared" ref="AU389:AU452" si="9">IF(AR389="","库存为"&amp;M389,IF(AS389=0,"库存为"&amp;M389,INT(M389/AR389)))</f>
        <v>库存为5</v>
      </c>
      <c r="AV389" s="36" t="str">
        <f>IFERROR($A$2+AU389,"上周无销量")</f>
        <v>上周无销量</v>
      </c>
    </row>
    <row r="390" spans="1:48">
      <c r="A390" s="21" t="s">
        <v>848</v>
      </c>
      <c r="B390" t="s">
        <v>849</v>
      </c>
      <c r="C390" t="s">
        <v>829</v>
      </c>
      <c r="D390" s="31">
        <v>0</v>
      </c>
      <c r="E390" s="31">
        <v>0</v>
      </c>
      <c r="F390" s="31">
        <v>0</v>
      </c>
      <c r="G390" s="31">
        <v>0</v>
      </c>
      <c r="H390" s="32">
        <v>0</v>
      </c>
      <c r="I390">
        <v>6</v>
      </c>
      <c r="J390" s="33">
        <v>0</v>
      </c>
      <c r="K390" s="33">
        <v>0</v>
      </c>
      <c r="L390" s="33">
        <v>0</v>
      </c>
      <c r="M390">
        <v>6</v>
      </c>
      <c r="N390">
        <v>0</v>
      </c>
      <c r="O390">
        <v>5</v>
      </c>
      <c r="P390" t="s">
        <v>54</v>
      </c>
      <c r="Q390" t="s">
        <v>54</v>
      </c>
      <c r="R390" t="s">
        <v>54</v>
      </c>
      <c r="S390" t="s">
        <v>54</v>
      </c>
      <c r="T390" t="s">
        <v>54</v>
      </c>
      <c r="U390" t="s">
        <v>54</v>
      </c>
      <c r="V390" t="s">
        <v>54</v>
      </c>
      <c r="W390" t="s">
        <v>54</v>
      </c>
      <c r="X390" s="23" t="s">
        <v>54</v>
      </c>
      <c r="Y390" s="23" t="s">
        <v>54</v>
      </c>
      <c r="Z390" s="23" t="s">
        <v>54</v>
      </c>
      <c r="AA390" s="23" t="s">
        <v>54</v>
      </c>
      <c r="AB390" t="s">
        <v>54</v>
      </c>
      <c r="AC390" t="s">
        <v>54</v>
      </c>
      <c r="AD390" t="s">
        <v>54</v>
      </c>
      <c r="AE390" t="s">
        <v>54</v>
      </c>
      <c r="AF390" s="23" t="s">
        <v>54</v>
      </c>
      <c r="AG390" s="23" t="s">
        <v>54</v>
      </c>
      <c r="AH390" s="23" t="s">
        <v>54</v>
      </c>
      <c r="AI390" s="23" t="s">
        <v>54</v>
      </c>
      <c r="AJ390">
        <v>1</v>
      </c>
      <c r="AK390">
        <v>3</v>
      </c>
      <c r="AL390">
        <v>3</v>
      </c>
      <c r="AM390">
        <v>3</v>
      </c>
      <c r="AN390" s="23">
        <v>0</v>
      </c>
      <c r="AO390" s="23">
        <v>0</v>
      </c>
      <c r="AP390" s="23">
        <v>0</v>
      </c>
      <c r="AQ390" s="23">
        <v>0</v>
      </c>
      <c r="AR390" s="35">
        <v>0</v>
      </c>
      <c r="AS390" s="35">
        <v>0</v>
      </c>
      <c r="AT390" s="35">
        <v>6</v>
      </c>
      <c r="AU390" s="31" t="str">
        <f t="shared" si="9"/>
        <v>库存为6</v>
      </c>
      <c r="AV390" s="36" t="str">
        <f>IFERROR($A$2+AU390,"上周无销量")</f>
        <v>上周无销量</v>
      </c>
    </row>
    <row r="391" spans="1:48">
      <c r="A391" s="21" t="s">
        <v>850</v>
      </c>
      <c r="B391" t="s">
        <v>851</v>
      </c>
      <c r="C391" t="s">
        <v>829</v>
      </c>
      <c r="D391" s="31">
        <v>0</v>
      </c>
      <c r="E391" s="31">
        <v>0</v>
      </c>
      <c r="F391" s="31">
        <v>0</v>
      </c>
      <c r="G391" s="31">
        <v>0</v>
      </c>
      <c r="H391" s="32">
        <v>0</v>
      </c>
      <c r="I391">
        <v>6</v>
      </c>
      <c r="J391" s="33">
        <v>0</v>
      </c>
      <c r="K391" s="33">
        <v>0</v>
      </c>
      <c r="L391" s="33">
        <v>0</v>
      </c>
      <c r="M391">
        <v>6</v>
      </c>
      <c r="N391">
        <v>0</v>
      </c>
      <c r="O391">
        <v>6</v>
      </c>
      <c r="P391" t="s">
        <v>54</v>
      </c>
      <c r="Q391" t="s">
        <v>54</v>
      </c>
      <c r="R391" t="s">
        <v>54</v>
      </c>
      <c r="S391" t="s">
        <v>54</v>
      </c>
      <c r="T391" t="s">
        <v>54</v>
      </c>
      <c r="U391" t="s">
        <v>54</v>
      </c>
      <c r="V391" t="s">
        <v>54</v>
      </c>
      <c r="W391" t="s">
        <v>54</v>
      </c>
      <c r="X391" s="23" t="s">
        <v>54</v>
      </c>
      <c r="Y391" s="23" t="s">
        <v>54</v>
      </c>
      <c r="Z391" s="23" t="s">
        <v>54</v>
      </c>
      <c r="AA391" s="23" t="s">
        <v>54</v>
      </c>
      <c r="AB391" t="s">
        <v>54</v>
      </c>
      <c r="AC391" t="s">
        <v>54</v>
      </c>
      <c r="AD391" t="s">
        <v>54</v>
      </c>
      <c r="AE391" t="s">
        <v>54</v>
      </c>
      <c r="AF391" s="23" t="s">
        <v>54</v>
      </c>
      <c r="AG391" s="23" t="s">
        <v>54</v>
      </c>
      <c r="AH391" s="23" t="s">
        <v>54</v>
      </c>
      <c r="AI391" s="23" t="s">
        <v>54</v>
      </c>
      <c r="AJ391">
        <v>4</v>
      </c>
      <c r="AK391">
        <v>2</v>
      </c>
      <c r="AL391">
        <v>2</v>
      </c>
      <c r="AM391">
        <v>2</v>
      </c>
      <c r="AN391" s="23">
        <v>0</v>
      </c>
      <c r="AO391" s="23">
        <v>0</v>
      </c>
      <c r="AP391" s="23">
        <v>0</v>
      </c>
      <c r="AQ391" s="23">
        <v>0</v>
      </c>
      <c r="AR391" s="35">
        <v>0</v>
      </c>
      <c r="AS391" s="35">
        <v>0</v>
      </c>
      <c r="AT391" s="35">
        <v>6</v>
      </c>
      <c r="AU391" s="31" t="str">
        <f t="shared" si="9"/>
        <v>库存为6</v>
      </c>
      <c r="AV391" s="36" t="str">
        <f>IFERROR($A$2+AU391,"上周无销量")</f>
        <v>上周无销量</v>
      </c>
    </row>
    <row r="392" spans="1:48">
      <c r="A392" s="21" t="s">
        <v>852</v>
      </c>
      <c r="B392" t="s">
        <v>853</v>
      </c>
      <c r="C392" t="s">
        <v>829</v>
      </c>
      <c r="D392" s="31">
        <v>0</v>
      </c>
      <c r="E392" s="31">
        <v>0</v>
      </c>
      <c r="F392" s="31">
        <v>0</v>
      </c>
      <c r="G392" s="31">
        <v>0</v>
      </c>
      <c r="H392" s="32">
        <v>0</v>
      </c>
      <c r="I392">
        <v>6</v>
      </c>
      <c r="J392" s="33">
        <v>0</v>
      </c>
      <c r="K392" s="33">
        <v>0</v>
      </c>
      <c r="L392" s="33">
        <v>0</v>
      </c>
      <c r="M392">
        <v>6</v>
      </c>
      <c r="N392">
        <v>0</v>
      </c>
      <c r="O392">
        <v>6</v>
      </c>
      <c r="P392" t="s">
        <v>54</v>
      </c>
      <c r="Q392" t="s">
        <v>54</v>
      </c>
      <c r="R392" t="s">
        <v>54</v>
      </c>
      <c r="S392" t="s">
        <v>54</v>
      </c>
      <c r="T392" t="s">
        <v>54</v>
      </c>
      <c r="U392" t="s">
        <v>54</v>
      </c>
      <c r="V392" t="s">
        <v>54</v>
      </c>
      <c r="W392" t="s">
        <v>54</v>
      </c>
      <c r="X392" s="23" t="s">
        <v>54</v>
      </c>
      <c r="Y392" s="23" t="s">
        <v>54</v>
      </c>
      <c r="Z392" s="23" t="s">
        <v>54</v>
      </c>
      <c r="AA392" s="23" t="s">
        <v>54</v>
      </c>
      <c r="AB392" t="s">
        <v>54</v>
      </c>
      <c r="AC392" t="s">
        <v>54</v>
      </c>
      <c r="AD392" t="s">
        <v>54</v>
      </c>
      <c r="AE392" t="s">
        <v>54</v>
      </c>
      <c r="AF392" s="23" t="s">
        <v>54</v>
      </c>
      <c r="AG392" s="23" t="s">
        <v>54</v>
      </c>
      <c r="AH392" s="23" t="s">
        <v>54</v>
      </c>
      <c r="AI392" s="23" t="s">
        <v>54</v>
      </c>
      <c r="AJ392">
        <v>1</v>
      </c>
      <c r="AK392">
        <v>2</v>
      </c>
      <c r="AL392">
        <v>3</v>
      </c>
      <c r="AM392">
        <v>4</v>
      </c>
      <c r="AN392" s="23">
        <v>0</v>
      </c>
      <c r="AO392" s="23">
        <v>0</v>
      </c>
      <c r="AP392" s="23">
        <v>0</v>
      </c>
      <c r="AQ392" s="23">
        <v>0</v>
      </c>
      <c r="AR392" s="35">
        <v>0</v>
      </c>
      <c r="AS392" s="35">
        <v>0</v>
      </c>
      <c r="AT392" s="35">
        <v>6</v>
      </c>
      <c r="AU392" s="31" t="str">
        <f t="shared" si="9"/>
        <v>库存为6</v>
      </c>
      <c r="AV392" s="36" t="str">
        <f>IFERROR($A$2+AU392,"上周无销量")</f>
        <v>上周无销量</v>
      </c>
    </row>
    <row r="393" spans="1:48">
      <c r="A393" s="21" t="s">
        <v>854</v>
      </c>
      <c r="B393" t="s">
        <v>855</v>
      </c>
      <c r="C393" t="s">
        <v>829</v>
      </c>
      <c r="D393" s="31">
        <v>0</v>
      </c>
      <c r="E393" s="31">
        <v>0</v>
      </c>
      <c r="F393" s="31">
        <v>0</v>
      </c>
      <c r="G393" s="31">
        <v>0</v>
      </c>
      <c r="H393" s="32">
        <v>0</v>
      </c>
      <c r="I393">
        <v>6</v>
      </c>
      <c r="J393" s="33">
        <v>0</v>
      </c>
      <c r="K393" s="33">
        <v>0</v>
      </c>
      <c r="L393" s="33">
        <v>0</v>
      </c>
      <c r="M393">
        <v>6</v>
      </c>
      <c r="N393">
        <v>0</v>
      </c>
      <c r="O393">
        <v>6</v>
      </c>
      <c r="P393" t="s">
        <v>54</v>
      </c>
      <c r="Q393" t="s">
        <v>54</v>
      </c>
      <c r="R393" t="s">
        <v>54</v>
      </c>
      <c r="S393" t="s">
        <v>54</v>
      </c>
      <c r="T393" t="s">
        <v>54</v>
      </c>
      <c r="U393" t="s">
        <v>54</v>
      </c>
      <c r="V393" t="s">
        <v>54</v>
      </c>
      <c r="W393" t="s">
        <v>54</v>
      </c>
      <c r="X393" s="23" t="s">
        <v>54</v>
      </c>
      <c r="Y393" s="23" t="s">
        <v>54</v>
      </c>
      <c r="Z393" s="23" t="s">
        <v>54</v>
      </c>
      <c r="AA393" s="23" t="s">
        <v>54</v>
      </c>
      <c r="AB393" t="s">
        <v>54</v>
      </c>
      <c r="AC393" t="s">
        <v>54</v>
      </c>
      <c r="AD393" t="s">
        <v>54</v>
      </c>
      <c r="AE393" t="s">
        <v>54</v>
      </c>
      <c r="AF393" s="23" t="s">
        <v>54</v>
      </c>
      <c r="AG393" s="23" t="s">
        <v>54</v>
      </c>
      <c r="AH393" s="23" t="s">
        <v>54</v>
      </c>
      <c r="AI393" s="23" t="s">
        <v>54</v>
      </c>
      <c r="AJ393">
        <v>3</v>
      </c>
      <c r="AK393">
        <v>2</v>
      </c>
      <c r="AL393">
        <v>4</v>
      </c>
      <c r="AM393">
        <v>2</v>
      </c>
      <c r="AN393" s="23">
        <v>0</v>
      </c>
      <c r="AO393" s="23">
        <v>0</v>
      </c>
      <c r="AP393" s="23">
        <v>0</v>
      </c>
      <c r="AQ393" s="23">
        <v>0</v>
      </c>
      <c r="AR393" s="35">
        <v>0</v>
      </c>
      <c r="AS393" s="35">
        <v>0</v>
      </c>
      <c r="AT393" s="35">
        <v>6</v>
      </c>
      <c r="AU393" s="31" t="str">
        <f t="shared" si="9"/>
        <v>库存为6</v>
      </c>
      <c r="AV393" s="36" t="str">
        <f>IFERROR($A$2+AU393,"上周无销量")</f>
        <v>上周无销量</v>
      </c>
    </row>
    <row r="394" spans="1:48">
      <c r="A394" s="21" t="s">
        <v>856</v>
      </c>
      <c r="B394" t="s">
        <v>857</v>
      </c>
      <c r="C394" t="s">
        <v>829</v>
      </c>
      <c r="D394" s="31">
        <v>0</v>
      </c>
      <c r="E394" s="31">
        <v>0</v>
      </c>
      <c r="F394" s="31">
        <v>0</v>
      </c>
      <c r="G394" s="31">
        <v>0</v>
      </c>
      <c r="H394" s="32">
        <v>0</v>
      </c>
      <c r="I394">
        <v>3</v>
      </c>
      <c r="J394" s="33">
        <v>0</v>
      </c>
      <c r="K394" s="33">
        <v>0</v>
      </c>
      <c r="L394" s="33">
        <v>2</v>
      </c>
      <c r="M394">
        <v>5</v>
      </c>
      <c r="N394">
        <v>0</v>
      </c>
      <c r="O394">
        <v>5</v>
      </c>
      <c r="P394" t="s">
        <v>54</v>
      </c>
      <c r="Q394" t="s">
        <v>54</v>
      </c>
      <c r="R394" t="s">
        <v>54</v>
      </c>
      <c r="S394" t="s">
        <v>54</v>
      </c>
      <c r="T394" t="s">
        <v>54</v>
      </c>
      <c r="U394" t="s">
        <v>54</v>
      </c>
      <c r="V394" t="s">
        <v>54</v>
      </c>
      <c r="W394" t="s">
        <v>54</v>
      </c>
      <c r="X394" s="23" t="s">
        <v>54</v>
      </c>
      <c r="Y394" s="23" t="s">
        <v>54</v>
      </c>
      <c r="Z394" s="23" t="s">
        <v>54</v>
      </c>
      <c r="AA394" s="23" t="s">
        <v>54</v>
      </c>
      <c r="AB394" t="s">
        <v>54</v>
      </c>
      <c r="AC394" t="s">
        <v>54</v>
      </c>
      <c r="AD394" t="s">
        <v>54</v>
      </c>
      <c r="AE394" t="s">
        <v>54</v>
      </c>
      <c r="AF394" s="23" t="s">
        <v>54</v>
      </c>
      <c r="AG394" s="23" t="s">
        <v>54</v>
      </c>
      <c r="AH394" s="23" t="s">
        <v>54</v>
      </c>
      <c r="AI394" s="23" t="s">
        <v>54</v>
      </c>
      <c r="AJ394">
        <v>5</v>
      </c>
      <c r="AK394">
        <v>3</v>
      </c>
      <c r="AL394">
        <v>2</v>
      </c>
      <c r="AM394">
        <v>1</v>
      </c>
      <c r="AN394" s="23">
        <v>0</v>
      </c>
      <c r="AO394" s="23">
        <v>0</v>
      </c>
      <c r="AP394" s="23">
        <v>0</v>
      </c>
      <c r="AQ394" s="23">
        <v>0</v>
      </c>
      <c r="AR394" s="35">
        <v>0</v>
      </c>
      <c r="AS394" s="35">
        <v>0</v>
      </c>
      <c r="AT394" s="35">
        <v>5</v>
      </c>
      <c r="AU394" s="31" t="str">
        <f t="shared" si="9"/>
        <v>库存为5</v>
      </c>
      <c r="AV394" s="36" t="str">
        <f>IFERROR($A$2+AU394,"上周无销量")</f>
        <v>上周无销量</v>
      </c>
    </row>
    <row r="395" spans="1:48">
      <c r="A395" s="21" t="s">
        <v>858</v>
      </c>
      <c r="B395" t="s">
        <v>859</v>
      </c>
      <c r="C395" t="s">
        <v>829</v>
      </c>
      <c r="D395" s="31">
        <v>0</v>
      </c>
      <c r="E395" s="31">
        <v>0</v>
      </c>
      <c r="F395" s="31">
        <v>0</v>
      </c>
      <c r="G395" s="31">
        <v>0</v>
      </c>
      <c r="H395" s="32">
        <v>0</v>
      </c>
      <c r="I395">
        <v>7</v>
      </c>
      <c r="J395" s="33">
        <v>0</v>
      </c>
      <c r="K395" s="33">
        <v>0</v>
      </c>
      <c r="L395" s="33">
        <v>0</v>
      </c>
      <c r="M395">
        <v>7</v>
      </c>
      <c r="N395">
        <v>0</v>
      </c>
      <c r="O395">
        <v>7</v>
      </c>
      <c r="P395" t="s">
        <v>54</v>
      </c>
      <c r="Q395" t="s">
        <v>54</v>
      </c>
      <c r="R395" t="s">
        <v>54</v>
      </c>
      <c r="S395" t="s">
        <v>54</v>
      </c>
      <c r="T395" t="s">
        <v>54</v>
      </c>
      <c r="U395" t="s">
        <v>54</v>
      </c>
      <c r="V395" t="s">
        <v>54</v>
      </c>
      <c r="W395" t="s">
        <v>54</v>
      </c>
      <c r="X395" s="23" t="s">
        <v>54</v>
      </c>
      <c r="Y395" s="23" t="s">
        <v>54</v>
      </c>
      <c r="Z395" s="23" t="s">
        <v>54</v>
      </c>
      <c r="AA395" s="23" t="s">
        <v>54</v>
      </c>
      <c r="AB395" t="s">
        <v>54</v>
      </c>
      <c r="AC395" t="s">
        <v>54</v>
      </c>
      <c r="AD395" t="s">
        <v>54</v>
      </c>
      <c r="AE395" t="s">
        <v>54</v>
      </c>
      <c r="AF395" s="23" t="s">
        <v>54</v>
      </c>
      <c r="AG395" s="23" t="s">
        <v>54</v>
      </c>
      <c r="AH395" s="23" t="s">
        <v>54</v>
      </c>
      <c r="AI395" s="23" t="s">
        <v>54</v>
      </c>
      <c r="AJ395">
        <v>2</v>
      </c>
      <c r="AK395">
        <v>2</v>
      </c>
      <c r="AL395">
        <v>2</v>
      </c>
      <c r="AM395">
        <v>4</v>
      </c>
      <c r="AN395" s="23">
        <v>0</v>
      </c>
      <c r="AO395" s="23">
        <v>0</v>
      </c>
      <c r="AP395" s="23">
        <v>0</v>
      </c>
      <c r="AQ395" s="23">
        <v>0</v>
      </c>
      <c r="AR395" s="35">
        <v>0</v>
      </c>
      <c r="AS395" s="35">
        <v>0</v>
      </c>
      <c r="AT395" s="35">
        <v>7</v>
      </c>
      <c r="AU395" s="31" t="str">
        <f t="shared" si="9"/>
        <v>库存为7</v>
      </c>
      <c r="AV395" s="36" t="str">
        <f>IFERROR($A$2+AU395,"上周无销量")</f>
        <v>上周无销量</v>
      </c>
    </row>
    <row r="396" spans="1:48">
      <c r="A396" s="21" t="s">
        <v>860</v>
      </c>
      <c r="B396" t="s">
        <v>861</v>
      </c>
      <c r="C396" t="s">
        <v>829</v>
      </c>
      <c r="D396" s="31">
        <v>0</v>
      </c>
      <c r="E396" s="31">
        <v>0</v>
      </c>
      <c r="F396" s="31">
        <v>0</v>
      </c>
      <c r="G396" s="31">
        <v>0</v>
      </c>
      <c r="H396" s="32">
        <v>0</v>
      </c>
      <c r="I396">
        <v>7</v>
      </c>
      <c r="J396" s="33">
        <v>0</v>
      </c>
      <c r="K396" s="33">
        <v>0</v>
      </c>
      <c r="L396" s="33">
        <v>0</v>
      </c>
      <c r="M396">
        <v>7</v>
      </c>
      <c r="N396">
        <v>0</v>
      </c>
      <c r="O396">
        <v>7</v>
      </c>
      <c r="P396" t="s">
        <v>54</v>
      </c>
      <c r="Q396" t="s">
        <v>54</v>
      </c>
      <c r="R396" t="s">
        <v>54</v>
      </c>
      <c r="S396" t="s">
        <v>54</v>
      </c>
      <c r="T396" t="s">
        <v>54</v>
      </c>
      <c r="U396" t="s">
        <v>54</v>
      </c>
      <c r="V396" t="s">
        <v>54</v>
      </c>
      <c r="W396" t="s">
        <v>54</v>
      </c>
      <c r="X396" s="23" t="s">
        <v>54</v>
      </c>
      <c r="Y396" s="23" t="s">
        <v>54</v>
      </c>
      <c r="Z396" s="23" t="s">
        <v>54</v>
      </c>
      <c r="AA396" s="23" t="s">
        <v>54</v>
      </c>
      <c r="AB396" t="s">
        <v>54</v>
      </c>
      <c r="AC396" t="s">
        <v>54</v>
      </c>
      <c r="AD396" t="s">
        <v>54</v>
      </c>
      <c r="AE396" t="s">
        <v>54</v>
      </c>
      <c r="AF396" s="23" t="s">
        <v>54</v>
      </c>
      <c r="AG396" s="23" t="s">
        <v>54</v>
      </c>
      <c r="AH396" s="23" t="s">
        <v>54</v>
      </c>
      <c r="AI396" s="23" t="s">
        <v>54</v>
      </c>
      <c r="AJ396">
        <v>1</v>
      </c>
      <c r="AK396">
        <v>2</v>
      </c>
      <c r="AL396">
        <v>3</v>
      </c>
      <c r="AM396">
        <v>4</v>
      </c>
      <c r="AN396" s="23">
        <v>0</v>
      </c>
      <c r="AO396" s="23">
        <v>0</v>
      </c>
      <c r="AP396" s="23">
        <v>0</v>
      </c>
      <c r="AQ396" s="23">
        <v>0</v>
      </c>
      <c r="AR396" s="35">
        <v>0</v>
      </c>
      <c r="AS396" s="35">
        <v>0</v>
      </c>
      <c r="AT396" s="35">
        <v>7</v>
      </c>
      <c r="AU396" s="31" t="str">
        <f t="shared" si="9"/>
        <v>库存为7</v>
      </c>
      <c r="AV396" s="36" t="str">
        <f>IFERROR($A$2+AU396,"上周无销量")</f>
        <v>上周无销量</v>
      </c>
    </row>
    <row r="397" spans="1:48">
      <c r="A397" s="21" t="s">
        <v>862</v>
      </c>
      <c r="B397" t="s">
        <v>863</v>
      </c>
      <c r="C397" t="s">
        <v>829</v>
      </c>
      <c r="D397" s="31">
        <v>0</v>
      </c>
      <c r="E397" s="31">
        <v>0</v>
      </c>
      <c r="F397" s="31">
        <v>0</v>
      </c>
      <c r="G397" s="31">
        <v>0</v>
      </c>
      <c r="H397" s="32">
        <v>0</v>
      </c>
      <c r="I397">
        <v>7</v>
      </c>
      <c r="J397" s="33">
        <v>0</v>
      </c>
      <c r="K397" s="33">
        <v>0</v>
      </c>
      <c r="L397" s="33">
        <v>0</v>
      </c>
      <c r="M397">
        <v>7</v>
      </c>
      <c r="N397">
        <v>0</v>
      </c>
      <c r="O397">
        <v>7</v>
      </c>
      <c r="P397" t="s">
        <v>54</v>
      </c>
      <c r="Q397" t="s">
        <v>54</v>
      </c>
      <c r="R397" t="s">
        <v>54</v>
      </c>
      <c r="S397" t="s">
        <v>54</v>
      </c>
      <c r="T397" t="s">
        <v>54</v>
      </c>
      <c r="U397" t="s">
        <v>54</v>
      </c>
      <c r="V397" t="s">
        <v>54</v>
      </c>
      <c r="W397" t="s">
        <v>54</v>
      </c>
      <c r="X397" s="23" t="s">
        <v>54</v>
      </c>
      <c r="Y397" s="23" t="s">
        <v>54</v>
      </c>
      <c r="Z397" s="23" t="s">
        <v>54</v>
      </c>
      <c r="AA397" s="23" t="s">
        <v>54</v>
      </c>
      <c r="AB397" t="s">
        <v>54</v>
      </c>
      <c r="AC397" t="s">
        <v>54</v>
      </c>
      <c r="AD397" t="s">
        <v>54</v>
      </c>
      <c r="AE397" t="s">
        <v>54</v>
      </c>
      <c r="AF397" s="23" t="s">
        <v>54</v>
      </c>
      <c r="AG397" s="23" t="s">
        <v>54</v>
      </c>
      <c r="AH397" s="23" t="s">
        <v>54</v>
      </c>
      <c r="AI397" s="23" t="s">
        <v>54</v>
      </c>
      <c r="AJ397">
        <v>3</v>
      </c>
      <c r="AK397">
        <v>4</v>
      </c>
      <c r="AL397">
        <v>5</v>
      </c>
      <c r="AM397">
        <v>2</v>
      </c>
      <c r="AN397" s="23">
        <v>0</v>
      </c>
      <c r="AO397" s="23">
        <v>0</v>
      </c>
      <c r="AP397" s="23">
        <v>0</v>
      </c>
      <c r="AQ397" s="23">
        <v>0</v>
      </c>
      <c r="AR397" s="35">
        <v>0</v>
      </c>
      <c r="AS397" s="35">
        <v>0</v>
      </c>
      <c r="AT397" s="35">
        <v>7</v>
      </c>
      <c r="AU397" s="31" t="str">
        <f t="shared" si="9"/>
        <v>库存为7</v>
      </c>
      <c r="AV397" s="36" t="str">
        <f>IFERROR($A$2+AU397,"上周无销量")</f>
        <v>上周无销量</v>
      </c>
    </row>
    <row r="398" spans="1:48">
      <c r="A398" s="21" t="s">
        <v>864</v>
      </c>
      <c r="B398" t="s">
        <v>865</v>
      </c>
      <c r="C398" t="s">
        <v>829</v>
      </c>
      <c r="D398" s="31">
        <v>0</v>
      </c>
      <c r="E398" s="31">
        <v>0</v>
      </c>
      <c r="F398" s="31">
        <v>0</v>
      </c>
      <c r="G398" s="31">
        <v>0</v>
      </c>
      <c r="H398" s="32">
        <v>0</v>
      </c>
      <c r="I398">
        <v>6</v>
      </c>
      <c r="J398" s="33">
        <v>0</v>
      </c>
      <c r="K398" s="33">
        <v>0</v>
      </c>
      <c r="L398" s="33">
        <v>0</v>
      </c>
      <c r="M398">
        <v>6</v>
      </c>
      <c r="N398">
        <v>0</v>
      </c>
      <c r="O398">
        <v>6</v>
      </c>
      <c r="P398">
        <v>381</v>
      </c>
      <c r="Q398">
        <v>356</v>
      </c>
      <c r="R398">
        <v>122</v>
      </c>
      <c r="S398">
        <v>148</v>
      </c>
      <c r="T398">
        <v>0</v>
      </c>
      <c r="U398">
        <v>3</v>
      </c>
      <c r="V398">
        <v>1</v>
      </c>
      <c r="W398">
        <v>1</v>
      </c>
      <c r="X398" s="23">
        <v>0</v>
      </c>
      <c r="Y398" s="23">
        <v>0.00842696629213483</v>
      </c>
      <c r="Z398" s="23">
        <v>0.00819672131147541</v>
      </c>
      <c r="AA398" s="23">
        <v>0.00675675675675676</v>
      </c>
      <c r="AB398">
        <v>0</v>
      </c>
      <c r="AC398">
        <v>1.14</v>
      </c>
      <c r="AD398">
        <v>0.49</v>
      </c>
      <c r="AE398">
        <v>0.5</v>
      </c>
      <c r="AF398" s="23" t="s">
        <v>54</v>
      </c>
      <c r="AG398" s="23">
        <v>0</v>
      </c>
      <c r="AH398" s="23">
        <v>0</v>
      </c>
      <c r="AI398" s="23">
        <v>0</v>
      </c>
      <c r="AJ398">
        <v>1</v>
      </c>
      <c r="AK398">
        <v>2</v>
      </c>
      <c r="AL398">
        <v>5</v>
      </c>
      <c r="AM398">
        <v>2</v>
      </c>
      <c r="AN398" s="23">
        <v>0</v>
      </c>
      <c r="AO398" s="23">
        <v>0</v>
      </c>
      <c r="AP398" s="23">
        <v>0</v>
      </c>
      <c r="AQ398" s="23">
        <v>0</v>
      </c>
      <c r="AR398" s="35">
        <v>0</v>
      </c>
      <c r="AS398" s="35">
        <v>0</v>
      </c>
      <c r="AT398" s="35">
        <v>6</v>
      </c>
      <c r="AU398" s="31" t="str">
        <f t="shared" si="9"/>
        <v>库存为6</v>
      </c>
      <c r="AV398" s="36" t="str">
        <f>IFERROR($A$2+AU398,"上周无销量")</f>
        <v>上周无销量</v>
      </c>
    </row>
    <row r="399" spans="1:48">
      <c r="A399" s="21" t="s">
        <v>866</v>
      </c>
      <c r="B399" t="s">
        <v>867</v>
      </c>
      <c r="C399" t="s">
        <v>829</v>
      </c>
      <c r="D399" s="31">
        <v>0</v>
      </c>
      <c r="E399" s="31">
        <v>0</v>
      </c>
      <c r="F399" s="31">
        <v>0</v>
      </c>
      <c r="G399" s="31">
        <v>0</v>
      </c>
      <c r="H399" s="32">
        <v>0</v>
      </c>
      <c r="I399">
        <v>7</v>
      </c>
      <c r="J399" s="33">
        <v>0</v>
      </c>
      <c r="K399" s="33">
        <v>0</v>
      </c>
      <c r="L399" s="33">
        <v>0</v>
      </c>
      <c r="M399">
        <v>7</v>
      </c>
      <c r="N399">
        <v>0</v>
      </c>
      <c r="O399">
        <v>6</v>
      </c>
      <c r="P399" t="s">
        <v>54</v>
      </c>
      <c r="Q399" t="s">
        <v>54</v>
      </c>
      <c r="R399" t="s">
        <v>54</v>
      </c>
      <c r="S399" t="s">
        <v>54</v>
      </c>
      <c r="T399" t="s">
        <v>54</v>
      </c>
      <c r="U399" t="s">
        <v>54</v>
      </c>
      <c r="V399" t="s">
        <v>54</v>
      </c>
      <c r="W399" t="s">
        <v>54</v>
      </c>
      <c r="X399" s="23" t="s">
        <v>54</v>
      </c>
      <c r="Y399" s="23" t="s">
        <v>54</v>
      </c>
      <c r="Z399" s="23" t="s">
        <v>54</v>
      </c>
      <c r="AA399" s="23" t="s">
        <v>54</v>
      </c>
      <c r="AB399" t="s">
        <v>54</v>
      </c>
      <c r="AC399" t="s">
        <v>54</v>
      </c>
      <c r="AD399" t="s">
        <v>54</v>
      </c>
      <c r="AE399" t="s">
        <v>54</v>
      </c>
      <c r="AF399" s="23" t="s">
        <v>54</v>
      </c>
      <c r="AG399" s="23" t="s">
        <v>54</v>
      </c>
      <c r="AH399" s="23" t="s">
        <v>54</v>
      </c>
      <c r="AI399" s="23" t="s">
        <v>54</v>
      </c>
      <c r="AJ399">
        <v>2</v>
      </c>
      <c r="AK399">
        <v>1</v>
      </c>
      <c r="AL399">
        <v>2</v>
      </c>
      <c r="AM399">
        <v>2</v>
      </c>
      <c r="AN399" s="23">
        <v>0</v>
      </c>
      <c r="AO399" s="23">
        <v>0</v>
      </c>
      <c r="AP399" s="23">
        <v>0</v>
      </c>
      <c r="AQ399" s="23">
        <v>0</v>
      </c>
      <c r="AR399" s="35">
        <v>0</v>
      </c>
      <c r="AS399" s="35">
        <v>0</v>
      </c>
      <c r="AT399" s="35">
        <v>7</v>
      </c>
      <c r="AU399" s="31" t="str">
        <f t="shared" si="9"/>
        <v>库存为7</v>
      </c>
      <c r="AV399" s="36" t="str">
        <f>IFERROR($A$2+AU399,"上周无销量")</f>
        <v>上周无销量</v>
      </c>
    </row>
    <row r="400" spans="1:48">
      <c r="A400" s="21" t="s">
        <v>868</v>
      </c>
      <c r="B400" t="s">
        <v>869</v>
      </c>
      <c r="C400" t="s">
        <v>829</v>
      </c>
      <c r="D400" s="31">
        <v>0</v>
      </c>
      <c r="E400" s="31">
        <v>0</v>
      </c>
      <c r="F400" s="31">
        <v>0</v>
      </c>
      <c r="G400" s="31">
        <v>0</v>
      </c>
      <c r="H400" s="32">
        <v>0</v>
      </c>
      <c r="I400">
        <v>7</v>
      </c>
      <c r="J400" s="33">
        <v>0</v>
      </c>
      <c r="K400" s="33">
        <v>0</v>
      </c>
      <c r="L400" s="33">
        <v>0</v>
      </c>
      <c r="M400">
        <v>7</v>
      </c>
      <c r="N400">
        <v>0</v>
      </c>
      <c r="O400">
        <v>7</v>
      </c>
      <c r="P400" t="s">
        <v>54</v>
      </c>
      <c r="Q400" t="s">
        <v>54</v>
      </c>
      <c r="R400" t="s">
        <v>54</v>
      </c>
      <c r="S400" t="s">
        <v>54</v>
      </c>
      <c r="T400" t="s">
        <v>54</v>
      </c>
      <c r="U400" t="s">
        <v>54</v>
      </c>
      <c r="V400" t="s">
        <v>54</v>
      </c>
      <c r="W400" t="s">
        <v>54</v>
      </c>
      <c r="X400" s="23" t="s">
        <v>54</v>
      </c>
      <c r="Y400" s="23" t="s">
        <v>54</v>
      </c>
      <c r="Z400" s="23" t="s">
        <v>54</v>
      </c>
      <c r="AA400" s="23" t="s">
        <v>54</v>
      </c>
      <c r="AB400" t="s">
        <v>54</v>
      </c>
      <c r="AC400" t="s">
        <v>54</v>
      </c>
      <c r="AD400" t="s">
        <v>54</v>
      </c>
      <c r="AE400" t="s">
        <v>54</v>
      </c>
      <c r="AF400" s="23" t="s">
        <v>54</v>
      </c>
      <c r="AG400" s="23" t="s">
        <v>54</v>
      </c>
      <c r="AH400" s="23" t="s">
        <v>54</v>
      </c>
      <c r="AI400" s="23" t="s">
        <v>54</v>
      </c>
      <c r="AJ400">
        <v>2</v>
      </c>
      <c r="AK400">
        <v>2</v>
      </c>
      <c r="AL400">
        <v>4</v>
      </c>
      <c r="AM400">
        <v>1</v>
      </c>
      <c r="AN400" s="23">
        <v>0</v>
      </c>
      <c r="AO400" s="23">
        <v>0</v>
      </c>
      <c r="AP400" s="23">
        <v>0</v>
      </c>
      <c r="AQ400" s="23">
        <v>0</v>
      </c>
      <c r="AR400" s="35">
        <v>0</v>
      </c>
      <c r="AS400" s="35">
        <v>0</v>
      </c>
      <c r="AT400" s="35">
        <v>7</v>
      </c>
      <c r="AU400" s="31" t="str">
        <f t="shared" si="9"/>
        <v>库存为7</v>
      </c>
      <c r="AV400" s="36" t="str">
        <f>IFERROR($A$2+AU400,"上周无销量")</f>
        <v>上周无销量</v>
      </c>
    </row>
    <row r="401" spans="1:48">
      <c r="A401" s="21" t="s">
        <v>870</v>
      </c>
      <c r="B401" t="s">
        <v>871</v>
      </c>
      <c r="C401" t="s">
        <v>872</v>
      </c>
      <c r="D401" s="31">
        <v>0</v>
      </c>
      <c r="E401" s="31">
        <v>0</v>
      </c>
      <c r="F401" s="31">
        <v>0</v>
      </c>
      <c r="G401" s="31">
        <v>0</v>
      </c>
      <c r="H401" s="32">
        <v>0</v>
      </c>
      <c r="I401">
        <v>4</v>
      </c>
      <c r="J401" s="33">
        <v>0</v>
      </c>
      <c r="K401" s="33">
        <v>0</v>
      </c>
      <c r="L401" s="33">
        <v>0</v>
      </c>
      <c r="M401">
        <v>4</v>
      </c>
      <c r="N401">
        <v>0</v>
      </c>
      <c r="O401">
        <v>4</v>
      </c>
      <c r="P401" t="s">
        <v>54</v>
      </c>
      <c r="Q401" t="s">
        <v>54</v>
      </c>
      <c r="R401" t="s">
        <v>54</v>
      </c>
      <c r="S401" t="s">
        <v>54</v>
      </c>
      <c r="T401" t="s">
        <v>54</v>
      </c>
      <c r="U401" t="s">
        <v>54</v>
      </c>
      <c r="V401" t="s">
        <v>54</v>
      </c>
      <c r="W401" t="s">
        <v>54</v>
      </c>
      <c r="X401" s="23" t="s">
        <v>54</v>
      </c>
      <c r="Y401" s="23" t="s">
        <v>54</v>
      </c>
      <c r="Z401" s="23" t="s">
        <v>54</v>
      </c>
      <c r="AA401" s="23" t="s">
        <v>54</v>
      </c>
      <c r="AB401" t="s">
        <v>54</v>
      </c>
      <c r="AC401" t="s">
        <v>54</v>
      </c>
      <c r="AD401" t="s">
        <v>54</v>
      </c>
      <c r="AE401" t="s">
        <v>54</v>
      </c>
      <c r="AF401" s="23" t="s">
        <v>54</v>
      </c>
      <c r="AG401" s="23" t="s">
        <v>54</v>
      </c>
      <c r="AH401" s="23" t="s">
        <v>54</v>
      </c>
      <c r="AI401" s="23" t="s">
        <v>54</v>
      </c>
      <c r="AJ401">
        <v>4</v>
      </c>
      <c r="AK401">
        <v>0</v>
      </c>
      <c r="AL401">
        <v>4</v>
      </c>
      <c r="AM401">
        <v>4</v>
      </c>
      <c r="AN401" s="23">
        <v>0</v>
      </c>
      <c r="AO401" s="23" t="s">
        <v>54</v>
      </c>
      <c r="AP401" s="23">
        <v>0</v>
      </c>
      <c r="AQ401" s="23">
        <v>0</v>
      </c>
      <c r="AR401" s="35">
        <v>0</v>
      </c>
      <c r="AS401" s="35">
        <v>0</v>
      </c>
      <c r="AT401" s="35">
        <v>4</v>
      </c>
      <c r="AU401" s="31" t="str">
        <f t="shared" si="9"/>
        <v>库存为4</v>
      </c>
      <c r="AV401" s="36" t="str">
        <f>IFERROR($A$2+AU401,"上周无销量")</f>
        <v>上周无销量</v>
      </c>
    </row>
    <row r="402" spans="1:48">
      <c r="A402" s="21" t="s">
        <v>873</v>
      </c>
      <c r="B402" t="s">
        <v>874</v>
      </c>
      <c r="C402" t="s">
        <v>872</v>
      </c>
      <c r="D402" s="31">
        <v>0</v>
      </c>
      <c r="E402" s="31">
        <v>0</v>
      </c>
      <c r="F402" s="31">
        <v>0</v>
      </c>
      <c r="G402" s="31">
        <v>0</v>
      </c>
      <c r="H402" s="32">
        <v>0</v>
      </c>
      <c r="I402">
        <v>2</v>
      </c>
      <c r="J402" s="33">
        <v>0</v>
      </c>
      <c r="K402" s="33">
        <v>0</v>
      </c>
      <c r="L402" s="33">
        <v>0</v>
      </c>
      <c r="M402">
        <v>2</v>
      </c>
      <c r="N402">
        <v>0</v>
      </c>
      <c r="O402">
        <v>2</v>
      </c>
      <c r="P402" t="s">
        <v>54</v>
      </c>
      <c r="Q402" t="s">
        <v>54</v>
      </c>
      <c r="R402" t="s">
        <v>54</v>
      </c>
      <c r="S402" t="s">
        <v>54</v>
      </c>
      <c r="T402" t="s">
        <v>54</v>
      </c>
      <c r="U402" t="s">
        <v>54</v>
      </c>
      <c r="V402" t="s">
        <v>54</v>
      </c>
      <c r="W402" t="s">
        <v>54</v>
      </c>
      <c r="X402" s="23" t="s">
        <v>54</v>
      </c>
      <c r="Y402" s="23" t="s">
        <v>54</v>
      </c>
      <c r="Z402" s="23" t="s">
        <v>54</v>
      </c>
      <c r="AA402" s="23" t="s">
        <v>54</v>
      </c>
      <c r="AB402" t="s">
        <v>54</v>
      </c>
      <c r="AC402" t="s">
        <v>54</v>
      </c>
      <c r="AD402" t="s">
        <v>54</v>
      </c>
      <c r="AE402" t="s">
        <v>54</v>
      </c>
      <c r="AF402" s="23" t="s">
        <v>54</v>
      </c>
      <c r="AG402" s="23" t="s">
        <v>54</v>
      </c>
      <c r="AH402" s="23" t="s">
        <v>54</v>
      </c>
      <c r="AI402" s="23" t="s">
        <v>54</v>
      </c>
      <c r="AJ402">
        <v>7</v>
      </c>
      <c r="AK402">
        <v>2</v>
      </c>
      <c r="AL402">
        <v>4</v>
      </c>
      <c r="AM402">
        <v>3</v>
      </c>
      <c r="AN402" s="23">
        <v>0</v>
      </c>
      <c r="AO402" s="23">
        <v>0</v>
      </c>
      <c r="AP402" s="23">
        <v>0</v>
      </c>
      <c r="AQ402" s="23">
        <v>0</v>
      </c>
      <c r="AR402" s="35">
        <v>0</v>
      </c>
      <c r="AS402" s="35">
        <v>0</v>
      </c>
      <c r="AT402" s="35">
        <v>2</v>
      </c>
      <c r="AU402" s="31" t="str">
        <f t="shared" si="9"/>
        <v>库存为2</v>
      </c>
      <c r="AV402" s="36" t="str">
        <f>IFERROR($A$2+AU402,"上周无销量")</f>
        <v>上周无销量</v>
      </c>
    </row>
    <row r="403" spans="1:48">
      <c r="A403" s="21" t="s">
        <v>875</v>
      </c>
      <c r="B403" t="s">
        <v>876</v>
      </c>
      <c r="C403" t="s">
        <v>872</v>
      </c>
      <c r="D403" s="31">
        <v>0</v>
      </c>
      <c r="E403" s="31">
        <v>0</v>
      </c>
      <c r="F403" s="31">
        <v>0</v>
      </c>
      <c r="G403" s="31">
        <v>0</v>
      </c>
      <c r="H403" s="32">
        <v>0</v>
      </c>
      <c r="I403">
        <v>0</v>
      </c>
      <c r="J403" s="33">
        <v>0</v>
      </c>
      <c r="K403" s="33">
        <v>0</v>
      </c>
      <c r="L403" s="33">
        <v>0</v>
      </c>
      <c r="M403">
        <v>0</v>
      </c>
      <c r="N403">
        <v>0</v>
      </c>
      <c r="O403">
        <v>0</v>
      </c>
      <c r="P403" t="s">
        <v>54</v>
      </c>
      <c r="Q403" t="s">
        <v>54</v>
      </c>
      <c r="R403" t="s">
        <v>54</v>
      </c>
      <c r="S403" t="s">
        <v>54</v>
      </c>
      <c r="T403" t="s">
        <v>54</v>
      </c>
      <c r="U403" t="s">
        <v>54</v>
      </c>
      <c r="V403" t="s">
        <v>54</v>
      </c>
      <c r="W403" t="s">
        <v>54</v>
      </c>
      <c r="X403" s="23" t="s">
        <v>54</v>
      </c>
      <c r="Y403" s="23" t="s">
        <v>54</v>
      </c>
      <c r="Z403" s="23" t="s">
        <v>54</v>
      </c>
      <c r="AA403" s="23" t="s">
        <v>54</v>
      </c>
      <c r="AB403" t="s">
        <v>54</v>
      </c>
      <c r="AC403" t="s">
        <v>54</v>
      </c>
      <c r="AD403" t="s">
        <v>54</v>
      </c>
      <c r="AE403" t="s">
        <v>54</v>
      </c>
      <c r="AF403" s="23" t="s">
        <v>54</v>
      </c>
      <c r="AG403" s="23" t="s">
        <v>54</v>
      </c>
      <c r="AH403" s="23" t="s">
        <v>54</v>
      </c>
      <c r="AI403" s="23" t="s">
        <v>54</v>
      </c>
      <c r="AJ403">
        <v>0</v>
      </c>
      <c r="AK403">
        <v>0</v>
      </c>
      <c r="AL403">
        <v>0</v>
      </c>
      <c r="AM403">
        <v>0</v>
      </c>
      <c r="AN403" s="23" t="s">
        <v>54</v>
      </c>
      <c r="AO403" s="23" t="s">
        <v>54</v>
      </c>
      <c r="AP403" s="23" t="s">
        <v>54</v>
      </c>
      <c r="AQ403" s="23" t="s">
        <v>54</v>
      </c>
      <c r="AR403" s="35">
        <v>0</v>
      </c>
      <c r="AS403" s="35">
        <v>0</v>
      </c>
      <c r="AT403" s="35">
        <v>0</v>
      </c>
      <c r="AU403" s="31" t="str">
        <f t="shared" si="9"/>
        <v>库存为0</v>
      </c>
      <c r="AV403" s="36" t="str">
        <f>IFERROR($A$2+AU403,"上周无销量")</f>
        <v>上周无销量</v>
      </c>
    </row>
    <row r="404" spans="1:48">
      <c r="A404" s="21" t="s">
        <v>877</v>
      </c>
      <c r="B404" t="s">
        <v>878</v>
      </c>
      <c r="C404" t="s">
        <v>872</v>
      </c>
      <c r="D404" s="31">
        <v>0</v>
      </c>
      <c r="E404" s="31">
        <v>0</v>
      </c>
      <c r="F404" s="31">
        <v>0</v>
      </c>
      <c r="G404" s="31">
        <v>0</v>
      </c>
      <c r="H404" s="32">
        <v>0</v>
      </c>
      <c r="I404">
        <v>4</v>
      </c>
      <c r="J404" s="33">
        <v>0</v>
      </c>
      <c r="K404" s="33">
        <v>0</v>
      </c>
      <c r="L404" s="33">
        <v>0</v>
      </c>
      <c r="M404">
        <v>4</v>
      </c>
      <c r="N404">
        <v>0</v>
      </c>
      <c r="O404">
        <v>4</v>
      </c>
      <c r="P404" t="s">
        <v>54</v>
      </c>
      <c r="Q404" t="s">
        <v>54</v>
      </c>
      <c r="R404" t="s">
        <v>54</v>
      </c>
      <c r="S404" t="s">
        <v>54</v>
      </c>
      <c r="T404" t="s">
        <v>54</v>
      </c>
      <c r="U404" t="s">
        <v>54</v>
      </c>
      <c r="V404" t="s">
        <v>54</v>
      </c>
      <c r="W404" t="s">
        <v>54</v>
      </c>
      <c r="X404" s="23" t="s">
        <v>54</v>
      </c>
      <c r="Y404" s="23" t="s">
        <v>54</v>
      </c>
      <c r="Z404" s="23" t="s">
        <v>54</v>
      </c>
      <c r="AA404" s="23" t="s">
        <v>54</v>
      </c>
      <c r="AB404" t="s">
        <v>54</v>
      </c>
      <c r="AC404" t="s">
        <v>54</v>
      </c>
      <c r="AD404" t="s">
        <v>54</v>
      </c>
      <c r="AE404" t="s">
        <v>54</v>
      </c>
      <c r="AF404" s="23" t="s">
        <v>54</v>
      </c>
      <c r="AG404" s="23" t="s">
        <v>54</v>
      </c>
      <c r="AH404" s="23" t="s">
        <v>54</v>
      </c>
      <c r="AI404" s="23" t="s">
        <v>54</v>
      </c>
      <c r="AJ404">
        <v>5</v>
      </c>
      <c r="AK404">
        <v>3</v>
      </c>
      <c r="AL404">
        <v>2</v>
      </c>
      <c r="AM404">
        <v>4</v>
      </c>
      <c r="AN404" s="23">
        <v>0</v>
      </c>
      <c r="AO404" s="23">
        <v>0</v>
      </c>
      <c r="AP404" s="23">
        <v>0</v>
      </c>
      <c r="AQ404" s="23">
        <v>0</v>
      </c>
      <c r="AR404" s="35">
        <v>0</v>
      </c>
      <c r="AS404" s="35">
        <v>0</v>
      </c>
      <c r="AT404" s="35">
        <v>4</v>
      </c>
      <c r="AU404" s="31" t="str">
        <f t="shared" si="9"/>
        <v>库存为4</v>
      </c>
      <c r="AV404" s="36" t="str">
        <f>IFERROR($A$2+AU404,"上周无销量")</f>
        <v>上周无销量</v>
      </c>
    </row>
    <row r="405" spans="1:48">
      <c r="A405" s="21" t="s">
        <v>879</v>
      </c>
      <c r="B405" t="s">
        <v>880</v>
      </c>
      <c r="C405" t="s">
        <v>872</v>
      </c>
      <c r="D405" s="31">
        <v>0</v>
      </c>
      <c r="E405" s="31">
        <v>0</v>
      </c>
      <c r="F405" s="31">
        <v>0</v>
      </c>
      <c r="G405" s="31">
        <v>0</v>
      </c>
      <c r="H405" s="32">
        <v>0</v>
      </c>
      <c r="I405">
        <v>4</v>
      </c>
      <c r="J405" s="33">
        <v>0</v>
      </c>
      <c r="K405" s="33">
        <v>0</v>
      </c>
      <c r="L405" s="33">
        <v>0</v>
      </c>
      <c r="M405">
        <v>4</v>
      </c>
      <c r="N405">
        <v>0</v>
      </c>
      <c r="O405">
        <v>4</v>
      </c>
      <c r="P405" t="s">
        <v>54</v>
      </c>
      <c r="Q405" t="s">
        <v>54</v>
      </c>
      <c r="R405" t="s">
        <v>54</v>
      </c>
      <c r="S405" t="s">
        <v>54</v>
      </c>
      <c r="T405" t="s">
        <v>54</v>
      </c>
      <c r="U405" t="s">
        <v>54</v>
      </c>
      <c r="V405" t="s">
        <v>54</v>
      </c>
      <c r="W405" t="s">
        <v>54</v>
      </c>
      <c r="X405" s="23" t="s">
        <v>54</v>
      </c>
      <c r="Y405" s="23" t="s">
        <v>54</v>
      </c>
      <c r="Z405" s="23" t="s">
        <v>54</v>
      </c>
      <c r="AA405" s="23" t="s">
        <v>54</v>
      </c>
      <c r="AB405" t="s">
        <v>54</v>
      </c>
      <c r="AC405" t="s">
        <v>54</v>
      </c>
      <c r="AD405" t="s">
        <v>54</v>
      </c>
      <c r="AE405" t="s">
        <v>54</v>
      </c>
      <c r="AF405" s="23" t="s">
        <v>54</v>
      </c>
      <c r="AG405" s="23" t="s">
        <v>54</v>
      </c>
      <c r="AH405" s="23" t="s">
        <v>54</v>
      </c>
      <c r="AI405" s="23" t="s">
        <v>54</v>
      </c>
      <c r="AJ405">
        <v>3</v>
      </c>
      <c r="AK405">
        <v>2</v>
      </c>
      <c r="AL405">
        <v>2</v>
      </c>
      <c r="AM405">
        <v>2</v>
      </c>
      <c r="AN405" s="23">
        <v>0</v>
      </c>
      <c r="AO405" s="23">
        <v>0</v>
      </c>
      <c r="AP405" s="23">
        <v>0</v>
      </c>
      <c r="AQ405" s="23">
        <v>0</v>
      </c>
      <c r="AR405" s="35">
        <v>0</v>
      </c>
      <c r="AS405" s="35">
        <v>0</v>
      </c>
      <c r="AT405" s="35">
        <v>4</v>
      </c>
      <c r="AU405" s="31" t="str">
        <f t="shared" si="9"/>
        <v>库存为4</v>
      </c>
      <c r="AV405" s="36" t="str">
        <f>IFERROR($A$2+AU405,"上周无销量")</f>
        <v>上周无销量</v>
      </c>
    </row>
    <row r="406" spans="1:48">
      <c r="A406" s="21" t="s">
        <v>881</v>
      </c>
      <c r="B406" t="s">
        <v>882</v>
      </c>
      <c r="C406" t="s">
        <v>872</v>
      </c>
      <c r="D406" s="31">
        <v>0</v>
      </c>
      <c r="E406" s="31">
        <v>0</v>
      </c>
      <c r="F406" s="31">
        <v>0</v>
      </c>
      <c r="G406" s="31">
        <v>0</v>
      </c>
      <c r="H406" s="32">
        <v>0</v>
      </c>
      <c r="I406">
        <v>5</v>
      </c>
      <c r="J406" s="33">
        <v>0</v>
      </c>
      <c r="K406" s="33">
        <v>0</v>
      </c>
      <c r="L406" s="33">
        <v>0</v>
      </c>
      <c r="M406">
        <v>5</v>
      </c>
      <c r="N406">
        <v>0</v>
      </c>
      <c r="O406">
        <v>4</v>
      </c>
      <c r="P406" t="s">
        <v>54</v>
      </c>
      <c r="Q406" t="s">
        <v>54</v>
      </c>
      <c r="R406" t="s">
        <v>54</v>
      </c>
      <c r="S406" t="s">
        <v>54</v>
      </c>
      <c r="T406" t="s">
        <v>54</v>
      </c>
      <c r="U406" t="s">
        <v>54</v>
      </c>
      <c r="V406" t="s">
        <v>54</v>
      </c>
      <c r="W406" t="s">
        <v>54</v>
      </c>
      <c r="X406" s="23" t="s">
        <v>54</v>
      </c>
      <c r="Y406" s="23" t="s">
        <v>54</v>
      </c>
      <c r="Z406" s="23" t="s">
        <v>54</v>
      </c>
      <c r="AA406" s="23" t="s">
        <v>54</v>
      </c>
      <c r="AB406" t="s">
        <v>54</v>
      </c>
      <c r="AC406" t="s">
        <v>54</v>
      </c>
      <c r="AD406" t="s">
        <v>54</v>
      </c>
      <c r="AE406" t="s">
        <v>54</v>
      </c>
      <c r="AF406" s="23" t="s">
        <v>54</v>
      </c>
      <c r="AG406" s="23" t="s">
        <v>54</v>
      </c>
      <c r="AH406" s="23" t="s">
        <v>54</v>
      </c>
      <c r="AI406" s="23" t="s">
        <v>54</v>
      </c>
      <c r="AJ406">
        <v>5</v>
      </c>
      <c r="AK406">
        <v>3</v>
      </c>
      <c r="AL406">
        <v>3</v>
      </c>
      <c r="AM406">
        <v>3</v>
      </c>
      <c r="AN406" s="23">
        <v>0</v>
      </c>
      <c r="AO406" s="23">
        <v>0</v>
      </c>
      <c r="AP406" s="23">
        <v>0</v>
      </c>
      <c r="AQ406" s="23">
        <v>0</v>
      </c>
      <c r="AR406" s="35">
        <v>0</v>
      </c>
      <c r="AS406" s="35">
        <v>0</v>
      </c>
      <c r="AT406" s="35">
        <v>5</v>
      </c>
      <c r="AU406" s="31" t="str">
        <f t="shared" si="9"/>
        <v>库存为5</v>
      </c>
      <c r="AV406" s="36" t="str">
        <f>IFERROR($A$2+AU406,"上周无销量")</f>
        <v>上周无销量</v>
      </c>
    </row>
    <row r="407" spans="1:48">
      <c r="A407" s="21" t="s">
        <v>883</v>
      </c>
      <c r="B407" t="s">
        <v>884</v>
      </c>
      <c r="C407" t="s">
        <v>872</v>
      </c>
      <c r="D407" s="31">
        <v>0</v>
      </c>
      <c r="E407" s="31">
        <v>0</v>
      </c>
      <c r="F407" s="31">
        <v>0</v>
      </c>
      <c r="G407" s="31">
        <v>0</v>
      </c>
      <c r="H407" s="32">
        <v>0</v>
      </c>
      <c r="I407">
        <v>6</v>
      </c>
      <c r="J407" s="33">
        <v>0</v>
      </c>
      <c r="K407" s="33">
        <v>0</v>
      </c>
      <c r="L407" s="33">
        <v>0</v>
      </c>
      <c r="M407">
        <v>6</v>
      </c>
      <c r="N407">
        <v>0</v>
      </c>
      <c r="O407">
        <v>6</v>
      </c>
      <c r="P407" t="s">
        <v>54</v>
      </c>
      <c r="Q407" t="s">
        <v>54</v>
      </c>
      <c r="R407" t="s">
        <v>54</v>
      </c>
      <c r="S407" t="s">
        <v>54</v>
      </c>
      <c r="T407" t="s">
        <v>54</v>
      </c>
      <c r="U407" t="s">
        <v>54</v>
      </c>
      <c r="V407" t="s">
        <v>54</v>
      </c>
      <c r="W407" t="s">
        <v>54</v>
      </c>
      <c r="X407" s="23" t="s">
        <v>54</v>
      </c>
      <c r="Y407" s="23" t="s">
        <v>54</v>
      </c>
      <c r="Z407" s="23" t="s">
        <v>54</v>
      </c>
      <c r="AA407" s="23" t="s">
        <v>54</v>
      </c>
      <c r="AB407" t="s">
        <v>54</v>
      </c>
      <c r="AC407" t="s">
        <v>54</v>
      </c>
      <c r="AD407" t="s">
        <v>54</v>
      </c>
      <c r="AE407" t="s">
        <v>54</v>
      </c>
      <c r="AF407" s="23" t="s">
        <v>54</v>
      </c>
      <c r="AG407" s="23" t="s">
        <v>54</v>
      </c>
      <c r="AH407" s="23" t="s">
        <v>54</v>
      </c>
      <c r="AI407" s="23" t="s">
        <v>54</v>
      </c>
      <c r="AJ407">
        <v>1</v>
      </c>
      <c r="AK407">
        <v>2</v>
      </c>
      <c r="AL407">
        <v>3</v>
      </c>
      <c r="AM407">
        <v>6</v>
      </c>
      <c r="AN407" s="23">
        <v>0</v>
      </c>
      <c r="AO407" s="23">
        <v>0</v>
      </c>
      <c r="AP407" s="23">
        <v>0</v>
      </c>
      <c r="AQ407" s="23">
        <v>0</v>
      </c>
      <c r="AR407" s="35">
        <v>0</v>
      </c>
      <c r="AS407" s="35">
        <v>0</v>
      </c>
      <c r="AT407" s="35">
        <v>6</v>
      </c>
      <c r="AU407" s="31" t="str">
        <f t="shared" si="9"/>
        <v>库存为6</v>
      </c>
      <c r="AV407" s="36" t="str">
        <f>IFERROR($A$2+AU407,"上周无销量")</f>
        <v>上周无销量</v>
      </c>
    </row>
    <row r="408" spans="1:48">
      <c r="A408" s="21" t="s">
        <v>885</v>
      </c>
      <c r="B408" t="s">
        <v>886</v>
      </c>
      <c r="C408" t="s">
        <v>872</v>
      </c>
      <c r="D408" s="31">
        <v>0</v>
      </c>
      <c r="E408" s="31">
        <v>0</v>
      </c>
      <c r="F408" s="31">
        <v>0</v>
      </c>
      <c r="G408" s="31">
        <v>0</v>
      </c>
      <c r="H408" s="32">
        <v>0</v>
      </c>
      <c r="I408">
        <v>7</v>
      </c>
      <c r="J408" s="33">
        <v>0</v>
      </c>
      <c r="K408" s="33">
        <v>0</v>
      </c>
      <c r="L408" s="33">
        <v>0</v>
      </c>
      <c r="M408">
        <v>7</v>
      </c>
      <c r="N408">
        <v>0</v>
      </c>
      <c r="O408">
        <v>7</v>
      </c>
      <c r="P408" t="s">
        <v>54</v>
      </c>
      <c r="Q408" t="s">
        <v>54</v>
      </c>
      <c r="R408" t="s">
        <v>54</v>
      </c>
      <c r="S408" t="s">
        <v>54</v>
      </c>
      <c r="T408" t="s">
        <v>54</v>
      </c>
      <c r="U408" t="s">
        <v>54</v>
      </c>
      <c r="V408" t="s">
        <v>54</v>
      </c>
      <c r="W408" t="s">
        <v>54</v>
      </c>
      <c r="X408" s="23" t="s">
        <v>54</v>
      </c>
      <c r="Y408" s="23" t="s">
        <v>54</v>
      </c>
      <c r="Z408" s="23" t="s">
        <v>54</v>
      </c>
      <c r="AA408" s="23" t="s">
        <v>54</v>
      </c>
      <c r="AB408" t="s">
        <v>54</v>
      </c>
      <c r="AC408" t="s">
        <v>54</v>
      </c>
      <c r="AD408" t="s">
        <v>54</v>
      </c>
      <c r="AE408" t="s">
        <v>54</v>
      </c>
      <c r="AF408" s="23" t="s">
        <v>54</v>
      </c>
      <c r="AG408" s="23" t="s">
        <v>54</v>
      </c>
      <c r="AH408" s="23" t="s">
        <v>54</v>
      </c>
      <c r="AI408" s="23" t="s">
        <v>54</v>
      </c>
      <c r="AJ408">
        <v>5</v>
      </c>
      <c r="AK408">
        <v>1</v>
      </c>
      <c r="AL408">
        <v>3</v>
      </c>
      <c r="AM408">
        <v>4</v>
      </c>
      <c r="AN408" s="23">
        <v>0</v>
      </c>
      <c r="AO408" s="23">
        <v>0</v>
      </c>
      <c r="AP408" s="23">
        <v>0</v>
      </c>
      <c r="AQ408" s="23">
        <v>0</v>
      </c>
      <c r="AR408" s="35">
        <v>0</v>
      </c>
      <c r="AS408" s="35">
        <v>0</v>
      </c>
      <c r="AT408" s="35">
        <v>7</v>
      </c>
      <c r="AU408" s="31" t="str">
        <f t="shared" si="9"/>
        <v>库存为7</v>
      </c>
      <c r="AV408" s="36" t="str">
        <f>IFERROR($A$2+AU408,"上周无销量")</f>
        <v>上周无销量</v>
      </c>
    </row>
    <row r="409" spans="1:48">
      <c r="A409" s="21" t="s">
        <v>887</v>
      </c>
      <c r="B409" t="s">
        <v>888</v>
      </c>
      <c r="C409" t="s">
        <v>872</v>
      </c>
      <c r="D409" s="31">
        <v>0</v>
      </c>
      <c r="E409" s="31">
        <v>0</v>
      </c>
      <c r="F409" s="31">
        <v>0</v>
      </c>
      <c r="G409" s="31">
        <v>0</v>
      </c>
      <c r="H409" s="32">
        <v>0</v>
      </c>
      <c r="I409">
        <v>5</v>
      </c>
      <c r="J409" s="33">
        <v>0</v>
      </c>
      <c r="K409" s="33">
        <v>0</v>
      </c>
      <c r="L409" s="33">
        <v>0</v>
      </c>
      <c r="M409">
        <v>5</v>
      </c>
      <c r="N409">
        <v>0</v>
      </c>
      <c r="O409">
        <v>5</v>
      </c>
      <c r="P409">
        <v>1627</v>
      </c>
      <c r="Q409">
        <v>1388</v>
      </c>
      <c r="R409">
        <v>851</v>
      </c>
      <c r="S409">
        <v>1085</v>
      </c>
      <c r="T409">
        <v>5</v>
      </c>
      <c r="U409">
        <v>7</v>
      </c>
      <c r="V409">
        <v>6</v>
      </c>
      <c r="W409">
        <v>3</v>
      </c>
      <c r="X409" s="23">
        <v>0.00307314074984634</v>
      </c>
      <c r="Y409" s="23">
        <v>0.00504322766570605</v>
      </c>
      <c r="Z409" s="23">
        <v>0.00705052878965922</v>
      </c>
      <c r="AA409" s="23">
        <v>0.00276497695852535</v>
      </c>
      <c r="AB409">
        <v>0.87</v>
      </c>
      <c r="AC409">
        <v>2.33</v>
      </c>
      <c r="AD409">
        <v>1.61</v>
      </c>
      <c r="AE409">
        <v>0.82</v>
      </c>
      <c r="AF409" s="23">
        <v>0</v>
      </c>
      <c r="AG409" s="23">
        <v>0</v>
      </c>
      <c r="AH409" s="23">
        <v>0</v>
      </c>
      <c r="AI409" s="23">
        <v>0</v>
      </c>
      <c r="AJ409">
        <v>6</v>
      </c>
      <c r="AK409">
        <v>6</v>
      </c>
      <c r="AL409">
        <v>4</v>
      </c>
      <c r="AM409">
        <v>2</v>
      </c>
      <c r="AN409" s="23">
        <v>0</v>
      </c>
      <c r="AO409" s="23">
        <v>0</v>
      </c>
      <c r="AP409" s="23">
        <v>0</v>
      </c>
      <c r="AQ409" s="23">
        <v>0</v>
      </c>
      <c r="AR409" s="35">
        <v>0</v>
      </c>
      <c r="AS409" s="35">
        <v>0</v>
      </c>
      <c r="AT409" s="35">
        <v>5</v>
      </c>
      <c r="AU409" s="31" t="str">
        <f t="shared" si="9"/>
        <v>库存为5</v>
      </c>
      <c r="AV409" s="36" t="str">
        <f>IFERROR($A$2+AU409,"上周无销量")</f>
        <v>上周无销量</v>
      </c>
    </row>
    <row r="410" spans="1:48">
      <c r="A410" s="21" t="s">
        <v>889</v>
      </c>
      <c r="B410" t="s">
        <v>890</v>
      </c>
      <c r="C410" t="s">
        <v>872</v>
      </c>
      <c r="D410" s="31">
        <v>0</v>
      </c>
      <c r="E410" s="31">
        <v>0</v>
      </c>
      <c r="F410" s="31">
        <v>0</v>
      </c>
      <c r="G410" s="31">
        <v>0</v>
      </c>
      <c r="H410" s="32">
        <v>0</v>
      </c>
      <c r="I410">
        <v>4</v>
      </c>
      <c r="J410" s="33">
        <v>0</v>
      </c>
      <c r="K410" s="33">
        <v>0</v>
      </c>
      <c r="L410" s="33">
        <v>0</v>
      </c>
      <c r="M410">
        <v>4</v>
      </c>
      <c r="N410">
        <v>0</v>
      </c>
      <c r="O410">
        <v>4</v>
      </c>
      <c r="P410" t="s">
        <v>54</v>
      </c>
      <c r="Q410" t="s">
        <v>54</v>
      </c>
      <c r="R410" t="s">
        <v>54</v>
      </c>
      <c r="S410" t="s">
        <v>54</v>
      </c>
      <c r="T410" t="s">
        <v>54</v>
      </c>
      <c r="U410" t="s">
        <v>54</v>
      </c>
      <c r="V410" t="s">
        <v>54</v>
      </c>
      <c r="W410" t="s">
        <v>54</v>
      </c>
      <c r="X410" s="23" t="s">
        <v>54</v>
      </c>
      <c r="Y410" s="23" t="s">
        <v>54</v>
      </c>
      <c r="Z410" s="23" t="s">
        <v>54</v>
      </c>
      <c r="AA410" s="23" t="s">
        <v>54</v>
      </c>
      <c r="AB410" t="s">
        <v>54</v>
      </c>
      <c r="AC410" t="s">
        <v>54</v>
      </c>
      <c r="AD410" t="s">
        <v>54</v>
      </c>
      <c r="AE410" t="s">
        <v>54</v>
      </c>
      <c r="AF410" s="23" t="s">
        <v>54</v>
      </c>
      <c r="AG410" s="23" t="s">
        <v>54</v>
      </c>
      <c r="AH410" s="23" t="s">
        <v>54</v>
      </c>
      <c r="AI410" s="23" t="s">
        <v>54</v>
      </c>
      <c r="AJ410">
        <v>5</v>
      </c>
      <c r="AK410">
        <v>2</v>
      </c>
      <c r="AL410">
        <v>3</v>
      </c>
      <c r="AM410">
        <v>2</v>
      </c>
      <c r="AN410" s="23">
        <v>0</v>
      </c>
      <c r="AO410" s="23">
        <v>0</v>
      </c>
      <c r="AP410" s="23">
        <v>0</v>
      </c>
      <c r="AQ410" s="23">
        <v>0</v>
      </c>
      <c r="AR410" s="35">
        <v>0</v>
      </c>
      <c r="AS410" s="35">
        <v>0</v>
      </c>
      <c r="AT410" s="35">
        <v>4</v>
      </c>
      <c r="AU410" s="31" t="str">
        <f t="shared" si="9"/>
        <v>库存为4</v>
      </c>
      <c r="AV410" s="36" t="str">
        <f>IFERROR($A$2+AU410,"上周无销量")</f>
        <v>上周无销量</v>
      </c>
    </row>
    <row r="411" spans="1:48">
      <c r="A411" s="21" t="s">
        <v>891</v>
      </c>
      <c r="B411" t="s">
        <v>892</v>
      </c>
      <c r="C411" t="s">
        <v>872</v>
      </c>
      <c r="D411" s="31">
        <v>0</v>
      </c>
      <c r="E411" s="31">
        <v>0</v>
      </c>
      <c r="F411" s="31">
        <v>0</v>
      </c>
      <c r="G411" s="31">
        <v>0</v>
      </c>
      <c r="H411" s="32">
        <v>0</v>
      </c>
      <c r="I411">
        <v>3</v>
      </c>
      <c r="J411" s="33">
        <v>0</v>
      </c>
      <c r="K411" s="33">
        <v>0</v>
      </c>
      <c r="L411" s="33">
        <v>0</v>
      </c>
      <c r="M411">
        <v>3</v>
      </c>
      <c r="N411">
        <v>0</v>
      </c>
      <c r="O411">
        <v>3</v>
      </c>
      <c r="P411" t="s">
        <v>54</v>
      </c>
      <c r="Q411" t="s">
        <v>54</v>
      </c>
      <c r="R411" t="s">
        <v>54</v>
      </c>
      <c r="S411" t="s">
        <v>54</v>
      </c>
      <c r="T411" t="s">
        <v>54</v>
      </c>
      <c r="U411" t="s">
        <v>54</v>
      </c>
      <c r="V411" t="s">
        <v>54</v>
      </c>
      <c r="W411" t="s">
        <v>54</v>
      </c>
      <c r="X411" s="23" t="s">
        <v>54</v>
      </c>
      <c r="Y411" s="23" t="s">
        <v>54</v>
      </c>
      <c r="Z411" s="23" t="s">
        <v>54</v>
      </c>
      <c r="AA411" s="23" t="s">
        <v>54</v>
      </c>
      <c r="AB411" t="s">
        <v>54</v>
      </c>
      <c r="AC411" t="s">
        <v>54</v>
      </c>
      <c r="AD411" t="s">
        <v>54</v>
      </c>
      <c r="AE411" t="s">
        <v>54</v>
      </c>
      <c r="AF411" s="23" t="s">
        <v>54</v>
      </c>
      <c r="AG411" s="23" t="s">
        <v>54</v>
      </c>
      <c r="AH411" s="23" t="s">
        <v>54</v>
      </c>
      <c r="AI411" s="23" t="s">
        <v>54</v>
      </c>
      <c r="AJ411">
        <v>5</v>
      </c>
      <c r="AK411">
        <v>1</v>
      </c>
      <c r="AL411">
        <v>3</v>
      </c>
      <c r="AM411">
        <v>2</v>
      </c>
      <c r="AN411" s="23">
        <v>0</v>
      </c>
      <c r="AO411" s="23">
        <v>0</v>
      </c>
      <c r="AP411" s="23">
        <v>0</v>
      </c>
      <c r="AQ411" s="23">
        <v>0</v>
      </c>
      <c r="AR411" s="35">
        <v>0</v>
      </c>
      <c r="AS411" s="35">
        <v>0</v>
      </c>
      <c r="AT411" s="35">
        <v>3</v>
      </c>
      <c r="AU411" s="31" t="str">
        <f t="shared" si="9"/>
        <v>库存为3</v>
      </c>
      <c r="AV411" s="36" t="str">
        <f>IFERROR($A$2+AU411,"上周无销量")</f>
        <v>上周无销量</v>
      </c>
    </row>
    <row r="412" spans="1:48">
      <c r="A412" s="21" t="s">
        <v>893</v>
      </c>
      <c r="B412" t="s">
        <v>894</v>
      </c>
      <c r="C412" t="s">
        <v>872</v>
      </c>
      <c r="D412" s="31">
        <v>0</v>
      </c>
      <c r="E412" s="31">
        <v>0</v>
      </c>
      <c r="F412" s="31">
        <v>0</v>
      </c>
      <c r="G412" s="31">
        <v>0</v>
      </c>
      <c r="H412" s="32">
        <v>0</v>
      </c>
      <c r="I412">
        <v>7</v>
      </c>
      <c r="J412" s="33">
        <v>0</v>
      </c>
      <c r="K412" s="33">
        <v>0</v>
      </c>
      <c r="L412" s="33">
        <v>0</v>
      </c>
      <c r="M412">
        <v>7</v>
      </c>
      <c r="N412">
        <v>0</v>
      </c>
      <c r="O412">
        <v>7</v>
      </c>
      <c r="P412" t="s">
        <v>54</v>
      </c>
      <c r="Q412" t="s">
        <v>54</v>
      </c>
      <c r="R412" t="s">
        <v>54</v>
      </c>
      <c r="S412" t="s">
        <v>54</v>
      </c>
      <c r="T412" t="s">
        <v>54</v>
      </c>
      <c r="U412" t="s">
        <v>54</v>
      </c>
      <c r="V412" t="s">
        <v>54</v>
      </c>
      <c r="W412" t="s">
        <v>54</v>
      </c>
      <c r="X412" s="23" t="s">
        <v>54</v>
      </c>
      <c r="Y412" s="23" t="s">
        <v>54</v>
      </c>
      <c r="Z412" s="23" t="s">
        <v>54</v>
      </c>
      <c r="AA412" s="23" t="s">
        <v>54</v>
      </c>
      <c r="AB412" t="s">
        <v>54</v>
      </c>
      <c r="AC412" t="s">
        <v>54</v>
      </c>
      <c r="AD412" t="s">
        <v>54</v>
      </c>
      <c r="AE412" t="s">
        <v>54</v>
      </c>
      <c r="AF412" s="23" t="s">
        <v>54</v>
      </c>
      <c r="AG412" s="23" t="s">
        <v>54</v>
      </c>
      <c r="AH412" s="23" t="s">
        <v>54</v>
      </c>
      <c r="AI412" s="23" t="s">
        <v>54</v>
      </c>
      <c r="AJ412">
        <v>4</v>
      </c>
      <c r="AK412">
        <v>0</v>
      </c>
      <c r="AL412">
        <v>3</v>
      </c>
      <c r="AM412">
        <v>3</v>
      </c>
      <c r="AN412" s="23">
        <v>0</v>
      </c>
      <c r="AO412" s="23" t="s">
        <v>54</v>
      </c>
      <c r="AP412" s="23">
        <v>0</v>
      </c>
      <c r="AQ412" s="23">
        <v>0</v>
      </c>
      <c r="AR412" s="35">
        <v>0</v>
      </c>
      <c r="AS412" s="35">
        <v>0</v>
      </c>
      <c r="AT412" s="35">
        <v>7</v>
      </c>
      <c r="AU412" s="31" t="str">
        <f t="shared" si="9"/>
        <v>库存为7</v>
      </c>
      <c r="AV412" s="36" t="str">
        <f>IFERROR($A$2+AU412,"上周无销量")</f>
        <v>上周无销量</v>
      </c>
    </row>
    <row r="413" spans="1:48">
      <c r="A413" s="21" t="s">
        <v>895</v>
      </c>
      <c r="B413" t="s">
        <v>896</v>
      </c>
      <c r="C413" t="s">
        <v>872</v>
      </c>
      <c r="D413" s="31">
        <v>0</v>
      </c>
      <c r="E413" s="31">
        <v>0</v>
      </c>
      <c r="F413" s="31">
        <v>0</v>
      </c>
      <c r="G413" s="31">
        <v>0</v>
      </c>
      <c r="H413" s="32">
        <v>0</v>
      </c>
      <c r="I413">
        <v>1</v>
      </c>
      <c r="J413" s="33">
        <v>0</v>
      </c>
      <c r="K413" s="33">
        <v>0</v>
      </c>
      <c r="L413" s="33">
        <v>0</v>
      </c>
      <c r="M413">
        <v>1</v>
      </c>
      <c r="N413">
        <v>0</v>
      </c>
      <c r="O413">
        <v>1</v>
      </c>
      <c r="P413" t="s">
        <v>54</v>
      </c>
      <c r="Q413" t="s">
        <v>54</v>
      </c>
      <c r="R413" t="s">
        <v>54</v>
      </c>
      <c r="S413" t="s">
        <v>54</v>
      </c>
      <c r="T413" t="s">
        <v>54</v>
      </c>
      <c r="U413" t="s">
        <v>54</v>
      </c>
      <c r="V413" t="s">
        <v>54</v>
      </c>
      <c r="W413" t="s">
        <v>54</v>
      </c>
      <c r="X413" s="23" t="s">
        <v>54</v>
      </c>
      <c r="Y413" s="23" t="s">
        <v>54</v>
      </c>
      <c r="Z413" s="23" t="s">
        <v>54</v>
      </c>
      <c r="AA413" s="23" t="s">
        <v>54</v>
      </c>
      <c r="AB413" t="s">
        <v>54</v>
      </c>
      <c r="AC413" t="s">
        <v>54</v>
      </c>
      <c r="AD413" t="s">
        <v>54</v>
      </c>
      <c r="AE413" t="s">
        <v>54</v>
      </c>
      <c r="AF413" s="23" t="s">
        <v>54</v>
      </c>
      <c r="AG413" s="23" t="s">
        <v>54</v>
      </c>
      <c r="AH413" s="23" t="s">
        <v>54</v>
      </c>
      <c r="AI413" s="23" t="s">
        <v>54</v>
      </c>
      <c r="AJ413">
        <v>2</v>
      </c>
      <c r="AK413">
        <v>3</v>
      </c>
      <c r="AL413">
        <v>2</v>
      </c>
      <c r="AM413">
        <v>4</v>
      </c>
      <c r="AN413" s="23">
        <v>0</v>
      </c>
      <c r="AO413" s="23">
        <v>0</v>
      </c>
      <c r="AP413" s="23">
        <v>0</v>
      </c>
      <c r="AQ413" s="23">
        <v>0</v>
      </c>
      <c r="AR413" s="35">
        <v>0</v>
      </c>
      <c r="AS413" s="35">
        <v>0</v>
      </c>
      <c r="AT413" s="35">
        <v>1</v>
      </c>
      <c r="AU413" s="31" t="str">
        <f t="shared" si="9"/>
        <v>库存为1</v>
      </c>
      <c r="AV413" s="36" t="str">
        <f>IFERROR($A$2+AU413,"上周无销量")</f>
        <v>上周无销量</v>
      </c>
    </row>
    <row r="414" spans="1:48">
      <c r="A414" s="21" t="s">
        <v>897</v>
      </c>
      <c r="B414" t="s">
        <v>898</v>
      </c>
      <c r="C414" t="s">
        <v>872</v>
      </c>
      <c r="D414" s="31">
        <v>0</v>
      </c>
      <c r="E414" s="31">
        <v>0</v>
      </c>
      <c r="F414" s="31">
        <v>0</v>
      </c>
      <c r="G414" s="31">
        <v>0</v>
      </c>
      <c r="H414" s="32">
        <v>0</v>
      </c>
      <c r="I414">
        <v>4</v>
      </c>
      <c r="J414" s="33">
        <v>0</v>
      </c>
      <c r="K414" s="33">
        <v>0</v>
      </c>
      <c r="L414" s="33">
        <v>0</v>
      </c>
      <c r="M414">
        <v>4</v>
      </c>
      <c r="N414">
        <v>0</v>
      </c>
      <c r="O414">
        <v>4</v>
      </c>
      <c r="P414" t="s">
        <v>54</v>
      </c>
      <c r="Q414" t="s">
        <v>54</v>
      </c>
      <c r="R414" t="s">
        <v>54</v>
      </c>
      <c r="S414" t="s">
        <v>54</v>
      </c>
      <c r="T414" t="s">
        <v>54</v>
      </c>
      <c r="U414" t="s">
        <v>54</v>
      </c>
      <c r="V414" t="s">
        <v>54</v>
      </c>
      <c r="W414" t="s">
        <v>54</v>
      </c>
      <c r="X414" s="23" t="s">
        <v>54</v>
      </c>
      <c r="Y414" s="23" t="s">
        <v>54</v>
      </c>
      <c r="Z414" s="23" t="s">
        <v>54</v>
      </c>
      <c r="AA414" s="23" t="s">
        <v>54</v>
      </c>
      <c r="AB414" t="s">
        <v>54</v>
      </c>
      <c r="AC414" t="s">
        <v>54</v>
      </c>
      <c r="AD414" t="s">
        <v>54</v>
      </c>
      <c r="AE414" t="s">
        <v>54</v>
      </c>
      <c r="AF414" s="23" t="s">
        <v>54</v>
      </c>
      <c r="AG414" s="23" t="s">
        <v>54</v>
      </c>
      <c r="AH414" s="23" t="s">
        <v>54</v>
      </c>
      <c r="AI414" s="23" t="s">
        <v>54</v>
      </c>
      <c r="AJ414">
        <v>3</v>
      </c>
      <c r="AK414">
        <v>0</v>
      </c>
      <c r="AL414">
        <v>3</v>
      </c>
      <c r="AM414">
        <v>1</v>
      </c>
      <c r="AN414" s="23">
        <v>0</v>
      </c>
      <c r="AO414" s="23" t="s">
        <v>54</v>
      </c>
      <c r="AP414" s="23">
        <v>0</v>
      </c>
      <c r="AQ414" s="23">
        <v>0</v>
      </c>
      <c r="AR414" s="35">
        <v>0</v>
      </c>
      <c r="AS414" s="35">
        <v>0</v>
      </c>
      <c r="AT414" s="35">
        <v>4</v>
      </c>
      <c r="AU414" s="31" t="str">
        <f t="shared" si="9"/>
        <v>库存为4</v>
      </c>
      <c r="AV414" s="36" t="str">
        <f>IFERROR($A$2+AU414,"上周无销量")</f>
        <v>上周无销量</v>
      </c>
    </row>
    <row r="415" spans="1:48">
      <c r="A415" s="21" t="s">
        <v>899</v>
      </c>
      <c r="B415" t="s">
        <v>900</v>
      </c>
      <c r="C415" t="s">
        <v>872</v>
      </c>
      <c r="D415" s="31">
        <v>0</v>
      </c>
      <c r="E415" s="31">
        <v>0</v>
      </c>
      <c r="F415" s="31">
        <v>0</v>
      </c>
      <c r="G415" s="31">
        <v>0</v>
      </c>
      <c r="H415" s="32">
        <v>0</v>
      </c>
      <c r="I415">
        <v>1</v>
      </c>
      <c r="J415" s="33">
        <v>0</v>
      </c>
      <c r="K415" s="33">
        <v>0</v>
      </c>
      <c r="L415" s="33">
        <v>0</v>
      </c>
      <c r="M415">
        <v>1</v>
      </c>
      <c r="N415">
        <v>0</v>
      </c>
      <c r="O415">
        <v>1</v>
      </c>
      <c r="P415" t="s">
        <v>54</v>
      </c>
      <c r="Q415" t="s">
        <v>54</v>
      </c>
      <c r="R415" t="s">
        <v>54</v>
      </c>
      <c r="S415" t="s">
        <v>54</v>
      </c>
      <c r="T415" t="s">
        <v>54</v>
      </c>
      <c r="U415" t="s">
        <v>54</v>
      </c>
      <c r="V415" t="s">
        <v>54</v>
      </c>
      <c r="W415" t="s">
        <v>54</v>
      </c>
      <c r="X415" s="23" t="s">
        <v>54</v>
      </c>
      <c r="Y415" s="23" t="s">
        <v>54</v>
      </c>
      <c r="Z415" s="23" t="s">
        <v>54</v>
      </c>
      <c r="AA415" s="23" t="s">
        <v>54</v>
      </c>
      <c r="AB415" t="s">
        <v>54</v>
      </c>
      <c r="AC415" t="s">
        <v>54</v>
      </c>
      <c r="AD415" t="s">
        <v>54</v>
      </c>
      <c r="AE415" t="s">
        <v>54</v>
      </c>
      <c r="AF415" s="23" t="s">
        <v>54</v>
      </c>
      <c r="AG415" s="23" t="s">
        <v>54</v>
      </c>
      <c r="AH415" s="23" t="s">
        <v>54</v>
      </c>
      <c r="AI415" s="23" t="s">
        <v>54</v>
      </c>
      <c r="AJ415">
        <v>3</v>
      </c>
      <c r="AK415">
        <v>4</v>
      </c>
      <c r="AL415">
        <v>3</v>
      </c>
      <c r="AM415">
        <v>5</v>
      </c>
      <c r="AN415" s="23">
        <v>0</v>
      </c>
      <c r="AO415" s="23">
        <v>0</v>
      </c>
      <c r="AP415" s="23">
        <v>0</v>
      </c>
      <c r="AQ415" s="23">
        <v>0</v>
      </c>
      <c r="AR415" s="35">
        <v>0</v>
      </c>
      <c r="AS415" s="35">
        <v>0</v>
      </c>
      <c r="AT415" s="35">
        <v>1</v>
      </c>
      <c r="AU415" s="31" t="str">
        <f t="shared" si="9"/>
        <v>库存为1</v>
      </c>
      <c r="AV415" s="36" t="str">
        <f>IFERROR($A$2+AU415,"上周无销量")</f>
        <v>上周无销量</v>
      </c>
    </row>
    <row r="416" spans="1:48">
      <c r="A416" s="21" t="s">
        <v>901</v>
      </c>
      <c r="B416" t="s">
        <v>902</v>
      </c>
      <c r="C416" t="s">
        <v>903</v>
      </c>
      <c r="D416" s="31">
        <v>0</v>
      </c>
      <c r="E416" s="31">
        <v>0</v>
      </c>
      <c r="F416" s="31">
        <v>0</v>
      </c>
      <c r="G416" s="31">
        <v>0</v>
      </c>
      <c r="H416" s="32">
        <v>0</v>
      </c>
      <c r="I416">
        <v>2</v>
      </c>
      <c r="J416" s="33">
        <v>0</v>
      </c>
      <c r="K416" s="33">
        <v>0</v>
      </c>
      <c r="L416" s="33">
        <v>0</v>
      </c>
      <c r="M416">
        <v>2</v>
      </c>
      <c r="N416">
        <v>0</v>
      </c>
      <c r="O416">
        <v>2</v>
      </c>
      <c r="P416" t="s">
        <v>54</v>
      </c>
      <c r="Q416" t="s">
        <v>54</v>
      </c>
      <c r="R416" t="s">
        <v>54</v>
      </c>
      <c r="S416" t="s">
        <v>54</v>
      </c>
      <c r="T416" t="s">
        <v>54</v>
      </c>
      <c r="U416" t="s">
        <v>54</v>
      </c>
      <c r="V416" t="s">
        <v>54</v>
      </c>
      <c r="W416" t="s">
        <v>54</v>
      </c>
      <c r="X416" s="23" t="s">
        <v>54</v>
      </c>
      <c r="Y416" s="23" t="s">
        <v>54</v>
      </c>
      <c r="Z416" s="23" t="s">
        <v>54</v>
      </c>
      <c r="AA416" s="23" t="s">
        <v>54</v>
      </c>
      <c r="AB416" t="s">
        <v>54</v>
      </c>
      <c r="AC416" t="s">
        <v>54</v>
      </c>
      <c r="AD416" t="s">
        <v>54</v>
      </c>
      <c r="AE416" t="s">
        <v>54</v>
      </c>
      <c r="AF416" s="23" t="s">
        <v>54</v>
      </c>
      <c r="AG416" s="23" t="s">
        <v>54</v>
      </c>
      <c r="AH416" s="23" t="s">
        <v>54</v>
      </c>
      <c r="AI416" s="23" t="s">
        <v>54</v>
      </c>
      <c r="AJ416">
        <v>4</v>
      </c>
      <c r="AK416">
        <v>1</v>
      </c>
      <c r="AL416">
        <v>2</v>
      </c>
      <c r="AM416">
        <v>3</v>
      </c>
      <c r="AN416" s="23">
        <v>0</v>
      </c>
      <c r="AO416" s="23">
        <v>0</v>
      </c>
      <c r="AP416" s="23">
        <v>0</v>
      </c>
      <c r="AQ416" s="23">
        <v>0</v>
      </c>
      <c r="AR416" s="35">
        <v>0</v>
      </c>
      <c r="AS416" s="35">
        <v>0</v>
      </c>
      <c r="AT416" s="35">
        <v>2</v>
      </c>
      <c r="AU416" s="31" t="str">
        <f t="shared" si="9"/>
        <v>库存为2</v>
      </c>
      <c r="AV416" s="36" t="str">
        <f>IFERROR($A$2+AU416,"上周无销量")</f>
        <v>上周无销量</v>
      </c>
    </row>
    <row r="417" spans="1:48">
      <c r="A417" s="21" t="s">
        <v>904</v>
      </c>
      <c r="B417" t="s">
        <v>905</v>
      </c>
      <c r="C417" t="s">
        <v>903</v>
      </c>
      <c r="D417" s="31">
        <v>0</v>
      </c>
      <c r="E417" s="31">
        <v>0</v>
      </c>
      <c r="F417" s="31">
        <v>0</v>
      </c>
      <c r="G417" s="31">
        <v>0</v>
      </c>
      <c r="H417" s="32">
        <v>0</v>
      </c>
      <c r="I417">
        <v>5</v>
      </c>
      <c r="J417" s="33">
        <v>0</v>
      </c>
      <c r="K417" s="33">
        <v>0</v>
      </c>
      <c r="L417" s="33">
        <v>0</v>
      </c>
      <c r="M417">
        <v>5</v>
      </c>
      <c r="N417">
        <v>0</v>
      </c>
      <c r="O417">
        <v>5</v>
      </c>
      <c r="P417" t="s">
        <v>54</v>
      </c>
      <c r="Q417" t="s">
        <v>54</v>
      </c>
      <c r="R417" t="s">
        <v>54</v>
      </c>
      <c r="S417" t="s">
        <v>54</v>
      </c>
      <c r="T417" t="s">
        <v>54</v>
      </c>
      <c r="U417" t="s">
        <v>54</v>
      </c>
      <c r="V417" t="s">
        <v>54</v>
      </c>
      <c r="W417" t="s">
        <v>54</v>
      </c>
      <c r="X417" s="23" t="s">
        <v>54</v>
      </c>
      <c r="Y417" s="23" t="s">
        <v>54</v>
      </c>
      <c r="Z417" s="23" t="s">
        <v>54</v>
      </c>
      <c r="AA417" s="23" t="s">
        <v>54</v>
      </c>
      <c r="AB417" t="s">
        <v>54</v>
      </c>
      <c r="AC417" t="s">
        <v>54</v>
      </c>
      <c r="AD417" t="s">
        <v>54</v>
      </c>
      <c r="AE417" t="s">
        <v>54</v>
      </c>
      <c r="AF417" s="23" t="s">
        <v>54</v>
      </c>
      <c r="AG417" s="23" t="s">
        <v>54</v>
      </c>
      <c r="AH417" s="23" t="s">
        <v>54</v>
      </c>
      <c r="AI417" s="23" t="s">
        <v>54</v>
      </c>
      <c r="AJ417">
        <v>6</v>
      </c>
      <c r="AK417">
        <v>3</v>
      </c>
      <c r="AL417">
        <v>4</v>
      </c>
      <c r="AM417">
        <v>4</v>
      </c>
      <c r="AN417" s="23">
        <v>0</v>
      </c>
      <c r="AO417" s="23">
        <v>0</v>
      </c>
      <c r="AP417" s="23">
        <v>0</v>
      </c>
      <c r="AQ417" s="23">
        <v>0</v>
      </c>
      <c r="AR417" s="35">
        <v>0</v>
      </c>
      <c r="AS417" s="35">
        <v>0</v>
      </c>
      <c r="AT417" s="35">
        <v>5</v>
      </c>
      <c r="AU417" s="31" t="str">
        <f t="shared" si="9"/>
        <v>库存为5</v>
      </c>
      <c r="AV417" s="36" t="str">
        <f>IFERROR($A$2+AU417,"上周无销量")</f>
        <v>上周无销量</v>
      </c>
    </row>
    <row r="418" spans="1:48">
      <c r="A418" s="21" t="s">
        <v>906</v>
      </c>
      <c r="B418" t="s">
        <v>907</v>
      </c>
      <c r="C418" t="s">
        <v>903</v>
      </c>
      <c r="D418" s="31">
        <v>0</v>
      </c>
      <c r="E418" s="31">
        <v>0</v>
      </c>
      <c r="F418" s="31">
        <v>1</v>
      </c>
      <c r="G418" s="31">
        <v>0</v>
      </c>
      <c r="H418" s="32">
        <v>10</v>
      </c>
      <c r="I418">
        <v>3</v>
      </c>
      <c r="J418" s="33">
        <v>0</v>
      </c>
      <c r="K418" s="33">
        <v>0</v>
      </c>
      <c r="L418" s="33">
        <v>0</v>
      </c>
      <c r="M418">
        <v>3</v>
      </c>
      <c r="N418">
        <v>0</v>
      </c>
      <c r="O418">
        <v>2</v>
      </c>
      <c r="P418" t="s">
        <v>54</v>
      </c>
      <c r="Q418" t="s">
        <v>54</v>
      </c>
      <c r="R418" t="s">
        <v>54</v>
      </c>
      <c r="S418" t="s">
        <v>54</v>
      </c>
      <c r="T418" t="s">
        <v>54</v>
      </c>
      <c r="U418" t="s">
        <v>54</v>
      </c>
      <c r="V418" t="s">
        <v>54</v>
      </c>
      <c r="W418" t="s">
        <v>54</v>
      </c>
      <c r="X418" s="23" t="s">
        <v>54</v>
      </c>
      <c r="Y418" s="23" t="s">
        <v>54</v>
      </c>
      <c r="Z418" s="23" t="s">
        <v>54</v>
      </c>
      <c r="AA418" s="23" t="s">
        <v>54</v>
      </c>
      <c r="AB418" t="s">
        <v>54</v>
      </c>
      <c r="AC418" t="s">
        <v>54</v>
      </c>
      <c r="AD418" t="s">
        <v>54</v>
      </c>
      <c r="AE418" t="s">
        <v>54</v>
      </c>
      <c r="AF418" s="23" t="s">
        <v>54</v>
      </c>
      <c r="AG418" s="23" t="s">
        <v>54</v>
      </c>
      <c r="AH418" s="23" t="s">
        <v>54</v>
      </c>
      <c r="AI418" s="23" t="s">
        <v>54</v>
      </c>
      <c r="AJ418">
        <v>3</v>
      </c>
      <c r="AK418">
        <v>2</v>
      </c>
      <c r="AL418">
        <v>2</v>
      </c>
      <c r="AM418">
        <v>5</v>
      </c>
      <c r="AN418" s="23">
        <v>0</v>
      </c>
      <c r="AO418" s="23">
        <v>0</v>
      </c>
      <c r="AP418" s="23">
        <v>0.5</v>
      </c>
      <c r="AQ418" s="23">
        <v>0</v>
      </c>
      <c r="AR418" s="35">
        <v>0</v>
      </c>
      <c r="AS418" s="35">
        <v>0</v>
      </c>
      <c r="AT418" s="35">
        <v>3</v>
      </c>
      <c r="AU418" s="31" t="str">
        <f t="shared" si="9"/>
        <v>库存为3</v>
      </c>
      <c r="AV418" s="36" t="str">
        <f>IFERROR($A$2+AU418,"上周无销量")</f>
        <v>上周无销量</v>
      </c>
    </row>
    <row r="419" spans="1:48">
      <c r="A419" s="21" t="s">
        <v>908</v>
      </c>
      <c r="B419" t="s">
        <v>909</v>
      </c>
      <c r="C419" t="s">
        <v>903</v>
      </c>
      <c r="D419" s="31">
        <v>0</v>
      </c>
      <c r="E419" s="31">
        <v>0</v>
      </c>
      <c r="F419" s="31">
        <v>2</v>
      </c>
      <c r="G419" s="31">
        <v>0</v>
      </c>
      <c r="H419" s="32">
        <v>10</v>
      </c>
      <c r="I419">
        <v>3</v>
      </c>
      <c r="J419" s="33">
        <v>0</v>
      </c>
      <c r="K419" s="33">
        <v>0</v>
      </c>
      <c r="L419" s="33">
        <v>1</v>
      </c>
      <c r="M419">
        <v>4</v>
      </c>
      <c r="N419">
        <v>0</v>
      </c>
      <c r="O419">
        <v>3</v>
      </c>
      <c r="P419" t="s">
        <v>54</v>
      </c>
      <c r="Q419" t="s">
        <v>54</v>
      </c>
      <c r="R419" t="s">
        <v>54</v>
      </c>
      <c r="S419" t="s">
        <v>54</v>
      </c>
      <c r="T419" t="s">
        <v>54</v>
      </c>
      <c r="U419" t="s">
        <v>54</v>
      </c>
      <c r="V419" t="s">
        <v>54</v>
      </c>
      <c r="W419" t="s">
        <v>54</v>
      </c>
      <c r="X419" s="23" t="s">
        <v>54</v>
      </c>
      <c r="Y419" s="23" t="s">
        <v>54</v>
      </c>
      <c r="Z419" s="23" t="s">
        <v>54</v>
      </c>
      <c r="AA419" s="23" t="s">
        <v>54</v>
      </c>
      <c r="AB419" t="s">
        <v>54</v>
      </c>
      <c r="AC419" t="s">
        <v>54</v>
      </c>
      <c r="AD419" t="s">
        <v>54</v>
      </c>
      <c r="AE419" t="s">
        <v>54</v>
      </c>
      <c r="AF419" s="23" t="s">
        <v>54</v>
      </c>
      <c r="AG419" s="23" t="s">
        <v>54</v>
      </c>
      <c r="AH419" s="23" t="s">
        <v>54</v>
      </c>
      <c r="AI419" s="23" t="s">
        <v>54</v>
      </c>
      <c r="AJ419">
        <v>4</v>
      </c>
      <c r="AK419">
        <v>3</v>
      </c>
      <c r="AL419">
        <v>4</v>
      </c>
      <c r="AM419">
        <v>3</v>
      </c>
      <c r="AN419" s="23">
        <v>0</v>
      </c>
      <c r="AO419" s="23">
        <v>0</v>
      </c>
      <c r="AP419" s="23">
        <v>0.5</v>
      </c>
      <c r="AQ419" s="23">
        <v>0</v>
      </c>
      <c r="AR419" s="35">
        <v>0</v>
      </c>
      <c r="AS419" s="35">
        <v>0</v>
      </c>
      <c r="AT419" s="35">
        <v>4</v>
      </c>
      <c r="AU419" s="31" t="str">
        <f t="shared" si="9"/>
        <v>库存为4</v>
      </c>
      <c r="AV419" s="36" t="str">
        <f>IFERROR($A$2+AU419,"上周无销量")</f>
        <v>上周无销量</v>
      </c>
    </row>
    <row r="420" spans="1:48">
      <c r="A420" s="21" t="s">
        <v>910</v>
      </c>
      <c r="B420" t="s">
        <v>911</v>
      </c>
      <c r="C420" t="s">
        <v>903</v>
      </c>
      <c r="D420" s="31">
        <v>0</v>
      </c>
      <c r="E420" s="31">
        <v>0</v>
      </c>
      <c r="F420" s="31">
        <v>0</v>
      </c>
      <c r="G420" s="31">
        <v>0</v>
      </c>
      <c r="H420" s="32">
        <v>0</v>
      </c>
      <c r="I420">
        <v>0</v>
      </c>
      <c r="J420" s="33">
        <v>0</v>
      </c>
      <c r="K420" s="33">
        <v>0</v>
      </c>
      <c r="L420" s="33">
        <v>0</v>
      </c>
      <c r="M420">
        <v>0</v>
      </c>
      <c r="N420">
        <v>0</v>
      </c>
      <c r="O420">
        <v>0</v>
      </c>
      <c r="P420" t="s">
        <v>54</v>
      </c>
      <c r="Q420" t="s">
        <v>54</v>
      </c>
      <c r="R420" t="s">
        <v>54</v>
      </c>
      <c r="S420" t="s">
        <v>54</v>
      </c>
      <c r="T420" t="s">
        <v>54</v>
      </c>
      <c r="U420" t="s">
        <v>54</v>
      </c>
      <c r="V420" t="s">
        <v>54</v>
      </c>
      <c r="W420" t="s">
        <v>54</v>
      </c>
      <c r="X420" s="23" t="s">
        <v>54</v>
      </c>
      <c r="Y420" s="23" t="s">
        <v>54</v>
      </c>
      <c r="Z420" s="23" t="s">
        <v>54</v>
      </c>
      <c r="AA420" s="23" t="s">
        <v>54</v>
      </c>
      <c r="AB420" t="s">
        <v>54</v>
      </c>
      <c r="AC420" t="s">
        <v>54</v>
      </c>
      <c r="AD420" t="s">
        <v>54</v>
      </c>
      <c r="AE420" t="s">
        <v>54</v>
      </c>
      <c r="AF420" s="23" t="s">
        <v>54</v>
      </c>
      <c r="AG420" s="23" t="s">
        <v>54</v>
      </c>
      <c r="AH420" s="23" t="s">
        <v>54</v>
      </c>
      <c r="AI420" s="23" t="s">
        <v>54</v>
      </c>
      <c r="AJ420">
        <v>0</v>
      </c>
      <c r="AK420">
        <v>0</v>
      </c>
      <c r="AL420">
        <v>0</v>
      </c>
      <c r="AM420">
        <v>0</v>
      </c>
      <c r="AN420" s="23" t="s">
        <v>54</v>
      </c>
      <c r="AO420" s="23" t="s">
        <v>54</v>
      </c>
      <c r="AP420" s="23" t="s">
        <v>54</v>
      </c>
      <c r="AQ420" s="23" t="s">
        <v>54</v>
      </c>
      <c r="AR420" s="35">
        <v>0</v>
      </c>
      <c r="AS420" s="35">
        <v>0</v>
      </c>
      <c r="AT420" s="35">
        <v>0</v>
      </c>
      <c r="AU420" s="31" t="str">
        <f t="shared" si="9"/>
        <v>库存为0</v>
      </c>
      <c r="AV420" s="36" t="str">
        <f>IFERROR($A$2+AU420,"上周无销量")</f>
        <v>上周无销量</v>
      </c>
    </row>
    <row r="421" spans="1:48">
      <c r="A421" s="21" t="s">
        <v>912</v>
      </c>
      <c r="B421" t="s">
        <v>913</v>
      </c>
      <c r="C421" t="s">
        <v>903</v>
      </c>
      <c r="D421" s="31">
        <v>0</v>
      </c>
      <c r="E421" s="31">
        <v>0</v>
      </c>
      <c r="F421" s="31">
        <v>0</v>
      </c>
      <c r="G421" s="31">
        <v>1</v>
      </c>
      <c r="H421" s="32">
        <v>10</v>
      </c>
      <c r="I421">
        <v>0</v>
      </c>
      <c r="J421" s="33">
        <v>0</v>
      </c>
      <c r="K421" s="33">
        <v>0</v>
      </c>
      <c r="L421" s="33">
        <v>0</v>
      </c>
      <c r="M421">
        <v>0</v>
      </c>
      <c r="N421">
        <v>0</v>
      </c>
      <c r="O421">
        <v>0</v>
      </c>
      <c r="P421" t="s">
        <v>54</v>
      </c>
      <c r="Q421" t="s">
        <v>54</v>
      </c>
      <c r="R421" t="s">
        <v>54</v>
      </c>
      <c r="S421" t="s">
        <v>54</v>
      </c>
      <c r="T421" t="s">
        <v>54</v>
      </c>
      <c r="U421" t="s">
        <v>54</v>
      </c>
      <c r="V421" t="s">
        <v>54</v>
      </c>
      <c r="W421" t="s">
        <v>54</v>
      </c>
      <c r="X421" s="23" t="s">
        <v>54</v>
      </c>
      <c r="Y421" s="23" t="s">
        <v>54</v>
      </c>
      <c r="Z421" s="23" t="s">
        <v>54</v>
      </c>
      <c r="AA421" s="23" t="s">
        <v>54</v>
      </c>
      <c r="AB421" t="s">
        <v>54</v>
      </c>
      <c r="AC421" t="s">
        <v>54</v>
      </c>
      <c r="AD421" t="s">
        <v>54</v>
      </c>
      <c r="AE421" t="s">
        <v>54</v>
      </c>
      <c r="AF421" s="23" t="s">
        <v>54</v>
      </c>
      <c r="AG421" s="23" t="s">
        <v>54</v>
      </c>
      <c r="AH421" s="23" t="s">
        <v>54</v>
      </c>
      <c r="AI421" s="23" t="s">
        <v>54</v>
      </c>
      <c r="AJ421">
        <v>0</v>
      </c>
      <c r="AK421">
        <v>0</v>
      </c>
      <c r="AL421">
        <v>0</v>
      </c>
      <c r="AM421">
        <v>2</v>
      </c>
      <c r="AN421" s="23" t="s">
        <v>54</v>
      </c>
      <c r="AO421" s="23" t="s">
        <v>54</v>
      </c>
      <c r="AP421" s="23" t="s">
        <v>54</v>
      </c>
      <c r="AQ421" s="23">
        <v>0.5</v>
      </c>
      <c r="AR421" s="35">
        <v>0</v>
      </c>
      <c r="AS421" s="35">
        <v>0</v>
      </c>
      <c r="AT421" s="35">
        <v>0</v>
      </c>
      <c r="AU421" s="31" t="str">
        <f t="shared" si="9"/>
        <v>库存为0</v>
      </c>
      <c r="AV421" s="36" t="str">
        <f>IFERROR($A$2+AU421,"上周无销量")</f>
        <v>上周无销量</v>
      </c>
    </row>
    <row r="422" spans="1:48">
      <c r="A422" s="21" t="s">
        <v>914</v>
      </c>
      <c r="B422" t="s">
        <v>915</v>
      </c>
      <c r="C422" t="s">
        <v>903</v>
      </c>
      <c r="D422" s="31">
        <v>0</v>
      </c>
      <c r="E422" s="31">
        <v>0</v>
      </c>
      <c r="F422" s="31">
        <v>1</v>
      </c>
      <c r="G422" s="31">
        <v>1</v>
      </c>
      <c r="H422" s="32">
        <v>10</v>
      </c>
      <c r="I422">
        <v>0</v>
      </c>
      <c r="J422" s="33">
        <v>0</v>
      </c>
      <c r="K422" s="33">
        <v>0</v>
      </c>
      <c r="L422" s="33">
        <v>0</v>
      </c>
      <c r="M422">
        <v>0</v>
      </c>
      <c r="N422">
        <v>0</v>
      </c>
      <c r="O422">
        <v>0</v>
      </c>
      <c r="P422" t="s">
        <v>54</v>
      </c>
      <c r="Q422" t="s">
        <v>54</v>
      </c>
      <c r="R422" t="s">
        <v>54</v>
      </c>
      <c r="S422" t="s">
        <v>54</v>
      </c>
      <c r="T422" t="s">
        <v>54</v>
      </c>
      <c r="U422" t="s">
        <v>54</v>
      </c>
      <c r="V422" t="s">
        <v>54</v>
      </c>
      <c r="W422" t="s">
        <v>54</v>
      </c>
      <c r="X422" s="23" t="s">
        <v>54</v>
      </c>
      <c r="Y422" s="23" t="s">
        <v>54</v>
      </c>
      <c r="Z422" s="23" t="s">
        <v>54</v>
      </c>
      <c r="AA422" s="23" t="s">
        <v>54</v>
      </c>
      <c r="AB422" t="s">
        <v>54</v>
      </c>
      <c r="AC422" t="s">
        <v>54</v>
      </c>
      <c r="AD422" t="s">
        <v>54</v>
      </c>
      <c r="AE422" t="s">
        <v>54</v>
      </c>
      <c r="AF422" s="23" t="s">
        <v>54</v>
      </c>
      <c r="AG422" s="23" t="s">
        <v>54</v>
      </c>
      <c r="AH422" s="23" t="s">
        <v>54</v>
      </c>
      <c r="AI422" s="23" t="s">
        <v>54</v>
      </c>
      <c r="AJ422">
        <v>0</v>
      </c>
      <c r="AK422">
        <v>0</v>
      </c>
      <c r="AL422">
        <v>0</v>
      </c>
      <c r="AM422">
        <v>3</v>
      </c>
      <c r="AN422" s="23" t="s">
        <v>54</v>
      </c>
      <c r="AO422" s="23" t="s">
        <v>54</v>
      </c>
      <c r="AP422" s="23" t="s">
        <v>54</v>
      </c>
      <c r="AQ422" s="23">
        <v>0.333333333333333</v>
      </c>
      <c r="AR422" s="35">
        <v>0</v>
      </c>
      <c r="AS422" s="35">
        <v>0</v>
      </c>
      <c r="AT422" s="35">
        <v>0</v>
      </c>
      <c r="AU422" s="31" t="str">
        <f t="shared" si="9"/>
        <v>库存为0</v>
      </c>
      <c r="AV422" s="36" t="str">
        <f>IFERROR($A$2+AU422,"上周无销量")</f>
        <v>上周无销量</v>
      </c>
    </row>
    <row r="423" spans="1:48">
      <c r="A423" s="21" t="s">
        <v>916</v>
      </c>
      <c r="B423" t="s">
        <v>917</v>
      </c>
      <c r="C423" t="s">
        <v>903</v>
      </c>
      <c r="D423" s="31">
        <v>0</v>
      </c>
      <c r="E423" s="31">
        <v>1</v>
      </c>
      <c r="F423" s="31">
        <v>0</v>
      </c>
      <c r="G423" s="31">
        <v>0</v>
      </c>
      <c r="H423" s="32">
        <v>10</v>
      </c>
      <c r="I423">
        <v>0</v>
      </c>
      <c r="J423" s="33">
        <v>0</v>
      </c>
      <c r="K423" s="33">
        <v>0</v>
      </c>
      <c r="L423" s="33">
        <v>0</v>
      </c>
      <c r="M423">
        <v>0</v>
      </c>
      <c r="N423">
        <v>0</v>
      </c>
      <c r="O423">
        <v>0</v>
      </c>
      <c r="P423" t="s">
        <v>54</v>
      </c>
      <c r="Q423" t="s">
        <v>54</v>
      </c>
      <c r="R423" t="s">
        <v>54</v>
      </c>
      <c r="S423" t="s">
        <v>54</v>
      </c>
      <c r="T423" t="s">
        <v>54</v>
      </c>
      <c r="U423" t="s">
        <v>54</v>
      </c>
      <c r="V423" t="s">
        <v>54</v>
      </c>
      <c r="W423" t="s">
        <v>54</v>
      </c>
      <c r="X423" s="23" t="s">
        <v>54</v>
      </c>
      <c r="Y423" s="23" t="s">
        <v>54</v>
      </c>
      <c r="Z423" s="23" t="s">
        <v>54</v>
      </c>
      <c r="AA423" s="23" t="s">
        <v>54</v>
      </c>
      <c r="AB423" t="s">
        <v>54</v>
      </c>
      <c r="AC423" t="s">
        <v>54</v>
      </c>
      <c r="AD423" t="s">
        <v>54</v>
      </c>
      <c r="AE423" t="s">
        <v>54</v>
      </c>
      <c r="AF423" s="23" t="s">
        <v>54</v>
      </c>
      <c r="AG423" s="23" t="s">
        <v>54</v>
      </c>
      <c r="AH423" s="23" t="s">
        <v>54</v>
      </c>
      <c r="AI423" s="23" t="s">
        <v>54</v>
      </c>
      <c r="AJ423">
        <v>0</v>
      </c>
      <c r="AK423">
        <v>0</v>
      </c>
      <c r="AL423">
        <v>4</v>
      </c>
      <c r="AM423">
        <v>4</v>
      </c>
      <c r="AN423" s="23" t="s">
        <v>54</v>
      </c>
      <c r="AO423" s="23" t="s">
        <v>54</v>
      </c>
      <c r="AP423" s="23">
        <v>0</v>
      </c>
      <c r="AQ423" s="23">
        <v>0</v>
      </c>
      <c r="AR423" s="35">
        <v>0</v>
      </c>
      <c r="AS423" s="35">
        <v>0</v>
      </c>
      <c r="AT423" s="35">
        <v>0</v>
      </c>
      <c r="AU423" s="31" t="str">
        <f t="shared" si="9"/>
        <v>库存为0</v>
      </c>
      <c r="AV423" s="36" t="str">
        <f>IFERROR($A$2+AU423,"上周无销量")</f>
        <v>上周无销量</v>
      </c>
    </row>
    <row r="424" spans="1:48">
      <c r="A424" s="21" t="s">
        <v>918</v>
      </c>
      <c r="B424" t="s">
        <v>919</v>
      </c>
      <c r="C424" t="s">
        <v>920</v>
      </c>
      <c r="D424" s="31">
        <v>0</v>
      </c>
      <c r="E424" s="31">
        <v>0</v>
      </c>
      <c r="F424" s="31">
        <v>0</v>
      </c>
      <c r="G424" s="31">
        <v>0</v>
      </c>
      <c r="H424" s="32">
        <v>0</v>
      </c>
      <c r="I424">
        <v>0</v>
      </c>
      <c r="J424" s="33">
        <v>0</v>
      </c>
      <c r="K424" s="33">
        <v>0</v>
      </c>
      <c r="L424" s="33">
        <v>0</v>
      </c>
      <c r="M424">
        <v>0</v>
      </c>
      <c r="N424">
        <v>0</v>
      </c>
      <c r="O424">
        <v>0</v>
      </c>
      <c r="P424" t="s">
        <v>54</v>
      </c>
      <c r="Q424" t="s">
        <v>54</v>
      </c>
      <c r="R424" t="s">
        <v>54</v>
      </c>
      <c r="S424" t="s">
        <v>54</v>
      </c>
      <c r="T424" t="s">
        <v>54</v>
      </c>
      <c r="U424" t="s">
        <v>54</v>
      </c>
      <c r="V424" t="s">
        <v>54</v>
      </c>
      <c r="W424" t="s">
        <v>54</v>
      </c>
      <c r="X424" s="23" t="s">
        <v>54</v>
      </c>
      <c r="Y424" s="23" t="s">
        <v>54</v>
      </c>
      <c r="Z424" s="23" t="s">
        <v>54</v>
      </c>
      <c r="AA424" s="23" t="s">
        <v>54</v>
      </c>
      <c r="AB424" t="s">
        <v>54</v>
      </c>
      <c r="AC424" t="s">
        <v>54</v>
      </c>
      <c r="AD424" t="s">
        <v>54</v>
      </c>
      <c r="AE424" t="s">
        <v>54</v>
      </c>
      <c r="AF424" s="23" t="s">
        <v>54</v>
      </c>
      <c r="AG424" s="23" t="s">
        <v>54</v>
      </c>
      <c r="AH424" s="23" t="s">
        <v>54</v>
      </c>
      <c r="AI424" s="23" t="s">
        <v>54</v>
      </c>
      <c r="AJ424">
        <v>0</v>
      </c>
      <c r="AK424">
        <v>0</v>
      </c>
      <c r="AL424">
        <v>0</v>
      </c>
      <c r="AM424">
        <v>0</v>
      </c>
      <c r="AN424" s="23" t="s">
        <v>54</v>
      </c>
      <c r="AO424" s="23" t="s">
        <v>54</v>
      </c>
      <c r="AP424" s="23" t="s">
        <v>54</v>
      </c>
      <c r="AQ424" s="23" t="s">
        <v>54</v>
      </c>
      <c r="AR424" s="35">
        <v>0</v>
      </c>
      <c r="AS424" s="35">
        <v>0</v>
      </c>
      <c r="AT424" s="35">
        <v>0</v>
      </c>
      <c r="AU424" s="31" t="str">
        <f t="shared" si="9"/>
        <v>库存为0</v>
      </c>
      <c r="AV424" s="36" t="str">
        <f>IFERROR($A$2+AU424,"上周无销量")</f>
        <v>上周无销量</v>
      </c>
    </row>
    <row r="425" spans="1:48">
      <c r="A425" s="21" t="s">
        <v>921</v>
      </c>
      <c r="B425" t="s">
        <v>922</v>
      </c>
      <c r="C425" t="s">
        <v>923</v>
      </c>
      <c r="D425" s="31">
        <v>0</v>
      </c>
      <c r="E425" s="31">
        <v>0</v>
      </c>
      <c r="F425" s="31">
        <v>0</v>
      </c>
      <c r="G425" s="31">
        <v>0</v>
      </c>
      <c r="H425" s="32">
        <v>0</v>
      </c>
      <c r="I425">
        <v>0</v>
      </c>
      <c r="J425" s="33">
        <v>0</v>
      </c>
      <c r="K425" s="33">
        <v>0</v>
      </c>
      <c r="L425" s="33">
        <v>0</v>
      </c>
      <c r="M425">
        <v>0</v>
      </c>
      <c r="N425">
        <v>0</v>
      </c>
      <c r="O425">
        <v>0</v>
      </c>
      <c r="P425" t="s">
        <v>54</v>
      </c>
      <c r="Q425" t="s">
        <v>54</v>
      </c>
      <c r="R425" t="s">
        <v>54</v>
      </c>
      <c r="S425" t="s">
        <v>54</v>
      </c>
      <c r="T425" t="s">
        <v>54</v>
      </c>
      <c r="U425" t="s">
        <v>54</v>
      </c>
      <c r="V425" t="s">
        <v>54</v>
      </c>
      <c r="W425" t="s">
        <v>54</v>
      </c>
      <c r="X425" s="23" t="s">
        <v>54</v>
      </c>
      <c r="Y425" s="23" t="s">
        <v>54</v>
      </c>
      <c r="Z425" s="23" t="s">
        <v>54</v>
      </c>
      <c r="AA425" s="23" t="s">
        <v>54</v>
      </c>
      <c r="AB425" t="s">
        <v>54</v>
      </c>
      <c r="AC425" t="s">
        <v>54</v>
      </c>
      <c r="AD425" t="s">
        <v>54</v>
      </c>
      <c r="AE425" t="s">
        <v>54</v>
      </c>
      <c r="AF425" s="23" t="s">
        <v>54</v>
      </c>
      <c r="AG425" s="23" t="s">
        <v>54</v>
      </c>
      <c r="AH425" s="23" t="s">
        <v>54</v>
      </c>
      <c r="AI425" s="23" t="s">
        <v>54</v>
      </c>
      <c r="AJ425">
        <v>0</v>
      </c>
      <c r="AK425">
        <v>0</v>
      </c>
      <c r="AL425">
        <v>0</v>
      </c>
      <c r="AM425">
        <v>0</v>
      </c>
      <c r="AN425" s="23" t="s">
        <v>54</v>
      </c>
      <c r="AO425" s="23" t="s">
        <v>54</v>
      </c>
      <c r="AP425" s="23" t="s">
        <v>54</v>
      </c>
      <c r="AQ425" s="23" t="s">
        <v>54</v>
      </c>
      <c r="AR425" s="35">
        <v>0</v>
      </c>
      <c r="AS425" s="35">
        <v>0</v>
      </c>
      <c r="AT425" s="35">
        <v>0</v>
      </c>
      <c r="AU425" s="31" t="str">
        <f t="shared" si="9"/>
        <v>库存为0</v>
      </c>
      <c r="AV425" s="36" t="str">
        <f>IFERROR($A$2+AU425,"上周无销量")</f>
        <v>上周无销量</v>
      </c>
    </row>
    <row r="426" spans="1:48">
      <c r="A426" s="21" t="s">
        <v>924</v>
      </c>
      <c r="B426" t="s">
        <v>925</v>
      </c>
      <c r="C426" t="s">
        <v>923</v>
      </c>
      <c r="D426" s="31">
        <v>0</v>
      </c>
      <c r="E426" s="31">
        <v>0</v>
      </c>
      <c r="F426" s="31">
        <v>0</v>
      </c>
      <c r="G426" s="31">
        <v>0</v>
      </c>
      <c r="H426" s="32">
        <v>0</v>
      </c>
      <c r="I426">
        <v>0</v>
      </c>
      <c r="J426" s="33">
        <v>0</v>
      </c>
      <c r="K426" s="33">
        <v>0</v>
      </c>
      <c r="L426" s="33">
        <v>0</v>
      </c>
      <c r="M426">
        <v>0</v>
      </c>
      <c r="N426">
        <v>0</v>
      </c>
      <c r="O426">
        <v>0</v>
      </c>
      <c r="P426" t="s">
        <v>54</v>
      </c>
      <c r="Q426" t="s">
        <v>54</v>
      </c>
      <c r="R426" t="s">
        <v>54</v>
      </c>
      <c r="S426" t="s">
        <v>54</v>
      </c>
      <c r="T426" t="s">
        <v>54</v>
      </c>
      <c r="U426" t="s">
        <v>54</v>
      </c>
      <c r="V426" t="s">
        <v>54</v>
      </c>
      <c r="W426" t="s">
        <v>54</v>
      </c>
      <c r="X426" s="23" t="s">
        <v>54</v>
      </c>
      <c r="Y426" s="23" t="s">
        <v>54</v>
      </c>
      <c r="Z426" s="23" t="s">
        <v>54</v>
      </c>
      <c r="AA426" s="23" t="s">
        <v>54</v>
      </c>
      <c r="AB426" t="s">
        <v>54</v>
      </c>
      <c r="AC426" t="s">
        <v>54</v>
      </c>
      <c r="AD426" t="s">
        <v>54</v>
      </c>
      <c r="AE426" t="s">
        <v>54</v>
      </c>
      <c r="AF426" s="23" t="s">
        <v>54</v>
      </c>
      <c r="AG426" s="23" t="s">
        <v>54</v>
      </c>
      <c r="AH426" s="23" t="s">
        <v>54</v>
      </c>
      <c r="AI426" s="23" t="s">
        <v>54</v>
      </c>
      <c r="AJ426">
        <v>0</v>
      </c>
      <c r="AK426">
        <v>0</v>
      </c>
      <c r="AL426">
        <v>0</v>
      </c>
      <c r="AM426">
        <v>0</v>
      </c>
      <c r="AN426" s="23" t="s">
        <v>54</v>
      </c>
      <c r="AO426" s="23" t="s">
        <v>54</v>
      </c>
      <c r="AP426" s="23" t="s">
        <v>54</v>
      </c>
      <c r="AQ426" s="23" t="s">
        <v>54</v>
      </c>
      <c r="AR426" s="35">
        <v>0</v>
      </c>
      <c r="AS426" s="35">
        <v>0</v>
      </c>
      <c r="AT426" s="35">
        <v>0</v>
      </c>
      <c r="AU426" s="31" t="str">
        <f t="shared" si="9"/>
        <v>库存为0</v>
      </c>
      <c r="AV426" s="36" t="str">
        <f>IFERROR($A$2+AU426,"上周无销量")</f>
        <v>上周无销量</v>
      </c>
    </row>
    <row r="427" spans="1:48">
      <c r="A427" s="21" t="s">
        <v>926</v>
      </c>
      <c r="B427" t="s">
        <v>927</v>
      </c>
      <c r="C427" t="s">
        <v>928</v>
      </c>
      <c r="D427" s="31">
        <v>0</v>
      </c>
      <c r="E427" s="31">
        <v>0</v>
      </c>
      <c r="F427" s="31">
        <v>0</v>
      </c>
      <c r="G427" s="31">
        <v>0</v>
      </c>
      <c r="H427" s="32">
        <v>0</v>
      </c>
      <c r="I427">
        <v>1</v>
      </c>
      <c r="J427" s="33">
        <v>0</v>
      </c>
      <c r="K427" s="33">
        <v>0</v>
      </c>
      <c r="L427" s="33">
        <v>0</v>
      </c>
      <c r="M427">
        <v>1</v>
      </c>
      <c r="N427">
        <v>0</v>
      </c>
      <c r="O427">
        <v>1</v>
      </c>
      <c r="P427" t="s">
        <v>54</v>
      </c>
      <c r="Q427" t="s">
        <v>54</v>
      </c>
      <c r="R427" t="s">
        <v>54</v>
      </c>
      <c r="S427" t="s">
        <v>54</v>
      </c>
      <c r="T427" t="s">
        <v>54</v>
      </c>
      <c r="U427" t="s">
        <v>54</v>
      </c>
      <c r="V427" t="s">
        <v>54</v>
      </c>
      <c r="W427" t="s">
        <v>54</v>
      </c>
      <c r="X427" s="23" t="s">
        <v>54</v>
      </c>
      <c r="Y427" s="23" t="s">
        <v>54</v>
      </c>
      <c r="Z427" s="23" t="s">
        <v>54</v>
      </c>
      <c r="AA427" s="23" t="s">
        <v>54</v>
      </c>
      <c r="AB427" t="s">
        <v>54</v>
      </c>
      <c r="AC427" t="s">
        <v>54</v>
      </c>
      <c r="AD427" t="s">
        <v>54</v>
      </c>
      <c r="AE427" t="s">
        <v>54</v>
      </c>
      <c r="AF427" s="23" t="s">
        <v>54</v>
      </c>
      <c r="AG427" s="23" t="s">
        <v>54</v>
      </c>
      <c r="AH427" s="23" t="s">
        <v>54</v>
      </c>
      <c r="AI427" s="23" t="s">
        <v>54</v>
      </c>
      <c r="AJ427">
        <v>7</v>
      </c>
      <c r="AK427">
        <v>5</v>
      </c>
      <c r="AL427">
        <v>8</v>
      </c>
      <c r="AM427">
        <v>7</v>
      </c>
      <c r="AN427" s="23">
        <v>0</v>
      </c>
      <c r="AO427" s="23">
        <v>0</v>
      </c>
      <c r="AP427" s="23">
        <v>0</v>
      </c>
      <c r="AQ427" s="23">
        <v>0</v>
      </c>
      <c r="AR427" s="35">
        <v>0</v>
      </c>
      <c r="AS427" s="35">
        <v>0</v>
      </c>
      <c r="AT427" s="35">
        <v>1</v>
      </c>
      <c r="AU427" s="31" t="str">
        <f t="shared" si="9"/>
        <v>库存为1</v>
      </c>
      <c r="AV427" s="36" t="str">
        <f>IFERROR($A$2+AU427,"上周无销量")</f>
        <v>上周无销量</v>
      </c>
    </row>
    <row r="428" spans="1:48">
      <c r="A428" s="21" t="s">
        <v>929</v>
      </c>
      <c r="B428" t="s">
        <v>930</v>
      </c>
      <c r="C428" t="s">
        <v>928</v>
      </c>
      <c r="D428" s="31">
        <v>0</v>
      </c>
      <c r="E428" s="31">
        <v>0</v>
      </c>
      <c r="F428" s="31">
        <v>0</v>
      </c>
      <c r="G428" s="31">
        <v>0</v>
      </c>
      <c r="H428" s="32">
        <v>0</v>
      </c>
      <c r="I428">
        <v>0</v>
      </c>
      <c r="J428" s="33">
        <v>0</v>
      </c>
      <c r="K428" s="33">
        <v>0</v>
      </c>
      <c r="L428" s="33">
        <v>0</v>
      </c>
      <c r="M428">
        <v>0</v>
      </c>
      <c r="N428">
        <v>0</v>
      </c>
      <c r="O428">
        <v>0</v>
      </c>
      <c r="P428" t="s">
        <v>54</v>
      </c>
      <c r="Q428" t="s">
        <v>54</v>
      </c>
      <c r="R428" t="s">
        <v>54</v>
      </c>
      <c r="S428" t="s">
        <v>54</v>
      </c>
      <c r="T428" t="s">
        <v>54</v>
      </c>
      <c r="U428" t="s">
        <v>54</v>
      </c>
      <c r="V428" t="s">
        <v>54</v>
      </c>
      <c r="W428" t="s">
        <v>54</v>
      </c>
      <c r="X428" s="23" t="s">
        <v>54</v>
      </c>
      <c r="Y428" s="23" t="s">
        <v>54</v>
      </c>
      <c r="Z428" s="23" t="s">
        <v>54</v>
      </c>
      <c r="AA428" s="23" t="s">
        <v>54</v>
      </c>
      <c r="AB428" t="s">
        <v>54</v>
      </c>
      <c r="AC428" t="s">
        <v>54</v>
      </c>
      <c r="AD428" t="s">
        <v>54</v>
      </c>
      <c r="AE428" t="s">
        <v>54</v>
      </c>
      <c r="AF428" s="23" t="s">
        <v>54</v>
      </c>
      <c r="AG428" s="23" t="s">
        <v>54</v>
      </c>
      <c r="AH428" s="23" t="s">
        <v>54</v>
      </c>
      <c r="AI428" s="23" t="s">
        <v>54</v>
      </c>
      <c r="AJ428">
        <v>0</v>
      </c>
      <c r="AK428">
        <v>0</v>
      </c>
      <c r="AL428">
        <v>0</v>
      </c>
      <c r="AM428">
        <v>0</v>
      </c>
      <c r="AN428" s="23" t="s">
        <v>54</v>
      </c>
      <c r="AO428" s="23" t="s">
        <v>54</v>
      </c>
      <c r="AP428" s="23" t="s">
        <v>54</v>
      </c>
      <c r="AQ428" s="23" t="s">
        <v>54</v>
      </c>
      <c r="AR428" s="35">
        <v>0</v>
      </c>
      <c r="AS428" s="35">
        <v>0</v>
      </c>
      <c r="AT428" s="35">
        <v>0</v>
      </c>
      <c r="AU428" s="31" t="str">
        <f t="shared" si="9"/>
        <v>库存为0</v>
      </c>
      <c r="AV428" s="36" t="str">
        <f>IFERROR($A$2+AU428,"上周无销量")</f>
        <v>上周无销量</v>
      </c>
    </row>
    <row r="429" spans="1:48">
      <c r="A429" s="21" t="s">
        <v>931</v>
      </c>
      <c r="B429" t="s">
        <v>932</v>
      </c>
      <c r="C429" t="s">
        <v>933</v>
      </c>
      <c r="D429" s="31">
        <v>0</v>
      </c>
      <c r="E429" s="31">
        <v>0</v>
      </c>
      <c r="F429" s="31">
        <v>0</v>
      </c>
      <c r="G429" s="31">
        <v>0</v>
      </c>
      <c r="H429" s="32">
        <v>0</v>
      </c>
      <c r="I429">
        <v>8</v>
      </c>
      <c r="J429" s="33">
        <v>0</v>
      </c>
      <c r="K429" s="33">
        <v>0</v>
      </c>
      <c r="L429" s="33">
        <v>0</v>
      </c>
      <c r="M429">
        <v>8</v>
      </c>
      <c r="N429">
        <v>0</v>
      </c>
      <c r="O429">
        <v>8</v>
      </c>
      <c r="P429" t="s">
        <v>54</v>
      </c>
      <c r="Q429" t="s">
        <v>54</v>
      </c>
      <c r="R429" t="s">
        <v>54</v>
      </c>
      <c r="S429" t="s">
        <v>54</v>
      </c>
      <c r="T429" t="s">
        <v>54</v>
      </c>
      <c r="U429" t="s">
        <v>54</v>
      </c>
      <c r="V429" t="s">
        <v>54</v>
      </c>
      <c r="W429" t="s">
        <v>54</v>
      </c>
      <c r="X429" s="23" t="s">
        <v>54</v>
      </c>
      <c r="Y429" s="23" t="s">
        <v>54</v>
      </c>
      <c r="Z429" s="23" t="s">
        <v>54</v>
      </c>
      <c r="AA429" s="23" t="s">
        <v>54</v>
      </c>
      <c r="AB429" t="s">
        <v>54</v>
      </c>
      <c r="AC429" t="s">
        <v>54</v>
      </c>
      <c r="AD429" t="s">
        <v>54</v>
      </c>
      <c r="AE429" t="s">
        <v>54</v>
      </c>
      <c r="AF429" s="23" t="s">
        <v>54</v>
      </c>
      <c r="AG429" s="23" t="s">
        <v>54</v>
      </c>
      <c r="AH429" s="23" t="s">
        <v>54</v>
      </c>
      <c r="AI429" s="23" t="s">
        <v>54</v>
      </c>
      <c r="AJ429">
        <v>19</v>
      </c>
      <c r="AK429">
        <v>16</v>
      </c>
      <c r="AL429">
        <v>10</v>
      </c>
      <c r="AM429">
        <v>9</v>
      </c>
      <c r="AN429" s="23">
        <v>0</v>
      </c>
      <c r="AO429" s="23">
        <v>0</v>
      </c>
      <c r="AP429" s="23">
        <v>0</v>
      </c>
      <c r="AQ429" s="23">
        <v>0</v>
      </c>
      <c r="AR429" s="35">
        <v>0</v>
      </c>
      <c r="AS429" s="35">
        <v>0</v>
      </c>
      <c r="AT429" s="35">
        <v>8</v>
      </c>
      <c r="AU429" s="31" t="str">
        <f t="shared" si="9"/>
        <v>库存为8</v>
      </c>
      <c r="AV429" s="36" t="str">
        <f>IFERROR($A$2+AU429,"上周无销量")</f>
        <v>上周无销量</v>
      </c>
    </row>
    <row r="430" spans="1:48">
      <c r="A430" s="21" t="s">
        <v>934</v>
      </c>
      <c r="B430" t="s">
        <v>935</v>
      </c>
      <c r="C430" t="s">
        <v>933</v>
      </c>
      <c r="D430" s="31">
        <v>0</v>
      </c>
      <c r="E430" s="31">
        <v>0</v>
      </c>
      <c r="F430" s="31">
        <v>0</v>
      </c>
      <c r="G430" s="31">
        <v>0</v>
      </c>
      <c r="H430" s="32">
        <v>0</v>
      </c>
      <c r="I430">
        <v>0</v>
      </c>
      <c r="J430" s="33">
        <v>0</v>
      </c>
      <c r="K430" s="33">
        <v>0</v>
      </c>
      <c r="L430" s="33">
        <v>0</v>
      </c>
      <c r="M430">
        <v>0</v>
      </c>
      <c r="N430">
        <v>0</v>
      </c>
      <c r="O430">
        <v>0</v>
      </c>
      <c r="P430" t="s">
        <v>54</v>
      </c>
      <c r="Q430" t="s">
        <v>54</v>
      </c>
      <c r="R430" t="s">
        <v>54</v>
      </c>
      <c r="S430" t="s">
        <v>54</v>
      </c>
      <c r="T430" t="s">
        <v>54</v>
      </c>
      <c r="U430" t="s">
        <v>54</v>
      </c>
      <c r="V430" t="s">
        <v>54</v>
      </c>
      <c r="W430" t="s">
        <v>54</v>
      </c>
      <c r="X430" s="23" t="s">
        <v>54</v>
      </c>
      <c r="Y430" s="23" t="s">
        <v>54</v>
      </c>
      <c r="Z430" s="23" t="s">
        <v>54</v>
      </c>
      <c r="AA430" s="23" t="s">
        <v>54</v>
      </c>
      <c r="AB430" t="s">
        <v>54</v>
      </c>
      <c r="AC430" t="s">
        <v>54</v>
      </c>
      <c r="AD430" t="s">
        <v>54</v>
      </c>
      <c r="AE430" t="s">
        <v>54</v>
      </c>
      <c r="AF430" s="23" t="s">
        <v>54</v>
      </c>
      <c r="AG430" s="23" t="s">
        <v>54</v>
      </c>
      <c r="AH430" s="23" t="s">
        <v>54</v>
      </c>
      <c r="AI430" s="23" t="s">
        <v>54</v>
      </c>
      <c r="AJ430">
        <v>0</v>
      </c>
      <c r="AK430">
        <v>0</v>
      </c>
      <c r="AL430">
        <v>0</v>
      </c>
      <c r="AM430">
        <v>0</v>
      </c>
      <c r="AN430" s="23" t="s">
        <v>54</v>
      </c>
      <c r="AO430" s="23" t="s">
        <v>54</v>
      </c>
      <c r="AP430" s="23" t="s">
        <v>54</v>
      </c>
      <c r="AQ430" s="23" t="s">
        <v>54</v>
      </c>
      <c r="AR430" s="35">
        <v>0</v>
      </c>
      <c r="AS430" s="35">
        <v>0</v>
      </c>
      <c r="AT430" s="35">
        <v>0</v>
      </c>
      <c r="AU430" s="31" t="str">
        <f t="shared" si="9"/>
        <v>库存为0</v>
      </c>
      <c r="AV430" s="36" t="str">
        <f>IFERROR($A$2+AU430,"上周无销量")</f>
        <v>上周无销量</v>
      </c>
    </row>
    <row r="431" spans="1:48">
      <c r="A431" s="21" t="s">
        <v>936</v>
      </c>
      <c r="B431" t="s">
        <v>937</v>
      </c>
      <c r="C431" t="s">
        <v>933</v>
      </c>
      <c r="D431" s="31">
        <v>0</v>
      </c>
      <c r="E431" s="31">
        <v>0</v>
      </c>
      <c r="F431" s="31">
        <v>0</v>
      </c>
      <c r="G431" s="31">
        <v>0</v>
      </c>
      <c r="H431" s="32">
        <v>0</v>
      </c>
      <c r="I431">
        <v>9</v>
      </c>
      <c r="J431" s="33">
        <v>0</v>
      </c>
      <c r="K431" s="33">
        <v>0</v>
      </c>
      <c r="L431" s="33">
        <v>0</v>
      </c>
      <c r="M431">
        <v>9</v>
      </c>
      <c r="N431">
        <v>0</v>
      </c>
      <c r="O431">
        <v>9</v>
      </c>
      <c r="P431" t="s">
        <v>54</v>
      </c>
      <c r="Q431" t="s">
        <v>54</v>
      </c>
      <c r="R431" t="s">
        <v>54</v>
      </c>
      <c r="S431" t="s">
        <v>54</v>
      </c>
      <c r="T431" t="s">
        <v>54</v>
      </c>
      <c r="U431" t="s">
        <v>54</v>
      </c>
      <c r="V431" t="s">
        <v>54</v>
      </c>
      <c r="W431" t="s">
        <v>54</v>
      </c>
      <c r="X431" s="23" t="s">
        <v>54</v>
      </c>
      <c r="Y431" s="23" t="s">
        <v>54</v>
      </c>
      <c r="Z431" s="23" t="s">
        <v>54</v>
      </c>
      <c r="AA431" s="23" t="s">
        <v>54</v>
      </c>
      <c r="AB431" t="s">
        <v>54</v>
      </c>
      <c r="AC431" t="s">
        <v>54</v>
      </c>
      <c r="AD431" t="s">
        <v>54</v>
      </c>
      <c r="AE431" t="s">
        <v>54</v>
      </c>
      <c r="AF431" s="23" t="s">
        <v>54</v>
      </c>
      <c r="AG431" s="23" t="s">
        <v>54</v>
      </c>
      <c r="AH431" s="23" t="s">
        <v>54</v>
      </c>
      <c r="AI431" s="23" t="s">
        <v>54</v>
      </c>
      <c r="AJ431">
        <v>7</v>
      </c>
      <c r="AK431">
        <v>11</v>
      </c>
      <c r="AL431">
        <v>8</v>
      </c>
      <c r="AM431">
        <v>4</v>
      </c>
      <c r="AN431" s="23">
        <v>0</v>
      </c>
      <c r="AO431" s="23">
        <v>0</v>
      </c>
      <c r="AP431" s="23">
        <v>0</v>
      </c>
      <c r="AQ431" s="23">
        <v>0</v>
      </c>
      <c r="AR431" s="35">
        <v>0</v>
      </c>
      <c r="AS431" s="35">
        <v>0</v>
      </c>
      <c r="AT431" s="35">
        <v>9</v>
      </c>
      <c r="AU431" s="31" t="str">
        <f t="shared" si="9"/>
        <v>库存为9</v>
      </c>
      <c r="AV431" s="36" t="str">
        <f>IFERROR($A$2+AU431,"上周无销量")</f>
        <v>上周无销量</v>
      </c>
    </row>
    <row r="432" spans="1:48">
      <c r="A432" s="21" t="s">
        <v>938</v>
      </c>
      <c r="B432" t="s">
        <v>939</v>
      </c>
      <c r="C432" t="s">
        <v>933</v>
      </c>
      <c r="D432" s="31">
        <v>0</v>
      </c>
      <c r="E432" s="31">
        <v>0</v>
      </c>
      <c r="F432" s="31">
        <v>0</v>
      </c>
      <c r="G432" s="31">
        <v>0</v>
      </c>
      <c r="H432" s="32">
        <v>0</v>
      </c>
      <c r="I432">
        <v>0</v>
      </c>
      <c r="J432" s="33">
        <v>0</v>
      </c>
      <c r="K432" s="33">
        <v>0</v>
      </c>
      <c r="L432" s="33">
        <v>0</v>
      </c>
      <c r="M432">
        <v>0</v>
      </c>
      <c r="N432">
        <v>0</v>
      </c>
      <c r="O432">
        <v>0</v>
      </c>
      <c r="P432" t="s">
        <v>54</v>
      </c>
      <c r="Q432" t="s">
        <v>54</v>
      </c>
      <c r="R432" t="s">
        <v>54</v>
      </c>
      <c r="S432" t="s">
        <v>54</v>
      </c>
      <c r="T432" t="s">
        <v>54</v>
      </c>
      <c r="U432" t="s">
        <v>54</v>
      </c>
      <c r="V432" t="s">
        <v>54</v>
      </c>
      <c r="W432" t="s">
        <v>54</v>
      </c>
      <c r="X432" s="23" t="s">
        <v>54</v>
      </c>
      <c r="Y432" s="23" t="s">
        <v>54</v>
      </c>
      <c r="Z432" s="23" t="s">
        <v>54</v>
      </c>
      <c r="AA432" s="23" t="s">
        <v>54</v>
      </c>
      <c r="AB432" t="s">
        <v>54</v>
      </c>
      <c r="AC432" t="s">
        <v>54</v>
      </c>
      <c r="AD432" t="s">
        <v>54</v>
      </c>
      <c r="AE432" t="s">
        <v>54</v>
      </c>
      <c r="AF432" s="23" t="s">
        <v>54</v>
      </c>
      <c r="AG432" s="23" t="s">
        <v>54</v>
      </c>
      <c r="AH432" s="23" t="s">
        <v>54</v>
      </c>
      <c r="AI432" s="23" t="s">
        <v>54</v>
      </c>
      <c r="AJ432">
        <v>0</v>
      </c>
      <c r="AK432">
        <v>0</v>
      </c>
      <c r="AL432">
        <v>0</v>
      </c>
      <c r="AM432">
        <v>0</v>
      </c>
      <c r="AN432" s="23" t="s">
        <v>54</v>
      </c>
      <c r="AO432" s="23" t="s">
        <v>54</v>
      </c>
      <c r="AP432" s="23" t="s">
        <v>54</v>
      </c>
      <c r="AQ432" s="23" t="s">
        <v>54</v>
      </c>
      <c r="AR432" s="35">
        <v>0</v>
      </c>
      <c r="AS432" s="35">
        <v>0</v>
      </c>
      <c r="AT432" s="35">
        <v>0</v>
      </c>
      <c r="AU432" s="31" t="str">
        <f t="shared" si="9"/>
        <v>库存为0</v>
      </c>
      <c r="AV432" s="36" t="str">
        <f>IFERROR($A$2+AU432,"上周无销量")</f>
        <v>上周无销量</v>
      </c>
    </row>
    <row r="433" spans="1:48">
      <c r="A433" s="21" t="s">
        <v>940</v>
      </c>
      <c r="B433" t="s">
        <v>941</v>
      </c>
      <c r="C433" t="s">
        <v>933</v>
      </c>
      <c r="D433" s="31">
        <v>0</v>
      </c>
      <c r="E433" s="31">
        <v>0</v>
      </c>
      <c r="F433" s="31">
        <v>0</v>
      </c>
      <c r="G433" s="31">
        <v>0</v>
      </c>
      <c r="H433" s="32">
        <v>0</v>
      </c>
      <c r="I433">
        <v>0</v>
      </c>
      <c r="J433" s="33">
        <v>0</v>
      </c>
      <c r="K433" s="33">
        <v>0</v>
      </c>
      <c r="L433" s="33">
        <v>0</v>
      </c>
      <c r="M433">
        <v>0</v>
      </c>
      <c r="N433">
        <v>0</v>
      </c>
      <c r="O433">
        <v>0</v>
      </c>
      <c r="P433" t="s">
        <v>54</v>
      </c>
      <c r="Q433" t="s">
        <v>54</v>
      </c>
      <c r="R433" t="s">
        <v>54</v>
      </c>
      <c r="S433" t="s">
        <v>54</v>
      </c>
      <c r="T433" t="s">
        <v>54</v>
      </c>
      <c r="U433" t="s">
        <v>54</v>
      </c>
      <c r="V433" t="s">
        <v>54</v>
      </c>
      <c r="W433" t="s">
        <v>54</v>
      </c>
      <c r="X433" s="23" t="s">
        <v>54</v>
      </c>
      <c r="Y433" s="23" t="s">
        <v>54</v>
      </c>
      <c r="Z433" s="23" t="s">
        <v>54</v>
      </c>
      <c r="AA433" s="23" t="s">
        <v>54</v>
      </c>
      <c r="AB433" t="s">
        <v>54</v>
      </c>
      <c r="AC433" t="s">
        <v>54</v>
      </c>
      <c r="AD433" t="s">
        <v>54</v>
      </c>
      <c r="AE433" t="s">
        <v>54</v>
      </c>
      <c r="AF433" s="23" t="s">
        <v>54</v>
      </c>
      <c r="AG433" s="23" t="s">
        <v>54</v>
      </c>
      <c r="AH433" s="23" t="s">
        <v>54</v>
      </c>
      <c r="AI433" s="23" t="s">
        <v>54</v>
      </c>
      <c r="AJ433">
        <v>0</v>
      </c>
      <c r="AK433">
        <v>0</v>
      </c>
      <c r="AL433">
        <v>0</v>
      </c>
      <c r="AM433">
        <v>0</v>
      </c>
      <c r="AN433" s="23" t="s">
        <v>54</v>
      </c>
      <c r="AO433" s="23" t="s">
        <v>54</v>
      </c>
      <c r="AP433" s="23" t="s">
        <v>54</v>
      </c>
      <c r="AQ433" s="23" t="s">
        <v>54</v>
      </c>
      <c r="AR433" s="35">
        <v>0</v>
      </c>
      <c r="AS433" s="35">
        <v>0</v>
      </c>
      <c r="AT433" s="35">
        <v>0</v>
      </c>
      <c r="AU433" s="31" t="str">
        <f t="shared" si="9"/>
        <v>库存为0</v>
      </c>
      <c r="AV433" s="36" t="str">
        <f>IFERROR($A$2+AU433,"上周无销量")</f>
        <v>上周无销量</v>
      </c>
    </row>
    <row r="434" spans="1:48">
      <c r="A434" s="21" t="s">
        <v>942</v>
      </c>
      <c r="B434" t="s">
        <v>943</v>
      </c>
      <c r="C434" t="s">
        <v>933</v>
      </c>
      <c r="D434" s="31">
        <v>0</v>
      </c>
      <c r="E434" s="31">
        <v>0</v>
      </c>
      <c r="F434" s="31">
        <v>0</v>
      </c>
      <c r="G434" s="31">
        <v>0</v>
      </c>
      <c r="H434" s="32">
        <v>0</v>
      </c>
      <c r="I434">
        <v>0</v>
      </c>
      <c r="J434" s="33">
        <v>0</v>
      </c>
      <c r="K434" s="33">
        <v>0</v>
      </c>
      <c r="L434" s="33">
        <v>0</v>
      </c>
      <c r="M434">
        <v>0</v>
      </c>
      <c r="N434">
        <v>0</v>
      </c>
      <c r="O434">
        <v>0</v>
      </c>
      <c r="P434" t="s">
        <v>54</v>
      </c>
      <c r="Q434" t="s">
        <v>54</v>
      </c>
      <c r="R434" t="s">
        <v>54</v>
      </c>
      <c r="S434" t="s">
        <v>54</v>
      </c>
      <c r="T434" t="s">
        <v>54</v>
      </c>
      <c r="U434" t="s">
        <v>54</v>
      </c>
      <c r="V434" t="s">
        <v>54</v>
      </c>
      <c r="W434" t="s">
        <v>54</v>
      </c>
      <c r="X434" s="23" t="s">
        <v>54</v>
      </c>
      <c r="Y434" s="23" t="s">
        <v>54</v>
      </c>
      <c r="Z434" s="23" t="s">
        <v>54</v>
      </c>
      <c r="AA434" s="23" t="s">
        <v>54</v>
      </c>
      <c r="AB434" t="s">
        <v>54</v>
      </c>
      <c r="AC434" t="s">
        <v>54</v>
      </c>
      <c r="AD434" t="s">
        <v>54</v>
      </c>
      <c r="AE434" t="s">
        <v>54</v>
      </c>
      <c r="AF434" s="23" t="s">
        <v>54</v>
      </c>
      <c r="AG434" s="23" t="s">
        <v>54</v>
      </c>
      <c r="AH434" s="23" t="s">
        <v>54</v>
      </c>
      <c r="AI434" s="23" t="s">
        <v>54</v>
      </c>
      <c r="AJ434">
        <v>0</v>
      </c>
      <c r="AK434">
        <v>0</v>
      </c>
      <c r="AL434">
        <v>0</v>
      </c>
      <c r="AM434">
        <v>0</v>
      </c>
      <c r="AN434" s="23" t="s">
        <v>54</v>
      </c>
      <c r="AO434" s="23" t="s">
        <v>54</v>
      </c>
      <c r="AP434" s="23" t="s">
        <v>54</v>
      </c>
      <c r="AQ434" s="23" t="s">
        <v>54</v>
      </c>
      <c r="AR434" s="35">
        <v>0</v>
      </c>
      <c r="AS434" s="35">
        <v>0</v>
      </c>
      <c r="AT434" s="35">
        <v>0</v>
      </c>
      <c r="AU434" s="31" t="str">
        <f t="shared" si="9"/>
        <v>库存为0</v>
      </c>
      <c r="AV434" s="36" t="str">
        <f>IFERROR($A$2+AU434,"上周无销量")</f>
        <v>上周无销量</v>
      </c>
    </row>
    <row r="435" spans="1:48">
      <c r="A435" s="21" t="s">
        <v>944</v>
      </c>
      <c r="B435" t="s">
        <v>945</v>
      </c>
      <c r="C435" t="s">
        <v>946</v>
      </c>
      <c r="D435" s="31">
        <v>0</v>
      </c>
      <c r="E435" s="31">
        <v>0</v>
      </c>
      <c r="F435" s="31">
        <v>0</v>
      </c>
      <c r="G435" s="31">
        <v>0</v>
      </c>
      <c r="H435" s="32">
        <v>0</v>
      </c>
      <c r="I435">
        <v>0</v>
      </c>
      <c r="J435" s="33">
        <v>0</v>
      </c>
      <c r="K435" s="33">
        <v>0</v>
      </c>
      <c r="L435" s="33">
        <v>0</v>
      </c>
      <c r="M435">
        <v>0</v>
      </c>
      <c r="N435">
        <v>0</v>
      </c>
      <c r="O435">
        <v>0</v>
      </c>
      <c r="P435" t="s">
        <v>54</v>
      </c>
      <c r="Q435" t="s">
        <v>54</v>
      </c>
      <c r="R435" t="s">
        <v>54</v>
      </c>
      <c r="S435" t="s">
        <v>54</v>
      </c>
      <c r="T435" t="s">
        <v>54</v>
      </c>
      <c r="U435" t="s">
        <v>54</v>
      </c>
      <c r="V435" t="s">
        <v>54</v>
      </c>
      <c r="W435" t="s">
        <v>54</v>
      </c>
      <c r="X435" s="23" t="s">
        <v>54</v>
      </c>
      <c r="Y435" s="23" t="s">
        <v>54</v>
      </c>
      <c r="Z435" s="23" t="s">
        <v>54</v>
      </c>
      <c r="AA435" s="23" t="s">
        <v>54</v>
      </c>
      <c r="AB435" t="s">
        <v>54</v>
      </c>
      <c r="AC435" t="s">
        <v>54</v>
      </c>
      <c r="AD435" t="s">
        <v>54</v>
      </c>
      <c r="AE435" t="s">
        <v>54</v>
      </c>
      <c r="AF435" s="23" t="s">
        <v>54</v>
      </c>
      <c r="AG435" s="23" t="s">
        <v>54</v>
      </c>
      <c r="AH435" s="23" t="s">
        <v>54</v>
      </c>
      <c r="AI435" s="23" t="s">
        <v>54</v>
      </c>
      <c r="AJ435">
        <v>0</v>
      </c>
      <c r="AK435">
        <v>0</v>
      </c>
      <c r="AL435">
        <v>0</v>
      </c>
      <c r="AM435">
        <v>0</v>
      </c>
      <c r="AN435" s="23" t="s">
        <v>54</v>
      </c>
      <c r="AO435" s="23" t="s">
        <v>54</v>
      </c>
      <c r="AP435" s="23" t="s">
        <v>54</v>
      </c>
      <c r="AQ435" s="23" t="s">
        <v>54</v>
      </c>
      <c r="AR435" s="35">
        <v>0</v>
      </c>
      <c r="AS435" s="35">
        <v>0</v>
      </c>
      <c r="AT435" s="35">
        <v>0</v>
      </c>
      <c r="AU435" s="31" t="str">
        <f t="shared" si="9"/>
        <v>库存为0</v>
      </c>
      <c r="AV435" s="36" t="str">
        <f>IFERROR($A$2+AU435,"上周无销量")</f>
        <v>上周无销量</v>
      </c>
    </row>
    <row r="436" spans="1:48">
      <c r="A436" s="21" t="s">
        <v>947</v>
      </c>
      <c r="B436" t="s">
        <v>948</v>
      </c>
      <c r="C436" t="s">
        <v>946</v>
      </c>
      <c r="D436" s="31">
        <v>1</v>
      </c>
      <c r="E436" s="31">
        <v>1</v>
      </c>
      <c r="F436" s="31">
        <v>0</v>
      </c>
      <c r="G436" s="31">
        <v>0</v>
      </c>
      <c r="H436" s="32">
        <v>10.98</v>
      </c>
      <c r="I436">
        <v>9</v>
      </c>
      <c r="J436" s="33">
        <v>0</v>
      </c>
      <c r="K436" s="33">
        <v>0</v>
      </c>
      <c r="L436" s="33">
        <v>0</v>
      </c>
      <c r="M436">
        <v>9</v>
      </c>
      <c r="N436">
        <v>0</v>
      </c>
      <c r="O436">
        <v>9</v>
      </c>
      <c r="P436" t="s">
        <v>54</v>
      </c>
      <c r="Q436" t="s">
        <v>54</v>
      </c>
      <c r="R436" t="s">
        <v>54</v>
      </c>
      <c r="S436" t="s">
        <v>54</v>
      </c>
      <c r="T436" t="s">
        <v>54</v>
      </c>
      <c r="U436" t="s">
        <v>54</v>
      </c>
      <c r="V436" t="s">
        <v>54</v>
      </c>
      <c r="W436" t="s">
        <v>54</v>
      </c>
      <c r="X436" s="23" t="s">
        <v>54</v>
      </c>
      <c r="Y436" s="23" t="s">
        <v>54</v>
      </c>
      <c r="Z436" s="23" t="s">
        <v>54</v>
      </c>
      <c r="AA436" s="23" t="s">
        <v>54</v>
      </c>
      <c r="AB436" t="s">
        <v>54</v>
      </c>
      <c r="AC436" t="s">
        <v>54</v>
      </c>
      <c r="AD436" t="s">
        <v>54</v>
      </c>
      <c r="AE436" t="s">
        <v>54</v>
      </c>
      <c r="AF436" s="23" t="s">
        <v>54</v>
      </c>
      <c r="AG436" s="23" t="s">
        <v>54</v>
      </c>
      <c r="AH436" s="23" t="s">
        <v>54</v>
      </c>
      <c r="AI436" s="23" t="s">
        <v>54</v>
      </c>
      <c r="AJ436">
        <v>7</v>
      </c>
      <c r="AK436">
        <v>7</v>
      </c>
      <c r="AL436">
        <v>9</v>
      </c>
      <c r="AM436">
        <v>6</v>
      </c>
      <c r="AN436" s="23">
        <v>0.142857142857143</v>
      </c>
      <c r="AO436" s="23">
        <v>0.142857142857143</v>
      </c>
      <c r="AP436" s="23">
        <v>0</v>
      </c>
      <c r="AQ436" s="23">
        <v>0</v>
      </c>
      <c r="AR436" s="35">
        <v>0.142857142857143</v>
      </c>
      <c r="AS436" s="35">
        <v>8.57142857142857</v>
      </c>
      <c r="AT436" s="35">
        <v>0.428571428571429</v>
      </c>
      <c r="AU436" s="31">
        <f t="shared" si="9"/>
        <v>63</v>
      </c>
      <c r="AV436" s="36">
        <f>IFERROR($A$2+AU436,"上周无销量")</f>
        <v>43353</v>
      </c>
    </row>
    <row r="437" spans="1:48">
      <c r="A437" s="21" t="s">
        <v>949</v>
      </c>
      <c r="B437" t="s">
        <v>950</v>
      </c>
      <c r="C437" t="s">
        <v>946</v>
      </c>
      <c r="D437" s="31">
        <v>0</v>
      </c>
      <c r="E437" s="31">
        <v>0</v>
      </c>
      <c r="F437" s="31">
        <v>1</v>
      </c>
      <c r="G437" s="31">
        <v>1</v>
      </c>
      <c r="H437" s="32">
        <v>21.98</v>
      </c>
      <c r="I437">
        <v>1</v>
      </c>
      <c r="J437" s="33">
        <v>0</v>
      </c>
      <c r="K437" s="33">
        <v>0</v>
      </c>
      <c r="L437" s="33">
        <v>0</v>
      </c>
      <c r="M437">
        <v>1</v>
      </c>
      <c r="N437">
        <v>0</v>
      </c>
      <c r="O437">
        <v>1</v>
      </c>
      <c r="P437" t="s">
        <v>54</v>
      </c>
      <c r="Q437" t="s">
        <v>54</v>
      </c>
      <c r="R437" t="s">
        <v>54</v>
      </c>
      <c r="S437" t="s">
        <v>54</v>
      </c>
      <c r="T437" t="s">
        <v>54</v>
      </c>
      <c r="U437" t="s">
        <v>54</v>
      </c>
      <c r="V437" t="s">
        <v>54</v>
      </c>
      <c r="W437" t="s">
        <v>54</v>
      </c>
      <c r="X437" s="23" t="s">
        <v>54</v>
      </c>
      <c r="Y437" s="23" t="s">
        <v>54</v>
      </c>
      <c r="Z437" s="23" t="s">
        <v>54</v>
      </c>
      <c r="AA437" s="23" t="s">
        <v>54</v>
      </c>
      <c r="AB437" t="s">
        <v>54</v>
      </c>
      <c r="AC437" t="s">
        <v>54</v>
      </c>
      <c r="AD437" t="s">
        <v>54</v>
      </c>
      <c r="AE437" t="s">
        <v>54</v>
      </c>
      <c r="AF437" s="23" t="s">
        <v>54</v>
      </c>
      <c r="AG437" s="23" t="s">
        <v>54</v>
      </c>
      <c r="AH437" s="23" t="s">
        <v>54</v>
      </c>
      <c r="AI437" s="23" t="s">
        <v>54</v>
      </c>
      <c r="AJ437">
        <v>8</v>
      </c>
      <c r="AK437">
        <v>9</v>
      </c>
      <c r="AL437">
        <v>8</v>
      </c>
      <c r="AM437">
        <v>8</v>
      </c>
      <c r="AN437" s="23">
        <v>0</v>
      </c>
      <c r="AO437" s="23">
        <v>0</v>
      </c>
      <c r="AP437" s="23">
        <v>0.125</v>
      </c>
      <c r="AQ437" s="23">
        <v>0.125</v>
      </c>
      <c r="AR437" s="35">
        <v>0</v>
      </c>
      <c r="AS437" s="35">
        <v>0</v>
      </c>
      <c r="AT437" s="35">
        <v>1</v>
      </c>
      <c r="AU437" s="31" t="str">
        <f t="shared" si="9"/>
        <v>库存为1</v>
      </c>
      <c r="AV437" s="36" t="str">
        <f>IFERROR($A$2+AU437,"上周无销量")</f>
        <v>上周无销量</v>
      </c>
    </row>
    <row r="438" spans="1:48">
      <c r="A438" s="21" t="s">
        <v>951</v>
      </c>
      <c r="B438" t="s">
        <v>952</v>
      </c>
      <c r="C438" t="s">
        <v>946</v>
      </c>
      <c r="D438" s="31">
        <v>0</v>
      </c>
      <c r="E438" s="31">
        <v>0</v>
      </c>
      <c r="F438" s="31">
        <v>0</v>
      </c>
      <c r="G438" s="31">
        <v>0</v>
      </c>
      <c r="H438" s="32">
        <v>0</v>
      </c>
      <c r="I438">
        <v>0</v>
      </c>
      <c r="J438" s="33">
        <v>0</v>
      </c>
      <c r="K438" s="33">
        <v>0</v>
      </c>
      <c r="L438" s="33">
        <v>0</v>
      </c>
      <c r="M438">
        <v>0</v>
      </c>
      <c r="N438">
        <v>0</v>
      </c>
      <c r="O438">
        <v>0</v>
      </c>
      <c r="P438" t="s">
        <v>54</v>
      </c>
      <c r="Q438" t="s">
        <v>54</v>
      </c>
      <c r="R438" t="s">
        <v>54</v>
      </c>
      <c r="S438" t="s">
        <v>54</v>
      </c>
      <c r="T438" t="s">
        <v>54</v>
      </c>
      <c r="U438" t="s">
        <v>54</v>
      </c>
      <c r="V438" t="s">
        <v>54</v>
      </c>
      <c r="W438" t="s">
        <v>54</v>
      </c>
      <c r="X438" s="23" t="s">
        <v>54</v>
      </c>
      <c r="Y438" s="23" t="s">
        <v>54</v>
      </c>
      <c r="Z438" s="23" t="s">
        <v>54</v>
      </c>
      <c r="AA438" s="23" t="s">
        <v>54</v>
      </c>
      <c r="AB438" t="s">
        <v>54</v>
      </c>
      <c r="AC438" t="s">
        <v>54</v>
      </c>
      <c r="AD438" t="s">
        <v>54</v>
      </c>
      <c r="AE438" t="s">
        <v>54</v>
      </c>
      <c r="AF438" s="23" t="s">
        <v>54</v>
      </c>
      <c r="AG438" s="23" t="s">
        <v>54</v>
      </c>
      <c r="AH438" s="23" t="s">
        <v>54</v>
      </c>
      <c r="AI438" s="23" t="s">
        <v>54</v>
      </c>
      <c r="AJ438">
        <v>0</v>
      </c>
      <c r="AK438">
        <v>0</v>
      </c>
      <c r="AL438">
        <v>0</v>
      </c>
      <c r="AM438">
        <v>0</v>
      </c>
      <c r="AN438" s="23" t="s">
        <v>54</v>
      </c>
      <c r="AO438" s="23" t="s">
        <v>54</v>
      </c>
      <c r="AP438" s="23" t="s">
        <v>54</v>
      </c>
      <c r="AQ438" s="23" t="s">
        <v>54</v>
      </c>
      <c r="AR438" s="35">
        <v>0</v>
      </c>
      <c r="AS438" s="35">
        <v>0</v>
      </c>
      <c r="AT438" s="35">
        <v>0</v>
      </c>
      <c r="AU438" s="31" t="str">
        <f t="shared" si="9"/>
        <v>库存为0</v>
      </c>
      <c r="AV438" s="36" t="str">
        <f>IFERROR($A$2+AU438,"上周无销量")</f>
        <v>上周无销量</v>
      </c>
    </row>
    <row r="439" spans="1:48">
      <c r="A439" s="21" t="s">
        <v>953</v>
      </c>
      <c r="B439" t="s">
        <v>954</v>
      </c>
      <c r="C439" t="s">
        <v>946</v>
      </c>
      <c r="D439" s="31">
        <v>1</v>
      </c>
      <c r="E439" s="31">
        <v>1</v>
      </c>
      <c r="F439" s="31">
        <v>1</v>
      </c>
      <c r="G439" s="31">
        <v>0</v>
      </c>
      <c r="H439" s="32">
        <v>12.98</v>
      </c>
      <c r="I439">
        <v>3</v>
      </c>
      <c r="J439" s="33">
        <v>0</v>
      </c>
      <c r="K439" s="33">
        <v>0</v>
      </c>
      <c r="L439" s="33">
        <v>0</v>
      </c>
      <c r="M439">
        <v>3</v>
      </c>
      <c r="N439">
        <v>0</v>
      </c>
      <c r="O439">
        <v>1</v>
      </c>
      <c r="P439" t="s">
        <v>54</v>
      </c>
      <c r="Q439" t="s">
        <v>54</v>
      </c>
      <c r="R439" t="s">
        <v>54</v>
      </c>
      <c r="S439" t="s">
        <v>54</v>
      </c>
      <c r="T439" t="s">
        <v>54</v>
      </c>
      <c r="U439" t="s">
        <v>54</v>
      </c>
      <c r="V439" t="s">
        <v>54</v>
      </c>
      <c r="W439" t="s">
        <v>54</v>
      </c>
      <c r="X439" s="23" t="s">
        <v>54</v>
      </c>
      <c r="Y439" s="23" t="s">
        <v>54</v>
      </c>
      <c r="Z439" s="23" t="s">
        <v>54</v>
      </c>
      <c r="AA439" s="23" t="s">
        <v>54</v>
      </c>
      <c r="AB439" t="s">
        <v>54</v>
      </c>
      <c r="AC439" t="s">
        <v>54</v>
      </c>
      <c r="AD439" t="s">
        <v>54</v>
      </c>
      <c r="AE439" t="s">
        <v>54</v>
      </c>
      <c r="AF439" s="23" t="s">
        <v>54</v>
      </c>
      <c r="AG439" s="23" t="s">
        <v>54</v>
      </c>
      <c r="AH439" s="23" t="s">
        <v>54</v>
      </c>
      <c r="AI439" s="23" t="s">
        <v>54</v>
      </c>
      <c r="AJ439">
        <v>16</v>
      </c>
      <c r="AK439">
        <v>4</v>
      </c>
      <c r="AL439">
        <v>13</v>
      </c>
      <c r="AM439">
        <v>7</v>
      </c>
      <c r="AN439" s="23">
        <v>0.0625</v>
      </c>
      <c r="AO439" s="23">
        <v>0.25</v>
      </c>
      <c r="AP439" s="23">
        <v>0.0769230769230769</v>
      </c>
      <c r="AQ439" s="23">
        <v>0</v>
      </c>
      <c r="AR439" s="35">
        <v>0.142857142857143</v>
      </c>
      <c r="AS439" s="35">
        <v>8.57142857142857</v>
      </c>
      <c r="AT439" s="35">
        <v>-5.57142857142857</v>
      </c>
      <c r="AU439" s="31">
        <f t="shared" si="9"/>
        <v>21</v>
      </c>
      <c r="AV439" s="36">
        <f>IFERROR($A$2+AU439,"上周无销量")</f>
        <v>43311</v>
      </c>
    </row>
    <row r="440" spans="1:48">
      <c r="A440" s="21" t="s">
        <v>955</v>
      </c>
      <c r="B440" t="s">
        <v>956</v>
      </c>
      <c r="C440" t="s">
        <v>946</v>
      </c>
      <c r="D440" s="31">
        <v>0</v>
      </c>
      <c r="E440" s="31">
        <v>0</v>
      </c>
      <c r="F440" s="31">
        <v>0</v>
      </c>
      <c r="G440" s="31">
        <v>0</v>
      </c>
      <c r="H440" s="32">
        <v>0</v>
      </c>
      <c r="I440">
        <v>0</v>
      </c>
      <c r="J440" s="33">
        <v>0</v>
      </c>
      <c r="K440" s="33">
        <v>0</v>
      </c>
      <c r="L440" s="33">
        <v>0</v>
      </c>
      <c r="M440">
        <v>0</v>
      </c>
      <c r="N440">
        <v>0</v>
      </c>
      <c r="O440">
        <v>0</v>
      </c>
      <c r="P440" t="s">
        <v>54</v>
      </c>
      <c r="Q440" t="s">
        <v>54</v>
      </c>
      <c r="R440" t="s">
        <v>54</v>
      </c>
      <c r="S440" t="s">
        <v>54</v>
      </c>
      <c r="T440" t="s">
        <v>54</v>
      </c>
      <c r="U440" t="s">
        <v>54</v>
      </c>
      <c r="V440" t="s">
        <v>54</v>
      </c>
      <c r="W440" t="s">
        <v>54</v>
      </c>
      <c r="X440" s="23" t="s">
        <v>54</v>
      </c>
      <c r="Y440" s="23" t="s">
        <v>54</v>
      </c>
      <c r="Z440" s="23" t="s">
        <v>54</v>
      </c>
      <c r="AA440" s="23" t="s">
        <v>54</v>
      </c>
      <c r="AB440" t="s">
        <v>54</v>
      </c>
      <c r="AC440" t="s">
        <v>54</v>
      </c>
      <c r="AD440" t="s">
        <v>54</v>
      </c>
      <c r="AE440" t="s">
        <v>54</v>
      </c>
      <c r="AF440" s="23" t="s">
        <v>54</v>
      </c>
      <c r="AG440" s="23" t="s">
        <v>54</v>
      </c>
      <c r="AH440" s="23" t="s">
        <v>54</v>
      </c>
      <c r="AI440" s="23" t="s">
        <v>54</v>
      </c>
      <c r="AJ440">
        <v>0</v>
      </c>
      <c r="AK440">
        <v>0</v>
      </c>
      <c r="AL440">
        <v>0</v>
      </c>
      <c r="AM440">
        <v>0</v>
      </c>
      <c r="AN440" s="23" t="s">
        <v>54</v>
      </c>
      <c r="AO440" s="23" t="s">
        <v>54</v>
      </c>
      <c r="AP440" s="23" t="s">
        <v>54</v>
      </c>
      <c r="AQ440" s="23" t="s">
        <v>54</v>
      </c>
      <c r="AR440" s="35">
        <v>0</v>
      </c>
      <c r="AS440" s="35">
        <v>0</v>
      </c>
      <c r="AT440" s="35">
        <v>0</v>
      </c>
      <c r="AU440" s="31" t="str">
        <f t="shared" si="9"/>
        <v>库存为0</v>
      </c>
      <c r="AV440" s="36" t="str">
        <f>IFERROR($A$2+AU440,"上周无销量")</f>
        <v>上周无销量</v>
      </c>
    </row>
    <row r="441" spans="1:48">
      <c r="A441" s="21" t="s">
        <v>957</v>
      </c>
      <c r="B441" t="s">
        <v>958</v>
      </c>
      <c r="C441" t="s">
        <v>946</v>
      </c>
      <c r="D441" s="31">
        <v>1</v>
      </c>
      <c r="E441" s="31">
        <v>0</v>
      </c>
      <c r="F441" s="31">
        <v>1</v>
      </c>
      <c r="G441" s="31">
        <v>1</v>
      </c>
      <c r="H441" s="32">
        <v>19.98</v>
      </c>
      <c r="I441">
        <v>6</v>
      </c>
      <c r="J441" s="33">
        <v>0</v>
      </c>
      <c r="K441" s="33">
        <v>0</v>
      </c>
      <c r="L441" s="33">
        <v>0</v>
      </c>
      <c r="M441">
        <v>6</v>
      </c>
      <c r="N441">
        <v>0</v>
      </c>
      <c r="O441">
        <v>6</v>
      </c>
      <c r="P441" t="s">
        <v>54</v>
      </c>
      <c r="Q441" t="s">
        <v>54</v>
      </c>
      <c r="R441" t="s">
        <v>54</v>
      </c>
      <c r="S441" t="s">
        <v>54</v>
      </c>
      <c r="T441" t="s">
        <v>54</v>
      </c>
      <c r="U441" t="s">
        <v>54</v>
      </c>
      <c r="V441" t="s">
        <v>54</v>
      </c>
      <c r="W441" t="s">
        <v>54</v>
      </c>
      <c r="X441" s="23" t="s">
        <v>54</v>
      </c>
      <c r="Y441" s="23" t="s">
        <v>54</v>
      </c>
      <c r="Z441" s="23" t="s">
        <v>54</v>
      </c>
      <c r="AA441" s="23" t="s">
        <v>54</v>
      </c>
      <c r="AB441" t="s">
        <v>54</v>
      </c>
      <c r="AC441" t="s">
        <v>54</v>
      </c>
      <c r="AD441" t="s">
        <v>54</v>
      </c>
      <c r="AE441" t="s">
        <v>54</v>
      </c>
      <c r="AF441" s="23" t="s">
        <v>54</v>
      </c>
      <c r="AG441" s="23" t="s">
        <v>54</v>
      </c>
      <c r="AH441" s="23" t="s">
        <v>54</v>
      </c>
      <c r="AI441" s="23" t="s">
        <v>54</v>
      </c>
      <c r="AJ441">
        <v>17</v>
      </c>
      <c r="AK441">
        <v>6</v>
      </c>
      <c r="AL441">
        <v>11</v>
      </c>
      <c r="AM441">
        <v>15</v>
      </c>
      <c r="AN441" s="23">
        <v>0.0588235294117647</v>
      </c>
      <c r="AO441" s="23">
        <v>0</v>
      </c>
      <c r="AP441" s="23">
        <v>0.0909090909090909</v>
      </c>
      <c r="AQ441" s="23">
        <v>0.0666666666666667</v>
      </c>
      <c r="AR441" s="35">
        <v>0.142857142857143</v>
      </c>
      <c r="AS441" s="35">
        <v>8.57142857142857</v>
      </c>
      <c r="AT441" s="35">
        <v>-2.57142857142857</v>
      </c>
      <c r="AU441" s="31">
        <f t="shared" si="9"/>
        <v>42</v>
      </c>
      <c r="AV441" s="36">
        <f>IFERROR($A$2+AU441,"上周无销量")</f>
        <v>43332</v>
      </c>
    </row>
    <row r="442" spans="1:48">
      <c r="A442" s="21" t="s">
        <v>959</v>
      </c>
      <c r="B442" t="s">
        <v>960</v>
      </c>
      <c r="C442" t="s">
        <v>946</v>
      </c>
      <c r="D442" s="31">
        <v>0</v>
      </c>
      <c r="E442" s="31">
        <v>0</v>
      </c>
      <c r="F442" s="31">
        <v>0</v>
      </c>
      <c r="G442" s="31">
        <v>0</v>
      </c>
      <c r="H442" s="32">
        <v>0</v>
      </c>
      <c r="I442">
        <v>0</v>
      </c>
      <c r="J442" s="33">
        <v>0</v>
      </c>
      <c r="K442" s="33">
        <v>0</v>
      </c>
      <c r="L442" s="33">
        <v>0</v>
      </c>
      <c r="M442">
        <v>0</v>
      </c>
      <c r="N442">
        <v>0</v>
      </c>
      <c r="O442">
        <v>0</v>
      </c>
      <c r="P442" t="s">
        <v>54</v>
      </c>
      <c r="Q442" t="s">
        <v>54</v>
      </c>
      <c r="R442" t="s">
        <v>54</v>
      </c>
      <c r="S442" t="s">
        <v>54</v>
      </c>
      <c r="T442" t="s">
        <v>54</v>
      </c>
      <c r="U442" t="s">
        <v>54</v>
      </c>
      <c r="V442" t="s">
        <v>54</v>
      </c>
      <c r="W442" t="s">
        <v>54</v>
      </c>
      <c r="X442" s="23" t="s">
        <v>54</v>
      </c>
      <c r="Y442" s="23" t="s">
        <v>54</v>
      </c>
      <c r="Z442" s="23" t="s">
        <v>54</v>
      </c>
      <c r="AA442" s="23" t="s">
        <v>54</v>
      </c>
      <c r="AB442" t="s">
        <v>54</v>
      </c>
      <c r="AC442" t="s">
        <v>54</v>
      </c>
      <c r="AD442" t="s">
        <v>54</v>
      </c>
      <c r="AE442" t="s">
        <v>54</v>
      </c>
      <c r="AF442" s="23" t="s">
        <v>54</v>
      </c>
      <c r="AG442" s="23" t="s">
        <v>54</v>
      </c>
      <c r="AH442" s="23" t="s">
        <v>54</v>
      </c>
      <c r="AI442" s="23" t="s">
        <v>54</v>
      </c>
      <c r="AJ442">
        <v>0</v>
      </c>
      <c r="AK442">
        <v>0</v>
      </c>
      <c r="AL442">
        <v>0</v>
      </c>
      <c r="AM442">
        <v>0</v>
      </c>
      <c r="AN442" s="23" t="s">
        <v>54</v>
      </c>
      <c r="AO442" s="23" t="s">
        <v>54</v>
      </c>
      <c r="AP442" s="23" t="s">
        <v>54</v>
      </c>
      <c r="AQ442" s="23" t="s">
        <v>54</v>
      </c>
      <c r="AR442" s="35">
        <v>0</v>
      </c>
      <c r="AS442" s="35">
        <v>0</v>
      </c>
      <c r="AT442" s="35">
        <v>0</v>
      </c>
      <c r="AU442" s="31" t="str">
        <f t="shared" si="9"/>
        <v>库存为0</v>
      </c>
      <c r="AV442" s="36" t="str">
        <f>IFERROR($A$2+AU442,"上周无销量")</f>
        <v>上周无销量</v>
      </c>
    </row>
    <row r="443" spans="1:48">
      <c r="A443" s="21" t="s">
        <v>961</v>
      </c>
      <c r="B443" t="s">
        <v>962</v>
      </c>
      <c r="C443" t="s">
        <v>946</v>
      </c>
      <c r="D443" s="31">
        <v>0</v>
      </c>
      <c r="E443" s="31">
        <v>0</v>
      </c>
      <c r="F443" s="31">
        <v>0</v>
      </c>
      <c r="G443" s="31">
        <v>0</v>
      </c>
      <c r="H443" s="32">
        <v>0</v>
      </c>
      <c r="I443">
        <v>0</v>
      </c>
      <c r="J443" s="33">
        <v>0</v>
      </c>
      <c r="K443" s="33">
        <v>0</v>
      </c>
      <c r="L443" s="33">
        <v>0</v>
      </c>
      <c r="M443">
        <v>0</v>
      </c>
      <c r="N443">
        <v>0</v>
      </c>
      <c r="O443">
        <v>0</v>
      </c>
      <c r="P443" t="s">
        <v>54</v>
      </c>
      <c r="Q443" t="s">
        <v>54</v>
      </c>
      <c r="R443" t="s">
        <v>54</v>
      </c>
      <c r="S443" t="s">
        <v>54</v>
      </c>
      <c r="T443" t="s">
        <v>54</v>
      </c>
      <c r="U443" t="s">
        <v>54</v>
      </c>
      <c r="V443" t="s">
        <v>54</v>
      </c>
      <c r="W443" t="s">
        <v>54</v>
      </c>
      <c r="X443" s="23" t="s">
        <v>54</v>
      </c>
      <c r="Y443" s="23" t="s">
        <v>54</v>
      </c>
      <c r="Z443" s="23" t="s">
        <v>54</v>
      </c>
      <c r="AA443" s="23" t="s">
        <v>54</v>
      </c>
      <c r="AB443" t="s">
        <v>54</v>
      </c>
      <c r="AC443" t="s">
        <v>54</v>
      </c>
      <c r="AD443" t="s">
        <v>54</v>
      </c>
      <c r="AE443" t="s">
        <v>54</v>
      </c>
      <c r="AF443" s="23" t="s">
        <v>54</v>
      </c>
      <c r="AG443" s="23" t="s">
        <v>54</v>
      </c>
      <c r="AH443" s="23" t="s">
        <v>54</v>
      </c>
      <c r="AI443" s="23" t="s">
        <v>54</v>
      </c>
      <c r="AJ443">
        <v>0</v>
      </c>
      <c r="AK443">
        <v>0</v>
      </c>
      <c r="AL443">
        <v>0</v>
      </c>
      <c r="AM443">
        <v>0</v>
      </c>
      <c r="AN443" s="23" t="s">
        <v>54</v>
      </c>
      <c r="AO443" s="23" t="s">
        <v>54</v>
      </c>
      <c r="AP443" s="23" t="s">
        <v>54</v>
      </c>
      <c r="AQ443" s="23" t="s">
        <v>54</v>
      </c>
      <c r="AR443" s="35">
        <v>0</v>
      </c>
      <c r="AS443" s="35">
        <v>0</v>
      </c>
      <c r="AT443" s="35">
        <v>0</v>
      </c>
      <c r="AU443" s="31" t="str">
        <f t="shared" si="9"/>
        <v>库存为0</v>
      </c>
      <c r="AV443" s="36" t="str">
        <f>IFERROR($A$2+AU443,"上周无销量")</f>
        <v>上周无销量</v>
      </c>
    </row>
    <row r="444" spans="1:48">
      <c r="A444" s="21" t="s">
        <v>963</v>
      </c>
      <c r="B444" t="s">
        <v>964</v>
      </c>
      <c r="C444" t="s">
        <v>965</v>
      </c>
      <c r="D444" s="31">
        <v>0</v>
      </c>
      <c r="E444" s="31">
        <v>0</v>
      </c>
      <c r="F444" s="31">
        <v>0</v>
      </c>
      <c r="G444" s="31">
        <v>0</v>
      </c>
      <c r="H444" s="32">
        <v>0</v>
      </c>
      <c r="I444">
        <v>0</v>
      </c>
      <c r="J444" s="33">
        <v>0</v>
      </c>
      <c r="K444" s="33">
        <v>0</v>
      </c>
      <c r="L444" s="33">
        <v>0</v>
      </c>
      <c r="M444">
        <v>0</v>
      </c>
      <c r="N444">
        <v>0</v>
      </c>
      <c r="O444">
        <v>0</v>
      </c>
      <c r="P444" t="s">
        <v>54</v>
      </c>
      <c r="Q444" t="s">
        <v>54</v>
      </c>
      <c r="R444" t="s">
        <v>54</v>
      </c>
      <c r="S444" t="s">
        <v>54</v>
      </c>
      <c r="T444" t="s">
        <v>54</v>
      </c>
      <c r="U444" t="s">
        <v>54</v>
      </c>
      <c r="V444" t="s">
        <v>54</v>
      </c>
      <c r="W444" t="s">
        <v>54</v>
      </c>
      <c r="X444" s="23" t="s">
        <v>54</v>
      </c>
      <c r="Y444" s="23" t="s">
        <v>54</v>
      </c>
      <c r="Z444" s="23" t="s">
        <v>54</v>
      </c>
      <c r="AA444" s="23" t="s">
        <v>54</v>
      </c>
      <c r="AB444" t="s">
        <v>54</v>
      </c>
      <c r="AC444" t="s">
        <v>54</v>
      </c>
      <c r="AD444" t="s">
        <v>54</v>
      </c>
      <c r="AE444" t="s">
        <v>54</v>
      </c>
      <c r="AF444" s="23" t="s">
        <v>54</v>
      </c>
      <c r="AG444" s="23" t="s">
        <v>54</v>
      </c>
      <c r="AH444" s="23" t="s">
        <v>54</v>
      </c>
      <c r="AI444" s="23" t="s">
        <v>54</v>
      </c>
      <c r="AJ444">
        <v>0</v>
      </c>
      <c r="AK444">
        <v>0</v>
      </c>
      <c r="AL444">
        <v>0</v>
      </c>
      <c r="AM444">
        <v>0</v>
      </c>
      <c r="AN444" s="23" t="s">
        <v>54</v>
      </c>
      <c r="AO444" s="23" t="s">
        <v>54</v>
      </c>
      <c r="AP444" s="23" t="s">
        <v>54</v>
      </c>
      <c r="AQ444" s="23" t="s">
        <v>54</v>
      </c>
      <c r="AR444" s="35">
        <v>0</v>
      </c>
      <c r="AS444" s="35">
        <v>0</v>
      </c>
      <c r="AT444" s="35">
        <v>0</v>
      </c>
      <c r="AU444" s="31" t="str">
        <f t="shared" si="9"/>
        <v>库存为0</v>
      </c>
      <c r="AV444" s="36" t="str">
        <f>IFERROR($A$2+AU444,"上周无销量")</f>
        <v>上周无销量</v>
      </c>
    </row>
    <row r="445" spans="1:48">
      <c r="A445" s="21" t="s">
        <v>966</v>
      </c>
      <c r="B445" t="s">
        <v>967</v>
      </c>
      <c r="C445" t="s">
        <v>965</v>
      </c>
      <c r="D445" s="31">
        <v>0</v>
      </c>
      <c r="E445" s="31">
        <v>0</v>
      </c>
      <c r="F445" s="31">
        <v>0</v>
      </c>
      <c r="G445" s="31">
        <v>0</v>
      </c>
      <c r="H445" s="32">
        <v>0</v>
      </c>
      <c r="I445">
        <v>0</v>
      </c>
      <c r="J445" s="33">
        <v>0</v>
      </c>
      <c r="K445" s="33">
        <v>0</v>
      </c>
      <c r="L445" s="33">
        <v>0</v>
      </c>
      <c r="M445">
        <v>0</v>
      </c>
      <c r="N445">
        <v>0</v>
      </c>
      <c r="O445">
        <v>0</v>
      </c>
      <c r="P445" t="s">
        <v>54</v>
      </c>
      <c r="Q445" t="s">
        <v>54</v>
      </c>
      <c r="R445" t="s">
        <v>54</v>
      </c>
      <c r="S445" t="s">
        <v>54</v>
      </c>
      <c r="T445" t="s">
        <v>54</v>
      </c>
      <c r="U445" t="s">
        <v>54</v>
      </c>
      <c r="V445" t="s">
        <v>54</v>
      </c>
      <c r="W445" t="s">
        <v>54</v>
      </c>
      <c r="X445" s="23" t="s">
        <v>54</v>
      </c>
      <c r="Y445" s="23" t="s">
        <v>54</v>
      </c>
      <c r="Z445" s="23" t="s">
        <v>54</v>
      </c>
      <c r="AA445" s="23" t="s">
        <v>54</v>
      </c>
      <c r="AB445" t="s">
        <v>54</v>
      </c>
      <c r="AC445" t="s">
        <v>54</v>
      </c>
      <c r="AD445" t="s">
        <v>54</v>
      </c>
      <c r="AE445" t="s">
        <v>54</v>
      </c>
      <c r="AF445" s="23" t="s">
        <v>54</v>
      </c>
      <c r="AG445" s="23" t="s">
        <v>54</v>
      </c>
      <c r="AH445" s="23" t="s">
        <v>54</v>
      </c>
      <c r="AI445" s="23" t="s">
        <v>54</v>
      </c>
      <c r="AJ445">
        <v>0</v>
      </c>
      <c r="AK445">
        <v>0</v>
      </c>
      <c r="AL445">
        <v>0</v>
      </c>
      <c r="AM445">
        <v>0</v>
      </c>
      <c r="AN445" s="23" t="s">
        <v>54</v>
      </c>
      <c r="AO445" s="23" t="s">
        <v>54</v>
      </c>
      <c r="AP445" s="23" t="s">
        <v>54</v>
      </c>
      <c r="AQ445" s="23" t="s">
        <v>54</v>
      </c>
      <c r="AR445" s="35">
        <v>0</v>
      </c>
      <c r="AS445" s="35">
        <v>0</v>
      </c>
      <c r="AT445" s="35">
        <v>0</v>
      </c>
      <c r="AU445" s="31" t="str">
        <f t="shared" si="9"/>
        <v>库存为0</v>
      </c>
      <c r="AV445" s="36" t="str">
        <f>IFERROR($A$2+AU445,"上周无销量")</f>
        <v>上周无销量</v>
      </c>
    </row>
    <row r="446" spans="1:48">
      <c r="A446" s="21" t="s">
        <v>968</v>
      </c>
      <c r="B446" t="s">
        <v>969</v>
      </c>
      <c r="C446" t="s">
        <v>970</v>
      </c>
      <c r="D446" s="31">
        <v>0</v>
      </c>
      <c r="E446" s="31">
        <v>0</v>
      </c>
      <c r="F446" s="31">
        <v>0</v>
      </c>
      <c r="G446" s="31">
        <v>0</v>
      </c>
      <c r="H446" s="32">
        <v>0</v>
      </c>
      <c r="I446">
        <v>0</v>
      </c>
      <c r="J446" s="33">
        <v>0</v>
      </c>
      <c r="K446" s="33">
        <v>0</v>
      </c>
      <c r="L446" s="33">
        <v>0</v>
      </c>
      <c r="M446">
        <v>0</v>
      </c>
      <c r="N446">
        <v>0</v>
      </c>
      <c r="O446">
        <v>0</v>
      </c>
      <c r="P446" t="s">
        <v>54</v>
      </c>
      <c r="Q446" t="s">
        <v>54</v>
      </c>
      <c r="R446" t="s">
        <v>54</v>
      </c>
      <c r="S446" t="s">
        <v>54</v>
      </c>
      <c r="T446" t="s">
        <v>54</v>
      </c>
      <c r="U446" t="s">
        <v>54</v>
      </c>
      <c r="V446" t="s">
        <v>54</v>
      </c>
      <c r="W446" t="s">
        <v>54</v>
      </c>
      <c r="X446" s="23" t="s">
        <v>54</v>
      </c>
      <c r="Y446" s="23" t="s">
        <v>54</v>
      </c>
      <c r="Z446" s="23" t="s">
        <v>54</v>
      </c>
      <c r="AA446" s="23" t="s">
        <v>54</v>
      </c>
      <c r="AB446" t="s">
        <v>54</v>
      </c>
      <c r="AC446" t="s">
        <v>54</v>
      </c>
      <c r="AD446" t="s">
        <v>54</v>
      </c>
      <c r="AE446" t="s">
        <v>54</v>
      </c>
      <c r="AF446" s="23" t="s">
        <v>54</v>
      </c>
      <c r="AG446" s="23" t="s">
        <v>54</v>
      </c>
      <c r="AH446" s="23" t="s">
        <v>54</v>
      </c>
      <c r="AI446" s="23" t="s">
        <v>54</v>
      </c>
      <c r="AJ446">
        <v>0</v>
      </c>
      <c r="AK446">
        <v>0</v>
      </c>
      <c r="AL446">
        <v>0</v>
      </c>
      <c r="AM446">
        <v>0</v>
      </c>
      <c r="AN446" s="23" t="s">
        <v>54</v>
      </c>
      <c r="AO446" s="23" t="s">
        <v>54</v>
      </c>
      <c r="AP446" s="23" t="s">
        <v>54</v>
      </c>
      <c r="AQ446" s="23" t="s">
        <v>54</v>
      </c>
      <c r="AR446" s="35">
        <v>0</v>
      </c>
      <c r="AS446" s="35">
        <v>0</v>
      </c>
      <c r="AT446" s="35">
        <v>0</v>
      </c>
      <c r="AU446" s="31" t="str">
        <f t="shared" si="9"/>
        <v>库存为0</v>
      </c>
      <c r="AV446" s="36" t="str">
        <f>IFERROR($A$2+AU446,"上周无销量")</f>
        <v>上周无销量</v>
      </c>
    </row>
    <row r="447" spans="1:48">
      <c r="A447" s="21" t="s">
        <v>971</v>
      </c>
      <c r="B447" t="s">
        <v>972</v>
      </c>
      <c r="C447" t="s">
        <v>970</v>
      </c>
      <c r="D447" s="31">
        <v>0</v>
      </c>
      <c r="E447" s="31">
        <v>0</v>
      </c>
      <c r="F447" s="31">
        <v>1</v>
      </c>
      <c r="G447" s="31">
        <v>1</v>
      </c>
      <c r="H447" s="32">
        <v>10</v>
      </c>
      <c r="I447">
        <v>0</v>
      </c>
      <c r="J447" s="33">
        <v>0</v>
      </c>
      <c r="K447" s="33">
        <v>0</v>
      </c>
      <c r="L447" s="33">
        <v>0</v>
      </c>
      <c r="M447">
        <v>0</v>
      </c>
      <c r="N447">
        <v>0</v>
      </c>
      <c r="O447">
        <v>0</v>
      </c>
      <c r="P447" t="s">
        <v>54</v>
      </c>
      <c r="Q447" t="s">
        <v>54</v>
      </c>
      <c r="R447" t="s">
        <v>54</v>
      </c>
      <c r="S447" t="s">
        <v>54</v>
      </c>
      <c r="T447" t="s">
        <v>54</v>
      </c>
      <c r="U447" t="s">
        <v>54</v>
      </c>
      <c r="V447" t="s">
        <v>54</v>
      </c>
      <c r="W447" t="s">
        <v>54</v>
      </c>
      <c r="X447" s="23" t="s">
        <v>54</v>
      </c>
      <c r="Y447" s="23" t="s">
        <v>54</v>
      </c>
      <c r="Z447" s="23" t="s">
        <v>54</v>
      </c>
      <c r="AA447" s="23" t="s">
        <v>54</v>
      </c>
      <c r="AB447" t="s">
        <v>54</v>
      </c>
      <c r="AC447" t="s">
        <v>54</v>
      </c>
      <c r="AD447" t="s">
        <v>54</v>
      </c>
      <c r="AE447" t="s">
        <v>54</v>
      </c>
      <c r="AF447" s="23" t="s">
        <v>54</v>
      </c>
      <c r="AG447" s="23" t="s">
        <v>54</v>
      </c>
      <c r="AH447" s="23" t="s">
        <v>54</v>
      </c>
      <c r="AI447" s="23" t="s">
        <v>54</v>
      </c>
      <c r="AJ447">
        <v>0</v>
      </c>
      <c r="AK447">
        <v>0</v>
      </c>
      <c r="AL447">
        <v>2</v>
      </c>
      <c r="AM447">
        <v>22</v>
      </c>
      <c r="AN447" s="23" t="s">
        <v>54</v>
      </c>
      <c r="AO447" s="23" t="s">
        <v>54</v>
      </c>
      <c r="AP447" s="23">
        <v>0.5</v>
      </c>
      <c r="AQ447" s="23">
        <v>0.0454545454545455</v>
      </c>
      <c r="AR447" s="35">
        <v>0</v>
      </c>
      <c r="AS447" s="35">
        <v>0</v>
      </c>
      <c r="AT447" s="35">
        <v>0</v>
      </c>
      <c r="AU447" s="31" t="str">
        <f t="shared" si="9"/>
        <v>库存为0</v>
      </c>
      <c r="AV447" s="36" t="str">
        <f>IFERROR($A$2+AU447,"上周无销量")</f>
        <v>上周无销量</v>
      </c>
    </row>
    <row r="448" spans="1:48">
      <c r="A448" s="21" t="s">
        <v>973</v>
      </c>
      <c r="B448" t="s">
        <v>974</v>
      </c>
      <c r="C448" t="s">
        <v>975</v>
      </c>
      <c r="D448" s="31">
        <v>0</v>
      </c>
      <c r="E448" s="31">
        <v>0</v>
      </c>
      <c r="F448" s="31">
        <v>0</v>
      </c>
      <c r="G448" s="31">
        <v>0</v>
      </c>
      <c r="H448" s="32">
        <v>0</v>
      </c>
      <c r="I448">
        <v>0</v>
      </c>
      <c r="J448" s="33">
        <v>0</v>
      </c>
      <c r="K448" s="33">
        <v>0</v>
      </c>
      <c r="L448" s="33">
        <v>0</v>
      </c>
      <c r="M448">
        <v>0</v>
      </c>
      <c r="N448">
        <v>0</v>
      </c>
      <c r="O448">
        <v>0</v>
      </c>
      <c r="P448" t="s">
        <v>54</v>
      </c>
      <c r="Q448" t="s">
        <v>54</v>
      </c>
      <c r="R448" t="s">
        <v>54</v>
      </c>
      <c r="S448" t="s">
        <v>54</v>
      </c>
      <c r="T448" t="s">
        <v>54</v>
      </c>
      <c r="U448" t="s">
        <v>54</v>
      </c>
      <c r="V448" t="s">
        <v>54</v>
      </c>
      <c r="W448" t="s">
        <v>54</v>
      </c>
      <c r="X448" s="23" t="s">
        <v>54</v>
      </c>
      <c r="Y448" s="23" t="s">
        <v>54</v>
      </c>
      <c r="Z448" s="23" t="s">
        <v>54</v>
      </c>
      <c r="AA448" s="23" t="s">
        <v>54</v>
      </c>
      <c r="AB448" t="s">
        <v>54</v>
      </c>
      <c r="AC448" t="s">
        <v>54</v>
      </c>
      <c r="AD448" t="s">
        <v>54</v>
      </c>
      <c r="AE448" t="s">
        <v>54</v>
      </c>
      <c r="AF448" s="23" t="s">
        <v>54</v>
      </c>
      <c r="AG448" s="23" t="s">
        <v>54</v>
      </c>
      <c r="AH448" s="23" t="s">
        <v>54</v>
      </c>
      <c r="AI448" s="23" t="s">
        <v>54</v>
      </c>
      <c r="AJ448">
        <v>0</v>
      </c>
      <c r="AK448">
        <v>0</v>
      </c>
      <c r="AL448">
        <v>0</v>
      </c>
      <c r="AM448">
        <v>0</v>
      </c>
      <c r="AN448" s="23" t="s">
        <v>54</v>
      </c>
      <c r="AO448" s="23" t="s">
        <v>54</v>
      </c>
      <c r="AP448" s="23" t="s">
        <v>54</v>
      </c>
      <c r="AQ448" s="23" t="s">
        <v>54</v>
      </c>
      <c r="AR448" s="35">
        <v>0</v>
      </c>
      <c r="AS448" s="35">
        <v>0</v>
      </c>
      <c r="AT448" s="35">
        <v>0</v>
      </c>
      <c r="AU448" s="31" t="str">
        <f t="shared" si="9"/>
        <v>库存为0</v>
      </c>
      <c r="AV448" s="36" t="str">
        <f>IFERROR($A$2+AU448,"上周无销量")</f>
        <v>上周无销量</v>
      </c>
    </row>
    <row r="449" spans="1:48">
      <c r="A449" s="21" t="s">
        <v>976</v>
      </c>
      <c r="B449" t="s">
        <v>977</v>
      </c>
      <c r="C449" t="s">
        <v>978</v>
      </c>
      <c r="D449" s="31">
        <v>0</v>
      </c>
      <c r="E449" s="31">
        <v>0</v>
      </c>
      <c r="F449" s="31">
        <v>0</v>
      </c>
      <c r="G449" s="31">
        <v>0</v>
      </c>
      <c r="H449" s="32">
        <v>0</v>
      </c>
      <c r="I449">
        <v>3</v>
      </c>
      <c r="J449" s="33">
        <v>0</v>
      </c>
      <c r="K449" s="33">
        <v>0</v>
      </c>
      <c r="L449" s="33">
        <v>0</v>
      </c>
      <c r="M449">
        <v>3</v>
      </c>
      <c r="N449">
        <v>0</v>
      </c>
      <c r="O449">
        <v>2</v>
      </c>
      <c r="P449" t="s">
        <v>54</v>
      </c>
      <c r="Q449" t="s">
        <v>54</v>
      </c>
      <c r="R449" t="s">
        <v>54</v>
      </c>
      <c r="S449" t="s">
        <v>54</v>
      </c>
      <c r="T449" t="s">
        <v>54</v>
      </c>
      <c r="U449" t="s">
        <v>54</v>
      </c>
      <c r="V449" t="s">
        <v>54</v>
      </c>
      <c r="W449" t="s">
        <v>54</v>
      </c>
      <c r="X449" s="23" t="s">
        <v>54</v>
      </c>
      <c r="Y449" s="23" t="s">
        <v>54</v>
      </c>
      <c r="Z449" s="23" t="s">
        <v>54</v>
      </c>
      <c r="AA449" s="23" t="s">
        <v>54</v>
      </c>
      <c r="AB449" t="s">
        <v>54</v>
      </c>
      <c r="AC449" t="s">
        <v>54</v>
      </c>
      <c r="AD449" t="s">
        <v>54</v>
      </c>
      <c r="AE449" t="s">
        <v>54</v>
      </c>
      <c r="AF449" s="23" t="s">
        <v>54</v>
      </c>
      <c r="AG449" s="23" t="s">
        <v>54</v>
      </c>
      <c r="AH449" s="23" t="s">
        <v>54</v>
      </c>
      <c r="AI449" s="23" t="s">
        <v>54</v>
      </c>
      <c r="AJ449">
        <v>10</v>
      </c>
      <c r="AK449">
        <v>1</v>
      </c>
      <c r="AL449">
        <v>12</v>
      </c>
      <c r="AM449">
        <v>2</v>
      </c>
      <c r="AN449" s="23">
        <v>0</v>
      </c>
      <c r="AO449" s="23">
        <v>0</v>
      </c>
      <c r="AP449" s="23">
        <v>0</v>
      </c>
      <c r="AQ449" s="23">
        <v>0</v>
      </c>
      <c r="AR449" s="35">
        <v>0</v>
      </c>
      <c r="AS449" s="35">
        <v>0</v>
      </c>
      <c r="AT449" s="35">
        <v>3</v>
      </c>
      <c r="AU449" s="31" t="str">
        <f t="shared" si="9"/>
        <v>库存为3</v>
      </c>
      <c r="AV449" s="36" t="str">
        <f>IFERROR($A$2+AU449,"上周无销量")</f>
        <v>上周无销量</v>
      </c>
    </row>
    <row r="450" spans="1:48">
      <c r="A450" s="21" t="s">
        <v>979</v>
      </c>
      <c r="B450" t="s">
        <v>980</v>
      </c>
      <c r="C450" t="s">
        <v>978</v>
      </c>
      <c r="D450" s="31">
        <v>0</v>
      </c>
      <c r="E450" s="31">
        <v>0</v>
      </c>
      <c r="F450" s="31">
        <v>0</v>
      </c>
      <c r="G450" s="31">
        <v>0</v>
      </c>
      <c r="H450" s="32">
        <v>0</v>
      </c>
      <c r="I450">
        <v>1</v>
      </c>
      <c r="J450" s="33">
        <v>0</v>
      </c>
      <c r="K450" s="33">
        <v>0</v>
      </c>
      <c r="L450" s="33">
        <v>0</v>
      </c>
      <c r="M450">
        <v>1</v>
      </c>
      <c r="N450">
        <v>0</v>
      </c>
      <c r="O450">
        <v>0</v>
      </c>
      <c r="P450" t="s">
        <v>54</v>
      </c>
      <c r="Q450" t="s">
        <v>54</v>
      </c>
      <c r="R450" t="s">
        <v>54</v>
      </c>
      <c r="S450" t="s">
        <v>54</v>
      </c>
      <c r="T450" t="s">
        <v>54</v>
      </c>
      <c r="U450" t="s">
        <v>54</v>
      </c>
      <c r="V450" t="s">
        <v>54</v>
      </c>
      <c r="W450" t="s">
        <v>54</v>
      </c>
      <c r="X450" s="23" t="s">
        <v>54</v>
      </c>
      <c r="Y450" s="23" t="s">
        <v>54</v>
      </c>
      <c r="Z450" s="23" t="s">
        <v>54</v>
      </c>
      <c r="AA450" s="23" t="s">
        <v>54</v>
      </c>
      <c r="AB450" t="s">
        <v>54</v>
      </c>
      <c r="AC450" t="s">
        <v>54</v>
      </c>
      <c r="AD450" t="s">
        <v>54</v>
      </c>
      <c r="AE450" t="s">
        <v>54</v>
      </c>
      <c r="AF450" s="23" t="s">
        <v>54</v>
      </c>
      <c r="AG450" s="23" t="s">
        <v>54</v>
      </c>
      <c r="AH450" s="23" t="s">
        <v>54</v>
      </c>
      <c r="AI450" s="23" t="s">
        <v>54</v>
      </c>
      <c r="AJ450">
        <v>3</v>
      </c>
      <c r="AK450">
        <v>3</v>
      </c>
      <c r="AL450">
        <v>4</v>
      </c>
      <c r="AM450">
        <v>1</v>
      </c>
      <c r="AN450" s="23">
        <v>0</v>
      </c>
      <c r="AO450" s="23">
        <v>0</v>
      </c>
      <c r="AP450" s="23">
        <v>0</v>
      </c>
      <c r="AQ450" s="23">
        <v>0</v>
      </c>
      <c r="AR450" s="35">
        <v>0</v>
      </c>
      <c r="AS450" s="35">
        <v>0</v>
      </c>
      <c r="AT450" s="35">
        <v>1</v>
      </c>
      <c r="AU450" s="31" t="str">
        <f t="shared" si="9"/>
        <v>库存为1</v>
      </c>
      <c r="AV450" s="36" t="str">
        <f>IFERROR($A$2+AU450,"上周无销量")</f>
        <v>上周无销量</v>
      </c>
    </row>
    <row r="451" spans="1:48">
      <c r="A451" s="21" t="s">
        <v>981</v>
      </c>
      <c r="B451" t="s">
        <v>982</v>
      </c>
      <c r="C451" t="s">
        <v>978</v>
      </c>
      <c r="D451" s="31">
        <v>0</v>
      </c>
      <c r="E451" s="31">
        <v>0</v>
      </c>
      <c r="F451" s="31">
        <v>0</v>
      </c>
      <c r="G451" s="31">
        <v>0</v>
      </c>
      <c r="H451" s="32">
        <v>0</v>
      </c>
      <c r="I451">
        <v>0</v>
      </c>
      <c r="J451" s="33">
        <v>0</v>
      </c>
      <c r="K451" s="33">
        <v>0</v>
      </c>
      <c r="L451" s="33">
        <v>0</v>
      </c>
      <c r="M451">
        <v>0</v>
      </c>
      <c r="N451">
        <v>0</v>
      </c>
      <c r="O451">
        <v>0</v>
      </c>
      <c r="P451" t="s">
        <v>54</v>
      </c>
      <c r="Q451" t="s">
        <v>54</v>
      </c>
      <c r="R451" t="s">
        <v>54</v>
      </c>
      <c r="S451" t="s">
        <v>54</v>
      </c>
      <c r="T451" t="s">
        <v>54</v>
      </c>
      <c r="U451" t="s">
        <v>54</v>
      </c>
      <c r="V451" t="s">
        <v>54</v>
      </c>
      <c r="W451" t="s">
        <v>54</v>
      </c>
      <c r="X451" s="23" t="s">
        <v>54</v>
      </c>
      <c r="Y451" s="23" t="s">
        <v>54</v>
      </c>
      <c r="Z451" s="23" t="s">
        <v>54</v>
      </c>
      <c r="AA451" s="23" t="s">
        <v>54</v>
      </c>
      <c r="AB451" t="s">
        <v>54</v>
      </c>
      <c r="AC451" t="s">
        <v>54</v>
      </c>
      <c r="AD451" t="s">
        <v>54</v>
      </c>
      <c r="AE451" t="s">
        <v>54</v>
      </c>
      <c r="AF451" s="23" t="s">
        <v>54</v>
      </c>
      <c r="AG451" s="23" t="s">
        <v>54</v>
      </c>
      <c r="AH451" s="23" t="s">
        <v>54</v>
      </c>
      <c r="AI451" s="23" t="s">
        <v>54</v>
      </c>
      <c r="AJ451">
        <v>0</v>
      </c>
      <c r="AK451">
        <v>0</v>
      </c>
      <c r="AL451">
        <v>0</v>
      </c>
      <c r="AM451">
        <v>0</v>
      </c>
      <c r="AN451" s="23" t="s">
        <v>54</v>
      </c>
      <c r="AO451" s="23" t="s">
        <v>54</v>
      </c>
      <c r="AP451" s="23" t="s">
        <v>54</v>
      </c>
      <c r="AQ451" s="23" t="s">
        <v>54</v>
      </c>
      <c r="AR451" s="35">
        <v>0</v>
      </c>
      <c r="AS451" s="35">
        <v>0</v>
      </c>
      <c r="AT451" s="35">
        <v>0</v>
      </c>
      <c r="AU451" s="31" t="str">
        <f t="shared" si="9"/>
        <v>库存为0</v>
      </c>
      <c r="AV451" s="36" t="str">
        <f>IFERROR($A$2+AU451,"上周无销量")</f>
        <v>上周无销量</v>
      </c>
    </row>
    <row r="452" spans="1:48">
      <c r="A452" s="21" t="s">
        <v>983</v>
      </c>
      <c r="B452" t="s">
        <v>984</v>
      </c>
      <c r="C452" t="s">
        <v>985</v>
      </c>
      <c r="D452" s="31">
        <v>0</v>
      </c>
      <c r="E452" s="31">
        <v>0</v>
      </c>
      <c r="F452" s="31">
        <v>0</v>
      </c>
      <c r="G452" s="31">
        <v>0</v>
      </c>
      <c r="H452" s="32">
        <v>0</v>
      </c>
      <c r="I452">
        <v>0</v>
      </c>
      <c r="J452" s="33">
        <v>0</v>
      </c>
      <c r="K452" s="33">
        <v>0</v>
      </c>
      <c r="L452" s="33">
        <v>0</v>
      </c>
      <c r="M452">
        <v>0</v>
      </c>
      <c r="N452">
        <v>0</v>
      </c>
      <c r="O452">
        <v>0</v>
      </c>
      <c r="P452" t="s">
        <v>54</v>
      </c>
      <c r="Q452" t="s">
        <v>54</v>
      </c>
      <c r="R452" t="s">
        <v>54</v>
      </c>
      <c r="S452" t="s">
        <v>54</v>
      </c>
      <c r="T452" t="s">
        <v>54</v>
      </c>
      <c r="U452" t="s">
        <v>54</v>
      </c>
      <c r="V452" t="s">
        <v>54</v>
      </c>
      <c r="W452" t="s">
        <v>54</v>
      </c>
      <c r="X452" s="23" t="s">
        <v>54</v>
      </c>
      <c r="Y452" s="23" t="s">
        <v>54</v>
      </c>
      <c r="Z452" s="23" t="s">
        <v>54</v>
      </c>
      <c r="AA452" s="23" t="s">
        <v>54</v>
      </c>
      <c r="AB452" t="s">
        <v>54</v>
      </c>
      <c r="AC452" t="s">
        <v>54</v>
      </c>
      <c r="AD452" t="s">
        <v>54</v>
      </c>
      <c r="AE452" t="s">
        <v>54</v>
      </c>
      <c r="AF452" s="23" t="s">
        <v>54</v>
      </c>
      <c r="AG452" s="23" t="s">
        <v>54</v>
      </c>
      <c r="AH452" s="23" t="s">
        <v>54</v>
      </c>
      <c r="AI452" s="23" t="s">
        <v>54</v>
      </c>
      <c r="AJ452">
        <v>0</v>
      </c>
      <c r="AK452">
        <v>0</v>
      </c>
      <c r="AL452">
        <v>0</v>
      </c>
      <c r="AM452">
        <v>0</v>
      </c>
      <c r="AN452" s="23" t="s">
        <v>54</v>
      </c>
      <c r="AO452" s="23" t="s">
        <v>54</v>
      </c>
      <c r="AP452" s="23" t="s">
        <v>54</v>
      </c>
      <c r="AQ452" s="23" t="s">
        <v>54</v>
      </c>
      <c r="AR452" s="35">
        <v>0</v>
      </c>
      <c r="AS452" s="35">
        <v>0</v>
      </c>
      <c r="AT452" s="35">
        <v>0</v>
      </c>
      <c r="AU452" s="31" t="str">
        <f t="shared" si="9"/>
        <v>库存为0</v>
      </c>
      <c r="AV452" s="36" t="str">
        <f>IFERROR($A$2+AU452,"上周无销量")</f>
        <v>上周无销量</v>
      </c>
    </row>
    <row r="453" spans="1:48">
      <c r="A453" s="21" t="s">
        <v>986</v>
      </c>
      <c r="B453" t="s">
        <v>987</v>
      </c>
      <c r="C453" t="s">
        <v>985</v>
      </c>
      <c r="D453" s="31">
        <v>0</v>
      </c>
      <c r="E453" s="31">
        <v>0</v>
      </c>
      <c r="F453" s="31">
        <v>0</v>
      </c>
      <c r="G453" s="31">
        <v>0</v>
      </c>
      <c r="H453" s="32">
        <v>0</v>
      </c>
      <c r="I453">
        <v>0</v>
      </c>
      <c r="J453" s="33">
        <v>0</v>
      </c>
      <c r="K453" s="33">
        <v>0</v>
      </c>
      <c r="L453" s="33">
        <v>0</v>
      </c>
      <c r="M453">
        <v>0</v>
      </c>
      <c r="N453">
        <v>0</v>
      </c>
      <c r="O453">
        <v>0</v>
      </c>
      <c r="P453" t="s">
        <v>54</v>
      </c>
      <c r="Q453" t="s">
        <v>54</v>
      </c>
      <c r="R453" t="s">
        <v>54</v>
      </c>
      <c r="S453" t="s">
        <v>54</v>
      </c>
      <c r="T453" t="s">
        <v>54</v>
      </c>
      <c r="U453" t="s">
        <v>54</v>
      </c>
      <c r="V453" t="s">
        <v>54</v>
      </c>
      <c r="W453" t="s">
        <v>54</v>
      </c>
      <c r="X453" s="23" t="s">
        <v>54</v>
      </c>
      <c r="Y453" s="23" t="s">
        <v>54</v>
      </c>
      <c r="Z453" s="23" t="s">
        <v>54</v>
      </c>
      <c r="AA453" s="23" t="s">
        <v>54</v>
      </c>
      <c r="AB453" t="s">
        <v>54</v>
      </c>
      <c r="AC453" t="s">
        <v>54</v>
      </c>
      <c r="AD453" t="s">
        <v>54</v>
      </c>
      <c r="AE453" t="s">
        <v>54</v>
      </c>
      <c r="AF453" s="23" t="s">
        <v>54</v>
      </c>
      <c r="AG453" s="23" t="s">
        <v>54</v>
      </c>
      <c r="AH453" s="23" t="s">
        <v>54</v>
      </c>
      <c r="AI453" s="23" t="s">
        <v>54</v>
      </c>
      <c r="AJ453">
        <v>0</v>
      </c>
      <c r="AK453">
        <v>0</v>
      </c>
      <c r="AL453">
        <v>0</v>
      </c>
      <c r="AM453">
        <v>0</v>
      </c>
      <c r="AN453" s="23" t="s">
        <v>54</v>
      </c>
      <c r="AO453" s="23" t="s">
        <v>54</v>
      </c>
      <c r="AP453" s="23" t="s">
        <v>54</v>
      </c>
      <c r="AQ453" s="23" t="s">
        <v>54</v>
      </c>
      <c r="AR453" s="35">
        <v>0</v>
      </c>
      <c r="AS453" s="35">
        <v>0</v>
      </c>
      <c r="AT453" s="35">
        <v>0</v>
      </c>
      <c r="AU453" s="31" t="str">
        <f t="shared" ref="AU453:AU516" si="10">IF(AR453="","库存为"&amp;M453,IF(AS453=0,"库存为"&amp;M453,INT(M453/AR453)))</f>
        <v>库存为0</v>
      </c>
      <c r="AV453" s="36" t="str">
        <f>IFERROR($A$2+AU453,"上周无销量")</f>
        <v>上周无销量</v>
      </c>
    </row>
    <row r="454" spans="1:48">
      <c r="A454" s="21" t="s">
        <v>988</v>
      </c>
      <c r="B454" t="s">
        <v>989</v>
      </c>
      <c r="C454" t="s">
        <v>985</v>
      </c>
      <c r="D454" s="31">
        <v>0</v>
      </c>
      <c r="E454" s="31">
        <v>0</v>
      </c>
      <c r="F454" s="31">
        <v>0</v>
      </c>
      <c r="G454" s="31">
        <v>0</v>
      </c>
      <c r="H454" s="32">
        <v>0</v>
      </c>
      <c r="I454">
        <v>0</v>
      </c>
      <c r="J454" s="33">
        <v>0</v>
      </c>
      <c r="K454" s="33">
        <v>0</v>
      </c>
      <c r="L454" s="33">
        <v>0</v>
      </c>
      <c r="M454">
        <v>0</v>
      </c>
      <c r="N454">
        <v>0</v>
      </c>
      <c r="O454">
        <v>0</v>
      </c>
      <c r="P454" t="s">
        <v>54</v>
      </c>
      <c r="Q454" t="s">
        <v>54</v>
      </c>
      <c r="R454" t="s">
        <v>54</v>
      </c>
      <c r="S454" t="s">
        <v>54</v>
      </c>
      <c r="T454" t="s">
        <v>54</v>
      </c>
      <c r="U454" t="s">
        <v>54</v>
      </c>
      <c r="V454" t="s">
        <v>54</v>
      </c>
      <c r="W454" t="s">
        <v>54</v>
      </c>
      <c r="X454" s="23" t="s">
        <v>54</v>
      </c>
      <c r="Y454" s="23" t="s">
        <v>54</v>
      </c>
      <c r="Z454" s="23" t="s">
        <v>54</v>
      </c>
      <c r="AA454" s="23" t="s">
        <v>54</v>
      </c>
      <c r="AB454" t="s">
        <v>54</v>
      </c>
      <c r="AC454" t="s">
        <v>54</v>
      </c>
      <c r="AD454" t="s">
        <v>54</v>
      </c>
      <c r="AE454" t="s">
        <v>54</v>
      </c>
      <c r="AF454" s="23" t="s">
        <v>54</v>
      </c>
      <c r="AG454" s="23" t="s">
        <v>54</v>
      </c>
      <c r="AH454" s="23" t="s">
        <v>54</v>
      </c>
      <c r="AI454" s="23" t="s">
        <v>54</v>
      </c>
      <c r="AJ454">
        <v>0</v>
      </c>
      <c r="AK454">
        <v>0</v>
      </c>
      <c r="AL454">
        <v>0</v>
      </c>
      <c r="AM454">
        <v>0</v>
      </c>
      <c r="AN454" s="23" t="s">
        <v>54</v>
      </c>
      <c r="AO454" s="23" t="s">
        <v>54</v>
      </c>
      <c r="AP454" s="23" t="s">
        <v>54</v>
      </c>
      <c r="AQ454" s="23" t="s">
        <v>54</v>
      </c>
      <c r="AR454" s="35">
        <v>0</v>
      </c>
      <c r="AS454" s="35">
        <v>0</v>
      </c>
      <c r="AT454" s="35">
        <v>0</v>
      </c>
      <c r="AU454" s="31" t="str">
        <f t="shared" si="10"/>
        <v>库存为0</v>
      </c>
      <c r="AV454" s="36" t="str">
        <f>IFERROR($A$2+AU454,"上周无销量")</f>
        <v>上周无销量</v>
      </c>
    </row>
    <row r="455" spans="1:48">
      <c r="A455" s="21" t="s">
        <v>990</v>
      </c>
      <c r="B455" t="s">
        <v>991</v>
      </c>
      <c r="C455" t="s">
        <v>985</v>
      </c>
      <c r="D455" s="31">
        <v>0</v>
      </c>
      <c r="E455" s="31">
        <v>0</v>
      </c>
      <c r="F455" s="31">
        <v>0</v>
      </c>
      <c r="G455" s="31">
        <v>0</v>
      </c>
      <c r="H455" s="32">
        <v>0</v>
      </c>
      <c r="I455">
        <v>0</v>
      </c>
      <c r="J455" s="33">
        <v>0</v>
      </c>
      <c r="K455" s="33">
        <v>0</v>
      </c>
      <c r="L455" s="33">
        <v>0</v>
      </c>
      <c r="M455">
        <v>0</v>
      </c>
      <c r="N455">
        <v>0</v>
      </c>
      <c r="O455">
        <v>0</v>
      </c>
      <c r="P455" t="s">
        <v>54</v>
      </c>
      <c r="Q455" t="s">
        <v>54</v>
      </c>
      <c r="R455" t="s">
        <v>54</v>
      </c>
      <c r="S455" t="s">
        <v>54</v>
      </c>
      <c r="T455" t="s">
        <v>54</v>
      </c>
      <c r="U455" t="s">
        <v>54</v>
      </c>
      <c r="V455" t="s">
        <v>54</v>
      </c>
      <c r="W455" t="s">
        <v>54</v>
      </c>
      <c r="X455" s="23" t="s">
        <v>54</v>
      </c>
      <c r="Y455" s="23" t="s">
        <v>54</v>
      </c>
      <c r="Z455" s="23" t="s">
        <v>54</v>
      </c>
      <c r="AA455" s="23" t="s">
        <v>54</v>
      </c>
      <c r="AB455" t="s">
        <v>54</v>
      </c>
      <c r="AC455" t="s">
        <v>54</v>
      </c>
      <c r="AD455" t="s">
        <v>54</v>
      </c>
      <c r="AE455" t="s">
        <v>54</v>
      </c>
      <c r="AF455" s="23" t="s">
        <v>54</v>
      </c>
      <c r="AG455" s="23" t="s">
        <v>54</v>
      </c>
      <c r="AH455" s="23" t="s">
        <v>54</v>
      </c>
      <c r="AI455" s="23" t="s">
        <v>54</v>
      </c>
      <c r="AJ455">
        <v>0</v>
      </c>
      <c r="AK455">
        <v>0</v>
      </c>
      <c r="AL455">
        <v>0</v>
      </c>
      <c r="AM455">
        <v>0</v>
      </c>
      <c r="AN455" s="23" t="s">
        <v>54</v>
      </c>
      <c r="AO455" s="23" t="s">
        <v>54</v>
      </c>
      <c r="AP455" s="23" t="s">
        <v>54</v>
      </c>
      <c r="AQ455" s="23" t="s">
        <v>54</v>
      </c>
      <c r="AR455" s="35">
        <v>0</v>
      </c>
      <c r="AS455" s="35">
        <v>0</v>
      </c>
      <c r="AT455" s="35">
        <v>0</v>
      </c>
      <c r="AU455" s="31" t="str">
        <f t="shared" si="10"/>
        <v>库存为0</v>
      </c>
      <c r="AV455" s="36" t="str">
        <f>IFERROR($A$2+AU455,"上周无销量")</f>
        <v>上周无销量</v>
      </c>
    </row>
    <row r="456" spans="1:48">
      <c r="A456" s="21" t="s">
        <v>992</v>
      </c>
      <c r="B456" t="s">
        <v>993</v>
      </c>
      <c r="C456" t="s">
        <v>985</v>
      </c>
      <c r="D456" s="31">
        <v>0</v>
      </c>
      <c r="E456" s="31">
        <v>0</v>
      </c>
      <c r="F456" s="31">
        <v>0</v>
      </c>
      <c r="G456" s="31">
        <v>0</v>
      </c>
      <c r="H456" s="32">
        <v>0</v>
      </c>
      <c r="I456">
        <v>0</v>
      </c>
      <c r="J456" s="33">
        <v>0</v>
      </c>
      <c r="K456" s="33">
        <v>0</v>
      </c>
      <c r="L456" s="33">
        <v>0</v>
      </c>
      <c r="M456">
        <v>0</v>
      </c>
      <c r="N456">
        <v>0</v>
      </c>
      <c r="O456">
        <v>0</v>
      </c>
      <c r="P456" t="s">
        <v>54</v>
      </c>
      <c r="Q456" t="s">
        <v>54</v>
      </c>
      <c r="R456" t="s">
        <v>54</v>
      </c>
      <c r="S456" t="s">
        <v>54</v>
      </c>
      <c r="T456" t="s">
        <v>54</v>
      </c>
      <c r="U456" t="s">
        <v>54</v>
      </c>
      <c r="V456" t="s">
        <v>54</v>
      </c>
      <c r="W456" t="s">
        <v>54</v>
      </c>
      <c r="X456" s="23" t="s">
        <v>54</v>
      </c>
      <c r="Y456" s="23" t="s">
        <v>54</v>
      </c>
      <c r="Z456" s="23" t="s">
        <v>54</v>
      </c>
      <c r="AA456" s="23" t="s">
        <v>54</v>
      </c>
      <c r="AB456" t="s">
        <v>54</v>
      </c>
      <c r="AC456" t="s">
        <v>54</v>
      </c>
      <c r="AD456" t="s">
        <v>54</v>
      </c>
      <c r="AE456" t="s">
        <v>54</v>
      </c>
      <c r="AF456" s="23" t="s">
        <v>54</v>
      </c>
      <c r="AG456" s="23" t="s">
        <v>54</v>
      </c>
      <c r="AH456" s="23" t="s">
        <v>54</v>
      </c>
      <c r="AI456" s="23" t="s">
        <v>54</v>
      </c>
      <c r="AJ456">
        <v>0</v>
      </c>
      <c r="AK456">
        <v>0</v>
      </c>
      <c r="AL456">
        <v>0</v>
      </c>
      <c r="AM456">
        <v>0</v>
      </c>
      <c r="AN456" s="23" t="s">
        <v>54</v>
      </c>
      <c r="AO456" s="23" t="s">
        <v>54</v>
      </c>
      <c r="AP456" s="23" t="s">
        <v>54</v>
      </c>
      <c r="AQ456" s="23" t="s">
        <v>54</v>
      </c>
      <c r="AR456" s="35">
        <v>0</v>
      </c>
      <c r="AS456" s="35">
        <v>0</v>
      </c>
      <c r="AT456" s="35">
        <v>0</v>
      </c>
      <c r="AU456" s="31" t="str">
        <f t="shared" si="10"/>
        <v>库存为0</v>
      </c>
      <c r="AV456" s="36" t="str">
        <f>IFERROR($A$2+AU456,"上周无销量")</f>
        <v>上周无销量</v>
      </c>
    </row>
    <row r="457" spans="1:48">
      <c r="A457" s="21" t="s">
        <v>994</v>
      </c>
      <c r="B457" t="s">
        <v>995</v>
      </c>
      <c r="C457" t="s">
        <v>985</v>
      </c>
      <c r="D457" s="31">
        <v>0</v>
      </c>
      <c r="E457" s="31">
        <v>0</v>
      </c>
      <c r="F457" s="31">
        <v>0</v>
      </c>
      <c r="G457" s="31">
        <v>0</v>
      </c>
      <c r="H457" s="32">
        <v>0</v>
      </c>
      <c r="I457">
        <v>0</v>
      </c>
      <c r="J457" s="33">
        <v>0</v>
      </c>
      <c r="K457" s="33">
        <v>0</v>
      </c>
      <c r="L457" s="33">
        <v>0</v>
      </c>
      <c r="M457">
        <v>0</v>
      </c>
      <c r="N457">
        <v>0</v>
      </c>
      <c r="O457">
        <v>0</v>
      </c>
      <c r="P457" t="s">
        <v>54</v>
      </c>
      <c r="Q457" t="s">
        <v>54</v>
      </c>
      <c r="R457" t="s">
        <v>54</v>
      </c>
      <c r="S457" t="s">
        <v>54</v>
      </c>
      <c r="T457" t="s">
        <v>54</v>
      </c>
      <c r="U457" t="s">
        <v>54</v>
      </c>
      <c r="V457" t="s">
        <v>54</v>
      </c>
      <c r="W457" t="s">
        <v>54</v>
      </c>
      <c r="X457" s="23" t="s">
        <v>54</v>
      </c>
      <c r="Y457" s="23" t="s">
        <v>54</v>
      </c>
      <c r="Z457" s="23" t="s">
        <v>54</v>
      </c>
      <c r="AA457" s="23" t="s">
        <v>54</v>
      </c>
      <c r="AB457" t="s">
        <v>54</v>
      </c>
      <c r="AC457" t="s">
        <v>54</v>
      </c>
      <c r="AD457" t="s">
        <v>54</v>
      </c>
      <c r="AE457" t="s">
        <v>54</v>
      </c>
      <c r="AF457" s="23" t="s">
        <v>54</v>
      </c>
      <c r="AG457" s="23" t="s">
        <v>54</v>
      </c>
      <c r="AH457" s="23" t="s">
        <v>54</v>
      </c>
      <c r="AI457" s="23" t="s">
        <v>54</v>
      </c>
      <c r="AJ457">
        <v>0</v>
      </c>
      <c r="AK457">
        <v>0</v>
      </c>
      <c r="AL457">
        <v>0</v>
      </c>
      <c r="AM457">
        <v>0</v>
      </c>
      <c r="AN457" s="23" t="s">
        <v>54</v>
      </c>
      <c r="AO457" s="23" t="s">
        <v>54</v>
      </c>
      <c r="AP457" s="23" t="s">
        <v>54</v>
      </c>
      <c r="AQ457" s="23" t="s">
        <v>54</v>
      </c>
      <c r="AR457" s="35">
        <v>0</v>
      </c>
      <c r="AS457" s="35">
        <v>0</v>
      </c>
      <c r="AT457" s="35">
        <v>0</v>
      </c>
      <c r="AU457" s="31" t="str">
        <f t="shared" si="10"/>
        <v>库存为0</v>
      </c>
      <c r="AV457" s="36" t="str">
        <f>IFERROR($A$2+AU457,"上周无销量")</f>
        <v>上周无销量</v>
      </c>
    </row>
    <row r="458" spans="1:48">
      <c r="A458" s="21" t="s">
        <v>996</v>
      </c>
      <c r="B458" t="s">
        <v>997</v>
      </c>
      <c r="C458" t="s">
        <v>985</v>
      </c>
      <c r="D458" s="31">
        <v>0</v>
      </c>
      <c r="E458" s="31">
        <v>0</v>
      </c>
      <c r="F458" s="31">
        <v>0</v>
      </c>
      <c r="G458" s="31">
        <v>0</v>
      </c>
      <c r="H458" s="32">
        <v>0</v>
      </c>
      <c r="I458">
        <v>0</v>
      </c>
      <c r="J458" s="33">
        <v>0</v>
      </c>
      <c r="K458" s="33">
        <v>0</v>
      </c>
      <c r="L458" s="33">
        <v>0</v>
      </c>
      <c r="M458">
        <v>0</v>
      </c>
      <c r="N458">
        <v>0</v>
      </c>
      <c r="O458">
        <v>0</v>
      </c>
      <c r="P458" t="s">
        <v>54</v>
      </c>
      <c r="Q458" t="s">
        <v>54</v>
      </c>
      <c r="R458" t="s">
        <v>54</v>
      </c>
      <c r="S458" t="s">
        <v>54</v>
      </c>
      <c r="T458" t="s">
        <v>54</v>
      </c>
      <c r="U458" t="s">
        <v>54</v>
      </c>
      <c r="V458" t="s">
        <v>54</v>
      </c>
      <c r="W458" t="s">
        <v>54</v>
      </c>
      <c r="X458" s="23" t="s">
        <v>54</v>
      </c>
      <c r="Y458" s="23" t="s">
        <v>54</v>
      </c>
      <c r="Z458" s="23" t="s">
        <v>54</v>
      </c>
      <c r="AA458" s="23" t="s">
        <v>54</v>
      </c>
      <c r="AB458" t="s">
        <v>54</v>
      </c>
      <c r="AC458" t="s">
        <v>54</v>
      </c>
      <c r="AD458" t="s">
        <v>54</v>
      </c>
      <c r="AE458" t="s">
        <v>54</v>
      </c>
      <c r="AF458" s="23" t="s">
        <v>54</v>
      </c>
      <c r="AG458" s="23" t="s">
        <v>54</v>
      </c>
      <c r="AH458" s="23" t="s">
        <v>54</v>
      </c>
      <c r="AI458" s="23" t="s">
        <v>54</v>
      </c>
      <c r="AJ458">
        <v>0</v>
      </c>
      <c r="AK458">
        <v>0</v>
      </c>
      <c r="AL458">
        <v>0</v>
      </c>
      <c r="AM458">
        <v>0</v>
      </c>
      <c r="AN458" s="23" t="s">
        <v>54</v>
      </c>
      <c r="AO458" s="23" t="s">
        <v>54</v>
      </c>
      <c r="AP458" s="23" t="s">
        <v>54</v>
      </c>
      <c r="AQ458" s="23" t="s">
        <v>54</v>
      </c>
      <c r="AR458" s="35">
        <v>0</v>
      </c>
      <c r="AS458" s="35">
        <v>0</v>
      </c>
      <c r="AT458" s="35">
        <v>0</v>
      </c>
      <c r="AU458" s="31" t="str">
        <f t="shared" si="10"/>
        <v>库存为0</v>
      </c>
      <c r="AV458" s="36" t="str">
        <f>IFERROR($A$2+AU458,"上周无销量")</f>
        <v>上周无销量</v>
      </c>
    </row>
    <row r="459" spans="1:48">
      <c r="A459" s="21" t="s">
        <v>998</v>
      </c>
      <c r="B459" t="s">
        <v>999</v>
      </c>
      <c r="C459" t="s">
        <v>985</v>
      </c>
      <c r="D459" s="31">
        <v>0</v>
      </c>
      <c r="E459" s="31">
        <v>0</v>
      </c>
      <c r="F459" s="31">
        <v>0</v>
      </c>
      <c r="G459" s="31">
        <v>0</v>
      </c>
      <c r="H459" s="32">
        <v>0</v>
      </c>
      <c r="I459">
        <v>5</v>
      </c>
      <c r="J459" s="33">
        <v>0</v>
      </c>
      <c r="K459" s="33">
        <v>0</v>
      </c>
      <c r="L459" s="33">
        <v>0</v>
      </c>
      <c r="M459">
        <v>5</v>
      </c>
      <c r="N459">
        <v>0</v>
      </c>
      <c r="O459">
        <v>5</v>
      </c>
      <c r="P459" t="s">
        <v>54</v>
      </c>
      <c r="Q459" t="s">
        <v>54</v>
      </c>
      <c r="R459" t="s">
        <v>54</v>
      </c>
      <c r="S459" t="s">
        <v>54</v>
      </c>
      <c r="T459" t="s">
        <v>54</v>
      </c>
      <c r="U459" t="s">
        <v>54</v>
      </c>
      <c r="V459" t="s">
        <v>54</v>
      </c>
      <c r="W459" t="s">
        <v>54</v>
      </c>
      <c r="X459" s="23" t="s">
        <v>54</v>
      </c>
      <c r="Y459" s="23" t="s">
        <v>54</v>
      </c>
      <c r="Z459" s="23" t="s">
        <v>54</v>
      </c>
      <c r="AA459" s="23" t="s">
        <v>54</v>
      </c>
      <c r="AB459" t="s">
        <v>54</v>
      </c>
      <c r="AC459" t="s">
        <v>54</v>
      </c>
      <c r="AD459" t="s">
        <v>54</v>
      </c>
      <c r="AE459" t="s">
        <v>54</v>
      </c>
      <c r="AF459" s="23" t="s">
        <v>54</v>
      </c>
      <c r="AG459" s="23" t="s">
        <v>54</v>
      </c>
      <c r="AH459" s="23" t="s">
        <v>54</v>
      </c>
      <c r="AI459" s="23" t="s">
        <v>54</v>
      </c>
      <c r="AJ459">
        <v>7</v>
      </c>
      <c r="AK459">
        <v>11</v>
      </c>
      <c r="AL459">
        <v>8</v>
      </c>
      <c r="AM459">
        <v>5</v>
      </c>
      <c r="AN459" s="23">
        <v>0</v>
      </c>
      <c r="AO459" s="23">
        <v>0</v>
      </c>
      <c r="AP459" s="23">
        <v>0</v>
      </c>
      <c r="AQ459" s="23">
        <v>0</v>
      </c>
      <c r="AR459" s="35">
        <v>0</v>
      </c>
      <c r="AS459" s="35">
        <v>0</v>
      </c>
      <c r="AT459" s="35">
        <v>5</v>
      </c>
      <c r="AU459" s="31" t="str">
        <f t="shared" si="10"/>
        <v>库存为5</v>
      </c>
      <c r="AV459" s="36" t="str">
        <f>IFERROR($A$2+AU459,"上周无销量")</f>
        <v>上周无销量</v>
      </c>
    </row>
    <row r="460" spans="1:48">
      <c r="A460" s="21" t="s">
        <v>1000</v>
      </c>
      <c r="B460" t="s">
        <v>1001</v>
      </c>
      <c r="C460" t="s">
        <v>1002</v>
      </c>
      <c r="D460" s="31">
        <v>0</v>
      </c>
      <c r="E460" s="31">
        <v>0</v>
      </c>
      <c r="F460" s="31">
        <v>0</v>
      </c>
      <c r="G460" s="31">
        <v>0</v>
      </c>
      <c r="H460" s="32">
        <v>0</v>
      </c>
      <c r="I460">
        <v>0</v>
      </c>
      <c r="J460" s="33">
        <v>0</v>
      </c>
      <c r="K460" s="33">
        <v>0</v>
      </c>
      <c r="L460" s="33">
        <v>0</v>
      </c>
      <c r="M460">
        <v>0</v>
      </c>
      <c r="N460">
        <v>0</v>
      </c>
      <c r="O460">
        <v>0</v>
      </c>
      <c r="P460" t="s">
        <v>54</v>
      </c>
      <c r="Q460" t="s">
        <v>54</v>
      </c>
      <c r="R460" t="s">
        <v>54</v>
      </c>
      <c r="S460" t="s">
        <v>54</v>
      </c>
      <c r="T460" t="s">
        <v>54</v>
      </c>
      <c r="U460" t="s">
        <v>54</v>
      </c>
      <c r="V460" t="s">
        <v>54</v>
      </c>
      <c r="W460" t="s">
        <v>54</v>
      </c>
      <c r="X460" s="23" t="s">
        <v>54</v>
      </c>
      <c r="Y460" s="23" t="s">
        <v>54</v>
      </c>
      <c r="Z460" s="23" t="s">
        <v>54</v>
      </c>
      <c r="AA460" s="23" t="s">
        <v>54</v>
      </c>
      <c r="AB460" t="s">
        <v>54</v>
      </c>
      <c r="AC460" t="s">
        <v>54</v>
      </c>
      <c r="AD460" t="s">
        <v>54</v>
      </c>
      <c r="AE460" t="s">
        <v>54</v>
      </c>
      <c r="AF460" s="23" t="s">
        <v>54</v>
      </c>
      <c r="AG460" s="23" t="s">
        <v>54</v>
      </c>
      <c r="AH460" s="23" t="s">
        <v>54</v>
      </c>
      <c r="AI460" s="23" t="s">
        <v>54</v>
      </c>
      <c r="AJ460">
        <v>0</v>
      </c>
      <c r="AK460">
        <v>0</v>
      </c>
      <c r="AL460">
        <v>0</v>
      </c>
      <c r="AM460">
        <v>0</v>
      </c>
      <c r="AN460" s="23" t="s">
        <v>54</v>
      </c>
      <c r="AO460" s="23" t="s">
        <v>54</v>
      </c>
      <c r="AP460" s="23" t="s">
        <v>54</v>
      </c>
      <c r="AQ460" s="23" t="s">
        <v>54</v>
      </c>
      <c r="AR460" s="35">
        <v>0</v>
      </c>
      <c r="AS460" s="35">
        <v>0</v>
      </c>
      <c r="AT460" s="35">
        <v>0</v>
      </c>
      <c r="AU460" s="31" t="str">
        <f t="shared" si="10"/>
        <v>库存为0</v>
      </c>
      <c r="AV460" s="36" t="str">
        <f>IFERROR($A$2+AU460,"上周无销量")</f>
        <v>上周无销量</v>
      </c>
    </row>
    <row r="461" spans="1:48">
      <c r="A461" s="21" t="s">
        <v>1003</v>
      </c>
      <c r="B461" t="s">
        <v>1001</v>
      </c>
      <c r="C461" t="s">
        <v>1002</v>
      </c>
      <c r="D461" s="31">
        <v>0</v>
      </c>
      <c r="E461" s="31">
        <v>0</v>
      </c>
      <c r="F461" s="31">
        <v>0</v>
      </c>
      <c r="G461" s="31">
        <v>0</v>
      </c>
      <c r="H461" s="32">
        <v>0</v>
      </c>
      <c r="I461">
        <v>0</v>
      </c>
      <c r="J461" s="33">
        <v>0</v>
      </c>
      <c r="K461" s="33">
        <v>0</v>
      </c>
      <c r="L461" s="33">
        <v>0</v>
      </c>
      <c r="M461">
        <v>0</v>
      </c>
      <c r="N461">
        <v>0</v>
      </c>
      <c r="O461">
        <v>0</v>
      </c>
      <c r="P461" t="s">
        <v>54</v>
      </c>
      <c r="Q461" t="s">
        <v>54</v>
      </c>
      <c r="R461" t="s">
        <v>54</v>
      </c>
      <c r="S461" t="s">
        <v>54</v>
      </c>
      <c r="T461" t="s">
        <v>54</v>
      </c>
      <c r="U461" t="s">
        <v>54</v>
      </c>
      <c r="V461" t="s">
        <v>54</v>
      </c>
      <c r="W461" t="s">
        <v>54</v>
      </c>
      <c r="X461" s="23" t="s">
        <v>54</v>
      </c>
      <c r="Y461" s="23" t="s">
        <v>54</v>
      </c>
      <c r="Z461" s="23" t="s">
        <v>54</v>
      </c>
      <c r="AA461" s="23" t="s">
        <v>54</v>
      </c>
      <c r="AB461" t="s">
        <v>54</v>
      </c>
      <c r="AC461" t="s">
        <v>54</v>
      </c>
      <c r="AD461" t="s">
        <v>54</v>
      </c>
      <c r="AE461" t="s">
        <v>54</v>
      </c>
      <c r="AF461" s="23" t="s">
        <v>54</v>
      </c>
      <c r="AG461" s="23" t="s">
        <v>54</v>
      </c>
      <c r="AH461" s="23" t="s">
        <v>54</v>
      </c>
      <c r="AI461" s="23" t="s">
        <v>54</v>
      </c>
      <c r="AJ461">
        <v>0</v>
      </c>
      <c r="AK461">
        <v>0</v>
      </c>
      <c r="AL461">
        <v>0</v>
      </c>
      <c r="AM461">
        <v>0</v>
      </c>
      <c r="AN461" s="23" t="s">
        <v>54</v>
      </c>
      <c r="AO461" s="23" t="s">
        <v>54</v>
      </c>
      <c r="AP461" s="23" t="s">
        <v>54</v>
      </c>
      <c r="AQ461" s="23" t="s">
        <v>54</v>
      </c>
      <c r="AR461" s="35">
        <v>0</v>
      </c>
      <c r="AS461" s="35">
        <v>0</v>
      </c>
      <c r="AT461" s="35">
        <v>0</v>
      </c>
      <c r="AU461" s="31" t="str">
        <f t="shared" si="10"/>
        <v>库存为0</v>
      </c>
      <c r="AV461" s="36" t="str">
        <f>IFERROR($A$2+AU461,"上周无销量")</f>
        <v>上周无销量</v>
      </c>
    </row>
    <row r="462" spans="1:48">
      <c r="A462" s="21" t="s">
        <v>1004</v>
      </c>
      <c r="B462" t="s">
        <v>1005</v>
      </c>
      <c r="C462" t="s">
        <v>1006</v>
      </c>
      <c r="D462" s="31">
        <v>0</v>
      </c>
      <c r="E462" s="31">
        <v>0</v>
      </c>
      <c r="F462" s="31">
        <v>0</v>
      </c>
      <c r="G462" s="31">
        <v>0</v>
      </c>
      <c r="H462" s="32">
        <v>0</v>
      </c>
      <c r="I462">
        <v>0</v>
      </c>
      <c r="J462" s="33">
        <v>0</v>
      </c>
      <c r="K462" s="33">
        <v>0</v>
      </c>
      <c r="L462" s="33">
        <v>0</v>
      </c>
      <c r="M462">
        <v>0</v>
      </c>
      <c r="N462">
        <v>0</v>
      </c>
      <c r="O462">
        <v>0</v>
      </c>
      <c r="P462" t="s">
        <v>54</v>
      </c>
      <c r="Q462" t="s">
        <v>54</v>
      </c>
      <c r="R462" t="s">
        <v>54</v>
      </c>
      <c r="S462" t="s">
        <v>54</v>
      </c>
      <c r="T462" t="s">
        <v>54</v>
      </c>
      <c r="U462" t="s">
        <v>54</v>
      </c>
      <c r="V462" t="s">
        <v>54</v>
      </c>
      <c r="W462" t="s">
        <v>54</v>
      </c>
      <c r="X462" s="23" t="s">
        <v>54</v>
      </c>
      <c r="Y462" s="23" t="s">
        <v>54</v>
      </c>
      <c r="Z462" s="23" t="s">
        <v>54</v>
      </c>
      <c r="AA462" s="23" t="s">
        <v>54</v>
      </c>
      <c r="AB462" t="s">
        <v>54</v>
      </c>
      <c r="AC462" t="s">
        <v>54</v>
      </c>
      <c r="AD462" t="s">
        <v>54</v>
      </c>
      <c r="AE462" t="s">
        <v>54</v>
      </c>
      <c r="AF462" s="23" t="s">
        <v>54</v>
      </c>
      <c r="AG462" s="23" t="s">
        <v>54</v>
      </c>
      <c r="AH462" s="23" t="s">
        <v>54</v>
      </c>
      <c r="AI462" s="23" t="s">
        <v>54</v>
      </c>
      <c r="AJ462">
        <v>0</v>
      </c>
      <c r="AK462">
        <v>0</v>
      </c>
      <c r="AL462">
        <v>0</v>
      </c>
      <c r="AM462">
        <v>0</v>
      </c>
      <c r="AN462" s="23" t="s">
        <v>54</v>
      </c>
      <c r="AO462" s="23" t="s">
        <v>54</v>
      </c>
      <c r="AP462" s="23" t="s">
        <v>54</v>
      </c>
      <c r="AQ462" s="23" t="s">
        <v>54</v>
      </c>
      <c r="AR462" s="35">
        <v>0</v>
      </c>
      <c r="AS462" s="35">
        <v>0</v>
      </c>
      <c r="AT462" s="35">
        <v>0</v>
      </c>
      <c r="AU462" s="31" t="str">
        <f t="shared" si="10"/>
        <v>库存为0</v>
      </c>
      <c r="AV462" s="36" t="str">
        <f>IFERROR($A$2+AU462,"上周无销量")</f>
        <v>上周无销量</v>
      </c>
    </row>
    <row r="463" spans="1:48">
      <c r="A463" s="21" t="s">
        <v>1007</v>
      </c>
      <c r="B463" t="s">
        <v>1008</v>
      </c>
      <c r="C463" t="s">
        <v>1006</v>
      </c>
      <c r="D463" s="31">
        <v>0</v>
      </c>
      <c r="E463" s="31">
        <v>0</v>
      </c>
      <c r="F463" s="31">
        <v>0</v>
      </c>
      <c r="G463" s="31">
        <v>0</v>
      </c>
      <c r="H463" s="32">
        <v>0</v>
      </c>
      <c r="I463">
        <v>0</v>
      </c>
      <c r="J463" s="33">
        <v>0</v>
      </c>
      <c r="K463" s="33">
        <v>0</v>
      </c>
      <c r="L463" s="33">
        <v>0</v>
      </c>
      <c r="M463">
        <v>0</v>
      </c>
      <c r="N463">
        <v>0</v>
      </c>
      <c r="O463">
        <v>0</v>
      </c>
      <c r="P463" t="s">
        <v>54</v>
      </c>
      <c r="Q463" t="s">
        <v>54</v>
      </c>
      <c r="R463" t="s">
        <v>54</v>
      </c>
      <c r="S463" t="s">
        <v>54</v>
      </c>
      <c r="T463" t="s">
        <v>54</v>
      </c>
      <c r="U463" t="s">
        <v>54</v>
      </c>
      <c r="V463" t="s">
        <v>54</v>
      </c>
      <c r="W463" t="s">
        <v>54</v>
      </c>
      <c r="X463" s="23" t="s">
        <v>54</v>
      </c>
      <c r="Y463" s="23" t="s">
        <v>54</v>
      </c>
      <c r="Z463" s="23" t="s">
        <v>54</v>
      </c>
      <c r="AA463" s="23" t="s">
        <v>54</v>
      </c>
      <c r="AB463" t="s">
        <v>54</v>
      </c>
      <c r="AC463" t="s">
        <v>54</v>
      </c>
      <c r="AD463" t="s">
        <v>54</v>
      </c>
      <c r="AE463" t="s">
        <v>54</v>
      </c>
      <c r="AF463" s="23" t="s">
        <v>54</v>
      </c>
      <c r="AG463" s="23" t="s">
        <v>54</v>
      </c>
      <c r="AH463" s="23" t="s">
        <v>54</v>
      </c>
      <c r="AI463" s="23" t="s">
        <v>54</v>
      </c>
      <c r="AJ463">
        <v>0</v>
      </c>
      <c r="AK463">
        <v>0</v>
      </c>
      <c r="AL463">
        <v>0</v>
      </c>
      <c r="AM463">
        <v>0</v>
      </c>
      <c r="AN463" s="23" t="s">
        <v>54</v>
      </c>
      <c r="AO463" s="23" t="s">
        <v>54</v>
      </c>
      <c r="AP463" s="23" t="s">
        <v>54</v>
      </c>
      <c r="AQ463" s="23" t="s">
        <v>54</v>
      </c>
      <c r="AR463" s="35">
        <v>0</v>
      </c>
      <c r="AS463" s="35">
        <v>0</v>
      </c>
      <c r="AT463" s="35">
        <v>0</v>
      </c>
      <c r="AU463" s="31" t="str">
        <f t="shared" si="10"/>
        <v>库存为0</v>
      </c>
      <c r="AV463" s="36" t="str">
        <f>IFERROR($A$2+AU463,"上周无销量")</f>
        <v>上周无销量</v>
      </c>
    </row>
    <row r="464" spans="1:48">
      <c r="A464" s="21" t="s">
        <v>1009</v>
      </c>
      <c r="B464" t="s">
        <v>1010</v>
      </c>
      <c r="C464" t="s">
        <v>1006</v>
      </c>
      <c r="D464" s="31">
        <v>0</v>
      </c>
      <c r="E464" s="31">
        <v>0</v>
      </c>
      <c r="F464" s="31">
        <v>0</v>
      </c>
      <c r="G464" s="31">
        <v>2</v>
      </c>
      <c r="H464" s="32">
        <v>15.98</v>
      </c>
      <c r="I464">
        <v>0</v>
      </c>
      <c r="J464" s="33">
        <v>0</v>
      </c>
      <c r="K464" s="33">
        <v>0</v>
      </c>
      <c r="L464" s="33">
        <v>0</v>
      </c>
      <c r="M464">
        <v>0</v>
      </c>
      <c r="N464">
        <v>0</v>
      </c>
      <c r="O464">
        <v>0</v>
      </c>
      <c r="P464" t="s">
        <v>54</v>
      </c>
      <c r="Q464" t="s">
        <v>54</v>
      </c>
      <c r="R464" t="s">
        <v>54</v>
      </c>
      <c r="S464" t="s">
        <v>54</v>
      </c>
      <c r="T464" t="s">
        <v>54</v>
      </c>
      <c r="U464" t="s">
        <v>54</v>
      </c>
      <c r="V464" t="s">
        <v>54</v>
      </c>
      <c r="W464" t="s">
        <v>54</v>
      </c>
      <c r="X464" s="23" t="s">
        <v>54</v>
      </c>
      <c r="Y464" s="23" t="s">
        <v>54</v>
      </c>
      <c r="Z464" s="23" t="s">
        <v>54</v>
      </c>
      <c r="AA464" s="23" t="s">
        <v>54</v>
      </c>
      <c r="AB464" t="s">
        <v>54</v>
      </c>
      <c r="AC464" t="s">
        <v>54</v>
      </c>
      <c r="AD464" t="s">
        <v>54</v>
      </c>
      <c r="AE464" t="s">
        <v>54</v>
      </c>
      <c r="AF464" s="23" t="s">
        <v>54</v>
      </c>
      <c r="AG464" s="23" t="s">
        <v>54</v>
      </c>
      <c r="AH464" s="23" t="s">
        <v>54</v>
      </c>
      <c r="AI464" s="23" t="s">
        <v>54</v>
      </c>
      <c r="AJ464">
        <v>0</v>
      </c>
      <c r="AK464">
        <v>0</v>
      </c>
      <c r="AL464">
        <v>0</v>
      </c>
      <c r="AM464">
        <v>88</v>
      </c>
      <c r="AN464" s="23" t="s">
        <v>54</v>
      </c>
      <c r="AO464" s="23" t="s">
        <v>54</v>
      </c>
      <c r="AP464" s="23" t="s">
        <v>54</v>
      </c>
      <c r="AQ464" s="23">
        <v>0.0227272727272727</v>
      </c>
      <c r="AR464" s="35">
        <v>0</v>
      </c>
      <c r="AS464" s="35">
        <v>0</v>
      </c>
      <c r="AT464" s="35">
        <v>0</v>
      </c>
      <c r="AU464" s="31" t="str">
        <f t="shared" si="10"/>
        <v>库存为0</v>
      </c>
      <c r="AV464" s="36" t="str">
        <f>IFERROR($A$2+AU464,"上周无销量")</f>
        <v>上周无销量</v>
      </c>
    </row>
    <row r="465" spans="1:48">
      <c r="A465" s="21" t="s">
        <v>1011</v>
      </c>
      <c r="B465" t="s">
        <v>1012</v>
      </c>
      <c r="C465" t="s">
        <v>1006</v>
      </c>
      <c r="D465" s="31">
        <v>0</v>
      </c>
      <c r="E465" s="31">
        <v>0</v>
      </c>
      <c r="F465" s="31">
        <v>0</v>
      </c>
      <c r="G465" s="31">
        <v>0</v>
      </c>
      <c r="H465" s="32">
        <v>0</v>
      </c>
      <c r="I465">
        <v>0</v>
      </c>
      <c r="J465" s="33">
        <v>0</v>
      </c>
      <c r="K465" s="33">
        <v>0</v>
      </c>
      <c r="L465" s="33">
        <v>0</v>
      </c>
      <c r="M465">
        <v>0</v>
      </c>
      <c r="N465">
        <v>0</v>
      </c>
      <c r="O465">
        <v>0</v>
      </c>
      <c r="P465" t="s">
        <v>54</v>
      </c>
      <c r="Q465" t="s">
        <v>54</v>
      </c>
      <c r="R465" t="s">
        <v>54</v>
      </c>
      <c r="S465" t="s">
        <v>54</v>
      </c>
      <c r="T465" t="s">
        <v>54</v>
      </c>
      <c r="U465" t="s">
        <v>54</v>
      </c>
      <c r="V465" t="s">
        <v>54</v>
      </c>
      <c r="W465" t="s">
        <v>54</v>
      </c>
      <c r="X465" s="23" t="s">
        <v>54</v>
      </c>
      <c r="Y465" s="23" t="s">
        <v>54</v>
      </c>
      <c r="Z465" s="23" t="s">
        <v>54</v>
      </c>
      <c r="AA465" s="23" t="s">
        <v>54</v>
      </c>
      <c r="AB465" t="s">
        <v>54</v>
      </c>
      <c r="AC465" t="s">
        <v>54</v>
      </c>
      <c r="AD465" t="s">
        <v>54</v>
      </c>
      <c r="AE465" t="s">
        <v>54</v>
      </c>
      <c r="AF465" s="23" t="s">
        <v>54</v>
      </c>
      <c r="AG465" s="23" t="s">
        <v>54</v>
      </c>
      <c r="AH465" s="23" t="s">
        <v>54</v>
      </c>
      <c r="AI465" s="23" t="s">
        <v>54</v>
      </c>
      <c r="AJ465">
        <v>0</v>
      </c>
      <c r="AK465">
        <v>0</v>
      </c>
      <c r="AL465">
        <v>0</v>
      </c>
      <c r="AM465">
        <v>0</v>
      </c>
      <c r="AN465" s="23" t="s">
        <v>54</v>
      </c>
      <c r="AO465" s="23" t="s">
        <v>54</v>
      </c>
      <c r="AP465" s="23" t="s">
        <v>54</v>
      </c>
      <c r="AQ465" s="23" t="s">
        <v>54</v>
      </c>
      <c r="AR465" s="35">
        <v>0</v>
      </c>
      <c r="AS465" s="35">
        <v>0</v>
      </c>
      <c r="AT465" s="35">
        <v>0</v>
      </c>
      <c r="AU465" s="31" t="str">
        <f t="shared" si="10"/>
        <v>库存为0</v>
      </c>
      <c r="AV465" s="36" t="str">
        <f>IFERROR($A$2+AU465,"上周无销量")</f>
        <v>上周无销量</v>
      </c>
    </row>
    <row r="466" spans="1:48">
      <c r="A466" s="21" t="s">
        <v>1013</v>
      </c>
      <c r="B466" t="s">
        <v>1014</v>
      </c>
      <c r="C466" t="s">
        <v>1006</v>
      </c>
      <c r="D466" s="31">
        <v>0</v>
      </c>
      <c r="E466" s="31">
        <v>0</v>
      </c>
      <c r="F466" s="31">
        <v>0</v>
      </c>
      <c r="G466" s="31">
        <v>0</v>
      </c>
      <c r="H466" s="32">
        <v>0</v>
      </c>
      <c r="I466">
        <v>0</v>
      </c>
      <c r="J466" s="33">
        <v>0</v>
      </c>
      <c r="K466" s="33">
        <v>0</v>
      </c>
      <c r="L466" s="33">
        <v>0</v>
      </c>
      <c r="M466">
        <v>0</v>
      </c>
      <c r="N466">
        <v>0</v>
      </c>
      <c r="O466">
        <v>0</v>
      </c>
      <c r="P466" t="s">
        <v>54</v>
      </c>
      <c r="Q466" t="s">
        <v>54</v>
      </c>
      <c r="R466" t="s">
        <v>54</v>
      </c>
      <c r="S466" t="s">
        <v>54</v>
      </c>
      <c r="T466" t="s">
        <v>54</v>
      </c>
      <c r="U466" t="s">
        <v>54</v>
      </c>
      <c r="V466" t="s">
        <v>54</v>
      </c>
      <c r="W466" t="s">
        <v>54</v>
      </c>
      <c r="X466" s="23" t="s">
        <v>54</v>
      </c>
      <c r="Y466" s="23" t="s">
        <v>54</v>
      </c>
      <c r="Z466" s="23" t="s">
        <v>54</v>
      </c>
      <c r="AA466" s="23" t="s">
        <v>54</v>
      </c>
      <c r="AB466" t="s">
        <v>54</v>
      </c>
      <c r="AC466" t="s">
        <v>54</v>
      </c>
      <c r="AD466" t="s">
        <v>54</v>
      </c>
      <c r="AE466" t="s">
        <v>54</v>
      </c>
      <c r="AF466" s="23" t="s">
        <v>54</v>
      </c>
      <c r="AG466" s="23" t="s">
        <v>54</v>
      </c>
      <c r="AH466" s="23" t="s">
        <v>54</v>
      </c>
      <c r="AI466" s="23" t="s">
        <v>54</v>
      </c>
      <c r="AJ466">
        <v>0</v>
      </c>
      <c r="AK466">
        <v>0</v>
      </c>
      <c r="AL466">
        <v>0</v>
      </c>
      <c r="AM466">
        <v>0</v>
      </c>
      <c r="AN466" s="23" t="s">
        <v>54</v>
      </c>
      <c r="AO466" s="23" t="s">
        <v>54</v>
      </c>
      <c r="AP466" s="23" t="s">
        <v>54</v>
      </c>
      <c r="AQ466" s="23" t="s">
        <v>54</v>
      </c>
      <c r="AR466" s="35">
        <v>0</v>
      </c>
      <c r="AS466" s="35">
        <v>0</v>
      </c>
      <c r="AT466" s="35">
        <v>0</v>
      </c>
      <c r="AU466" s="31" t="str">
        <f t="shared" si="10"/>
        <v>库存为0</v>
      </c>
      <c r="AV466" s="36" t="str">
        <f>IFERROR($A$2+AU466,"上周无销量")</f>
        <v>上周无销量</v>
      </c>
    </row>
    <row r="467" spans="1:48">
      <c r="A467" s="21" t="s">
        <v>1015</v>
      </c>
      <c r="B467" t="s">
        <v>1016</v>
      </c>
      <c r="C467" t="s">
        <v>1006</v>
      </c>
      <c r="D467" s="31">
        <v>0</v>
      </c>
      <c r="E467" s="31">
        <v>0</v>
      </c>
      <c r="F467" s="31">
        <v>0</v>
      </c>
      <c r="G467" s="31">
        <v>0</v>
      </c>
      <c r="H467" s="32">
        <v>0</v>
      </c>
      <c r="I467">
        <v>0</v>
      </c>
      <c r="J467" s="33">
        <v>0</v>
      </c>
      <c r="K467" s="33">
        <v>0</v>
      </c>
      <c r="L467" s="33">
        <v>0</v>
      </c>
      <c r="M467">
        <v>0</v>
      </c>
      <c r="N467">
        <v>0</v>
      </c>
      <c r="O467">
        <v>0</v>
      </c>
      <c r="P467" t="s">
        <v>54</v>
      </c>
      <c r="Q467" t="s">
        <v>54</v>
      </c>
      <c r="R467" t="s">
        <v>54</v>
      </c>
      <c r="S467" t="s">
        <v>54</v>
      </c>
      <c r="T467" t="s">
        <v>54</v>
      </c>
      <c r="U467" t="s">
        <v>54</v>
      </c>
      <c r="V467" t="s">
        <v>54</v>
      </c>
      <c r="W467" t="s">
        <v>54</v>
      </c>
      <c r="X467" s="23" t="s">
        <v>54</v>
      </c>
      <c r="Y467" s="23" t="s">
        <v>54</v>
      </c>
      <c r="Z467" s="23" t="s">
        <v>54</v>
      </c>
      <c r="AA467" s="23" t="s">
        <v>54</v>
      </c>
      <c r="AB467" t="s">
        <v>54</v>
      </c>
      <c r="AC467" t="s">
        <v>54</v>
      </c>
      <c r="AD467" t="s">
        <v>54</v>
      </c>
      <c r="AE467" t="s">
        <v>54</v>
      </c>
      <c r="AF467" s="23" t="s">
        <v>54</v>
      </c>
      <c r="AG467" s="23" t="s">
        <v>54</v>
      </c>
      <c r="AH467" s="23" t="s">
        <v>54</v>
      </c>
      <c r="AI467" s="23" t="s">
        <v>54</v>
      </c>
      <c r="AJ467">
        <v>0</v>
      </c>
      <c r="AK467">
        <v>0</v>
      </c>
      <c r="AL467">
        <v>0</v>
      </c>
      <c r="AM467">
        <v>0</v>
      </c>
      <c r="AN467" s="23" t="s">
        <v>54</v>
      </c>
      <c r="AO467" s="23" t="s">
        <v>54</v>
      </c>
      <c r="AP467" s="23" t="s">
        <v>54</v>
      </c>
      <c r="AQ467" s="23" t="s">
        <v>54</v>
      </c>
      <c r="AR467" s="35">
        <v>0</v>
      </c>
      <c r="AS467" s="35">
        <v>0</v>
      </c>
      <c r="AT467" s="35">
        <v>0</v>
      </c>
      <c r="AU467" s="31" t="str">
        <f t="shared" si="10"/>
        <v>库存为0</v>
      </c>
      <c r="AV467" s="36" t="str">
        <f>IFERROR($A$2+AU467,"上周无销量")</f>
        <v>上周无销量</v>
      </c>
    </row>
    <row r="468" spans="1:48">
      <c r="A468" s="21" t="s">
        <v>1017</v>
      </c>
      <c r="B468" t="s">
        <v>1018</v>
      </c>
      <c r="C468" t="s">
        <v>1006</v>
      </c>
      <c r="D468" s="31">
        <v>0</v>
      </c>
      <c r="E468" s="31">
        <v>0</v>
      </c>
      <c r="F468" s="31">
        <v>0</v>
      </c>
      <c r="G468" s="31">
        <v>0</v>
      </c>
      <c r="H468" s="32">
        <v>0</v>
      </c>
      <c r="I468">
        <v>0</v>
      </c>
      <c r="J468" s="33">
        <v>0</v>
      </c>
      <c r="K468" s="33">
        <v>0</v>
      </c>
      <c r="L468" s="33">
        <v>0</v>
      </c>
      <c r="M468">
        <v>0</v>
      </c>
      <c r="N468">
        <v>0</v>
      </c>
      <c r="O468">
        <v>0</v>
      </c>
      <c r="P468" t="s">
        <v>54</v>
      </c>
      <c r="Q468" t="s">
        <v>54</v>
      </c>
      <c r="R468" t="s">
        <v>54</v>
      </c>
      <c r="S468" t="s">
        <v>54</v>
      </c>
      <c r="T468" t="s">
        <v>54</v>
      </c>
      <c r="U468" t="s">
        <v>54</v>
      </c>
      <c r="V468" t="s">
        <v>54</v>
      </c>
      <c r="W468" t="s">
        <v>54</v>
      </c>
      <c r="X468" s="23" t="s">
        <v>54</v>
      </c>
      <c r="Y468" s="23" t="s">
        <v>54</v>
      </c>
      <c r="Z468" s="23" t="s">
        <v>54</v>
      </c>
      <c r="AA468" s="23" t="s">
        <v>54</v>
      </c>
      <c r="AB468" t="s">
        <v>54</v>
      </c>
      <c r="AC468" t="s">
        <v>54</v>
      </c>
      <c r="AD468" t="s">
        <v>54</v>
      </c>
      <c r="AE468" t="s">
        <v>54</v>
      </c>
      <c r="AF468" s="23" t="s">
        <v>54</v>
      </c>
      <c r="AG468" s="23" t="s">
        <v>54</v>
      </c>
      <c r="AH468" s="23" t="s">
        <v>54</v>
      </c>
      <c r="AI468" s="23" t="s">
        <v>54</v>
      </c>
      <c r="AJ468">
        <v>0</v>
      </c>
      <c r="AK468">
        <v>0</v>
      </c>
      <c r="AL468">
        <v>0</v>
      </c>
      <c r="AM468">
        <v>0</v>
      </c>
      <c r="AN468" s="23" t="s">
        <v>54</v>
      </c>
      <c r="AO468" s="23" t="s">
        <v>54</v>
      </c>
      <c r="AP468" s="23" t="s">
        <v>54</v>
      </c>
      <c r="AQ468" s="23" t="s">
        <v>54</v>
      </c>
      <c r="AR468" s="35">
        <v>0</v>
      </c>
      <c r="AS468" s="35">
        <v>0</v>
      </c>
      <c r="AT468" s="35">
        <v>0</v>
      </c>
      <c r="AU468" s="31" t="str">
        <f t="shared" si="10"/>
        <v>库存为0</v>
      </c>
      <c r="AV468" s="36" t="str">
        <f>IFERROR($A$2+AU468,"上周无销量")</f>
        <v>上周无销量</v>
      </c>
    </row>
    <row r="469" spans="1:48">
      <c r="A469" s="21" t="s">
        <v>1019</v>
      </c>
      <c r="B469" t="s">
        <v>1020</v>
      </c>
      <c r="C469" t="s">
        <v>1006</v>
      </c>
      <c r="D469" s="31">
        <v>0</v>
      </c>
      <c r="E469" s="31">
        <v>0</v>
      </c>
      <c r="F469" s="31">
        <v>1</v>
      </c>
      <c r="G469" s="31">
        <v>0</v>
      </c>
      <c r="H469" s="32">
        <v>18.98</v>
      </c>
      <c r="I469">
        <v>0</v>
      </c>
      <c r="J469" s="33">
        <v>0</v>
      </c>
      <c r="K469" s="33">
        <v>0</v>
      </c>
      <c r="L469" s="33">
        <v>0</v>
      </c>
      <c r="M469">
        <v>0</v>
      </c>
      <c r="N469">
        <v>0</v>
      </c>
      <c r="O469">
        <v>0</v>
      </c>
      <c r="P469" t="s">
        <v>54</v>
      </c>
      <c r="Q469" t="s">
        <v>54</v>
      </c>
      <c r="R469" t="s">
        <v>54</v>
      </c>
      <c r="S469" t="s">
        <v>54</v>
      </c>
      <c r="T469" t="s">
        <v>54</v>
      </c>
      <c r="U469" t="s">
        <v>54</v>
      </c>
      <c r="V469" t="s">
        <v>54</v>
      </c>
      <c r="W469" t="s">
        <v>54</v>
      </c>
      <c r="X469" s="23" t="s">
        <v>54</v>
      </c>
      <c r="Y469" s="23" t="s">
        <v>54</v>
      </c>
      <c r="Z469" s="23" t="s">
        <v>54</v>
      </c>
      <c r="AA469" s="23" t="s">
        <v>54</v>
      </c>
      <c r="AB469" t="s">
        <v>54</v>
      </c>
      <c r="AC469" t="s">
        <v>54</v>
      </c>
      <c r="AD469" t="s">
        <v>54</v>
      </c>
      <c r="AE469" t="s">
        <v>54</v>
      </c>
      <c r="AF469" s="23" t="s">
        <v>54</v>
      </c>
      <c r="AG469" s="23" t="s">
        <v>54</v>
      </c>
      <c r="AH469" s="23" t="s">
        <v>54</v>
      </c>
      <c r="AI469" s="23" t="s">
        <v>54</v>
      </c>
      <c r="AJ469">
        <v>0</v>
      </c>
      <c r="AK469">
        <v>0</v>
      </c>
      <c r="AL469">
        <v>14</v>
      </c>
      <c r="AM469">
        <v>28</v>
      </c>
      <c r="AN469" s="23" t="s">
        <v>54</v>
      </c>
      <c r="AO469" s="23" t="s">
        <v>54</v>
      </c>
      <c r="AP469" s="23">
        <v>0.0714285714285714</v>
      </c>
      <c r="AQ469" s="23">
        <v>0</v>
      </c>
      <c r="AR469" s="35">
        <v>0</v>
      </c>
      <c r="AS469" s="35">
        <v>0</v>
      </c>
      <c r="AT469" s="35">
        <v>0</v>
      </c>
      <c r="AU469" s="31" t="str">
        <f t="shared" si="10"/>
        <v>库存为0</v>
      </c>
      <c r="AV469" s="36" t="str">
        <f>IFERROR($A$2+AU469,"上周无销量")</f>
        <v>上周无销量</v>
      </c>
    </row>
    <row r="470" spans="1:48">
      <c r="A470" s="21" t="s">
        <v>1021</v>
      </c>
      <c r="B470" t="s">
        <v>1022</v>
      </c>
      <c r="C470" t="s">
        <v>1006</v>
      </c>
      <c r="D470" s="31">
        <v>0</v>
      </c>
      <c r="E470" s="31">
        <v>0</v>
      </c>
      <c r="F470" s="31">
        <v>0</v>
      </c>
      <c r="G470" s="31">
        <v>0</v>
      </c>
      <c r="H470" s="32">
        <v>0</v>
      </c>
      <c r="I470">
        <v>0</v>
      </c>
      <c r="J470" s="33">
        <v>0</v>
      </c>
      <c r="K470" s="33">
        <v>0</v>
      </c>
      <c r="L470" s="33">
        <v>0</v>
      </c>
      <c r="M470">
        <v>0</v>
      </c>
      <c r="N470">
        <v>0</v>
      </c>
      <c r="O470">
        <v>0</v>
      </c>
      <c r="P470" t="s">
        <v>54</v>
      </c>
      <c r="Q470" t="s">
        <v>54</v>
      </c>
      <c r="R470" t="s">
        <v>54</v>
      </c>
      <c r="S470" t="s">
        <v>54</v>
      </c>
      <c r="T470" t="s">
        <v>54</v>
      </c>
      <c r="U470" t="s">
        <v>54</v>
      </c>
      <c r="V470" t="s">
        <v>54</v>
      </c>
      <c r="W470" t="s">
        <v>54</v>
      </c>
      <c r="X470" s="23" t="s">
        <v>54</v>
      </c>
      <c r="Y470" s="23" t="s">
        <v>54</v>
      </c>
      <c r="Z470" s="23" t="s">
        <v>54</v>
      </c>
      <c r="AA470" s="23" t="s">
        <v>54</v>
      </c>
      <c r="AB470" t="s">
        <v>54</v>
      </c>
      <c r="AC470" t="s">
        <v>54</v>
      </c>
      <c r="AD470" t="s">
        <v>54</v>
      </c>
      <c r="AE470" t="s">
        <v>54</v>
      </c>
      <c r="AF470" s="23" t="s">
        <v>54</v>
      </c>
      <c r="AG470" s="23" t="s">
        <v>54</v>
      </c>
      <c r="AH470" s="23" t="s">
        <v>54</v>
      </c>
      <c r="AI470" s="23" t="s">
        <v>54</v>
      </c>
      <c r="AJ470">
        <v>0</v>
      </c>
      <c r="AK470">
        <v>0</v>
      </c>
      <c r="AL470">
        <v>0</v>
      </c>
      <c r="AM470">
        <v>0</v>
      </c>
      <c r="AN470" s="23" t="s">
        <v>54</v>
      </c>
      <c r="AO470" s="23" t="s">
        <v>54</v>
      </c>
      <c r="AP470" s="23" t="s">
        <v>54</v>
      </c>
      <c r="AQ470" s="23" t="s">
        <v>54</v>
      </c>
      <c r="AR470" s="35">
        <v>0</v>
      </c>
      <c r="AS470" s="35">
        <v>0</v>
      </c>
      <c r="AT470" s="35">
        <v>0</v>
      </c>
      <c r="AU470" s="31" t="str">
        <f t="shared" si="10"/>
        <v>库存为0</v>
      </c>
      <c r="AV470" s="36" t="str">
        <f>IFERROR($A$2+AU470,"上周无销量")</f>
        <v>上周无销量</v>
      </c>
    </row>
    <row r="471" spans="1:48">
      <c r="A471" s="21" t="s">
        <v>1023</v>
      </c>
      <c r="B471" t="s">
        <v>1024</v>
      </c>
      <c r="C471" t="s">
        <v>1006</v>
      </c>
      <c r="D471" s="31">
        <v>0</v>
      </c>
      <c r="E471" s="31">
        <v>0</v>
      </c>
      <c r="F471" s="31">
        <v>0</v>
      </c>
      <c r="G471" s="31">
        <v>0</v>
      </c>
      <c r="H471" s="32">
        <v>0</v>
      </c>
      <c r="I471">
        <v>0</v>
      </c>
      <c r="J471" s="33">
        <v>0</v>
      </c>
      <c r="K471" s="33">
        <v>0</v>
      </c>
      <c r="L471" s="33">
        <v>0</v>
      </c>
      <c r="M471">
        <v>0</v>
      </c>
      <c r="N471">
        <v>0</v>
      </c>
      <c r="O471">
        <v>0</v>
      </c>
      <c r="P471" t="s">
        <v>54</v>
      </c>
      <c r="Q471" t="s">
        <v>54</v>
      </c>
      <c r="R471" t="s">
        <v>54</v>
      </c>
      <c r="S471" t="s">
        <v>54</v>
      </c>
      <c r="T471" t="s">
        <v>54</v>
      </c>
      <c r="U471" t="s">
        <v>54</v>
      </c>
      <c r="V471" t="s">
        <v>54</v>
      </c>
      <c r="W471" t="s">
        <v>54</v>
      </c>
      <c r="X471" s="23" t="s">
        <v>54</v>
      </c>
      <c r="Y471" s="23" t="s">
        <v>54</v>
      </c>
      <c r="Z471" s="23" t="s">
        <v>54</v>
      </c>
      <c r="AA471" s="23" t="s">
        <v>54</v>
      </c>
      <c r="AB471" t="s">
        <v>54</v>
      </c>
      <c r="AC471" t="s">
        <v>54</v>
      </c>
      <c r="AD471" t="s">
        <v>54</v>
      </c>
      <c r="AE471" t="s">
        <v>54</v>
      </c>
      <c r="AF471" s="23" t="s">
        <v>54</v>
      </c>
      <c r="AG471" s="23" t="s">
        <v>54</v>
      </c>
      <c r="AH471" s="23" t="s">
        <v>54</v>
      </c>
      <c r="AI471" s="23" t="s">
        <v>54</v>
      </c>
      <c r="AJ471">
        <v>0</v>
      </c>
      <c r="AK471">
        <v>0</v>
      </c>
      <c r="AL471">
        <v>0</v>
      </c>
      <c r="AM471">
        <v>0</v>
      </c>
      <c r="AN471" s="23" t="s">
        <v>54</v>
      </c>
      <c r="AO471" s="23" t="s">
        <v>54</v>
      </c>
      <c r="AP471" s="23" t="s">
        <v>54</v>
      </c>
      <c r="AQ471" s="23" t="s">
        <v>54</v>
      </c>
      <c r="AR471" s="35">
        <v>0</v>
      </c>
      <c r="AS471" s="35">
        <v>0</v>
      </c>
      <c r="AT471" s="35">
        <v>0</v>
      </c>
      <c r="AU471" s="31" t="str">
        <f t="shared" si="10"/>
        <v>库存为0</v>
      </c>
      <c r="AV471" s="36" t="str">
        <f>IFERROR($A$2+AU471,"上周无销量")</f>
        <v>上周无销量</v>
      </c>
    </row>
    <row r="472" spans="1:48">
      <c r="A472" s="21" t="s">
        <v>1025</v>
      </c>
      <c r="B472" t="s">
        <v>1026</v>
      </c>
      <c r="C472" t="s">
        <v>1006</v>
      </c>
      <c r="D472" s="31">
        <v>0</v>
      </c>
      <c r="E472" s="31">
        <v>0</v>
      </c>
      <c r="F472" s="31">
        <v>0</v>
      </c>
      <c r="G472" s="31">
        <v>0</v>
      </c>
      <c r="H472" s="32">
        <v>0</v>
      </c>
      <c r="I472">
        <v>0</v>
      </c>
      <c r="J472" s="33">
        <v>0</v>
      </c>
      <c r="K472" s="33">
        <v>0</v>
      </c>
      <c r="L472" s="33">
        <v>0</v>
      </c>
      <c r="M472">
        <v>0</v>
      </c>
      <c r="N472">
        <v>0</v>
      </c>
      <c r="O472">
        <v>0</v>
      </c>
      <c r="P472" t="s">
        <v>54</v>
      </c>
      <c r="Q472" t="s">
        <v>54</v>
      </c>
      <c r="R472" t="s">
        <v>54</v>
      </c>
      <c r="S472" t="s">
        <v>54</v>
      </c>
      <c r="T472" t="s">
        <v>54</v>
      </c>
      <c r="U472" t="s">
        <v>54</v>
      </c>
      <c r="V472" t="s">
        <v>54</v>
      </c>
      <c r="W472" t="s">
        <v>54</v>
      </c>
      <c r="X472" s="23" t="s">
        <v>54</v>
      </c>
      <c r="Y472" s="23" t="s">
        <v>54</v>
      </c>
      <c r="Z472" s="23" t="s">
        <v>54</v>
      </c>
      <c r="AA472" s="23" t="s">
        <v>54</v>
      </c>
      <c r="AB472" t="s">
        <v>54</v>
      </c>
      <c r="AC472" t="s">
        <v>54</v>
      </c>
      <c r="AD472" t="s">
        <v>54</v>
      </c>
      <c r="AE472" t="s">
        <v>54</v>
      </c>
      <c r="AF472" s="23" t="s">
        <v>54</v>
      </c>
      <c r="AG472" s="23" t="s">
        <v>54</v>
      </c>
      <c r="AH472" s="23" t="s">
        <v>54</v>
      </c>
      <c r="AI472" s="23" t="s">
        <v>54</v>
      </c>
      <c r="AJ472">
        <v>0</v>
      </c>
      <c r="AK472">
        <v>0</v>
      </c>
      <c r="AL472">
        <v>0</v>
      </c>
      <c r="AM472">
        <v>0</v>
      </c>
      <c r="AN472" s="23" t="s">
        <v>54</v>
      </c>
      <c r="AO472" s="23" t="s">
        <v>54</v>
      </c>
      <c r="AP472" s="23" t="s">
        <v>54</v>
      </c>
      <c r="AQ472" s="23" t="s">
        <v>54</v>
      </c>
      <c r="AR472" s="35">
        <v>0</v>
      </c>
      <c r="AS472" s="35">
        <v>0</v>
      </c>
      <c r="AT472" s="35">
        <v>0</v>
      </c>
      <c r="AU472" s="31" t="str">
        <f t="shared" si="10"/>
        <v>库存为0</v>
      </c>
      <c r="AV472" s="36" t="str">
        <f>IFERROR($A$2+AU472,"上周无销量")</f>
        <v>上周无销量</v>
      </c>
    </row>
    <row r="473" spans="1:48">
      <c r="A473" s="21" t="s">
        <v>1027</v>
      </c>
      <c r="B473" t="s">
        <v>1028</v>
      </c>
      <c r="C473" t="s">
        <v>1006</v>
      </c>
      <c r="D473" s="31">
        <v>0</v>
      </c>
      <c r="E473" s="31">
        <v>0</v>
      </c>
      <c r="F473" s="31">
        <v>0</v>
      </c>
      <c r="G473" s="31">
        <v>0</v>
      </c>
      <c r="H473" s="32">
        <v>0</v>
      </c>
      <c r="I473">
        <v>0</v>
      </c>
      <c r="J473" s="33">
        <v>0</v>
      </c>
      <c r="K473" s="33">
        <v>0</v>
      </c>
      <c r="L473" s="33">
        <v>0</v>
      </c>
      <c r="M473">
        <v>0</v>
      </c>
      <c r="N473">
        <v>0</v>
      </c>
      <c r="O473">
        <v>0</v>
      </c>
      <c r="P473" t="s">
        <v>54</v>
      </c>
      <c r="Q473" t="s">
        <v>54</v>
      </c>
      <c r="R473" t="s">
        <v>54</v>
      </c>
      <c r="S473" t="s">
        <v>54</v>
      </c>
      <c r="T473" t="s">
        <v>54</v>
      </c>
      <c r="U473" t="s">
        <v>54</v>
      </c>
      <c r="V473" t="s">
        <v>54</v>
      </c>
      <c r="W473" t="s">
        <v>54</v>
      </c>
      <c r="X473" s="23" t="s">
        <v>54</v>
      </c>
      <c r="Y473" s="23" t="s">
        <v>54</v>
      </c>
      <c r="Z473" s="23" t="s">
        <v>54</v>
      </c>
      <c r="AA473" s="23" t="s">
        <v>54</v>
      </c>
      <c r="AB473" t="s">
        <v>54</v>
      </c>
      <c r="AC473" t="s">
        <v>54</v>
      </c>
      <c r="AD473" t="s">
        <v>54</v>
      </c>
      <c r="AE473" t="s">
        <v>54</v>
      </c>
      <c r="AF473" s="23" t="s">
        <v>54</v>
      </c>
      <c r="AG473" s="23" t="s">
        <v>54</v>
      </c>
      <c r="AH473" s="23" t="s">
        <v>54</v>
      </c>
      <c r="AI473" s="23" t="s">
        <v>54</v>
      </c>
      <c r="AJ473">
        <v>0</v>
      </c>
      <c r="AK473">
        <v>0</v>
      </c>
      <c r="AL473">
        <v>0</v>
      </c>
      <c r="AM473">
        <v>0</v>
      </c>
      <c r="AN473" s="23" t="s">
        <v>54</v>
      </c>
      <c r="AO473" s="23" t="s">
        <v>54</v>
      </c>
      <c r="AP473" s="23" t="s">
        <v>54</v>
      </c>
      <c r="AQ473" s="23" t="s">
        <v>54</v>
      </c>
      <c r="AR473" s="35">
        <v>0</v>
      </c>
      <c r="AS473" s="35">
        <v>0</v>
      </c>
      <c r="AT473" s="35">
        <v>0</v>
      </c>
      <c r="AU473" s="31" t="str">
        <f t="shared" si="10"/>
        <v>库存为0</v>
      </c>
      <c r="AV473" s="36" t="str">
        <f>IFERROR($A$2+AU473,"上周无销量")</f>
        <v>上周无销量</v>
      </c>
    </row>
    <row r="474" spans="1:48">
      <c r="A474" s="21" t="s">
        <v>1029</v>
      </c>
      <c r="B474" t="s">
        <v>1030</v>
      </c>
      <c r="C474" t="s">
        <v>1006</v>
      </c>
      <c r="D474" s="31">
        <v>0</v>
      </c>
      <c r="E474" s="31">
        <v>0</v>
      </c>
      <c r="F474" s="31">
        <v>0</v>
      </c>
      <c r="G474" s="31">
        <v>0</v>
      </c>
      <c r="H474" s="32">
        <v>0</v>
      </c>
      <c r="I474">
        <v>0</v>
      </c>
      <c r="J474" s="33">
        <v>0</v>
      </c>
      <c r="K474" s="33">
        <v>0</v>
      </c>
      <c r="L474" s="33">
        <v>0</v>
      </c>
      <c r="M474">
        <v>0</v>
      </c>
      <c r="N474">
        <v>0</v>
      </c>
      <c r="O474">
        <v>0</v>
      </c>
      <c r="P474" t="s">
        <v>54</v>
      </c>
      <c r="Q474" t="s">
        <v>54</v>
      </c>
      <c r="R474" t="s">
        <v>54</v>
      </c>
      <c r="S474" t="s">
        <v>54</v>
      </c>
      <c r="T474" t="s">
        <v>54</v>
      </c>
      <c r="U474" t="s">
        <v>54</v>
      </c>
      <c r="V474" t="s">
        <v>54</v>
      </c>
      <c r="W474" t="s">
        <v>54</v>
      </c>
      <c r="X474" s="23" t="s">
        <v>54</v>
      </c>
      <c r="Y474" s="23" t="s">
        <v>54</v>
      </c>
      <c r="Z474" s="23" t="s">
        <v>54</v>
      </c>
      <c r="AA474" s="23" t="s">
        <v>54</v>
      </c>
      <c r="AB474" t="s">
        <v>54</v>
      </c>
      <c r="AC474" t="s">
        <v>54</v>
      </c>
      <c r="AD474" t="s">
        <v>54</v>
      </c>
      <c r="AE474" t="s">
        <v>54</v>
      </c>
      <c r="AF474" s="23" t="s">
        <v>54</v>
      </c>
      <c r="AG474" s="23" t="s">
        <v>54</v>
      </c>
      <c r="AH474" s="23" t="s">
        <v>54</v>
      </c>
      <c r="AI474" s="23" t="s">
        <v>54</v>
      </c>
      <c r="AJ474">
        <v>0</v>
      </c>
      <c r="AK474">
        <v>0</v>
      </c>
      <c r="AL474">
        <v>0</v>
      </c>
      <c r="AM474">
        <v>0</v>
      </c>
      <c r="AN474" s="23" t="s">
        <v>54</v>
      </c>
      <c r="AO474" s="23" t="s">
        <v>54</v>
      </c>
      <c r="AP474" s="23" t="s">
        <v>54</v>
      </c>
      <c r="AQ474" s="23" t="s">
        <v>54</v>
      </c>
      <c r="AR474" s="35">
        <v>0</v>
      </c>
      <c r="AS474" s="35">
        <v>0</v>
      </c>
      <c r="AT474" s="35">
        <v>0</v>
      </c>
      <c r="AU474" s="31" t="str">
        <f t="shared" si="10"/>
        <v>库存为0</v>
      </c>
      <c r="AV474" s="36" t="str">
        <f>IFERROR($A$2+AU474,"上周无销量")</f>
        <v>上周无销量</v>
      </c>
    </row>
    <row r="475" spans="1:48">
      <c r="A475" s="21" t="s">
        <v>1031</v>
      </c>
      <c r="B475" t="s">
        <v>1032</v>
      </c>
      <c r="C475" t="s">
        <v>1006</v>
      </c>
      <c r="D475" s="31">
        <v>0</v>
      </c>
      <c r="E475" s="31">
        <v>0</v>
      </c>
      <c r="F475" s="31">
        <v>0</v>
      </c>
      <c r="G475" s="31">
        <v>0</v>
      </c>
      <c r="H475" s="32">
        <v>0</v>
      </c>
      <c r="I475">
        <v>0</v>
      </c>
      <c r="J475" s="33">
        <v>0</v>
      </c>
      <c r="K475" s="33">
        <v>0</v>
      </c>
      <c r="L475" s="33">
        <v>0</v>
      </c>
      <c r="M475">
        <v>0</v>
      </c>
      <c r="N475">
        <v>0</v>
      </c>
      <c r="O475">
        <v>0</v>
      </c>
      <c r="P475" t="s">
        <v>54</v>
      </c>
      <c r="Q475" t="s">
        <v>54</v>
      </c>
      <c r="R475" t="s">
        <v>54</v>
      </c>
      <c r="S475" t="s">
        <v>54</v>
      </c>
      <c r="T475" t="s">
        <v>54</v>
      </c>
      <c r="U475" t="s">
        <v>54</v>
      </c>
      <c r="V475" t="s">
        <v>54</v>
      </c>
      <c r="W475" t="s">
        <v>54</v>
      </c>
      <c r="X475" s="23" t="s">
        <v>54</v>
      </c>
      <c r="Y475" s="23" t="s">
        <v>54</v>
      </c>
      <c r="Z475" s="23" t="s">
        <v>54</v>
      </c>
      <c r="AA475" s="23" t="s">
        <v>54</v>
      </c>
      <c r="AB475" t="s">
        <v>54</v>
      </c>
      <c r="AC475" t="s">
        <v>54</v>
      </c>
      <c r="AD475" t="s">
        <v>54</v>
      </c>
      <c r="AE475" t="s">
        <v>54</v>
      </c>
      <c r="AF475" s="23" t="s">
        <v>54</v>
      </c>
      <c r="AG475" s="23" t="s">
        <v>54</v>
      </c>
      <c r="AH475" s="23" t="s">
        <v>54</v>
      </c>
      <c r="AI475" s="23" t="s">
        <v>54</v>
      </c>
      <c r="AJ475">
        <v>0</v>
      </c>
      <c r="AK475">
        <v>0</v>
      </c>
      <c r="AL475">
        <v>0</v>
      </c>
      <c r="AM475">
        <v>0</v>
      </c>
      <c r="AN475" s="23" t="s">
        <v>54</v>
      </c>
      <c r="AO475" s="23" t="s">
        <v>54</v>
      </c>
      <c r="AP475" s="23" t="s">
        <v>54</v>
      </c>
      <c r="AQ475" s="23" t="s">
        <v>54</v>
      </c>
      <c r="AR475" s="35">
        <v>0</v>
      </c>
      <c r="AS475" s="35">
        <v>0</v>
      </c>
      <c r="AT475" s="35">
        <v>0</v>
      </c>
      <c r="AU475" s="31" t="str">
        <f t="shared" si="10"/>
        <v>库存为0</v>
      </c>
      <c r="AV475" s="36" t="str">
        <f>IFERROR($A$2+AU475,"上周无销量")</f>
        <v>上周无销量</v>
      </c>
    </row>
    <row r="476" spans="1:48">
      <c r="A476" s="21" t="s">
        <v>1033</v>
      </c>
      <c r="B476" t="s">
        <v>1034</v>
      </c>
      <c r="C476" t="s">
        <v>1006</v>
      </c>
      <c r="D476" s="31">
        <v>0</v>
      </c>
      <c r="E476" s="31">
        <v>0</v>
      </c>
      <c r="F476" s="31">
        <v>0</v>
      </c>
      <c r="G476" s="31">
        <v>0</v>
      </c>
      <c r="H476" s="32">
        <v>0</v>
      </c>
      <c r="I476">
        <v>0</v>
      </c>
      <c r="J476" s="33">
        <v>0</v>
      </c>
      <c r="K476" s="33">
        <v>0</v>
      </c>
      <c r="L476" s="33">
        <v>0</v>
      </c>
      <c r="M476">
        <v>0</v>
      </c>
      <c r="N476">
        <v>0</v>
      </c>
      <c r="O476">
        <v>0</v>
      </c>
      <c r="P476" t="s">
        <v>54</v>
      </c>
      <c r="Q476" t="s">
        <v>54</v>
      </c>
      <c r="R476" t="s">
        <v>54</v>
      </c>
      <c r="S476" t="s">
        <v>54</v>
      </c>
      <c r="T476" t="s">
        <v>54</v>
      </c>
      <c r="U476" t="s">
        <v>54</v>
      </c>
      <c r="V476" t="s">
        <v>54</v>
      </c>
      <c r="W476" t="s">
        <v>54</v>
      </c>
      <c r="X476" s="23" t="s">
        <v>54</v>
      </c>
      <c r="Y476" s="23" t="s">
        <v>54</v>
      </c>
      <c r="Z476" s="23" t="s">
        <v>54</v>
      </c>
      <c r="AA476" s="23" t="s">
        <v>54</v>
      </c>
      <c r="AB476" t="s">
        <v>54</v>
      </c>
      <c r="AC476" t="s">
        <v>54</v>
      </c>
      <c r="AD476" t="s">
        <v>54</v>
      </c>
      <c r="AE476" t="s">
        <v>54</v>
      </c>
      <c r="AF476" s="23" t="s">
        <v>54</v>
      </c>
      <c r="AG476" s="23" t="s">
        <v>54</v>
      </c>
      <c r="AH476" s="23" t="s">
        <v>54</v>
      </c>
      <c r="AI476" s="23" t="s">
        <v>54</v>
      </c>
      <c r="AJ476">
        <v>0</v>
      </c>
      <c r="AK476">
        <v>0</v>
      </c>
      <c r="AL476">
        <v>0</v>
      </c>
      <c r="AM476">
        <v>0</v>
      </c>
      <c r="AN476" s="23" t="s">
        <v>54</v>
      </c>
      <c r="AO476" s="23" t="s">
        <v>54</v>
      </c>
      <c r="AP476" s="23" t="s">
        <v>54</v>
      </c>
      <c r="AQ476" s="23" t="s">
        <v>54</v>
      </c>
      <c r="AR476" s="35">
        <v>0</v>
      </c>
      <c r="AS476" s="35">
        <v>0</v>
      </c>
      <c r="AT476" s="35">
        <v>0</v>
      </c>
      <c r="AU476" s="31" t="str">
        <f t="shared" si="10"/>
        <v>库存为0</v>
      </c>
      <c r="AV476" s="36" t="str">
        <f>IFERROR($A$2+AU476,"上周无销量")</f>
        <v>上周无销量</v>
      </c>
    </row>
    <row r="477" spans="1:48">
      <c r="A477" s="21" t="s">
        <v>1035</v>
      </c>
      <c r="B477" t="s">
        <v>1036</v>
      </c>
      <c r="C477" t="s">
        <v>1006</v>
      </c>
      <c r="D477" s="31">
        <v>0</v>
      </c>
      <c r="E477" s="31">
        <v>0</v>
      </c>
      <c r="F477" s="31">
        <v>0</v>
      </c>
      <c r="G477" s="31">
        <v>0</v>
      </c>
      <c r="H477" s="32">
        <v>0</v>
      </c>
      <c r="I477">
        <v>0</v>
      </c>
      <c r="J477" s="33">
        <v>0</v>
      </c>
      <c r="K477" s="33">
        <v>0</v>
      </c>
      <c r="L477" s="33">
        <v>0</v>
      </c>
      <c r="M477">
        <v>0</v>
      </c>
      <c r="N477">
        <v>0</v>
      </c>
      <c r="O477">
        <v>0</v>
      </c>
      <c r="P477" t="s">
        <v>54</v>
      </c>
      <c r="Q477" t="s">
        <v>54</v>
      </c>
      <c r="R477" t="s">
        <v>54</v>
      </c>
      <c r="S477" t="s">
        <v>54</v>
      </c>
      <c r="T477" t="s">
        <v>54</v>
      </c>
      <c r="U477" t="s">
        <v>54</v>
      </c>
      <c r="V477" t="s">
        <v>54</v>
      </c>
      <c r="W477" t="s">
        <v>54</v>
      </c>
      <c r="X477" s="23" t="s">
        <v>54</v>
      </c>
      <c r="Y477" s="23" t="s">
        <v>54</v>
      </c>
      <c r="Z477" s="23" t="s">
        <v>54</v>
      </c>
      <c r="AA477" s="23" t="s">
        <v>54</v>
      </c>
      <c r="AB477" t="s">
        <v>54</v>
      </c>
      <c r="AC477" t="s">
        <v>54</v>
      </c>
      <c r="AD477" t="s">
        <v>54</v>
      </c>
      <c r="AE477" t="s">
        <v>54</v>
      </c>
      <c r="AF477" s="23" t="s">
        <v>54</v>
      </c>
      <c r="AG477" s="23" t="s">
        <v>54</v>
      </c>
      <c r="AH477" s="23" t="s">
        <v>54</v>
      </c>
      <c r="AI477" s="23" t="s">
        <v>54</v>
      </c>
      <c r="AJ477">
        <v>0</v>
      </c>
      <c r="AK477">
        <v>0</v>
      </c>
      <c r="AL477">
        <v>0</v>
      </c>
      <c r="AM477">
        <v>0</v>
      </c>
      <c r="AN477" s="23" t="s">
        <v>54</v>
      </c>
      <c r="AO477" s="23" t="s">
        <v>54</v>
      </c>
      <c r="AP477" s="23" t="s">
        <v>54</v>
      </c>
      <c r="AQ477" s="23" t="s">
        <v>54</v>
      </c>
      <c r="AR477" s="35">
        <v>0</v>
      </c>
      <c r="AS477" s="35">
        <v>0</v>
      </c>
      <c r="AT477" s="35">
        <v>0</v>
      </c>
      <c r="AU477" s="31" t="str">
        <f t="shared" si="10"/>
        <v>库存为0</v>
      </c>
      <c r="AV477" s="36" t="str">
        <f>IFERROR($A$2+AU477,"上周无销量")</f>
        <v>上周无销量</v>
      </c>
    </row>
    <row r="478" spans="1:48">
      <c r="A478" s="21" t="s">
        <v>1037</v>
      </c>
      <c r="B478" t="s">
        <v>1038</v>
      </c>
      <c r="C478" t="s">
        <v>1006</v>
      </c>
      <c r="D478" s="31">
        <v>0</v>
      </c>
      <c r="E478" s="31">
        <v>0</v>
      </c>
      <c r="F478" s="31">
        <v>0</v>
      </c>
      <c r="G478" s="31">
        <v>0</v>
      </c>
      <c r="H478" s="32">
        <v>0</v>
      </c>
      <c r="I478">
        <v>0</v>
      </c>
      <c r="J478" s="33">
        <v>0</v>
      </c>
      <c r="K478" s="33">
        <v>0</v>
      </c>
      <c r="L478" s="33">
        <v>0</v>
      </c>
      <c r="M478">
        <v>0</v>
      </c>
      <c r="N478">
        <v>0</v>
      </c>
      <c r="O478">
        <v>0</v>
      </c>
      <c r="P478" t="s">
        <v>54</v>
      </c>
      <c r="Q478" t="s">
        <v>54</v>
      </c>
      <c r="R478" t="s">
        <v>54</v>
      </c>
      <c r="S478" t="s">
        <v>54</v>
      </c>
      <c r="T478" t="s">
        <v>54</v>
      </c>
      <c r="U478" t="s">
        <v>54</v>
      </c>
      <c r="V478" t="s">
        <v>54</v>
      </c>
      <c r="W478" t="s">
        <v>54</v>
      </c>
      <c r="X478" s="23" t="s">
        <v>54</v>
      </c>
      <c r="Y478" s="23" t="s">
        <v>54</v>
      </c>
      <c r="Z478" s="23" t="s">
        <v>54</v>
      </c>
      <c r="AA478" s="23" t="s">
        <v>54</v>
      </c>
      <c r="AB478" t="s">
        <v>54</v>
      </c>
      <c r="AC478" t="s">
        <v>54</v>
      </c>
      <c r="AD478" t="s">
        <v>54</v>
      </c>
      <c r="AE478" t="s">
        <v>54</v>
      </c>
      <c r="AF478" s="23" t="s">
        <v>54</v>
      </c>
      <c r="AG478" s="23" t="s">
        <v>54</v>
      </c>
      <c r="AH478" s="23" t="s">
        <v>54</v>
      </c>
      <c r="AI478" s="23" t="s">
        <v>54</v>
      </c>
      <c r="AJ478">
        <v>0</v>
      </c>
      <c r="AK478">
        <v>0</v>
      </c>
      <c r="AL478">
        <v>0</v>
      </c>
      <c r="AM478">
        <v>0</v>
      </c>
      <c r="AN478" s="23" t="s">
        <v>54</v>
      </c>
      <c r="AO478" s="23" t="s">
        <v>54</v>
      </c>
      <c r="AP478" s="23" t="s">
        <v>54</v>
      </c>
      <c r="AQ478" s="23" t="s">
        <v>54</v>
      </c>
      <c r="AR478" s="35">
        <v>0</v>
      </c>
      <c r="AS478" s="35">
        <v>0</v>
      </c>
      <c r="AT478" s="35">
        <v>0</v>
      </c>
      <c r="AU478" s="31" t="str">
        <f t="shared" si="10"/>
        <v>库存为0</v>
      </c>
      <c r="AV478" s="36" t="str">
        <f>IFERROR($A$2+AU478,"上周无销量")</f>
        <v>上周无销量</v>
      </c>
    </row>
    <row r="479" spans="1:48">
      <c r="A479" s="21" t="s">
        <v>1039</v>
      </c>
      <c r="B479" t="s">
        <v>1040</v>
      </c>
      <c r="C479" t="s">
        <v>1006</v>
      </c>
      <c r="D479" s="31">
        <v>0</v>
      </c>
      <c r="E479" s="31">
        <v>0</v>
      </c>
      <c r="F479" s="31">
        <v>0</v>
      </c>
      <c r="G479" s="31">
        <v>0</v>
      </c>
      <c r="H479" s="32">
        <v>0</v>
      </c>
      <c r="I479">
        <v>0</v>
      </c>
      <c r="J479" s="33">
        <v>0</v>
      </c>
      <c r="K479" s="33">
        <v>0</v>
      </c>
      <c r="L479" s="33">
        <v>0</v>
      </c>
      <c r="M479">
        <v>0</v>
      </c>
      <c r="N479">
        <v>0</v>
      </c>
      <c r="O479">
        <v>0</v>
      </c>
      <c r="P479" t="s">
        <v>54</v>
      </c>
      <c r="Q479" t="s">
        <v>54</v>
      </c>
      <c r="R479" t="s">
        <v>54</v>
      </c>
      <c r="S479" t="s">
        <v>54</v>
      </c>
      <c r="T479" t="s">
        <v>54</v>
      </c>
      <c r="U479" t="s">
        <v>54</v>
      </c>
      <c r="V479" t="s">
        <v>54</v>
      </c>
      <c r="W479" t="s">
        <v>54</v>
      </c>
      <c r="X479" s="23" t="s">
        <v>54</v>
      </c>
      <c r="Y479" s="23" t="s">
        <v>54</v>
      </c>
      <c r="Z479" s="23" t="s">
        <v>54</v>
      </c>
      <c r="AA479" s="23" t="s">
        <v>54</v>
      </c>
      <c r="AB479" t="s">
        <v>54</v>
      </c>
      <c r="AC479" t="s">
        <v>54</v>
      </c>
      <c r="AD479" t="s">
        <v>54</v>
      </c>
      <c r="AE479" t="s">
        <v>54</v>
      </c>
      <c r="AF479" s="23" t="s">
        <v>54</v>
      </c>
      <c r="AG479" s="23" t="s">
        <v>54</v>
      </c>
      <c r="AH479" s="23" t="s">
        <v>54</v>
      </c>
      <c r="AI479" s="23" t="s">
        <v>54</v>
      </c>
      <c r="AJ479">
        <v>0</v>
      </c>
      <c r="AK479">
        <v>0</v>
      </c>
      <c r="AL479">
        <v>0</v>
      </c>
      <c r="AM479">
        <v>0</v>
      </c>
      <c r="AN479" s="23" t="s">
        <v>54</v>
      </c>
      <c r="AO479" s="23" t="s">
        <v>54</v>
      </c>
      <c r="AP479" s="23" t="s">
        <v>54</v>
      </c>
      <c r="AQ479" s="23" t="s">
        <v>54</v>
      </c>
      <c r="AR479" s="35">
        <v>0</v>
      </c>
      <c r="AS479" s="35">
        <v>0</v>
      </c>
      <c r="AT479" s="35">
        <v>0</v>
      </c>
      <c r="AU479" s="31" t="str">
        <f t="shared" si="10"/>
        <v>库存为0</v>
      </c>
      <c r="AV479" s="36" t="str">
        <f>IFERROR($A$2+AU479,"上周无销量")</f>
        <v>上周无销量</v>
      </c>
    </row>
    <row r="480" spans="1:48">
      <c r="A480" s="21" t="s">
        <v>1041</v>
      </c>
      <c r="B480" t="s">
        <v>1042</v>
      </c>
      <c r="C480" t="s">
        <v>1006</v>
      </c>
      <c r="D480" s="31">
        <v>0</v>
      </c>
      <c r="E480" s="31">
        <v>0</v>
      </c>
      <c r="F480" s="31">
        <v>0</v>
      </c>
      <c r="G480" s="31">
        <v>0</v>
      </c>
      <c r="H480" s="32">
        <v>0</v>
      </c>
      <c r="I480">
        <v>0</v>
      </c>
      <c r="J480" s="33">
        <v>0</v>
      </c>
      <c r="K480" s="33">
        <v>0</v>
      </c>
      <c r="L480" s="33">
        <v>0</v>
      </c>
      <c r="M480">
        <v>0</v>
      </c>
      <c r="N480">
        <v>0</v>
      </c>
      <c r="O480">
        <v>0</v>
      </c>
      <c r="P480" t="s">
        <v>54</v>
      </c>
      <c r="Q480" t="s">
        <v>54</v>
      </c>
      <c r="R480" t="s">
        <v>54</v>
      </c>
      <c r="S480" t="s">
        <v>54</v>
      </c>
      <c r="T480" t="s">
        <v>54</v>
      </c>
      <c r="U480" t="s">
        <v>54</v>
      </c>
      <c r="V480" t="s">
        <v>54</v>
      </c>
      <c r="W480" t="s">
        <v>54</v>
      </c>
      <c r="X480" s="23" t="s">
        <v>54</v>
      </c>
      <c r="Y480" s="23" t="s">
        <v>54</v>
      </c>
      <c r="Z480" s="23" t="s">
        <v>54</v>
      </c>
      <c r="AA480" s="23" t="s">
        <v>54</v>
      </c>
      <c r="AB480" t="s">
        <v>54</v>
      </c>
      <c r="AC480" t="s">
        <v>54</v>
      </c>
      <c r="AD480" t="s">
        <v>54</v>
      </c>
      <c r="AE480" t="s">
        <v>54</v>
      </c>
      <c r="AF480" s="23" t="s">
        <v>54</v>
      </c>
      <c r="AG480" s="23" t="s">
        <v>54</v>
      </c>
      <c r="AH480" s="23" t="s">
        <v>54</v>
      </c>
      <c r="AI480" s="23" t="s">
        <v>54</v>
      </c>
      <c r="AJ480">
        <v>0</v>
      </c>
      <c r="AK480">
        <v>0</v>
      </c>
      <c r="AL480">
        <v>0</v>
      </c>
      <c r="AM480">
        <v>0</v>
      </c>
      <c r="AN480" s="23" t="s">
        <v>54</v>
      </c>
      <c r="AO480" s="23" t="s">
        <v>54</v>
      </c>
      <c r="AP480" s="23" t="s">
        <v>54</v>
      </c>
      <c r="AQ480" s="23" t="s">
        <v>54</v>
      </c>
      <c r="AR480" s="35">
        <v>0</v>
      </c>
      <c r="AS480" s="35">
        <v>0</v>
      </c>
      <c r="AT480" s="35">
        <v>0</v>
      </c>
      <c r="AU480" s="31" t="str">
        <f t="shared" si="10"/>
        <v>库存为0</v>
      </c>
      <c r="AV480" s="36" t="str">
        <f>IFERROR($A$2+AU480,"上周无销量")</f>
        <v>上周无销量</v>
      </c>
    </row>
    <row r="481" spans="1:48">
      <c r="A481" s="21" t="s">
        <v>1043</v>
      </c>
      <c r="B481" t="s">
        <v>1044</v>
      </c>
      <c r="C481" t="s">
        <v>1006</v>
      </c>
      <c r="D481" s="31">
        <v>0</v>
      </c>
      <c r="E481" s="31">
        <v>0</v>
      </c>
      <c r="F481" s="31">
        <v>0</v>
      </c>
      <c r="G481" s="31">
        <v>0</v>
      </c>
      <c r="H481" s="32">
        <v>0</v>
      </c>
      <c r="I481">
        <v>0</v>
      </c>
      <c r="J481" s="33">
        <v>0</v>
      </c>
      <c r="K481" s="33">
        <v>0</v>
      </c>
      <c r="L481" s="33">
        <v>0</v>
      </c>
      <c r="M481">
        <v>0</v>
      </c>
      <c r="N481">
        <v>0</v>
      </c>
      <c r="O481">
        <v>0</v>
      </c>
      <c r="P481" t="s">
        <v>54</v>
      </c>
      <c r="Q481" t="s">
        <v>54</v>
      </c>
      <c r="R481" t="s">
        <v>54</v>
      </c>
      <c r="S481" t="s">
        <v>54</v>
      </c>
      <c r="T481" t="s">
        <v>54</v>
      </c>
      <c r="U481" t="s">
        <v>54</v>
      </c>
      <c r="V481" t="s">
        <v>54</v>
      </c>
      <c r="W481" t="s">
        <v>54</v>
      </c>
      <c r="X481" s="23" t="s">
        <v>54</v>
      </c>
      <c r="Y481" s="23" t="s">
        <v>54</v>
      </c>
      <c r="Z481" s="23" t="s">
        <v>54</v>
      </c>
      <c r="AA481" s="23" t="s">
        <v>54</v>
      </c>
      <c r="AB481" t="s">
        <v>54</v>
      </c>
      <c r="AC481" t="s">
        <v>54</v>
      </c>
      <c r="AD481" t="s">
        <v>54</v>
      </c>
      <c r="AE481" t="s">
        <v>54</v>
      </c>
      <c r="AF481" s="23" t="s">
        <v>54</v>
      </c>
      <c r="AG481" s="23" t="s">
        <v>54</v>
      </c>
      <c r="AH481" s="23" t="s">
        <v>54</v>
      </c>
      <c r="AI481" s="23" t="s">
        <v>54</v>
      </c>
      <c r="AJ481">
        <v>0</v>
      </c>
      <c r="AK481">
        <v>0</v>
      </c>
      <c r="AL481">
        <v>0</v>
      </c>
      <c r="AM481">
        <v>0</v>
      </c>
      <c r="AN481" s="23" t="s">
        <v>54</v>
      </c>
      <c r="AO481" s="23" t="s">
        <v>54</v>
      </c>
      <c r="AP481" s="23" t="s">
        <v>54</v>
      </c>
      <c r="AQ481" s="23" t="s">
        <v>54</v>
      </c>
      <c r="AR481" s="35">
        <v>0</v>
      </c>
      <c r="AS481" s="35">
        <v>0</v>
      </c>
      <c r="AT481" s="35">
        <v>0</v>
      </c>
      <c r="AU481" s="31" t="str">
        <f t="shared" si="10"/>
        <v>库存为0</v>
      </c>
      <c r="AV481" s="36" t="str">
        <f>IFERROR($A$2+AU481,"上周无销量")</f>
        <v>上周无销量</v>
      </c>
    </row>
    <row r="482" spans="1:48">
      <c r="A482" s="21" t="s">
        <v>1045</v>
      </c>
      <c r="B482" t="s">
        <v>1046</v>
      </c>
      <c r="C482" t="s">
        <v>1006</v>
      </c>
      <c r="D482" s="31">
        <v>0</v>
      </c>
      <c r="E482" s="31">
        <v>0</v>
      </c>
      <c r="F482" s="31">
        <v>0</v>
      </c>
      <c r="G482" s="31">
        <v>0</v>
      </c>
      <c r="H482" s="32">
        <v>0</v>
      </c>
      <c r="I482">
        <v>0</v>
      </c>
      <c r="J482" s="33">
        <v>0</v>
      </c>
      <c r="K482" s="33">
        <v>0</v>
      </c>
      <c r="L482" s="33">
        <v>0</v>
      </c>
      <c r="M482">
        <v>0</v>
      </c>
      <c r="N482">
        <v>0</v>
      </c>
      <c r="O482">
        <v>0</v>
      </c>
      <c r="P482" t="s">
        <v>54</v>
      </c>
      <c r="Q482" t="s">
        <v>54</v>
      </c>
      <c r="R482" t="s">
        <v>54</v>
      </c>
      <c r="S482" t="s">
        <v>54</v>
      </c>
      <c r="T482" t="s">
        <v>54</v>
      </c>
      <c r="U482" t="s">
        <v>54</v>
      </c>
      <c r="V482" t="s">
        <v>54</v>
      </c>
      <c r="W482" t="s">
        <v>54</v>
      </c>
      <c r="X482" s="23" t="s">
        <v>54</v>
      </c>
      <c r="Y482" s="23" t="s">
        <v>54</v>
      </c>
      <c r="Z482" s="23" t="s">
        <v>54</v>
      </c>
      <c r="AA482" s="23" t="s">
        <v>54</v>
      </c>
      <c r="AB482" t="s">
        <v>54</v>
      </c>
      <c r="AC482" t="s">
        <v>54</v>
      </c>
      <c r="AD482" t="s">
        <v>54</v>
      </c>
      <c r="AE482" t="s">
        <v>54</v>
      </c>
      <c r="AF482" s="23" t="s">
        <v>54</v>
      </c>
      <c r="AG482" s="23" t="s">
        <v>54</v>
      </c>
      <c r="AH482" s="23" t="s">
        <v>54</v>
      </c>
      <c r="AI482" s="23" t="s">
        <v>54</v>
      </c>
      <c r="AJ482">
        <v>0</v>
      </c>
      <c r="AK482">
        <v>0</v>
      </c>
      <c r="AL482">
        <v>0</v>
      </c>
      <c r="AM482">
        <v>0</v>
      </c>
      <c r="AN482" s="23" t="s">
        <v>54</v>
      </c>
      <c r="AO482" s="23" t="s">
        <v>54</v>
      </c>
      <c r="AP482" s="23" t="s">
        <v>54</v>
      </c>
      <c r="AQ482" s="23" t="s">
        <v>54</v>
      </c>
      <c r="AR482" s="35">
        <v>0</v>
      </c>
      <c r="AS482" s="35">
        <v>0</v>
      </c>
      <c r="AT482" s="35">
        <v>0</v>
      </c>
      <c r="AU482" s="31" t="str">
        <f t="shared" si="10"/>
        <v>库存为0</v>
      </c>
      <c r="AV482" s="36" t="str">
        <f>IFERROR($A$2+AU482,"上周无销量")</f>
        <v>上周无销量</v>
      </c>
    </row>
    <row r="483" spans="1:48">
      <c r="A483" s="21" t="s">
        <v>1047</v>
      </c>
      <c r="B483" t="s">
        <v>1048</v>
      </c>
      <c r="C483" t="s">
        <v>1006</v>
      </c>
      <c r="D483" s="31">
        <v>0</v>
      </c>
      <c r="E483" s="31">
        <v>0</v>
      </c>
      <c r="F483" s="31">
        <v>0</v>
      </c>
      <c r="G483" s="31">
        <v>0</v>
      </c>
      <c r="H483" s="32">
        <v>0</v>
      </c>
      <c r="I483">
        <v>0</v>
      </c>
      <c r="J483" s="33">
        <v>0</v>
      </c>
      <c r="K483" s="33">
        <v>0</v>
      </c>
      <c r="L483" s="33">
        <v>0</v>
      </c>
      <c r="M483">
        <v>0</v>
      </c>
      <c r="N483">
        <v>0</v>
      </c>
      <c r="O483">
        <v>0</v>
      </c>
      <c r="P483" t="s">
        <v>54</v>
      </c>
      <c r="Q483" t="s">
        <v>54</v>
      </c>
      <c r="R483" t="s">
        <v>54</v>
      </c>
      <c r="S483" t="s">
        <v>54</v>
      </c>
      <c r="T483" t="s">
        <v>54</v>
      </c>
      <c r="U483" t="s">
        <v>54</v>
      </c>
      <c r="V483" t="s">
        <v>54</v>
      </c>
      <c r="W483" t="s">
        <v>54</v>
      </c>
      <c r="X483" s="23" t="s">
        <v>54</v>
      </c>
      <c r="Y483" s="23" t="s">
        <v>54</v>
      </c>
      <c r="Z483" s="23" t="s">
        <v>54</v>
      </c>
      <c r="AA483" s="23" t="s">
        <v>54</v>
      </c>
      <c r="AB483" t="s">
        <v>54</v>
      </c>
      <c r="AC483" t="s">
        <v>54</v>
      </c>
      <c r="AD483" t="s">
        <v>54</v>
      </c>
      <c r="AE483" t="s">
        <v>54</v>
      </c>
      <c r="AF483" s="23" t="s">
        <v>54</v>
      </c>
      <c r="AG483" s="23" t="s">
        <v>54</v>
      </c>
      <c r="AH483" s="23" t="s">
        <v>54</v>
      </c>
      <c r="AI483" s="23" t="s">
        <v>54</v>
      </c>
      <c r="AJ483">
        <v>0</v>
      </c>
      <c r="AK483">
        <v>0</v>
      </c>
      <c r="AL483">
        <v>0</v>
      </c>
      <c r="AM483">
        <v>0</v>
      </c>
      <c r="AN483" s="23" t="s">
        <v>54</v>
      </c>
      <c r="AO483" s="23" t="s">
        <v>54</v>
      </c>
      <c r="AP483" s="23" t="s">
        <v>54</v>
      </c>
      <c r="AQ483" s="23" t="s">
        <v>54</v>
      </c>
      <c r="AR483" s="35">
        <v>0</v>
      </c>
      <c r="AS483" s="35">
        <v>0</v>
      </c>
      <c r="AT483" s="35">
        <v>0</v>
      </c>
      <c r="AU483" s="31" t="str">
        <f t="shared" si="10"/>
        <v>库存为0</v>
      </c>
      <c r="AV483" s="36" t="str">
        <f>IFERROR($A$2+AU483,"上周无销量")</f>
        <v>上周无销量</v>
      </c>
    </row>
    <row r="484" spans="1:48">
      <c r="A484" s="21" t="s">
        <v>1049</v>
      </c>
      <c r="B484" t="s">
        <v>1050</v>
      </c>
      <c r="C484" t="s">
        <v>1051</v>
      </c>
      <c r="D484" s="31">
        <v>0</v>
      </c>
      <c r="E484" s="31">
        <v>0</v>
      </c>
      <c r="F484" s="31">
        <v>0</v>
      </c>
      <c r="G484" s="31">
        <v>0</v>
      </c>
      <c r="H484" s="32">
        <v>0</v>
      </c>
      <c r="I484">
        <v>0</v>
      </c>
      <c r="J484" s="33">
        <v>0</v>
      </c>
      <c r="K484" s="33">
        <v>0</v>
      </c>
      <c r="L484" s="33">
        <v>0</v>
      </c>
      <c r="M484">
        <v>0</v>
      </c>
      <c r="N484">
        <v>0</v>
      </c>
      <c r="O484">
        <v>0</v>
      </c>
      <c r="P484" t="s">
        <v>54</v>
      </c>
      <c r="Q484" t="s">
        <v>54</v>
      </c>
      <c r="R484" t="s">
        <v>54</v>
      </c>
      <c r="S484" t="s">
        <v>54</v>
      </c>
      <c r="T484" t="s">
        <v>54</v>
      </c>
      <c r="U484" t="s">
        <v>54</v>
      </c>
      <c r="V484" t="s">
        <v>54</v>
      </c>
      <c r="W484" t="s">
        <v>54</v>
      </c>
      <c r="X484" s="23" t="s">
        <v>54</v>
      </c>
      <c r="Y484" s="23" t="s">
        <v>54</v>
      </c>
      <c r="Z484" s="23" t="s">
        <v>54</v>
      </c>
      <c r="AA484" s="23" t="s">
        <v>54</v>
      </c>
      <c r="AB484" t="s">
        <v>54</v>
      </c>
      <c r="AC484" t="s">
        <v>54</v>
      </c>
      <c r="AD484" t="s">
        <v>54</v>
      </c>
      <c r="AE484" t="s">
        <v>54</v>
      </c>
      <c r="AF484" s="23" t="s">
        <v>54</v>
      </c>
      <c r="AG484" s="23" t="s">
        <v>54</v>
      </c>
      <c r="AH484" s="23" t="s">
        <v>54</v>
      </c>
      <c r="AI484" s="23" t="s">
        <v>54</v>
      </c>
      <c r="AJ484">
        <v>0</v>
      </c>
      <c r="AK484">
        <v>0</v>
      </c>
      <c r="AL484">
        <v>0</v>
      </c>
      <c r="AM484">
        <v>0</v>
      </c>
      <c r="AN484" s="23" t="s">
        <v>54</v>
      </c>
      <c r="AO484" s="23" t="s">
        <v>54</v>
      </c>
      <c r="AP484" s="23" t="s">
        <v>54</v>
      </c>
      <c r="AQ484" s="23" t="s">
        <v>54</v>
      </c>
      <c r="AR484" s="35">
        <v>0</v>
      </c>
      <c r="AS484" s="35">
        <v>0</v>
      </c>
      <c r="AT484" s="35">
        <v>0</v>
      </c>
      <c r="AU484" s="31" t="str">
        <f t="shared" si="10"/>
        <v>库存为0</v>
      </c>
      <c r="AV484" s="36" t="str">
        <f>IFERROR($A$2+AU484,"上周无销量")</f>
        <v>上周无销量</v>
      </c>
    </row>
    <row r="485" spans="1:48">
      <c r="A485" s="21" t="s">
        <v>1052</v>
      </c>
      <c r="B485" t="s">
        <v>1053</v>
      </c>
      <c r="C485" t="s">
        <v>1051</v>
      </c>
      <c r="D485" s="31">
        <v>0</v>
      </c>
      <c r="E485" s="31">
        <v>0</v>
      </c>
      <c r="F485" s="31">
        <v>1</v>
      </c>
      <c r="G485" s="31">
        <v>1</v>
      </c>
      <c r="H485" s="32">
        <v>15.98</v>
      </c>
      <c r="I485">
        <v>1</v>
      </c>
      <c r="J485" s="33">
        <v>0</v>
      </c>
      <c r="K485" s="33">
        <v>0</v>
      </c>
      <c r="L485" s="33">
        <v>0</v>
      </c>
      <c r="M485">
        <v>1</v>
      </c>
      <c r="N485">
        <v>0</v>
      </c>
      <c r="O485">
        <v>0</v>
      </c>
      <c r="P485" t="s">
        <v>54</v>
      </c>
      <c r="Q485" t="s">
        <v>54</v>
      </c>
      <c r="R485" t="s">
        <v>54</v>
      </c>
      <c r="S485" t="s">
        <v>54</v>
      </c>
      <c r="T485" t="s">
        <v>54</v>
      </c>
      <c r="U485" t="s">
        <v>54</v>
      </c>
      <c r="V485" t="s">
        <v>54</v>
      </c>
      <c r="W485" t="s">
        <v>54</v>
      </c>
      <c r="X485" s="23" t="s">
        <v>54</v>
      </c>
      <c r="Y485" s="23" t="s">
        <v>54</v>
      </c>
      <c r="Z485" s="23" t="s">
        <v>54</v>
      </c>
      <c r="AA485" s="23" t="s">
        <v>54</v>
      </c>
      <c r="AB485" t="s">
        <v>54</v>
      </c>
      <c r="AC485" t="s">
        <v>54</v>
      </c>
      <c r="AD485" t="s">
        <v>54</v>
      </c>
      <c r="AE485" t="s">
        <v>54</v>
      </c>
      <c r="AF485" s="23" t="s">
        <v>54</v>
      </c>
      <c r="AG485" s="23" t="s">
        <v>54</v>
      </c>
      <c r="AH485" s="23" t="s">
        <v>54</v>
      </c>
      <c r="AI485" s="23" t="s">
        <v>54</v>
      </c>
      <c r="AJ485">
        <v>13</v>
      </c>
      <c r="AK485">
        <v>4</v>
      </c>
      <c r="AL485">
        <v>2</v>
      </c>
      <c r="AM485">
        <v>14</v>
      </c>
      <c r="AN485" s="23">
        <v>0</v>
      </c>
      <c r="AO485" s="23">
        <v>0</v>
      </c>
      <c r="AP485" s="23">
        <v>0.5</v>
      </c>
      <c r="AQ485" s="23">
        <v>0.0714285714285714</v>
      </c>
      <c r="AR485" s="35">
        <v>0</v>
      </c>
      <c r="AS485" s="35">
        <v>0</v>
      </c>
      <c r="AT485" s="35">
        <v>1</v>
      </c>
      <c r="AU485" s="31" t="str">
        <f t="shared" si="10"/>
        <v>库存为1</v>
      </c>
      <c r="AV485" s="36" t="str">
        <f>IFERROR($A$2+AU485,"上周无销量")</f>
        <v>上周无销量</v>
      </c>
    </row>
    <row r="486" spans="1:48">
      <c r="A486" s="21" t="s">
        <v>1054</v>
      </c>
      <c r="B486" t="s">
        <v>1055</v>
      </c>
      <c r="C486" t="s">
        <v>1051</v>
      </c>
      <c r="D486" s="31">
        <v>0</v>
      </c>
      <c r="E486" s="31">
        <v>3</v>
      </c>
      <c r="F486" s="31">
        <v>0</v>
      </c>
      <c r="G486" s="31">
        <v>0</v>
      </c>
      <c r="H486" s="32">
        <v>9.98</v>
      </c>
      <c r="I486">
        <v>0</v>
      </c>
      <c r="J486" s="33">
        <v>0</v>
      </c>
      <c r="K486" s="33">
        <v>0</v>
      </c>
      <c r="L486" s="33">
        <v>0</v>
      </c>
      <c r="M486">
        <v>0</v>
      </c>
      <c r="N486">
        <v>0</v>
      </c>
      <c r="O486">
        <v>0</v>
      </c>
      <c r="P486" t="s">
        <v>54</v>
      </c>
      <c r="Q486" t="s">
        <v>54</v>
      </c>
      <c r="R486" t="s">
        <v>54</v>
      </c>
      <c r="S486" t="s">
        <v>54</v>
      </c>
      <c r="T486" t="s">
        <v>54</v>
      </c>
      <c r="U486" t="s">
        <v>54</v>
      </c>
      <c r="V486" t="s">
        <v>54</v>
      </c>
      <c r="W486" t="s">
        <v>54</v>
      </c>
      <c r="X486" s="23" t="s">
        <v>54</v>
      </c>
      <c r="Y486" s="23" t="s">
        <v>54</v>
      </c>
      <c r="Z486" s="23" t="s">
        <v>54</v>
      </c>
      <c r="AA486" s="23" t="s">
        <v>54</v>
      </c>
      <c r="AB486" t="s">
        <v>54</v>
      </c>
      <c r="AC486" t="s">
        <v>54</v>
      </c>
      <c r="AD486" t="s">
        <v>54</v>
      </c>
      <c r="AE486" t="s">
        <v>54</v>
      </c>
      <c r="AF486" s="23" t="s">
        <v>54</v>
      </c>
      <c r="AG486" s="23" t="s">
        <v>54</v>
      </c>
      <c r="AH486" s="23" t="s">
        <v>54</v>
      </c>
      <c r="AI486" s="23" t="s">
        <v>54</v>
      </c>
      <c r="AJ486">
        <v>0</v>
      </c>
      <c r="AK486">
        <v>22</v>
      </c>
      <c r="AL486">
        <v>15</v>
      </c>
      <c r="AM486">
        <v>8</v>
      </c>
      <c r="AN486" s="23" t="s">
        <v>54</v>
      </c>
      <c r="AO486" s="23">
        <v>0.136363636363636</v>
      </c>
      <c r="AP486" s="23">
        <v>0</v>
      </c>
      <c r="AQ486" s="23">
        <v>0</v>
      </c>
      <c r="AR486" s="35">
        <v>0</v>
      </c>
      <c r="AS486" s="35">
        <v>0</v>
      </c>
      <c r="AT486" s="35">
        <v>0</v>
      </c>
      <c r="AU486" s="31" t="str">
        <f t="shared" si="10"/>
        <v>库存为0</v>
      </c>
      <c r="AV486" s="36" t="str">
        <f>IFERROR($A$2+AU486,"上周无销量")</f>
        <v>上周无销量</v>
      </c>
    </row>
    <row r="487" spans="1:48">
      <c r="A487" s="21" t="s">
        <v>1056</v>
      </c>
      <c r="B487" t="s">
        <v>1057</v>
      </c>
      <c r="C487" t="s">
        <v>1051</v>
      </c>
      <c r="D487" s="31">
        <v>0</v>
      </c>
      <c r="E487" s="31">
        <v>0</v>
      </c>
      <c r="F487" s="31">
        <v>0</v>
      </c>
      <c r="G487" s="31">
        <v>0</v>
      </c>
      <c r="H487" s="32">
        <v>0</v>
      </c>
      <c r="I487">
        <v>0</v>
      </c>
      <c r="J487" s="33">
        <v>0</v>
      </c>
      <c r="K487" s="33">
        <v>0</v>
      </c>
      <c r="L487" s="33">
        <v>0</v>
      </c>
      <c r="M487">
        <v>0</v>
      </c>
      <c r="N487">
        <v>0</v>
      </c>
      <c r="O487">
        <v>0</v>
      </c>
      <c r="P487" t="s">
        <v>54</v>
      </c>
      <c r="Q487" t="s">
        <v>54</v>
      </c>
      <c r="R487" t="s">
        <v>54</v>
      </c>
      <c r="S487" t="s">
        <v>54</v>
      </c>
      <c r="T487" t="s">
        <v>54</v>
      </c>
      <c r="U487" t="s">
        <v>54</v>
      </c>
      <c r="V487" t="s">
        <v>54</v>
      </c>
      <c r="W487" t="s">
        <v>54</v>
      </c>
      <c r="X487" s="23" t="s">
        <v>54</v>
      </c>
      <c r="Y487" s="23" t="s">
        <v>54</v>
      </c>
      <c r="Z487" s="23" t="s">
        <v>54</v>
      </c>
      <c r="AA487" s="23" t="s">
        <v>54</v>
      </c>
      <c r="AB487" t="s">
        <v>54</v>
      </c>
      <c r="AC487" t="s">
        <v>54</v>
      </c>
      <c r="AD487" t="s">
        <v>54</v>
      </c>
      <c r="AE487" t="s">
        <v>54</v>
      </c>
      <c r="AF487" s="23" t="s">
        <v>54</v>
      </c>
      <c r="AG487" s="23" t="s">
        <v>54</v>
      </c>
      <c r="AH487" s="23" t="s">
        <v>54</v>
      </c>
      <c r="AI487" s="23" t="s">
        <v>54</v>
      </c>
      <c r="AJ487">
        <v>0</v>
      </c>
      <c r="AK487">
        <v>0</v>
      </c>
      <c r="AL487">
        <v>0</v>
      </c>
      <c r="AM487">
        <v>0</v>
      </c>
      <c r="AN487" s="23" t="s">
        <v>54</v>
      </c>
      <c r="AO487" s="23" t="s">
        <v>54</v>
      </c>
      <c r="AP487" s="23" t="s">
        <v>54</v>
      </c>
      <c r="AQ487" s="23" t="s">
        <v>54</v>
      </c>
      <c r="AR487" s="35">
        <v>0</v>
      </c>
      <c r="AS487" s="35">
        <v>0</v>
      </c>
      <c r="AT487" s="35">
        <v>0</v>
      </c>
      <c r="AU487" s="31" t="str">
        <f t="shared" si="10"/>
        <v>库存为0</v>
      </c>
      <c r="AV487" s="36" t="str">
        <f>IFERROR($A$2+AU487,"上周无销量")</f>
        <v>上周无销量</v>
      </c>
    </row>
    <row r="488" spans="1:48">
      <c r="A488" s="21" t="s">
        <v>1058</v>
      </c>
      <c r="B488" t="s">
        <v>1059</v>
      </c>
      <c r="C488" t="s">
        <v>1051</v>
      </c>
      <c r="D488" s="31">
        <v>0</v>
      </c>
      <c r="E488" s="31">
        <v>0</v>
      </c>
      <c r="F488" s="31">
        <v>0</v>
      </c>
      <c r="G488" s="31">
        <v>0</v>
      </c>
      <c r="H488" s="32">
        <v>0</v>
      </c>
      <c r="I488">
        <v>0</v>
      </c>
      <c r="J488" s="33">
        <v>0</v>
      </c>
      <c r="K488" s="33">
        <v>0</v>
      </c>
      <c r="L488" s="33">
        <v>0</v>
      </c>
      <c r="M488">
        <v>0</v>
      </c>
      <c r="N488">
        <v>0</v>
      </c>
      <c r="O488">
        <v>0</v>
      </c>
      <c r="P488" t="s">
        <v>54</v>
      </c>
      <c r="Q488" t="s">
        <v>54</v>
      </c>
      <c r="R488" t="s">
        <v>54</v>
      </c>
      <c r="S488" t="s">
        <v>54</v>
      </c>
      <c r="T488" t="s">
        <v>54</v>
      </c>
      <c r="U488" t="s">
        <v>54</v>
      </c>
      <c r="V488" t="s">
        <v>54</v>
      </c>
      <c r="W488" t="s">
        <v>54</v>
      </c>
      <c r="X488" s="23" t="s">
        <v>54</v>
      </c>
      <c r="Y488" s="23" t="s">
        <v>54</v>
      </c>
      <c r="Z488" s="23" t="s">
        <v>54</v>
      </c>
      <c r="AA488" s="23" t="s">
        <v>54</v>
      </c>
      <c r="AB488" t="s">
        <v>54</v>
      </c>
      <c r="AC488" t="s">
        <v>54</v>
      </c>
      <c r="AD488" t="s">
        <v>54</v>
      </c>
      <c r="AE488" t="s">
        <v>54</v>
      </c>
      <c r="AF488" s="23" t="s">
        <v>54</v>
      </c>
      <c r="AG488" s="23" t="s">
        <v>54</v>
      </c>
      <c r="AH488" s="23" t="s">
        <v>54</v>
      </c>
      <c r="AI488" s="23" t="s">
        <v>54</v>
      </c>
      <c r="AJ488">
        <v>0</v>
      </c>
      <c r="AK488">
        <v>0</v>
      </c>
      <c r="AL488">
        <v>0</v>
      </c>
      <c r="AM488">
        <v>0</v>
      </c>
      <c r="AN488" s="23" t="s">
        <v>54</v>
      </c>
      <c r="AO488" s="23" t="s">
        <v>54</v>
      </c>
      <c r="AP488" s="23" t="s">
        <v>54</v>
      </c>
      <c r="AQ488" s="23" t="s">
        <v>54</v>
      </c>
      <c r="AR488" s="35">
        <v>0</v>
      </c>
      <c r="AS488" s="35">
        <v>0</v>
      </c>
      <c r="AT488" s="35">
        <v>0</v>
      </c>
      <c r="AU488" s="31" t="str">
        <f t="shared" si="10"/>
        <v>库存为0</v>
      </c>
      <c r="AV488" s="36" t="str">
        <f>IFERROR($A$2+AU488,"上周无销量")</f>
        <v>上周无销量</v>
      </c>
    </row>
    <row r="489" spans="1:48">
      <c r="A489" s="21" t="s">
        <v>1060</v>
      </c>
      <c r="B489" t="s">
        <v>1061</v>
      </c>
      <c r="C489" t="s">
        <v>1051</v>
      </c>
      <c r="D489" s="31">
        <v>0</v>
      </c>
      <c r="E489" s="31">
        <v>0</v>
      </c>
      <c r="F489" s="31">
        <v>0</v>
      </c>
      <c r="G489" s="31">
        <v>0</v>
      </c>
      <c r="H489" s="32">
        <v>0</v>
      </c>
      <c r="I489">
        <v>13</v>
      </c>
      <c r="J489" s="33">
        <v>0</v>
      </c>
      <c r="K489" s="33">
        <v>0</v>
      </c>
      <c r="L489" s="33">
        <v>0</v>
      </c>
      <c r="M489">
        <v>13</v>
      </c>
      <c r="N489">
        <v>0</v>
      </c>
      <c r="O489">
        <v>13</v>
      </c>
      <c r="P489" t="s">
        <v>54</v>
      </c>
      <c r="Q489" t="s">
        <v>54</v>
      </c>
      <c r="R489" t="s">
        <v>54</v>
      </c>
      <c r="S489" t="s">
        <v>54</v>
      </c>
      <c r="T489" t="s">
        <v>54</v>
      </c>
      <c r="U489" t="s">
        <v>54</v>
      </c>
      <c r="V489" t="s">
        <v>54</v>
      </c>
      <c r="W489" t="s">
        <v>54</v>
      </c>
      <c r="X489" s="23" t="s">
        <v>54</v>
      </c>
      <c r="Y489" s="23" t="s">
        <v>54</v>
      </c>
      <c r="Z489" s="23" t="s">
        <v>54</v>
      </c>
      <c r="AA489" s="23" t="s">
        <v>54</v>
      </c>
      <c r="AB489" t="s">
        <v>54</v>
      </c>
      <c r="AC489" t="s">
        <v>54</v>
      </c>
      <c r="AD489" t="s">
        <v>54</v>
      </c>
      <c r="AE489" t="s">
        <v>54</v>
      </c>
      <c r="AF489" s="23" t="s">
        <v>54</v>
      </c>
      <c r="AG489" s="23" t="s">
        <v>54</v>
      </c>
      <c r="AH489" s="23" t="s">
        <v>54</v>
      </c>
      <c r="AI489" s="23" t="s">
        <v>54</v>
      </c>
      <c r="AJ489">
        <v>8</v>
      </c>
      <c r="AK489">
        <v>8</v>
      </c>
      <c r="AL489">
        <v>12</v>
      </c>
      <c r="AM489">
        <v>5</v>
      </c>
      <c r="AN489" s="23">
        <v>0</v>
      </c>
      <c r="AO489" s="23">
        <v>0</v>
      </c>
      <c r="AP489" s="23">
        <v>0</v>
      </c>
      <c r="AQ489" s="23">
        <v>0</v>
      </c>
      <c r="AR489" s="35">
        <v>0</v>
      </c>
      <c r="AS489" s="35">
        <v>0</v>
      </c>
      <c r="AT489" s="35">
        <v>13</v>
      </c>
      <c r="AU489" s="31" t="str">
        <f t="shared" si="10"/>
        <v>库存为13</v>
      </c>
      <c r="AV489" s="36" t="str">
        <f>IFERROR($A$2+AU489,"上周无销量")</f>
        <v>上周无销量</v>
      </c>
    </row>
    <row r="490" spans="1:48">
      <c r="A490" s="21" t="s">
        <v>1062</v>
      </c>
      <c r="B490" t="s">
        <v>1063</v>
      </c>
      <c r="C490" t="s">
        <v>1051</v>
      </c>
      <c r="D490" s="31">
        <v>0</v>
      </c>
      <c r="E490" s="31">
        <v>0</v>
      </c>
      <c r="F490" s="31">
        <v>0</v>
      </c>
      <c r="G490" s="31">
        <v>0</v>
      </c>
      <c r="H490" s="32">
        <v>0</v>
      </c>
      <c r="I490">
        <v>0</v>
      </c>
      <c r="J490" s="33">
        <v>0</v>
      </c>
      <c r="K490" s="33">
        <v>0</v>
      </c>
      <c r="L490" s="33">
        <v>0</v>
      </c>
      <c r="M490">
        <v>0</v>
      </c>
      <c r="N490">
        <v>0</v>
      </c>
      <c r="O490">
        <v>0</v>
      </c>
      <c r="P490" t="s">
        <v>54</v>
      </c>
      <c r="Q490" t="s">
        <v>54</v>
      </c>
      <c r="R490" t="s">
        <v>54</v>
      </c>
      <c r="S490" t="s">
        <v>54</v>
      </c>
      <c r="T490" t="s">
        <v>54</v>
      </c>
      <c r="U490" t="s">
        <v>54</v>
      </c>
      <c r="V490" t="s">
        <v>54</v>
      </c>
      <c r="W490" t="s">
        <v>54</v>
      </c>
      <c r="X490" s="23" t="s">
        <v>54</v>
      </c>
      <c r="Y490" s="23" t="s">
        <v>54</v>
      </c>
      <c r="Z490" s="23" t="s">
        <v>54</v>
      </c>
      <c r="AA490" s="23" t="s">
        <v>54</v>
      </c>
      <c r="AB490" t="s">
        <v>54</v>
      </c>
      <c r="AC490" t="s">
        <v>54</v>
      </c>
      <c r="AD490" t="s">
        <v>54</v>
      </c>
      <c r="AE490" t="s">
        <v>54</v>
      </c>
      <c r="AF490" s="23" t="s">
        <v>54</v>
      </c>
      <c r="AG490" s="23" t="s">
        <v>54</v>
      </c>
      <c r="AH490" s="23" t="s">
        <v>54</v>
      </c>
      <c r="AI490" s="23" t="s">
        <v>54</v>
      </c>
      <c r="AJ490">
        <v>0</v>
      </c>
      <c r="AK490">
        <v>0</v>
      </c>
      <c r="AL490">
        <v>0</v>
      </c>
      <c r="AM490">
        <v>0</v>
      </c>
      <c r="AN490" s="23" t="s">
        <v>54</v>
      </c>
      <c r="AO490" s="23" t="s">
        <v>54</v>
      </c>
      <c r="AP490" s="23" t="s">
        <v>54</v>
      </c>
      <c r="AQ490" s="23" t="s">
        <v>54</v>
      </c>
      <c r="AR490" s="35">
        <v>0</v>
      </c>
      <c r="AS490" s="35">
        <v>0</v>
      </c>
      <c r="AT490" s="35">
        <v>0</v>
      </c>
      <c r="AU490" s="31" t="str">
        <f t="shared" si="10"/>
        <v>库存为0</v>
      </c>
      <c r="AV490" s="36" t="str">
        <f>IFERROR($A$2+AU490,"上周无销量")</f>
        <v>上周无销量</v>
      </c>
    </row>
    <row r="491" spans="1:48">
      <c r="A491" s="21" t="s">
        <v>1064</v>
      </c>
      <c r="B491" t="s">
        <v>1065</v>
      </c>
      <c r="C491" t="s">
        <v>1051</v>
      </c>
      <c r="D491" s="31">
        <v>0</v>
      </c>
      <c r="E491" s="31">
        <v>0</v>
      </c>
      <c r="F491" s="31">
        <v>0</v>
      </c>
      <c r="G491" s="31">
        <v>0</v>
      </c>
      <c r="H491" s="32">
        <v>0</v>
      </c>
      <c r="I491">
        <v>0</v>
      </c>
      <c r="J491" s="33">
        <v>0</v>
      </c>
      <c r="K491" s="33">
        <v>0</v>
      </c>
      <c r="L491" s="33">
        <v>0</v>
      </c>
      <c r="M491">
        <v>0</v>
      </c>
      <c r="N491">
        <v>0</v>
      </c>
      <c r="O491">
        <v>0</v>
      </c>
      <c r="P491" t="s">
        <v>54</v>
      </c>
      <c r="Q491" t="s">
        <v>54</v>
      </c>
      <c r="R491" t="s">
        <v>54</v>
      </c>
      <c r="S491" t="s">
        <v>54</v>
      </c>
      <c r="T491" t="s">
        <v>54</v>
      </c>
      <c r="U491" t="s">
        <v>54</v>
      </c>
      <c r="V491" t="s">
        <v>54</v>
      </c>
      <c r="W491" t="s">
        <v>54</v>
      </c>
      <c r="X491" s="23" t="s">
        <v>54</v>
      </c>
      <c r="Y491" s="23" t="s">
        <v>54</v>
      </c>
      <c r="Z491" s="23" t="s">
        <v>54</v>
      </c>
      <c r="AA491" s="23" t="s">
        <v>54</v>
      </c>
      <c r="AB491" t="s">
        <v>54</v>
      </c>
      <c r="AC491" t="s">
        <v>54</v>
      </c>
      <c r="AD491" t="s">
        <v>54</v>
      </c>
      <c r="AE491" t="s">
        <v>54</v>
      </c>
      <c r="AF491" s="23" t="s">
        <v>54</v>
      </c>
      <c r="AG491" s="23" t="s">
        <v>54</v>
      </c>
      <c r="AH491" s="23" t="s">
        <v>54</v>
      </c>
      <c r="AI491" s="23" t="s">
        <v>54</v>
      </c>
      <c r="AJ491">
        <v>0</v>
      </c>
      <c r="AK491">
        <v>0</v>
      </c>
      <c r="AL491">
        <v>0</v>
      </c>
      <c r="AM491">
        <v>0</v>
      </c>
      <c r="AN491" s="23" t="s">
        <v>54</v>
      </c>
      <c r="AO491" s="23" t="s">
        <v>54</v>
      </c>
      <c r="AP491" s="23" t="s">
        <v>54</v>
      </c>
      <c r="AQ491" s="23" t="s">
        <v>54</v>
      </c>
      <c r="AR491" s="35">
        <v>0</v>
      </c>
      <c r="AS491" s="35">
        <v>0</v>
      </c>
      <c r="AT491" s="35">
        <v>0</v>
      </c>
      <c r="AU491" s="31" t="str">
        <f t="shared" si="10"/>
        <v>库存为0</v>
      </c>
      <c r="AV491" s="36" t="str">
        <f>IFERROR($A$2+AU491,"上周无销量")</f>
        <v>上周无销量</v>
      </c>
    </row>
    <row r="492" spans="1:48">
      <c r="A492" s="21" t="s">
        <v>1066</v>
      </c>
      <c r="B492" t="s">
        <v>1067</v>
      </c>
      <c r="C492" t="s">
        <v>1051</v>
      </c>
      <c r="D492" s="31">
        <v>0</v>
      </c>
      <c r="E492" s="31">
        <v>0</v>
      </c>
      <c r="F492" s="31">
        <v>0</v>
      </c>
      <c r="G492" s="31">
        <v>0</v>
      </c>
      <c r="H492" s="32">
        <v>0</v>
      </c>
      <c r="I492">
        <v>0</v>
      </c>
      <c r="J492" s="33">
        <v>0</v>
      </c>
      <c r="K492" s="33">
        <v>0</v>
      </c>
      <c r="L492" s="33">
        <v>0</v>
      </c>
      <c r="M492">
        <v>0</v>
      </c>
      <c r="N492">
        <v>0</v>
      </c>
      <c r="O492">
        <v>0</v>
      </c>
      <c r="P492" t="s">
        <v>54</v>
      </c>
      <c r="Q492" t="s">
        <v>54</v>
      </c>
      <c r="R492" t="s">
        <v>54</v>
      </c>
      <c r="S492" t="s">
        <v>54</v>
      </c>
      <c r="T492" t="s">
        <v>54</v>
      </c>
      <c r="U492" t="s">
        <v>54</v>
      </c>
      <c r="V492" t="s">
        <v>54</v>
      </c>
      <c r="W492" t="s">
        <v>54</v>
      </c>
      <c r="X492" s="23" t="s">
        <v>54</v>
      </c>
      <c r="Y492" s="23" t="s">
        <v>54</v>
      </c>
      <c r="Z492" s="23" t="s">
        <v>54</v>
      </c>
      <c r="AA492" s="23" t="s">
        <v>54</v>
      </c>
      <c r="AB492" t="s">
        <v>54</v>
      </c>
      <c r="AC492" t="s">
        <v>54</v>
      </c>
      <c r="AD492" t="s">
        <v>54</v>
      </c>
      <c r="AE492" t="s">
        <v>54</v>
      </c>
      <c r="AF492" s="23" t="s">
        <v>54</v>
      </c>
      <c r="AG492" s="23" t="s">
        <v>54</v>
      </c>
      <c r="AH492" s="23" t="s">
        <v>54</v>
      </c>
      <c r="AI492" s="23" t="s">
        <v>54</v>
      </c>
      <c r="AJ492">
        <v>0</v>
      </c>
      <c r="AK492">
        <v>0</v>
      </c>
      <c r="AL492">
        <v>0</v>
      </c>
      <c r="AM492">
        <v>0</v>
      </c>
      <c r="AN492" s="23" t="s">
        <v>54</v>
      </c>
      <c r="AO492" s="23" t="s">
        <v>54</v>
      </c>
      <c r="AP492" s="23" t="s">
        <v>54</v>
      </c>
      <c r="AQ492" s="23" t="s">
        <v>54</v>
      </c>
      <c r="AR492" s="35">
        <v>0</v>
      </c>
      <c r="AS492" s="35">
        <v>0</v>
      </c>
      <c r="AT492" s="35">
        <v>0</v>
      </c>
      <c r="AU492" s="31" t="str">
        <f t="shared" si="10"/>
        <v>库存为0</v>
      </c>
      <c r="AV492" s="36" t="str">
        <f>IFERROR($A$2+AU492,"上周无销量")</f>
        <v>上周无销量</v>
      </c>
    </row>
    <row r="493" spans="1:48">
      <c r="A493" s="21" t="s">
        <v>1068</v>
      </c>
      <c r="B493" t="s">
        <v>1069</v>
      </c>
      <c r="C493" t="s">
        <v>1070</v>
      </c>
      <c r="D493" s="31">
        <v>0</v>
      </c>
      <c r="E493" s="31">
        <v>0</v>
      </c>
      <c r="F493" s="31">
        <v>0</v>
      </c>
      <c r="G493" s="31">
        <v>0</v>
      </c>
      <c r="H493" s="32">
        <v>0</v>
      </c>
      <c r="I493">
        <v>0</v>
      </c>
      <c r="J493" s="33">
        <v>0</v>
      </c>
      <c r="K493" s="33">
        <v>0</v>
      </c>
      <c r="L493" s="33">
        <v>0</v>
      </c>
      <c r="M493">
        <v>0</v>
      </c>
      <c r="N493">
        <v>0</v>
      </c>
      <c r="O493">
        <v>0</v>
      </c>
      <c r="P493" t="s">
        <v>54</v>
      </c>
      <c r="Q493" t="s">
        <v>54</v>
      </c>
      <c r="R493" t="s">
        <v>54</v>
      </c>
      <c r="S493" t="s">
        <v>54</v>
      </c>
      <c r="T493" t="s">
        <v>54</v>
      </c>
      <c r="U493" t="s">
        <v>54</v>
      </c>
      <c r="V493" t="s">
        <v>54</v>
      </c>
      <c r="W493" t="s">
        <v>54</v>
      </c>
      <c r="X493" s="23" t="s">
        <v>54</v>
      </c>
      <c r="Y493" s="23" t="s">
        <v>54</v>
      </c>
      <c r="Z493" s="23" t="s">
        <v>54</v>
      </c>
      <c r="AA493" s="23" t="s">
        <v>54</v>
      </c>
      <c r="AB493" t="s">
        <v>54</v>
      </c>
      <c r="AC493" t="s">
        <v>54</v>
      </c>
      <c r="AD493" t="s">
        <v>54</v>
      </c>
      <c r="AE493" t="s">
        <v>54</v>
      </c>
      <c r="AF493" s="23" t="s">
        <v>54</v>
      </c>
      <c r="AG493" s="23" t="s">
        <v>54</v>
      </c>
      <c r="AH493" s="23" t="s">
        <v>54</v>
      </c>
      <c r="AI493" s="23" t="s">
        <v>54</v>
      </c>
      <c r="AJ493">
        <v>0</v>
      </c>
      <c r="AK493">
        <v>0</v>
      </c>
      <c r="AL493">
        <v>0</v>
      </c>
      <c r="AM493">
        <v>0</v>
      </c>
      <c r="AN493" s="23" t="s">
        <v>54</v>
      </c>
      <c r="AO493" s="23" t="s">
        <v>54</v>
      </c>
      <c r="AP493" s="23" t="s">
        <v>54</v>
      </c>
      <c r="AQ493" s="23" t="s">
        <v>54</v>
      </c>
      <c r="AR493" s="35">
        <v>0</v>
      </c>
      <c r="AS493" s="35">
        <v>0</v>
      </c>
      <c r="AT493" s="35">
        <v>0</v>
      </c>
      <c r="AU493" s="31" t="str">
        <f t="shared" si="10"/>
        <v>库存为0</v>
      </c>
      <c r="AV493" s="36" t="str">
        <f>IFERROR($A$2+AU493,"上周无销量")</f>
        <v>上周无销量</v>
      </c>
    </row>
    <row r="494" spans="1:48">
      <c r="A494" s="21" t="s">
        <v>1071</v>
      </c>
      <c r="B494" t="s">
        <v>1072</v>
      </c>
      <c r="C494" t="s">
        <v>1070</v>
      </c>
      <c r="D494" s="31">
        <v>0</v>
      </c>
      <c r="E494" s="31">
        <v>0</v>
      </c>
      <c r="F494" s="31">
        <v>0</v>
      </c>
      <c r="G494" s="31">
        <v>0</v>
      </c>
      <c r="H494" s="32">
        <v>0</v>
      </c>
      <c r="I494">
        <v>6</v>
      </c>
      <c r="J494" s="33">
        <v>0</v>
      </c>
      <c r="K494" s="33">
        <v>0</v>
      </c>
      <c r="L494" s="33">
        <v>0</v>
      </c>
      <c r="M494">
        <v>6</v>
      </c>
      <c r="N494">
        <v>0</v>
      </c>
      <c r="O494">
        <v>6</v>
      </c>
      <c r="P494" t="s">
        <v>54</v>
      </c>
      <c r="Q494" t="s">
        <v>54</v>
      </c>
      <c r="R494" t="s">
        <v>54</v>
      </c>
      <c r="S494" t="s">
        <v>54</v>
      </c>
      <c r="T494" t="s">
        <v>54</v>
      </c>
      <c r="U494" t="s">
        <v>54</v>
      </c>
      <c r="V494" t="s">
        <v>54</v>
      </c>
      <c r="W494" t="s">
        <v>54</v>
      </c>
      <c r="X494" s="23" t="s">
        <v>54</v>
      </c>
      <c r="Y494" s="23" t="s">
        <v>54</v>
      </c>
      <c r="Z494" s="23" t="s">
        <v>54</v>
      </c>
      <c r="AA494" s="23" t="s">
        <v>54</v>
      </c>
      <c r="AB494" t="s">
        <v>54</v>
      </c>
      <c r="AC494" t="s">
        <v>54</v>
      </c>
      <c r="AD494" t="s">
        <v>54</v>
      </c>
      <c r="AE494" t="s">
        <v>54</v>
      </c>
      <c r="AF494" s="23" t="s">
        <v>54</v>
      </c>
      <c r="AG494" s="23" t="s">
        <v>54</v>
      </c>
      <c r="AH494" s="23" t="s">
        <v>54</v>
      </c>
      <c r="AI494" s="23" t="s">
        <v>54</v>
      </c>
      <c r="AJ494">
        <v>0</v>
      </c>
      <c r="AK494">
        <v>1</v>
      </c>
      <c r="AL494">
        <v>3</v>
      </c>
      <c r="AM494">
        <v>3</v>
      </c>
      <c r="AN494" s="23" t="s">
        <v>54</v>
      </c>
      <c r="AO494" s="23">
        <v>0</v>
      </c>
      <c r="AP494" s="23">
        <v>0</v>
      </c>
      <c r="AQ494" s="23">
        <v>0</v>
      </c>
      <c r="AR494" s="35">
        <v>0</v>
      </c>
      <c r="AS494" s="35">
        <v>0</v>
      </c>
      <c r="AT494" s="35">
        <v>6</v>
      </c>
      <c r="AU494" s="31" t="str">
        <f t="shared" si="10"/>
        <v>库存为6</v>
      </c>
      <c r="AV494" s="36" t="str">
        <f>IFERROR($A$2+AU494,"上周无销量")</f>
        <v>上周无销量</v>
      </c>
    </row>
    <row r="495" spans="1:48">
      <c r="A495" s="21" t="s">
        <v>1073</v>
      </c>
      <c r="B495" t="s">
        <v>1074</v>
      </c>
      <c r="C495" t="s">
        <v>1070</v>
      </c>
      <c r="D495" s="31">
        <v>0</v>
      </c>
      <c r="E495" s="31">
        <v>0</v>
      </c>
      <c r="F495" s="31">
        <v>0</v>
      </c>
      <c r="G495" s="31">
        <v>0</v>
      </c>
      <c r="H495" s="32">
        <v>0</v>
      </c>
      <c r="I495">
        <v>2</v>
      </c>
      <c r="J495" s="33">
        <v>0</v>
      </c>
      <c r="K495" s="33">
        <v>0</v>
      </c>
      <c r="L495" s="33">
        <v>0</v>
      </c>
      <c r="M495">
        <v>2</v>
      </c>
      <c r="N495">
        <v>0</v>
      </c>
      <c r="O495">
        <v>2</v>
      </c>
      <c r="P495" t="s">
        <v>54</v>
      </c>
      <c r="Q495" t="s">
        <v>54</v>
      </c>
      <c r="R495" t="s">
        <v>54</v>
      </c>
      <c r="S495" t="s">
        <v>54</v>
      </c>
      <c r="T495" t="s">
        <v>54</v>
      </c>
      <c r="U495" t="s">
        <v>54</v>
      </c>
      <c r="V495" t="s">
        <v>54</v>
      </c>
      <c r="W495" t="s">
        <v>54</v>
      </c>
      <c r="X495" s="23" t="s">
        <v>54</v>
      </c>
      <c r="Y495" s="23" t="s">
        <v>54</v>
      </c>
      <c r="Z495" s="23" t="s">
        <v>54</v>
      </c>
      <c r="AA495" s="23" t="s">
        <v>54</v>
      </c>
      <c r="AB495" t="s">
        <v>54</v>
      </c>
      <c r="AC495" t="s">
        <v>54</v>
      </c>
      <c r="AD495" t="s">
        <v>54</v>
      </c>
      <c r="AE495" t="s">
        <v>54</v>
      </c>
      <c r="AF495" s="23" t="s">
        <v>54</v>
      </c>
      <c r="AG495" s="23" t="s">
        <v>54</v>
      </c>
      <c r="AH495" s="23" t="s">
        <v>54</v>
      </c>
      <c r="AI495" s="23" t="s">
        <v>54</v>
      </c>
      <c r="AJ495">
        <v>7</v>
      </c>
      <c r="AK495">
        <v>0</v>
      </c>
      <c r="AL495">
        <v>2</v>
      </c>
      <c r="AM495">
        <v>3</v>
      </c>
      <c r="AN495" s="23">
        <v>0</v>
      </c>
      <c r="AO495" s="23" t="s">
        <v>54</v>
      </c>
      <c r="AP495" s="23">
        <v>0</v>
      </c>
      <c r="AQ495" s="23">
        <v>0</v>
      </c>
      <c r="AR495" s="35">
        <v>0</v>
      </c>
      <c r="AS495" s="35">
        <v>0</v>
      </c>
      <c r="AT495" s="35">
        <v>2</v>
      </c>
      <c r="AU495" s="31" t="str">
        <f t="shared" si="10"/>
        <v>库存为2</v>
      </c>
      <c r="AV495" s="36" t="str">
        <f>IFERROR($A$2+AU495,"上周无销量")</f>
        <v>上周无销量</v>
      </c>
    </row>
    <row r="496" spans="1:48">
      <c r="A496" s="21" t="s">
        <v>1075</v>
      </c>
      <c r="B496" t="s">
        <v>1076</v>
      </c>
      <c r="C496" t="s">
        <v>1070</v>
      </c>
      <c r="D496" s="31">
        <v>0</v>
      </c>
      <c r="E496" s="31">
        <v>0</v>
      </c>
      <c r="F496" s="31">
        <v>0</v>
      </c>
      <c r="G496" s="31">
        <v>0</v>
      </c>
      <c r="H496" s="32">
        <v>0</v>
      </c>
      <c r="I496">
        <v>0</v>
      </c>
      <c r="J496" s="33">
        <v>0</v>
      </c>
      <c r="K496" s="33">
        <v>0</v>
      </c>
      <c r="L496" s="33">
        <v>0</v>
      </c>
      <c r="M496">
        <v>0</v>
      </c>
      <c r="N496">
        <v>0</v>
      </c>
      <c r="O496">
        <v>0</v>
      </c>
      <c r="P496" t="s">
        <v>54</v>
      </c>
      <c r="Q496" t="s">
        <v>54</v>
      </c>
      <c r="R496" t="s">
        <v>54</v>
      </c>
      <c r="S496" t="s">
        <v>54</v>
      </c>
      <c r="T496" t="s">
        <v>54</v>
      </c>
      <c r="U496" t="s">
        <v>54</v>
      </c>
      <c r="V496" t="s">
        <v>54</v>
      </c>
      <c r="W496" t="s">
        <v>54</v>
      </c>
      <c r="X496" s="23" t="s">
        <v>54</v>
      </c>
      <c r="Y496" s="23" t="s">
        <v>54</v>
      </c>
      <c r="Z496" s="23" t="s">
        <v>54</v>
      </c>
      <c r="AA496" s="23" t="s">
        <v>54</v>
      </c>
      <c r="AB496" t="s">
        <v>54</v>
      </c>
      <c r="AC496" t="s">
        <v>54</v>
      </c>
      <c r="AD496" t="s">
        <v>54</v>
      </c>
      <c r="AE496" t="s">
        <v>54</v>
      </c>
      <c r="AF496" s="23" t="s">
        <v>54</v>
      </c>
      <c r="AG496" s="23" t="s">
        <v>54</v>
      </c>
      <c r="AH496" s="23" t="s">
        <v>54</v>
      </c>
      <c r="AI496" s="23" t="s">
        <v>54</v>
      </c>
      <c r="AJ496">
        <v>0</v>
      </c>
      <c r="AK496">
        <v>0</v>
      </c>
      <c r="AL496">
        <v>0</v>
      </c>
      <c r="AM496">
        <v>0</v>
      </c>
      <c r="AN496" s="23" t="s">
        <v>54</v>
      </c>
      <c r="AO496" s="23" t="s">
        <v>54</v>
      </c>
      <c r="AP496" s="23" t="s">
        <v>54</v>
      </c>
      <c r="AQ496" s="23" t="s">
        <v>54</v>
      </c>
      <c r="AR496" s="35">
        <v>0</v>
      </c>
      <c r="AS496" s="35">
        <v>0</v>
      </c>
      <c r="AT496" s="35">
        <v>0</v>
      </c>
      <c r="AU496" s="31" t="str">
        <f t="shared" si="10"/>
        <v>库存为0</v>
      </c>
      <c r="AV496" s="36" t="str">
        <f>IFERROR($A$2+AU496,"上周无销量")</f>
        <v>上周无销量</v>
      </c>
    </row>
    <row r="497" spans="1:48">
      <c r="A497" s="21" t="s">
        <v>1077</v>
      </c>
      <c r="B497" t="s">
        <v>1078</v>
      </c>
      <c r="C497" t="s">
        <v>1070</v>
      </c>
      <c r="D497" s="31">
        <v>2</v>
      </c>
      <c r="E497" s="31">
        <v>0</v>
      </c>
      <c r="F497" s="31">
        <v>0</v>
      </c>
      <c r="G497" s="31">
        <v>0</v>
      </c>
      <c r="H497" s="32">
        <v>14.98</v>
      </c>
      <c r="I497">
        <v>3</v>
      </c>
      <c r="J497" s="33">
        <v>0</v>
      </c>
      <c r="K497" s="33">
        <v>0</v>
      </c>
      <c r="L497" s="33">
        <v>0</v>
      </c>
      <c r="M497">
        <v>3</v>
      </c>
      <c r="N497">
        <v>0</v>
      </c>
      <c r="O497">
        <v>3</v>
      </c>
      <c r="P497">
        <v>257</v>
      </c>
      <c r="Q497">
        <v>749</v>
      </c>
      <c r="R497">
        <v>608</v>
      </c>
      <c r="S497">
        <v>246</v>
      </c>
      <c r="T497">
        <v>0</v>
      </c>
      <c r="U497">
        <v>2</v>
      </c>
      <c r="V497">
        <v>1</v>
      </c>
      <c r="W497">
        <v>0</v>
      </c>
      <c r="X497" s="23">
        <v>0</v>
      </c>
      <c r="Y497" s="23">
        <v>0.00267022696929239</v>
      </c>
      <c r="Z497" s="23">
        <v>0.00164473684210526</v>
      </c>
      <c r="AA497" s="23">
        <v>0</v>
      </c>
      <c r="AB497">
        <v>0</v>
      </c>
      <c r="AC497">
        <v>0.31</v>
      </c>
      <c r="AD497">
        <v>0.35</v>
      </c>
      <c r="AE497">
        <v>0</v>
      </c>
      <c r="AF497" s="23" t="s">
        <v>54</v>
      </c>
      <c r="AG497" s="23">
        <v>0</v>
      </c>
      <c r="AH497" s="23">
        <v>0</v>
      </c>
      <c r="AI497" s="23" t="s">
        <v>54</v>
      </c>
      <c r="AJ497">
        <v>4</v>
      </c>
      <c r="AK497">
        <v>2</v>
      </c>
      <c r="AL497">
        <v>2</v>
      </c>
      <c r="AM497">
        <v>4</v>
      </c>
      <c r="AN497" s="23">
        <v>0.5</v>
      </c>
      <c r="AO497" s="23">
        <v>0</v>
      </c>
      <c r="AP497" s="23">
        <v>0</v>
      </c>
      <c r="AQ497" s="23">
        <v>0</v>
      </c>
      <c r="AR497" s="35">
        <v>0.285714285714286</v>
      </c>
      <c r="AS497" s="35">
        <v>17.1428571428571</v>
      </c>
      <c r="AT497" s="35">
        <v>-14.1428571428571</v>
      </c>
      <c r="AU497" s="31">
        <f t="shared" si="10"/>
        <v>10</v>
      </c>
      <c r="AV497" s="36">
        <f>IFERROR($A$2+AU497,"上周无销量")</f>
        <v>43300</v>
      </c>
    </row>
    <row r="498" spans="1:48">
      <c r="A498" s="21" t="s">
        <v>1079</v>
      </c>
      <c r="B498" t="s">
        <v>1080</v>
      </c>
      <c r="C498" t="s">
        <v>1070</v>
      </c>
      <c r="D498" s="31">
        <v>0</v>
      </c>
      <c r="E498" s="31">
        <v>0</v>
      </c>
      <c r="F498" s="31">
        <v>0</v>
      </c>
      <c r="G498" s="31">
        <v>0</v>
      </c>
      <c r="H498" s="32">
        <v>0</v>
      </c>
      <c r="I498">
        <v>15</v>
      </c>
      <c r="J498" s="33">
        <v>0</v>
      </c>
      <c r="K498" s="33">
        <v>0</v>
      </c>
      <c r="L498" s="33">
        <v>0</v>
      </c>
      <c r="M498">
        <v>15</v>
      </c>
      <c r="N498">
        <v>0</v>
      </c>
      <c r="O498">
        <v>15</v>
      </c>
      <c r="P498" t="s">
        <v>54</v>
      </c>
      <c r="Q498" t="s">
        <v>54</v>
      </c>
      <c r="R498" t="s">
        <v>54</v>
      </c>
      <c r="S498" t="s">
        <v>54</v>
      </c>
      <c r="T498" t="s">
        <v>54</v>
      </c>
      <c r="U498" t="s">
        <v>54</v>
      </c>
      <c r="V498" t="s">
        <v>54</v>
      </c>
      <c r="W498" t="s">
        <v>54</v>
      </c>
      <c r="X498" s="23" t="s">
        <v>54</v>
      </c>
      <c r="Y498" s="23" t="s">
        <v>54</v>
      </c>
      <c r="Z498" s="23" t="s">
        <v>54</v>
      </c>
      <c r="AA498" s="23" t="s">
        <v>54</v>
      </c>
      <c r="AB498" t="s">
        <v>54</v>
      </c>
      <c r="AC498" t="s">
        <v>54</v>
      </c>
      <c r="AD498" t="s">
        <v>54</v>
      </c>
      <c r="AE498" t="s">
        <v>54</v>
      </c>
      <c r="AF498" s="23" t="s">
        <v>54</v>
      </c>
      <c r="AG498" s="23" t="s">
        <v>54</v>
      </c>
      <c r="AH498" s="23" t="s">
        <v>54</v>
      </c>
      <c r="AI498" s="23" t="s">
        <v>54</v>
      </c>
      <c r="AJ498">
        <v>3</v>
      </c>
      <c r="AK498">
        <v>2</v>
      </c>
      <c r="AL498">
        <v>3</v>
      </c>
      <c r="AM498">
        <v>3</v>
      </c>
      <c r="AN498" s="23">
        <v>0</v>
      </c>
      <c r="AO498" s="23">
        <v>0</v>
      </c>
      <c r="AP498" s="23">
        <v>0</v>
      </c>
      <c r="AQ498" s="23">
        <v>0</v>
      </c>
      <c r="AR498" s="35">
        <v>0</v>
      </c>
      <c r="AS498" s="35">
        <v>0</v>
      </c>
      <c r="AT498" s="35">
        <v>15</v>
      </c>
      <c r="AU498" s="31" t="str">
        <f t="shared" si="10"/>
        <v>库存为15</v>
      </c>
      <c r="AV498" s="36" t="str">
        <f>IFERROR($A$2+AU498,"上周无销量")</f>
        <v>上周无销量</v>
      </c>
    </row>
    <row r="499" spans="1:48">
      <c r="A499" s="21" t="s">
        <v>1081</v>
      </c>
      <c r="B499" t="s">
        <v>1082</v>
      </c>
      <c r="C499" t="s">
        <v>1070</v>
      </c>
      <c r="D499" s="31">
        <v>3</v>
      </c>
      <c r="E499" s="31">
        <v>0</v>
      </c>
      <c r="F499" s="31">
        <v>0</v>
      </c>
      <c r="G499" s="31">
        <v>0</v>
      </c>
      <c r="H499" s="32">
        <v>12.98</v>
      </c>
      <c r="I499">
        <v>11</v>
      </c>
      <c r="J499" s="33">
        <v>0</v>
      </c>
      <c r="K499" s="33">
        <v>0</v>
      </c>
      <c r="L499" s="33">
        <v>0</v>
      </c>
      <c r="M499">
        <v>11</v>
      </c>
      <c r="N499">
        <v>0</v>
      </c>
      <c r="O499">
        <v>11</v>
      </c>
      <c r="P499" t="s">
        <v>54</v>
      </c>
      <c r="Q499" t="s">
        <v>54</v>
      </c>
      <c r="R499" t="s">
        <v>54</v>
      </c>
      <c r="S499" t="s">
        <v>54</v>
      </c>
      <c r="T499" t="s">
        <v>54</v>
      </c>
      <c r="U499" t="s">
        <v>54</v>
      </c>
      <c r="V499" t="s">
        <v>54</v>
      </c>
      <c r="W499" t="s">
        <v>54</v>
      </c>
      <c r="X499" s="23" t="s">
        <v>54</v>
      </c>
      <c r="Y499" s="23" t="s">
        <v>54</v>
      </c>
      <c r="Z499" s="23" t="s">
        <v>54</v>
      </c>
      <c r="AA499" s="23" t="s">
        <v>54</v>
      </c>
      <c r="AB499" t="s">
        <v>54</v>
      </c>
      <c r="AC499" t="s">
        <v>54</v>
      </c>
      <c r="AD499" t="s">
        <v>54</v>
      </c>
      <c r="AE499" t="s">
        <v>54</v>
      </c>
      <c r="AF499" s="23" t="s">
        <v>54</v>
      </c>
      <c r="AG499" s="23" t="s">
        <v>54</v>
      </c>
      <c r="AH499" s="23" t="s">
        <v>54</v>
      </c>
      <c r="AI499" s="23" t="s">
        <v>54</v>
      </c>
      <c r="AJ499">
        <v>2</v>
      </c>
      <c r="AK499">
        <v>1</v>
      </c>
      <c r="AL499">
        <v>5</v>
      </c>
      <c r="AM499">
        <v>5</v>
      </c>
      <c r="AN499" s="23">
        <v>1.5</v>
      </c>
      <c r="AO499" s="23">
        <v>0</v>
      </c>
      <c r="AP499" s="23">
        <v>0</v>
      </c>
      <c r="AQ499" s="23">
        <v>0</v>
      </c>
      <c r="AR499" s="35">
        <v>0.428571428571429</v>
      </c>
      <c r="AS499" s="35">
        <v>25.7142857142857</v>
      </c>
      <c r="AT499" s="35">
        <v>-14.7142857142857</v>
      </c>
      <c r="AU499" s="31">
        <f t="shared" si="10"/>
        <v>25</v>
      </c>
      <c r="AV499" s="36">
        <f>IFERROR($A$2+AU499,"上周无销量")</f>
        <v>43315</v>
      </c>
    </row>
    <row r="500" spans="1:48">
      <c r="A500" s="21" t="s">
        <v>1083</v>
      </c>
      <c r="B500" t="s">
        <v>1084</v>
      </c>
      <c r="C500" t="s">
        <v>1070</v>
      </c>
      <c r="D500" s="31">
        <v>0</v>
      </c>
      <c r="E500" s="31">
        <v>0</v>
      </c>
      <c r="F500" s="31">
        <v>0</v>
      </c>
      <c r="G500" s="31">
        <v>0</v>
      </c>
      <c r="H500" s="32">
        <v>0</v>
      </c>
      <c r="I500">
        <v>5</v>
      </c>
      <c r="J500" s="33">
        <v>0</v>
      </c>
      <c r="K500" s="33">
        <v>0</v>
      </c>
      <c r="L500" s="33">
        <v>0</v>
      </c>
      <c r="M500">
        <v>5</v>
      </c>
      <c r="N500">
        <v>0</v>
      </c>
      <c r="O500">
        <v>5</v>
      </c>
      <c r="P500" t="s">
        <v>54</v>
      </c>
      <c r="Q500" t="s">
        <v>54</v>
      </c>
      <c r="R500" t="s">
        <v>54</v>
      </c>
      <c r="S500" t="s">
        <v>54</v>
      </c>
      <c r="T500" t="s">
        <v>54</v>
      </c>
      <c r="U500" t="s">
        <v>54</v>
      </c>
      <c r="V500" t="s">
        <v>54</v>
      </c>
      <c r="W500" t="s">
        <v>54</v>
      </c>
      <c r="X500" s="23" t="s">
        <v>54</v>
      </c>
      <c r="Y500" s="23" t="s">
        <v>54</v>
      </c>
      <c r="Z500" s="23" t="s">
        <v>54</v>
      </c>
      <c r="AA500" s="23" t="s">
        <v>54</v>
      </c>
      <c r="AB500" t="s">
        <v>54</v>
      </c>
      <c r="AC500" t="s">
        <v>54</v>
      </c>
      <c r="AD500" t="s">
        <v>54</v>
      </c>
      <c r="AE500" t="s">
        <v>54</v>
      </c>
      <c r="AF500" s="23" t="s">
        <v>54</v>
      </c>
      <c r="AG500" s="23" t="s">
        <v>54</v>
      </c>
      <c r="AH500" s="23" t="s">
        <v>54</v>
      </c>
      <c r="AI500" s="23" t="s">
        <v>54</v>
      </c>
      <c r="AJ500">
        <v>4</v>
      </c>
      <c r="AK500">
        <v>0</v>
      </c>
      <c r="AL500">
        <v>2</v>
      </c>
      <c r="AM500">
        <v>0</v>
      </c>
      <c r="AN500" s="23">
        <v>0</v>
      </c>
      <c r="AO500" s="23" t="s">
        <v>54</v>
      </c>
      <c r="AP500" s="23">
        <v>0</v>
      </c>
      <c r="AQ500" s="23" t="s">
        <v>54</v>
      </c>
      <c r="AR500" s="35">
        <v>0</v>
      </c>
      <c r="AS500" s="35">
        <v>0</v>
      </c>
      <c r="AT500" s="35">
        <v>5</v>
      </c>
      <c r="AU500" s="31" t="str">
        <f t="shared" si="10"/>
        <v>库存为5</v>
      </c>
      <c r="AV500" s="36" t="str">
        <f>IFERROR($A$2+AU500,"上周无销量")</f>
        <v>上周无销量</v>
      </c>
    </row>
    <row r="501" spans="1:48">
      <c r="A501" s="21" t="s">
        <v>1085</v>
      </c>
      <c r="B501" t="s">
        <v>1086</v>
      </c>
      <c r="C501" t="s">
        <v>1070</v>
      </c>
      <c r="D501" s="31">
        <v>1</v>
      </c>
      <c r="E501" s="31">
        <v>0</v>
      </c>
      <c r="F501" s="31">
        <v>0</v>
      </c>
      <c r="G501" s="31">
        <v>0</v>
      </c>
      <c r="H501" s="32">
        <v>15.98</v>
      </c>
      <c r="I501">
        <v>5</v>
      </c>
      <c r="J501" s="33">
        <v>0</v>
      </c>
      <c r="K501" s="33">
        <v>0</v>
      </c>
      <c r="L501" s="33">
        <v>0</v>
      </c>
      <c r="M501">
        <v>5</v>
      </c>
      <c r="N501">
        <v>0</v>
      </c>
      <c r="O501">
        <v>3</v>
      </c>
      <c r="P501" t="s">
        <v>54</v>
      </c>
      <c r="Q501" t="s">
        <v>54</v>
      </c>
      <c r="R501" t="s">
        <v>54</v>
      </c>
      <c r="S501" t="s">
        <v>54</v>
      </c>
      <c r="T501" t="s">
        <v>54</v>
      </c>
      <c r="U501" t="s">
        <v>54</v>
      </c>
      <c r="V501" t="s">
        <v>54</v>
      </c>
      <c r="W501" t="s">
        <v>54</v>
      </c>
      <c r="X501" s="23" t="s">
        <v>54</v>
      </c>
      <c r="Y501" s="23" t="s">
        <v>54</v>
      </c>
      <c r="Z501" s="23" t="s">
        <v>54</v>
      </c>
      <c r="AA501" s="23" t="s">
        <v>54</v>
      </c>
      <c r="AB501" t="s">
        <v>54</v>
      </c>
      <c r="AC501" t="s">
        <v>54</v>
      </c>
      <c r="AD501" t="s">
        <v>54</v>
      </c>
      <c r="AE501" t="s">
        <v>54</v>
      </c>
      <c r="AF501" s="23" t="s">
        <v>54</v>
      </c>
      <c r="AG501" s="23" t="s">
        <v>54</v>
      </c>
      <c r="AH501" s="23" t="s">
        <v>54</v>
      </c>
      <c r="AI501" s="23" t="s">
        <v>54</v>
      </c>
      <c r="AJ501">
        <v>4</v>
      </c>
      <c r="AK501">
        <v>2</v>
      </c>
      <c r="AL501">
        <v>1</v>
      </c>
      <c r="AM501">
        <v>3</v>
      </c>
      <c r="AN501" s="23">
        <v>0.25</v>
      </c>
      <c r="AO501" s="23">
        <v>0</v>
      </c>
      <c r="AP501" s="23">
        <v>0</v>
      </c>
      <c r="AQ501" s="23">
        <v>0</v>
      </c>
      <c r="AR501" s="35">
        <v>0.142857142857143</v>
      </c>
      <c r="AS501" s="35">
        <v>8.57142857142857</v>
      </c>
      <c r="AT501" s="35">
        <v>-3.57142857142857</v>
      </c>
      <c r="AU501" s="31">
        <f t="shared" si="10"/>
        <v>35</v>
      </c>
      <c r="AV501" s="36">
        <f>IFERROR($A$2+AU501,"上周无销量")</f>
        <v>43325</v>
      </c>
    </row>
    <row r="502" spans="1:48">
      <c r="A502" s="21" t="s">
        <v>1087</v>
      </c>
      <c r="B502" t="s">
        <v>1088</v>
      </c>
      <c r="C502" t="s">
        <v>1070</v>
      </c>
      <c r="D502" s="31">
        <v>0</v>
      </c>
      <c r="E502" s="31">
        <v>0</v>
      </c>
      <c r="F502" s="31">
        <v>0</v>
      </c>
      <c r="G502" s="31">
        <v>0</v>
      </c>
      <c r="H502" s="32">
        <v>0</v>
      </c>
      <c r="I502">
        <v>18</v>
      </c>
      <c r="J502" s="33">
        <v>0</v>
      </c>
      <c r="K502" s="33">
        <v>0</v>
      </c>
      <c r="L502" s="33">
        <v>0</v>
      </c>
      <c r="M502">
        <v>18</v>
      </c>
      <c r="N502">
        <v>0</v>
      </c>
      <c r="O502">
        <v>18</v>
      </c>
      <c r="P502" t="s">
        <v>54</v>
      </c>
      <c r="Q502" t="s">
        <v>54</v>
      </c>
      <c r="R502" t="s">
        <v>54</v>
      </c>
      <c r="S502" t="s">
        <v>54</v>
      </c>
      <c r="T502" t="s">
        <v>54</v>
      </c>
      <c r="U502" t="s">
        <v>54</v>
      </c>
      <c r="V502" t="s">
        <v>54</v>
      </c>
      <c r="W502" t="s">
        <v>54</v>
      </c>
      <c r="X502" s="23" t="s">
        <v>54</v>
      </c>
      <c r="Y502" s="23" t="s">
        <v>54</v>
      </c>
      <c r="Z502" s="23" t="s">
        <v>54</v>
      </c>
      <c r="AA502" s="23" t="s">
        <v>54</v>
      </c>
      <c r="AB502" t="s">
        <v>54</v>
      </c>
      <c r="AC502" t="s">
        <v>54</v>
      </c>
      <c r="AD502" t="s">
        <v>54</v>
      </c>
      <c r="AE502" t="s">
        <v>54</v>
      </c>
      <c r="AF502" s="23" t="s">
        <v>54</v>
      </c>
      <c r="AG502" s="23" t="s">
        <v>54</v>
      </c>
      <c r="AH502" s="23" t="s">
        <v>54</v>
      </c>
      <c r="AI502" s="23" t="s">
        <v>54</v>
      </c>
      <c r="AJ502">
        <v>3</v>
      </c>
      <c r="AK502">
        <v>4</v>
      </c>
      <c r="AL502">
        <v>3</v>
      </c>
      <c r="AM502">
        <v>3</v>
      </c>
      <c r="AN502" s="23">
        <v>0</v>
      </c>
      <c r="AO502" s="23">
        <v>0</v>
      </c>
      <c r="AP502" s="23">
        <v>0</v>
      </c>
      <c r="AQ502" s="23">
        <v>0</v>
      </c>
      <c r="AR502" s="35">
        <v>0</v>
      </c>
      <c r="AS502" s="35">
        <v>0</v>
      </c>
      <c r="AT502" s="35">
        <v>18</v>
      </c>
      <c r="AU502" s="31" t="str">
        <f t="shared" si="10"/>
        <v>库存为18</v>
      </c>
      <c r="AV502" s="36" t="str">
        <f>IFERROR($A$2+AU502,"上周无销量")</f>
        <v>上周无销量</v>
      </c>
    </row>
    <row r="503" spans="1:48">
      <c r="A503" s="21" t="s">
        <v>1089</v>
      </c>
      <c r="B503" t="s">
        <v>1090</v>
      </c>
      <c r="C503" t="s">
        <v>1070</v>
      </c>
      <c r="D503" s="31">
        <v>0</v>
      </c>
      <c r="E503" s="31">
        <v>0</v>
      </c>
      <c r="F503" s="31">
        <v>0</v>
      </c>
      <c r="G503" s="31">
        <v>0</v>
      </c>
      <c r="H503" s="32">
        <v>0</v>
      </c>
      <c r="I503">
        <v>14</v>
      </c>
      <c r="J503" s="33">
        <v>0</v>
      </c>
      <c r="K503" s="33">
        <v>0</v>
      </c>
      <c r="L503" s="33">
        <v>0</v>
      </c>
      <c r="M503">
        <v>14</v>
      </c>
      <c r="N503">
        <v>0</v>
      </c>
      <c r="O503">
        <v>14</v>
      </c>
      <c r="P503" t="s">
        <v>54</v>
      </c>
      <c r="Q503" t="s">
        <v>54</v>
      </c>
      <c r="R503" t="s">
        <v>54</v>
      </c>
      <c r="S503" t="s">
        <v>54</v>
      </c>
      <c r="T503" t="s">
        <v>54</v>
      </c>
      <c r="U503" t="s">
        <v>54</v>
      </c>
      <c r="V503" t="s">
        <v>54</v>
      </c>
      <c r="W503" t="s">
        <v>54</v>
      </c>
      <c r="X503" s="23" t="s">
        <v>54</v>
      </c>
      <c r="Y503" s="23" t="s">
        <v>54</v>
      </c>
      <c r="Z503" s="23" t="s">
        <v>54</v>
      </c>
      <c r="AA503" s="23" t="s">
        <v>54</v>
      </c>
      <c r="AB503" t="s">
        <v>54</v>
      </c>
      <c r="AC503" t="s">
        <v>54</v>
      </c>
      <c r="AD503" t="s">
        <v>54</v>
      </c>
      <c r="AE503" t="s">
        <v>54</v>
      </c>
      <c r="AF503" s="23" t="s">
        <v>54</v>
      </c>
      <c r="AG503" s="23" t="s">
        <v>54</v>
      </c>
      <c r="AH503" s="23" t="s">
        <v>54</v>
      </c>
      <c r="AI503" s="23" t="s">
        <v>54</v>
      </c>
      <c r="AJ503">
        <v>1</v>
      </c>
      <c r="AK503">
        <v>3</v>
      </c>
      <c r="AL503">
        <v>3</v>
      </c>
      <c r="AM503">
        <v>2</v>
      </c>
      <c r="AN503" s="23">
        <v>0</v>
      </c>
      <c r="AO503" s="23">
        <v>0</v>
      </c>
      <c r="AP503" s="23">
        <v>0</v>
      </c>
      <c r="AQ503" s="23">
        <v>0</v>
      </c>
      <c r="AR503" s="35">
        <v>0</v>
      </c>
      <c r="AS503" s="35">
        <v>0</v>
      </c>
      <c r="AT503" s="35">
        <v>14</v>
      </c>
      <c r="AU503" s="31" t="str">
        <f t="shared" si="10"/>
        <v>库存为14</v>
      </c>
      <c r="AV503" s="36" t="str">
        <f>IFERROR($A$2+AU503,"上周无销量")</f>
        <v>上周无销量</v>
      </c>
    </row>
    <row r="504" spans="1:48">
      <c r="A504" s="21" t="s">
        <v>1091</v>
      </c>
      <c r="B504" t="s">
        <v>1092</v>
      </c>
      <c r="C504" t="s">
        <v>1070</v>
      </c>
      <c r="D504" s="31">
        <v>1</v>
      </c>
      <c r="E504" s="31">
        <v>0</v>
      </c>
      <c r="F504" s="31">
        <v>0</v>
      </c>
      <c r="G504" s="31">
        <v>0</v>
      </c>
      <c r="H504" s="32">
        <v>12.98</v>
      </c>
      <c r="I504">
        <v>18</v>
      </c>
      <c r="J504" s="33">
        <v>0</v>
      </c>
      <c r="K504" s="33">
        <v>0</v>
      </c>
      <c r="L504" s="33">
        <v>0</v>
      </c>
      <c r="M504">
        <v>18</v>
      </c>
      <c r="N504">
        <v>0</v>
      </c>
      <c r="O504">
        <v>18</v>
      </c>
      <c r="P504" t="s">
        <v>54</v>
      </c>
      <c r="Q504" t="s">
        <v>54</v>
      </c>
      <c r="R504" t="s">
        <v>54</v>
      </c>
      <c r="S504" t="s">
        <v>54</v>
      </c>
      <c r="T504" t="s">
        <v>54</v>
      </c>
      <c r="U504" t="s">
        <v>54</v>
      </c>
      <c r="V504" t="s">
        <v>54</v>
      </c>
      <c r="W504" t="s">
        <v>54</v>
      </c>
      <c r="X504" s="23" t="s">
        <v>54</v>
      </c>
      <c r="Y504" s="23" t="s">
        <v>54</v>
      </c>
      <c r="Z504" s="23" t="s">
        <v>54</v>
      </c>
      <c r="AA504" s="23" t="s">
        <v>54</v>
      </c>
      <c r="AB504" t="s">
        <v>54</v>
      </c>
      <c r="AC504" t="s">
        <v>54</v>
      </c>
      <c r="AD504" t="s">
        <v>54</v>
      </c>
      <c r="AE504" t="s">
        <v>54</v>
      </c>
      <c r="AF504" s="23" t="s">
        <v>54</v>
      </c>
      <c r="AG504" s="23" t="s">
        <v>54</v>
      </c>
      <c r="AH504" s="23" t="s">
        <v>54</v>
      </c>
      <c r="AI504" s="23" t="s">
        <v>54</v>
      </c>
      <c r="AJ504">
        <v>3</v>
      </c>
      <c r="AK504">
        <v>1</v>
      </c>
      <c r="AL504">
        <v>4</v>
      </c>
      <c r="AM504">
        <v>2</v>
      </c>
      <c r="AN504" s="23">
        <v>0.333333333333333</v>
      </c>
      <c r="AO504" s="23">
        <v>0</v>
      </c>
      <c r="AP504" s="23">
        <v>0</v>
      </c>
      <c r="AQ504" s="23">
        <v>0</v>
      </c>
      <c r="AR504" s="35">
        <v>0.142857142857143</v>
      </c>
      <c r="AS504" s="35">
        <v>8.57142857142857</v>
      </c>
      <c r="AT504" s="35">
        <v>9.42857142857143</v>
      </c>
      <c r="AU504" s="31">
        <f t="shared" si="10"/>
        <v>126</v>
      </c>
      <c r="AV504" s="36">
        <f>IFERROR($A$2+AU504,"上周无销量")</f>
        <v>43416</v>
      </c>
    </row>
    <row r="505" spans="1:48">
      <c r="A505" s="21" t="s">
        <v>1093</v>
      </c>
      <c r="B505" t="s">
        <v>1094</v>
      </c>
      <c r="C505" t="s">
        <v>1070</v>
      </c>
      <c r="D505" s="31">
        <v>0</v>
      </c>
      <c r="E505" s="31">
        <v>1</v>
      </c>
      <c r="F505" s="31">
        <v>0</v>
      </c>
      <c r="G505" s="31">
        <v>0</v>
      </c>
      <c r="H505" s="32">
        <v>15.98</v>
      </c>
      <c r="I505">
        <v>12</v>
      </c>
      <c r="J505" s="33">
        <v>0</v>
      </c>
      <c r="K505" s="33">
        <v>0</v>
      </c>
      <c r="L505" s="33">
        <v>0</v>
      </c>
      <c r="M505">
        <v>12</v>
      </c>
      <c r="N505">
        <v>0</v>
      </c>
      <c r="O505">
        <v>12</v>
      </c>
      <c r="P505" t="s">
        <v>54</v>
      </c>
      <c r="Q505" t="s">
        <v>54</v>
      </c>
      <c r="R505" t="s">
        <v>54</v>
      </c>
      <c r="S505" t="s">
        <v>54</v>
      </c>
      <c r="T505" t="s">
        <v>54</v>
      </c>
      <c r="U505" t="s">
        <v>54</v>
      </c>
      <c r="V505" t="s">
        <v>54</v>
      </c>
      <c r="W505" t="s">
        <v>54</v>
      </c>
      <c r="X505" s="23" t="s">
        <v>54</v>
      </c>
      <c r="Y505" s="23" t="s">
        <v>54</v>
      </c>
      <c r="Z505" s="23" t="s">
        <v>54</v>
      </c>
      <c r="AA505" s="23" t="s">
        <v>54</v>
      </c>
      <c r="AB505" t="s">
        <v>54</v>
      </c>
      <c r="AC505" t="s">
        <v>54</v>
      </c>
      <c r="AD505" t="s">
        <v>54</v>
      </c>
      <c r="AE505" t="s">
        <v>54</v>
      </c>
      <c r="AF505" s="23" t="s">
        <v>54</v>
      </c>
      <c r="AG505" s="23" t="s">
        <v>54</v>
      </c>
      <c r="AH505" s="23" t="s">
        <v>54</v>
      </c>
      <c r="AI505" s="23" t="s">
        <v>54</v>
      </c>
      <c r="AJ505">
        <v>8</v>
      </c>
      <c r="AK505">
        <v>3</v>
      </c>
      <c r="AL505">
        <v>2</v>
      </c>
      <c r="AM505">
        <v>0</v>
      </c>
      <c r="AN505" s="23">
        <v>0</v>
      </c>
      <c r="AO505" s="23">
        <v>0.333333333333333</v>
      </c>
      <c r="AP505" s="23">
        <v>0</v>
      </c>
      <c r="AQ505" s="23" t="s">
        <v>54</v>
      </c>
      <c r="AR505" s="35">
        <v>0</v>
      </c>
      <c r="AS505" s="35">
        <v>0</v>
      </c>
      <c r="AT505" s="35">
        <v>12</v>
      </c>
      <c r="AU505" s="31" t="str">
        <f t="shared" si="10"/>
        <v>库存为12</v>
      </c>
      <c r="AV505" s="36" t="str">
        <f>IFERROR($A$2+AU505,"上周无销量")</f>
        <v>上周无销量</v>
      </c>
    </row>
    <row r="506" spans="1:48">
      <c r="A506" s="21" t="s">
        <v>1095</v>
      </c>
      <c r="B506" t="s">
        <v>1096</v>
      </c>
      <c r="C506" t="s">
        <v>1070</v>
      </c>
      <c r="D506" s="31">
        <v>0</v>
      </c>
      <c r="E506" s="31">
        <v>0</v>
      </c>
      <c r="F506" s="31">
        <v>0</v>
      </c>
      <c r="G506" s="31">
        <v>0</v>
      </c>
      <c r="H506" s="32">
        <v>0</v>
      </c>
      <c r="I506">
        <v>14</v>
      </c>
      <c r="J506" s="33">
        <v>0</v>
      </c>
      <c r="K506" s="33">
        <v>0</v>
      </c>
      <c r="L506" s="33">
        <v>0</v>
      </c>
      <c r="M506">
        <v>14</v>
      </c>
      <c r="N506">
        <v>0</v>
      </c>
      <c r="O506">
        <v>14</v>
      </c>
      <c r="P506" t="s">
        <v>54</v>
      </c>
      <c r="Q506" t="s">
        <v>54</v>
      </c>
      <c r="R506" t="s">
        <v>54</v>
      </c>
      <c r="S506" t="s">
        <v>54</v>
      </c>
      <c r="T506" t="s">
        <v>54</v>
      </c>
      <c r="U506" t="s">
        <v>54</v>
      </c>
      <c r="V506" t="s">
        <v>54</v>
      </c>
      <c r="W506" t="s">
        <v>54</v>
      </c>
      <c r="X506" s="23" t="s">
        <v>54</v>
      </c>
      <c r="Y506" s="23" t="s">
        <v>54</v>
      </c>
      <c r="Z506" s="23" t="s">
        <v>54</v>
      </c>
      <c r="AA506" s="23" t="s">
        <v>54</v>
      </c>
      <c r="AB506" t="s">
        <v>54</v>
      </c>
      <c r="AC506" t="s">
        <v>54</v>
      </c>
      <c r="AD506" t="s">
        <v>54</v>
      </c>
      <c r="AE506" t="s">
        <v>54</v>
      </c>
      <c r="AF506" s="23" t="s">
        <v>54</v>
      </c>
      <c r="AG506" s="23" t="s">
        <v>54</v>
      </c>
      <c r="AH506" s="23" t="s">
        <v>54</v>
      </c>
      <c r="AI506" s="23" t="s">
        <v>54</v>
      </c>
      <c r="AJ506">
        <v>2</v>
      </c>
      <c r="AK506">
        <v>0</v>
      </c>
      <c r="AL506">
        <v>1</v>
      </c>
      <c r="AM506">
        <v>3</v>
      </c>
      <c r="AN506" s="23">
        <v>0</v>
      </c>
      <c r="AO506" s="23" t="s">
        <v>54</v>
      </c>
      <c r="AP506" s="23">
        <v>0</v>
      </c>
      <c r="AQ506" s="23">
        <v>0</v>
      </c>
      <c r="AR506" s="35">
        <v>0</v>
      </c>
      <c r="AS506" s="35">
        <v>0</v>
      </c>
      <c r="AT506" s="35">
        <v>14</v>
      </c>
      <c r="AU506" s="31" t="str">
        <f t="shared" si="10"/>
        <v>库存为14</v>
      </c>
      <c r="AV506" s="36" t="str">
        <f>IFERROR($A$2+AU506,"上周无销量")</f>
        <v>上周无销量</v>
      </c>
    </row>
    <row r="507" spans="1:48">
      <c r="A507" s="21" t="s">
        <v>1097</v>
      </c>
      <c r="B507" t="s">
        <v>1098</v>
      </c>
      <c r="C507" t="s">
        <v>1070</v>
      </c>
      <c r="D507" s="31">
        <v>0</v>
      </c>
      <c r="E507" s="31">
        <v>0</v>
      </c>
      <c r="F507" s="31">
        <v>0</v>
      </c>
      <c r="G507" s="31">
        <v>2</v>
      </c>
      <c r="H507" s="32">
        <v>14.98</v>
      </c>
      <c r="I507">
        <v>14</v>
      </c>
      <c r="J507" s="33">
        <v>0</v>
      </c>
      <c r="K507" s="33">
        <v>0</v>
      </c>
      <c r="L507" s="33">
        <v>0</v>
      </c>
      <c r="M507">
        <v>14</v>
      </c>
      <c r="N507">
        <v>0</v>
      </c>
      <c r="O507">
        <v>14</v>
      </c>
      <c r="P507" t="s">
        <v>54</v>
      </c>
      <c r="Q507" t="s">
        <v>54</v>
      </c>
      <c r="R507" t="s">
        <v>54</v>
      </c>
      <c r="S507" t="s">
        <v>54</v>
      </c>
      <c r="T507" t="s">
        <v>54</v>
      </c>
      <c r="U507" t="s">
        <v>54</v>
      </c>
      <c r="V507" t="s">
        <v>54</v>
      </c>
      <c r="W507" t="s">
        <v>54</v>
      </c>
      <c r="X507" s="23" t="s">
        <v>54</v>
      </c>
      <c r="Y507" s="23" t="s">
        <v>54</v>
      </c>
      <c r="Z507" s="23" t="s">
        <v>54</v>
      </c>
      <c r="AA507" s="23" t="s">
        <v>54</v>
      </c>
      <c r="AB507" t="s">
        <v>54</v>
      </c>
      <c r="AC507" t="s">
        <v>54</v>
      </c>
      <c r="AD507" t="s">
        <v>54</v>
      </c>
      <c r="AE507" t="s">
        <v>54</v>
      </c>
      <c r="AF507" s="23" t="s">
        <v>54</v>
      </c>
      <c r="AG507" s="23" t="s">
        <v>54</v>
      </c>
      <c r="AH507" s="23" t="s">
        <v>54</v>
      </c>
      <c r="AI507" s="23" t="s">
        <v>54</v>
      </c>
      <c r="AJ507">
        <v>8</v>
      </c>
      <c r="AK507">
        <v>3</v>
      </c>
      <c r="AL507">
        <v>1</v>
      </c>
      <c r="AM507">
        <v>4</v>
      </c>
      <c r="AN507" s="23">
        <v>0</v>
      </c>
      <c r="AO507" s="23">
        <v>0</v>
      </c>
      <c r="AP507" s="23">
        <v>0</v>
      </c>
      <c r="AQ507" s="23">
        <v>0.5</v>
      </c>
      <c r="AR507" s="35">
        <v>0</v>
      </c>
      <c r="AS507" s="35">
        <v>0</v>
      </c>
      <c r="AT507" s="35">
        <v>14</v>
      </c>
      <c r="AU507" s="31" t="str">
        <f t="shared" si="10"/>
        <v>库存为14</v>
      </c>
      <c r="AV507" s="36" t="str">
        <f>IFERROR($A$2+AU507,"上周无销量")</f>
        <v>上周无销量</v>
      </c>
    </row>
    <row r="508" spans="1:48">
      <c r="A508" s="21" t="s">
        <v>1099</v>
      </c>
      <c r="B508" t="s">
        <v>1100</v>
      </c>
      <c r="C508" t="s">
        <v>1070</v>
      </c>
      <c r="D508" s="31">
        <v>0</v>
      </c>
      <c r="E508" s="31">
        <v>0</v>
      </c>
      <c r="F508" s="31">
        <v>0</v>
      </c>
      <c r="G508" s="31">
        <v>0</v>
      </c>
      <c r="H508" s="32">
        <v>0</v>
      </c>
      <c r="I508">
        <v>14</v>
      </c>
      <c r="J508" s="33">
        <v>0</v>
      </c>
      <c r="K508" s="33">
        <v>0</v>
      </c>
      <c r="L508" s="33">
        <v>0</v>
      </c>
      <c r="M508">
        <v>14</v>
      </c>
      <c r="N508">
        <v>0</v>
      </c>
      <c r="O508">
        <v>14</v>
      </c>
      <c r="P508" t="s">
        <v>54</v>
      </c>
      <c r="Q508" t="s">
        <v>54</v>
      </c>
      <c r="R508" t="s">
        <v>54</v>
      </c>
      <c r="S508" t="s">
        <v>54</v>
      </c>
      <c r="T508" t="s">
        <v>54</v>
      </c>
      <c r="U508" t="s">
        <v>54</v>
      </c>
      <c r="V508" t="s">
        <v>54</v>
      </c>
      <c r="W508" t="s">
        <v>54</v>
      </c>
      <c r="X508" s="23" t="s">
        <v>54</v>
      </c>
      <c r="Y508" s="23" t="s">
        <v>54</v>
      </c>
      <c r="Z508" s="23" t="s">
        <v>54</v>
      </c>
      <c r="AA508" s="23" t="s">
        <v>54</v>
      </c>
      <c r="AB508" t="s">
        <v>54</v>
      </c>
      <c r="AC508" t="s">
        <v>54</v>
      </c>
      <c r="AD508" t="s">
        <v>54</v>
      </c>
      <c r="AE508" t="s">
        <v>54</v>
      </c>
      <c r="AF508" s="23" t="s">
        <v>54</v>
      </c>
      <c r="AG508" s="23" t="s">
        <v>54</v>
      </c>
      <c r="AH508" s="23" t="s">
        <v>54</v>
      </c>
      <c r="AI508" s="23" t="s">
        <v>54</v>
      </c>
      <c r="AJ508">
        <v>2</v>
      </c>
      <c r="AK508">
        <v>4</v>
      </c>
      <c r="AL508">
        <v>2</v>
      </c>
      <c r="AM508">
        <v>3</v>
      </c>
      <c r="AN508" s="23">
        <v>0</v>
      </c>
      <c r="AO508" s="23">
        <v>0</v>
      </c>
      <c r="AP508" s="23">
        <v>0</v>
      </c>
      <c r="AQ508" s="23">
        <v>0</v>
      </c>
      <c r="AR508" s="35">
        <v>0</v>
      </c>
      <c r="AS508" s="35">
        <v>0</v>
      </c>
      <c r="AT508" s="35">
        <v>14</v>
      </c>
      <c r="AU508" s="31" t="str">
        <f t="shared" si="10"/>
        <v>库存为14</v>
      </c>
      <c r="AV508" s="36" t="str">
        <f>IFERROR($A$2+AU508,"上周无销量")</f>
        <v>上周无销量</v>
      </c>
    </row>
    <row r="509" spans="1:48">
      <c r="A509" s="21" t="s">
        <v>1101</v>
      </c>
      <c r="B509" t="s">
        <v>1102</v>
      </c>
      <c r="C509" t="s">
        <v>1070</v>
      </c>
      <c r="D509" s="31">
        <v>0</v>
      </c>
      <c r="E509" s="31">
        <v>0</v>
      </c>
      <c r="F509" s="31">
        <v>0</v>
      </c>
      <c r="G509" s="31">
        <v>0</v>
      </c>
      <c r="H509" s="32">
        <v>0</v>
      </c>
      <c r="I509">
        <v>16</v>
      </c>
      <c r="J509" s="33">
        <v>0</v>
      </c>
      <c r="K509" s="33">
        <v>0</v>
      </c>
      <c r="L509" s="33">
        <v>0</v>
      </c>
      <c r="M509">
        <v>16</v>
      </c>
      <c r="N509">
        <v>0</v>
      </c>
      <c r="O509">
        <v>16</v>
      </c>
      <c r="P509" t="s">
        <v>54</v>
      </c>
      <c r="Q509" t="s">
        <v>54</v>
      </c>
      <c r="R509" t="s">
        <v>54</v>
      </c>
      <c r="S509" t="s">
        <v>54</v>
      </c>
      <c r="T509" t="s">
        <v>54</v>
      </c>
      <c r="U509" t="s">
        <v>54</v>
      </c>
      <c r="V509" t="s">
        <v>54</v>
      </c>
      <c r="W509" t="s">
        <v>54</v>
      </c>
      <c r="X509" s="23" t="s">
        <v>54</v>
      </c>
      <c r="Y509" s="23" t="s">
        <v>54</v>
      </c>
      <c r="Z509" s="23" t="s">
        <v>54</v>
      </c>
      <c r="AA509" s="23" t="s">
        <v>54</v>
      </c>
      <c r="AB509" t="s">
        <v>54</v>
      </c>
      <c r="AC509" t="s">
        <v>54</v>
      </c>
      <c r="AD509" t="s">
        <v>54</v>
      </c>
      <c r="AE509" t="s">
        <v>54</v>
      </c>
      <c r="AF509" s="23" t="s">
        <v>54</v>
      </c>
      <c r="AG509" s="23" t="s">
        <v>54</v>
      </c>
      <c r="AH509" s="23" t="s">
        <v>54</v>
      </c>
      <c r="AI509" s="23" t="s">
        <v>54</v>
      </c>
      <c r="AJ509">
        <v>3</v>
      </c>
      <c r="AK509">
        <v>1</v>
      </c>
      <c r="AL509">
        <v>1</v>
      </c>
      <c r="AM509">
        <v>3</v>
      </c>
      <c r="AN509" s="23">
        <v>0</v>
      </c>
      <c r="AO509" s="23">
        <v>0</v>
      </c>
      <c r="AP509" s="23">
        <v>0</v>
      </c>
      <c r="AQ509" s="23">
        <v>0</v>
      </c>
      <c r="AR509" s="35">
        <v>0</v>
      </c>
      <c r="AS509" s="35">
        <v>0</v>
      </c>
      <c r="AT509" s="35">
        <v>16</v>
      </c>
      <c r="AU509" s="31" t="str">
        <f t="shared" si="10"/>
        <v>库存为16</v>
      </c>
      <c r="AV509" s="36" t="str">
        <f>IFERROR($A$2+AU509,"上周无销量")</f>
        <v>上周无销量</v>
      </c>
    </row>
    <row r="510" spans="1:48">
      <c r="A510" s="21" t="s">
        <v>1103</v>
      </c>
      <c r="B510" t="s">
        <v>1104</v>
      </c>
      <c r="C510" t="s">
        <v>1070</v>
      </c>
      <c r="D510" s="31">
        <v>0</v>
      </c>
      <c r="E510" s="31">
        <v>0</v>
      </c>
      <c r="F510" s="31">
        <v>0</v>
      </c>
      <c r="G510" s="31">
        <v>0</v>
      </c>
      <c r="H510" s="32">
        <v>0</v>
      </c>
      <c r="I510">
        <v>16</v>
      </c>
      <c r="J510" s="33">
        <v>0</v>
      </c>
      <c r="K510" s="33">
        <v>0</v>
      </c>
      <c r="L510" s="33">
        <v>0</v>
      </c>
      <c r="M510">
        <v>16</v>
      </c>
      <c r="N510">
        <v>0</v>
      </c>
      <c r="O510">
        <v>16</v>
      </c>
      <c r="P510" t="s">
        <v>54</v>
      </c>
      <c r="Q510" t="s">
        <v>54</v>
      </c>
      <c r="R510" t="s">
        <v>54</v>
      </c>
      <c r="S510" t="s">
        <v>54</v>
      </c>
      <c r="T510" t="s">
        <v>54</v>
      </c>
      <c r="U510" t="s">
        <v>54</v>
      </c>
      <c r="V510" t="s">
        <v>54</v>
      </c>
      <c r="W510" t="s">
        <v>54</v>
      </c>
      <c r="X510" s="23" t="s">
        <v>54</v>
      </c>
      <c r="Y510" s="23" t="s">
        <v>54</v>
      </c>
      <c r="Z510" s="23" t="s">
        <v>54</v>
      </c>
      <c r="AA510" s="23" t="s">
        <v>54</v>
      </c>
      <c r="AB510" t="s">
        <v>54</v>
      </c>
      <c r="AC510" t="s">
        <v>54</v>
      </c>
      <c r="AD510" t="s">
        <v>54</v>
      </c>
      <c r="AE510" t="s">
        <v>54</v>
      </c>
      <c r="AF510" s="23" t="s">
        <v>54</v>
      </c>
      <c r="AG510" s="23" t="s">
        <v>54</v>
      </c>
      <c r="AH510" s="23" t="s">
        <v>54</v>
      </c>
      <c r="AI510" s="23" t="s">
        <v>54</v>
      </c>
      <c r="AJ510">
        <v>6</v>
      </c>
      <c r="AK510">
        <v>1</v>
      </c>
      <c r="AL510">
        <v>1</v>
      </c>
      <c r="AM510">
        <v>1</v>
      </c>
      <c r="AN510" s="23">
        <v>0</v>
      </c>
      <c r="AO510" s="23">
        <v>0</v>
      </c>
      <c r="AP510" s="23">
        <v>0</v>
      </c>
      <c r="AQ510" s="23">
        <v>0</v>
      </c>
      <c r="AR510" s="35">
        <v>0</v>
      </c>
      <c r="AS510" s="35">
        <v>0</v>
      </c>
      <c r="AT510" s="35">
        <v>16</v>
      </c>
      <c r="AU510" s="31" t="str">
        <f t="shared" si="10"/>
        <v>库存为16</v>
      </c>
      <c r="AV510" s="36" t="str">
        <f>IFERROR($A$2+AU510,"上周无销量")</f>
        <v>上周无销量</v>
      </c>
    </row>
    <row r="511" spans="1:48">
      <c r="A511" s="21" t="s">
        <v>1105</v>
      </c>
      <c r="B511" t="s">
        <v>1106</v>
      </c>
      <c r="C511" t="s">
        <v>1070</v>
      </c>
      <c r="D511" s="31">
        <v>0</v>
      </c>
      <c r="E511" s="31">
        <v>0</v>
      </c>
      <c r="F511" s="31">
        <v>0</v>
      </c>
      <c r="G511" s="31">
        <v>0</v>
      </c>
      <c r="H511" s="32">
        <v>0</v>
      </c>
      <c r="I511">
        <v>10</v>
      </c>
      <c r="J511" s="33">
        <v>0</v>
      </c>
      <c r="K511" s="33">
        <v>0</v>
      </c>
      <c r="L511" s="33">
        <v>0</v>
      </c>
      <c r="M511">
        <v>10</v>
      </c>
      <c r="N511">
        <v>0</v>
      </c>
      <c r="O511">
        <v>8</v>
      </c>
      <c r="P511" t="s">
        <v>54</v>
      </c>
      <c r="Q511" t="s">
        <v>54</v>
      </c>
      <c r="R511" t="s">
        <v>54</v>
      </c>
      <c r="S511" t="s">
        <v>54</v>
      </c>
      <c r="T511" t="s">
        <v>54</v>
      </c>
      <c r="U511" t="s">
        <v>54</v>
      </c>
      <c r="V511" t="s">
        <v>54</v>
      </c>
      <c r="W511" t="s">
        <v>54</v>
      </c>
      <c r="X511" s="23" t="s">
        <v>54</v>
      </c>
      <c r="Y511" s="23" t="s">
        <v>54</v>
      </c>
      <c r="Z511" s="23" t="s">
        <v>54</v>
      </c>
      <c r="AA511" s="23" t="s">
        <v>54</v>
      </c>
      <c r="AB511" t="s">
        <v>54</v>
      </c>
      <c r="AC511" t="s">
        <v>54</v>
      </c>
      <c r="AD511" t="s">
        <v>54</v>
      </c>
      <c r="AE511" t="s">
        <v>54</v>
      </c>
      <c r="AF511" s="23" t="s">
        <v>54</v>
      </c>
      <c r="AG511" s="23" t="s">
        <v>54</v>
      </c>
      <c r="AH511" s="23" t="s">
        <v>54</v>
      </c>
      <c r="AI511" s="23" t="s">
        <v>54</v>
      </c>
      <c r="AJ511">
        <v>5</v>
      </c>
      <c r="AK511">
        <v>4</v>
      </c>
      <c r="AL511">
        <v>2</v>
      </c>
      <c r="AM511">
        <v>0</v>
      </c>
      <c r="AN511" s="23">
        <v>0</v>
      </c>
      <c r="AO511" s="23">
        <v>0</v>
      </c>
      <c r="AP511" s="23">
        <v>0</v>
      </c>
      <c r="AQ511" s="23" t="s">
        <v>54</v>
      </c>
      <c r="AR511" s="35">
        <v>0</v>
      </c>
      <c r="AS511" s="35">
        <v>0</v>
      </c>
      <c r="AT511" s="35">
        <v>10</v>
      </c>
      <c r="AU511" s="31" t="str">
        <f t="shared" si="10"/>
        <v>库存为10</v>
      </c>
      <c r="AV511" s="36" t="str">
        <f>IFERROR($A$2+AU511,"上周无销量")</f>
        <v>上周无销量</v>
      </c>
    </row>
    <row r="512" spans="1:48">
      <c r="A512" s="21" t="s">
        <v>1107</v>
      </c>
      <c r="B512" t="s">
        <v>1108</v>
      </c>
      <c r="C512" t="s">
        <v>1070</v>
      </c>
      <c r="D512" s="31">
        <v>0</v>
      </c>
      <c r="E512" s="31">
        <v>0</v>
      </c>
      <c r="F512" s="31">
        <v>0</v>
      </c>
      <c r="G512" s="31">
        <v>0</v>
      </c>
      <c r="H512" s="32">
        <v>0</v>
      </c>
      <c r="I512">
        <v>18</v>
      </c>
      <c r="J512" s="33">
        <v>0</v>
      </c>
      <c r="K512" s="33">
        <v>0</v>
      </c>
      <c r="L512" s="33">
        <v>0</v>
      </c>
      <c r="M512">
        <v>18</v>
      </c>
      <c r="N512">
        <v>0</v>
      </c>
      <c r="O512">
        <v>18</v>
      </c>
      <c r="P512" t="s">
        <v>54</v>
      </c>
      <c r="Q512" t="s">
        <v>54</v>
      </c>
      <c r="R512" t="s">
        <v>54</v>
      </c>
      <c r="S512" t="s">
        <v>54</v>
      </c>
      <c r="T512" t="s">
        <v>54</v>
      </c>
      <c r="U512" t="s">
        <v>54</v>
      </c>
      <c r="V512" t="s">
        <v>54</v>
      </c>
      <c r="W512" t="s">
        <v>54</v>
      </c>
      <c r="X512" s="23" t="s">
        <v>54</v>
      </c>
      <c r="Y512" s="23" t="s">
        <v>54</v>
      </c>
      <c r="Z512" s="23" t="s">
        <v>54</v>
      </c>
      <c r="AA512" s="23" t="s">
        <v>54</v>
      </c>
      <c r="AB512" t="s">
        <v>54</v>
      </c>
      <c r="AC512" t="s">
        <v>54</v>
      </c>
      <c r="AD512" t="s">
        <v>54</v>
      </c>
      <c r="AE512" t="s">
        <v>54</v>
      </c>
      <c r="AF512" s="23" t="s">
        <v>54</v>
      </c>
      <c r="AG512" s="23" t="s">
        <v>54</v>
      </c>
      <c r="AH512" s="23" t="s">
        <v>54</v>
      </c>
      <c r="AI512" s="23" t="s">
        <v>54</v>
      </c>
      <c r="AJ512">
        <v>6</v>
      </c>
      <c r="AK512">
        <v>4</v>
      </c>
      <c r="AL512">
        <v>1</v>
      </c>
      <c r="AM512">
        <v>2</v>
      </c>
      <c r="AN512" s="23">
        <v>0</v>
      </c>
      <c r="AO512" s="23">
        <v>0</v>
      </c>
      <c r="AP512" s="23">
        <v>0</v>
      </c>
      <c r="AQ512" s="23">
        <v>0</v>
      </c>
      <c r="AR512" s="35">
        <v>0</v>
      </c>
      <c r="AS512" s="35">
        <v>0</v>
      </c>
      <c r="AT512" s="35">
        <v>18</v>
      </c>
      <c r="AU512" s="31" t="str">
        <f t="shared" si="10"/>
        <v>库存为18</v>
      </c>
      <c r="AV512" s="36" t="str">
        <f>IFERROR($A$2+AU512,"上周无销量")</f>
        <v>上周无销量</v>
      </c>
    </row>
    <row r="513" spans="1:48">
      <c r="A513" s="21" t="s">
        <v>1109</v>
      </c>
      <c r="B513" t="s">
        <v>1110</v>
      </c>
      <c r="C513" t="s">
        <v>1070</v>
      </c>
      <c r="D513" s="31">
        <v>0</v>
      </c>
      <c r="E513" s="31">
        <v>0</v>
      </c>
      <c r="F513" s="31">
        <v>0</v>
      </c>
      <c r="G513" s="31">
        <v>0</v>
      </c>
      <c r="H513" s="32">
        <v>0</v>
      </c>
      <c r="I513">
        <v>18</v>
      </c>
      <c r="J513" s="33">
        <v>0</v>
      </c>
      <c r="K513" s="33">
        <v>0</v>
      </c>
      <c r="L513" s="33">
        <v>0</v>
      </c>
      <c r="M513">
        <v>18</v>
      </c>
      <c r="N513">
        <v>0</v>
      </c>
      <c r="O513">
        <v>18</v>
      </c>
      <c r="P513" t="s">
        <v>54</v>
      </c>
      <c r="Q513" t="s">
        <v>54</v>
      </c>
      <c r="R513" t="s">
        <v>54</v>
      </c>
      <c r="S513" t="s">
        <v>54</v>
      </c>
      <c r="T513" t="s">
        <v>54</v>
      </c>
      <c r="U513" t="s">
        <v>54</v>
      </c>
      <c r="V513" t="s">
        <v>54</v>
      </c>
      <c r="W513" t="s">
        <v>54</v>
      </c>
      <c r="X513" s="23" t="s">
        <v>54</v>
      </c>
      <c r="Y513" s="23" t="s">
        <v>54</v>
      </c>
      <c r="Z513" s="23" t="s">
        <v>54</v>
      </c>
      <c r="AA513" s="23" t="s">
        <v>54</v>
      </c>
      <c r="AB513" t="s">
        <v>54</v>
      </c>
      <c r="AC513" t="s">
        <v>54</v>
      </c>
      <c r="AD513" t="s">
        <v>54</v>
      </c>
      <c r="AE513" t="s">
        <v>54</v>
      </c>
      <c r="AF513" s="23" t="s">
        <v>54</v>
      </c>
      <c r="AG513" s="23" t="s">
        <v>54</v>
      </c>
      <c r="AH513" s="23" t="s">
        <v>54</v>
      </c>
      <c r="AI513" s="23" t="s">
        <v>54</v>
      </c>
      <c r="AJ513">
        <v>0</v>
      </c>
      <c r="AK513">
        <v>1</v>
      </c>
      <c r="AL513">
        <v>3</v>
      </c>
      <c r="AM513">
        <v>1</v>
      </c>
      <c r="AN513" s="23" t="s">
        <v>54</v>
      </c>
      <c r="AO513" s="23">
        <v>0</v>
      </c>
      <c r="AP513" s="23">
        <v>0</v>
      </c>
      <c r="AQ513" s="23">
        <v>0</v>
      </c>
      <c r="AR513" s="35">
        <v>0</v>
      </c>
      <c r="AS513" s="35">
        <v>0</v>
      </c>
      <c r="AT513" s="35">
        <v>18</v>
      </c>
      <c r="AU513" s="31" t="str">
        <f t="shared" si="10"/>
        <v>库存为18</v>
      </c>
      <c r="AV513" s="36" t="str">
        <f>IFERROR($A$2+AU513,"上周无销量")</f>
        <v>上周无销量</v>
      </c>
    </row>
    <row r="514" spans="1:48">
      <c r="A514" s="21" t="s">
        <v>1111</v>
      </c>
      <c r="B514" t="s">
        <v>1112</v>
      </c>
      <c r="C514" t="s">
        <v>1070</v>
      </c>
      <c r="D514" s="31">
        <v>0</v>
      </c>
      <c r="E514" s="31">
        <v>0</v>
      </c>
      <c r="F514" s="31">
        <v>0</v>
      </c>
      <c r="G514" s="31">
        <v>0</v>
      </c>
      <c r="H514" s="32">
        <v>0</v>
      </c>
      <c r="I514">
        <v>18</v>
      </c>
      <c r="J514" s="33">
        <v>0</v>
      </c>
      <c r="K514" s="33">
        <v>0</v>
      </c>
      <c r="L514" s="33">
        <v>0</v>
      </c>
      <c r="M514">
        <v>18</v>
      </c>
      <c r="N514">
        <v>0</v>
      </c>
      <c r="O514">
        <v>18</v>
      </c>
      <c r="P514" t="s">
        <v>54</v>
      </c>
      <c r="Q514" t="s">
        <v>54</v>
      </c>
      <c r="R514" t="s">
        <v>54</v>
      </c>
      <c r="S514" t="s">
        <v>54</v>
      </c>
      <c r="T514" t="s">
        <v>54</v>
      </c>
      <c r="U514" t="s">
        <v>54</v>
      </c>
      <c r="V514" t="s">
        <v>54</v>
      </c>
      <c r="W514" t="s">
        <v>54</v>
      </c>
      <c r="X514" s="23" t="s">
        <v>54</v>
      </c>
      <c r="Y514" s="23" t="s">
        <v>54</v>
      </c>
      <c r="Z514" s="23" t="s">
        <v>54</v>
      </c>
      <c r="AA514" s="23" t="s">
        <v>54</v>
      </c>
      <c r="AB514" t="s">
        <v>54</v>
      </c>
      <c r="AC514" t="s">
        <v>54</v>
      </c>
      <c r="AD514" t="s">
        <v>54</v>
      </c>
      <c r="AE514" t="s">
        <v>54</v>
      </c>
      <c r="AF514" s="23" t="s">
        <v>54</v>
      </c>
      <c r="AG514" s="23" t="s">
        <v>54</v>
      </c>
      <c r="AH514" s="23" t="s">
        <v>54</v>
      </c>
      <c r="AI514" s="23" t="s">
        <v>54</v>
      </c>
      <c r="AJ514">
        <v>0</v>
      </c>
      <c r="AK514">
        <v>0</v>
      </c>
      <c r="AL514">
        <v>2</v>
      </c>
      <c r="AM514">
        <v>1</v>
      </c>
      <c r="AN514" s="23" t="s">
        <v>54</v>
      </c>
      <c r="AO514" s="23" t="s">
        <v>54</v>
      </c>
      <c r="AP514" s="23">
        <v>0</v>
      </c>
      <c r="AQ514" s="23">
        <v>0</v>
      </c>
      <c r="AR514" s="35">
        <v>0</v>
      </c>
      <c r="AS514" s="35">
        <v>0</v>
      </c>
      <c r="AT514" s="35">
        <v>18</v>
      </c>
      <c r="AU514" s="31" t="str">
        <f t="shared" si="10"/>
        <v>库存为18</v>
      </c>
      <c r="AV514" s="36" t="str">
        <f>IFERROR($A$2+AU514,"上周无销量")</f>
        <v>上周无销量</v>
      </c>
    </row>
    <row r="515" spans="1:48">
      <c r="A515" s="21" t="s">
        <v>1113</v>
      </c>
      <c r="B515" t="s">
        <v>1114</v>
      </c>
      <c r="C515" t="s">
        <v>1070</v>
      </c>
      <c r="D515" s="31">
        <v>0</v>
      </c>
      <c r="E515" s="31">
        <v>0</v>
      </c>
      <c r="F515" s="31">
        <v>0</v>
      </c>
      <c r="G515" s="31">
        <v>0</v>
      </c>
      <c r="H515" s="32">
        <v>0</v>
      </c>
      <c r="I515">
        <v>18</v>
      </c>
      <c r="J515" s="33">
        <v>0</v>
      </c>
      <c r="K515" s="33">
        <v>0</v>
      </c>
      <c r="L515" s="33">
        <v>0</v>
      </c>
      <c r="M515">
        <v>18</v>
      </c>
      <c r="N515">
        <v>0</v>
      </c>
      <c r="O515">
        <v>18</v>
      </c>
      <c r="P515" t="s">
        <v>54</v>
      </c>
      <c r="Q515" t="s">
        <v>54</v>
      </c>
      <c r="R515" t="s">
        <v>54</v>
      </c>
      <c r="S515" t="s">
        <v>54</v>
      </c>
      <c r="T515" t="s">
        <v>54</v>
      </c>
      <c r="U515" t="s">
        <v>54</v>
      </c>
      <c r="V515" t="s">
        <v>54</v>
      </c>
      <c r="W515" t="s">
        <v>54</v>
      </c>
      <c r="X515" s="23" t="s">
        <v>54</v>
      </c>
      <c r="Y515" s="23" t="s">
        <v>54</v>
      </c>
      <c r="Z515" s="23" t="s">
        <v>54</v>
      </c>
      <c r="AA515" s="23" t="s">
        <v>54</v>
      </c>
      <c r="AB515" t="s">
        <v>54</v>
      </c>
      <c r="AC515" t="s">
        <v>54</v>
      </c>
      <c r="AD515" t="s">
        <v>54</v>
      </c>
      <c r="AE515" t="s">
        <v>54</v>
      </c>
      <c r="AF515" s="23" t="s">
        <v>54</v>
      </c>
      <c r="AG515" s="23" t="s">
        <v>54</v>
      </c>
      <c r="AH515" s="23" t="s">
        <v>54</v>
      </c>
      <c r="AI515" s="23" t="s">
        <v>54</v>
      </c>
      <c r="AJ515">
        <v>2</v>
      </c>
      <c r="AK515">
        <v>0</v>
      </c>
      <c r="AL515">
        <v>3</v>
      </c>
      <c r="AM515">
        <v>2</v>
      </c>
      <c r="AN515" s="23">
        <v>0</v>
      </c>
      <c r="AO515" s="23" t="s">
        <v>54</v>
      </c>
      <c r="AP515" s="23">
        <v>0</v>
      </c>
      <c r="AQ515" s="23">
        <v>0</v>
      </c>
      <c r="AR515" s="35">
        <v>0</v>
      </c>
      <c r="AS515" s="35">
        <v>0</v>
      </c>
      <c r="AT515" s="35">
        <v>18</v>
      </c>
      <c r="AU515" s="31" t="str">
        <f t="shared" si="10"/>
        <v>库存为18</v>
      </c>
      <c r="AV515" s="36" t="str">
        <f>IFERROR($A$2+AU515,"上周无销量")</f>
        <v>上周无销量</v>
      </c>
    </row>
    <row r="516" spans="1:48">
      <c r="A516" s="21" t="s">
        <v>1115</v>
      </c>
      <c r="B516" t="s">
        <v>1116</v>
      </c>
      <c r="C516" t="s">
        <v>1070</v>
      </c>
      <c r="D516" s="31">
        <v>0</v>
      </c>
      <c r="E516" s="31">
        <v>0</v>
      </c>
      <c r="F516" s="31">
        <v>0</v>
      </c>
      <c r="G516" s="31">
        <v>0</v>
      </c>
      <c r="H516" s="32">
        <v>0</v>
      </c>
      <c r="I516">
        <v>18</v>
      </c>
      <c r="J516" s="33">
        <v>0</v>
      </c>
      <c r="K516" s="33">
        <v>0</v>
      </c>
      <c r="L516" s="33">
        <v>0</v>
      </c>
      <c r="M516">
        <v>18</v>
      </c>
      <c r="N516">
        <v>0</v>
      </c>
      <c r="O516">
        <v>18</v>
      </c>
      <c r="P516" t="s">
        <v>54</v>
      </c>
      <c r="Q516" t="s">
        <v>54</v>
      </c>
      <c r="R516" t="s">
        <v>54</v>
      </c>
      <c r="S516" t="s">
        <v>54</v>
      </c>
      <c r="T516" t="s">
        <v>54</v>
      </c>
      <c r="U516" t="s">
        <v>54</v>
      </c>
      <c r="V516" t="s">
        <v>54</v>
      </c>
      <c r="W516" t="s">
        <v>54</v>
      </c>
      <c r="X516" s="23" t="s">
        <v>54</v>
      </c>
      <c r="Y516" s="23" t="s">
        <v>54</v>
      </c>
      <c r="Z516" s="23" t="s">
        <v>54</v>
      </c>
      <c r="AA516" s="23" t="s">
        <v>54</v>
      </c>
      <c r="AB516" t="s">
        <v>54</v>
      </c>
      <c r="AC516" t="s">
        <v>54</v>
      </c>
      <c r="AD516" t="s">
        <v>54</v>
      </c>
      <c r="AE516" t="s">
        <v>54</v>
      </c>
      <c r="AF516" s="23" t="s">
        <v>54</v>
      </c>
      <c r="AG516" s="23" t="s">
        <v>54</v>
      </c>
      <c r="AH516" s="23" t="s">
        <v>54</v>
      </c>
      <c r="AI516" s="23" t="s">
        <v>54</v>
      </c>
      <c r="AJ516">
        <v>3</v>
      </c>
      <c r="AK516">
        <v>0</v>
      </c>
      <c r="AL516">
        <v>0</v>
      </c>
      <c r="AM516">
        <v>3</v>
      </c>
      <c r="AN516" s="23">
        <v>0</v>
      </c>
      <c r="AO516" s="23" t="s">
        <v>54</v>
      </c>
      <c r="AP516" s="23" t="s">
        <v>54</v>
      </c>
      <c r="AQ516" s="23">
        <v>0</v>
      </c>
      <c r="AR516" s="35">
        <v>0</v>
      </c>
      <c r="AS516" s="35">
        <v>0</v>
      </c>
      <c r="AT516" s="35">
        <v>18</v>
      </c>
      <c r="AU516" s="31" t="str">
        <f t="shared" si="10"/>
        <v>库存为18</v>
      </c>
      <c r="AV516" s="36" t="str">
        <f>IFERROR($A$2+AU516,"上周无销量")</f>
        <v>上周无销量</v>
      </c>
    </row>
    <row r="517" spans="1:48">
      <c r="A517" s="21" t="s">
        <v>1117</v>
      </c>
      <c r="B517" t="s">
        <v>1118</v>
      </c>
      <c r="C517" t="s">
        <v>1070</v>
      </c>
      <c r="D517" s="31">
        <v>0</v>
      </c>
      <c r="E517" s="31">
        <v>0</v>
      </c>
      <c r="F517" s="31">
        <v>0</v>
      </c>
      <c r="G517" s="31">
        <v>0</v>
      </c>
      <c r="H517" s="32">
        <v>0</v>
      </c>
      <c r="I517">
        <v>5</v>
      </c>
      <c r="J517" s="33">
        <v>0</v>
      </c>
      <c r="K517" s="33">
        <v>0</v>
      </c>
      <c r="L517" s="33">
        <v>0</v>
      </c>
      <c r="M517">
        <v>5</v>
      </c>
      <c r="N517">
        <v>0</v>
      </c>
      <c r="O517">
        <v>5</v>
      </c>
      <c r="P517" t="s">
        <v>54</v>
      </c>
      <c r="Q517" t="s">
        <v>54</v>
      </c>
      <c r="R517" t="s">
        <v>54</v>
      </c>
      <c r="S517" t="s">
        <v>54</v>
      </c>
      <c r="T517" t="s">
        <v>54</v>
      </c>
      <c r="U517" t="s">
        <v>54</v>
      </c>
      <c r="V517" t="s">
        <v>54</v>
      </c>
      <c r="W517" t="s">
        <v>54</v>
      </c>
      <c r="X517" s="23" t="s">
        <v>54</v>
      </c>
      <c r="Y517" s="23" t="s">
        <v>54</v>
      </c>
      <c r="Z517" s="23" t="s">
        <v>54</v>
      </c>
      <c r="AA517" s="23" t="s">
        <v>54</v>
      </c>
      <c r="AB517" t="s">
        <v>54</v>
      </c>
      <c r="AC517" t="s">
        <v>54</v>
      </c>
      <c r="AD517" t="s">
        <v>54</v>
      </c>
      <c r="AE517" t="s">
        <v>54</v>
      </c>
      <c r="AF517" s="23" t="s">
        <v>54</v>
      </c>
      <c r="AG517" s="23" t="s">
        <v>54</v>
      </c>
      <c r="AH517" s="23" t="s">
        <v>54</v>
      </c>
      <c r="AI517" s="23" t="s">
        <v>54</v>
      </c>
      <c r="AJ517">
        <v>1</v>
      </c>
      <c r="AK517">
        <v>2</v>
      </c>
      <c r="AL517">
        <v>4</v>
      </c>
      <c r="AM517">
        <v>1</v>
      </c>
      <c r="AN517" s="23">
        <v>0</v>
      </c>
      <c r="AO517" s="23">
        <v>0</v>
      </c>
      <c r="AP517" s="23">
        <v>0</v>
      </c>
      <c r="AQ517" s="23">
        <v>0</v>
      </c>
      <c r="AR517" s="35">
        <v>0</v>
      </c>
      <c r="AS517" s="35">
        <v>0</v>
      </c>
      <c r="AT517" s="35">
        <v>5</v>
      </c>
      <c r="AU517" s="31" t="str">
        <f t="shared" ref="AU517:AU580" si="11">IF(AR517="","库存为"&amp;M517,IF(AS517=0,"库存为"&amp;M517,INT(M517/AR517)))</f>
        <v>库存为5</v>
      </c>
      <c r="AV517" s="36" t="str">
        <f>IFERROR($A$2+AU517,"上周无销量")</f>
        <v>上周无销量</v>
      </c>
    </row>
    <row r="518" spans="1:48">
      <c r="A518" s="21" t="s">
        <v>1119</v>
      </c>
      <c r="B518" t="s">
        <v>1120</v>
      </c>
      <c r="C518" t="s">
        <v>1070</v>
      </c>
      <c r="D518" s="31">
        <v>0</v>
      </c>
      <c r="E518" s="31">
        <v>0</v>
      </c>
      <c r="F518" s="31">
        <v>0</v>
      </c>
      <c r="G518" s="31">
        <v>0</v>
      </c>
      <c r="H518" s="32">
        <v>0</v>
      </c>
      <c r="I518">
        <v>4</v>
      </c>
      <c r="J518" s="33">
        <v>0</v>
      </c>
      <c r="K518" s="33">
        <v>0</v>
      </c>
      <c r="L518" s="33">
        <v>0</v>
      </c>
      <c r="M518">
        <v>4</v>
      </c>
      <c r="N518">
        <v>0</v>
      </c>
      <c r="O518">
        <v>4</v>
      </c>
      <c r="P518" t="s">
        <v>54</v>
      </c>
      <c r="Q518" t="s">
        <v>54</v>
      </c>
      <c r="R518" t="s">
        <v>54</v>
      </c>
      <c r="S518" t="s">
        <v>54</v>
      </c>
      <c r="T518" t="s">
        <v>54</v>
      </c>
      <c r="U518" t="s">
        <v>54</v>
      </c>
      <c r="V518" t="s">
        <v>54</v>
      </c>
      <c r="W518" t="s">
        <v>54</v>
      </c>
      <c r="X518" s="23" t="s">
        <v>54</v>
      </c>
      <c r="Y518" s="23" t="s">
        <v>54</v>
      </c>
      <c r="Z518" s="23" t="s">
        <v>54</v>
      </c>
      <c r="AA518" s="23" t="s">
        <v>54</v>
      </c>
      <c r="AB518" t="s">
        <v>54</v>
      </c>
      <c r="AC518" t="s">
        <v>54</v>
      </c>
      <c r="AD518" t="s">
        <v>54</v>
      </c>
      <c r="AE518" t="s">
        <v>54</v>
      </c>
      <c r="AF518" s="23" t="s">
        <v>54</v>
      </c>
      <c r="AG518" s="23" t="s">
        <v>54</v>
      </c>
      <c r="AH518" s="23" t="s">
        <v>54</v>
      </c>
      <c r="AI518" s="23" t="s">
        <v>54</v>
      </c>
      <c r="AJ518">
        <v>4</v>
      </c>
      <c r="AK518">
        <v>3</v>
      </c>
      <c r="AL518">
        <v>5</v>
      </c>
      <c r="AM518">
        <v>0</v>
      </c>
      <c r="AN518" s="23">
        <v>0</v>
      </c>
      <c r="AO518" s="23">
        <v>0</v>
      </c>
      <c r="AP518" s="23">
        <v>0</v>
      </c>
      <c r="AQ518" s="23" t="s">
        <v>54</v>
      </c>
      <c r="AR518" s="35">
        <v>0</v>
      </c>
      <c r="AS518" s="35">
        <v>0</v>
      </c>
      <c r="AT518" s="35">
        <v>4</v>
      </c>
      <c r="AU518" s="31" t="str">
        <f t="shared" si="11"/>
        <v>库存为4</v>
      </c>
      <c r="AV518" s="36" t="str">
        <f>IFERROR($A$2+AU518,"上周无销量")</f>
        <v>上周无销量</v>
      </c>
    </row>
    <row r="519" spans="1:48">
      <c r="A519" s="21" t="s">
        <v>1121</v>
      </c>
      <c r="B519" t="s">
        <v>1122</v>
      </c>
      <c r="C519" t="s">
        <v>1070</v>
      </c>
      <c r="D519" s="31">
        <v>0</v>
      </c>
      <c r="E519" s="31">
        <v>0</v>
      </c>
      <c r="F519" s="31">
        <v>0</v>
      </c>
      <c r="G519" s="31">
        <v>0</v>
      </c>
      <c r="H519" s="32">
        <v>0</v>
      </c>
      <c r="I519">
        <v>7</v>
      </c>
      <c r="J519" s="33">
        <v>0</v>
      </c>
      <c r="K519" s="33">
        <v>0</v>
      </c>
      <c r="L519" s="33">
        <v>0</v>
      </c>
      <c r="M519">
        <v>7</v>
      </c>
      <c r="N519">
        <v>0</v>
      </c>
      <c r="O519">
        <v>7</v>
      </c>
      <c r="P519" t="s">
        <v>54</v>
      </c>
      <c r="Q519" t="s">
        <v>54</v>
      </c>
      <c r="R519" t="s">
        <v>54</v>
      </c>
      <c r="S519" t="s">
        <v>54</v>
      </c>
      <c r="T519" t="s">
        <v>54</v>
      </c>
      <c r="U519" t="s">
        <v>54</v>
      </c>
      <c r="V519" t="s">
        <v>54</v>
      </c>
      <c r="W519" t="s">
        <v>54</v>
      </c>
      <c r="X519" s="23" t="s">
        <v>54</v>
      </c>
      <c r="Y519" s="23" t="s">
        <v>54</v>
      </c>
      <c r="Z519" s="23" t="s">
        <v>54</v>
      </c>
      <c r="AA519" s="23" t="s">
        <v>54</v>
      </c>
      <c r="AB519" t="s">
        <v>54</v>
      </c>
      <c r="AC519" t="s">
        <v>54</v>
      </c>
      <c r="AD519" t="s">
        <v>54</v>
      </c>
      <c r="AE519" t="s">
        <v>54</v>
      </c>
      <c r="AF519" s="23" t="s">
        <v>54</v>
      </c>
      <c r="AG519" s="23" t="s">
        <v>54</v>
      </c>
      <c r="AH519" s="23" t="s">
        <v>54</v>
      </c>
      <c r="AI519" s="23" t="s">
        <v>54</v>
      </c>
      <c r="AJ519">
        <v>3</v>
      </c>
      <c r="AK519">
        <v>0</v>
      </c>
      <c r="AL519">
        <v>2</v>
      </c>
      <c r="AM519">
        <v>1</v>
      </c>
      <c r="AN519" s="23">
        <v>0</v>
      </c>
      <c r="AO519" s="23" t="s">
        <v>54</v>
      </c>
      <c r="AP519" s="23">
        <v>0</v>
      </c>
      <c r="AQ519" s="23">
        <v>0</v>
      </c>
      <c r="AR519" s="35">
        <v>0</v>
      </c>
      <c r="AS519" s="35">
        <v>0</v>
      </c>
      <c r="AT519" s="35">
        <v>7</v>
      </c>
      <c r="AU519" s="31" t="str">
        <f t="shared" si="11"/>
        <v>库存为7</v>
      </c>
      <c r="AV519" s="36" t="str">
        <f>IFERROR($A$2+AU519,"上周无销量")</f>
        <v>上周无销量</v>
      </c>
    </row>
    <row r="520" spans="1:48">
      <c r="A520" s="21" t="s">
        <v>1123</v>
      </c>
      <c r="B520" t="s">
        <v>1124</v>
      </c>
      <c r="C520" t="s">
        <v>1070</v>
      </c>
      <c r="D520" s="31">
        <v>1</v>
      </c>
      <c r="E520" s="31">
        <v>0</v>
      </c>
      <c r="F520" s="31">
        <v>0</v>
      </c>
      <c r="G520" s="31">
        <v>0</v>
      </c>
      <c r="H520" s="32">
        <v>15.98</v>
      </c>
      <c r="I520">
        <v>1</v>
      </c>
      <c r="J520" s="33">
        <v>0</v>
      </c>
      <c r="K520" s="33">
        <v>0</v>
      </c>
      <c r="L520" s="33">
        <v>0</v>
      </c>
      <c r="M520">
        <v>1</v>
      </c>
      <c r="N520">
        <v>0</v>
      </c>
      <c r="O520">
        <v>1</v>
      </c>
      <c r="P520" t="s">
        <v>54</v>
      </c>
      <c r="Q520" t="s">
        <v>54</v>
      </c>
      <c r="R520" t="s">
        <v>54</v>
      </c>
      <c r="S520" t="s">
        <v>54</v>
      </c>
      <c r="T520" t="s">
        <v>54</v>
      </c>
      <c r="U520" t="s">
        <v>54</v>
      </c>
      <c r="V520" t="s">
        <v>54</v>
      </c>
      <c r="W520" t="s">
        <v>54</v>
      </c>
      <c r="X520" s="23" t="s">
        <v>54</v>
      </c>
      <c r="Y520" s="23" t="s">
        <v>54</v>
      </c>
      <c r="Z520" s="23" t="s">
        <v>54</v>
      </c>
      <c r="AA520" s="23" t="s">
        <v>54</v>
      </c>
      <c r="AB520" t="s">
        <v>54</v>
      </c>
      <c r="AC520" t="s">
        <v>54</v>
      </c>
      <c r="AD520" t="s">
        <v>54</v>
      </c>
      <c r="AE520" t="s">
        <v>54</v>
      </c>
      <c r="AF520" s="23" t="s">
        <v>54</v>
      </c>
      <c r="AG520" s="23" t="s">
        <v>54</v>
      </c>
      <c r="AH520" s="23" t="s">
        <v>54</v>
      </c>
      <c r="AI520" s="23" t="s">
        <v>54</v>
      </c>
      <c r="AJ520">
        <v>6</v>
      </c>
      <c r="AK520">
        <v>3</v>
      </c>
      <c r="AL520">
        <v>5</v>
      </c>
      <c r="AM520">
        <v>2</v>
      </c>
      <c r="AN520" s="23">
        <v>0.166666666666667</v>
      </c>
      <c r="AO520" s="23">
        <v>0</v>
      </c>
      <c r="AP520" s="23">
        <v>0</v>
      </c>
      <c r="AQ520" s="23">
        <v>0</v>
      </c>
      <c r="AR520" s="35">
        <v>0.142857142857143</v>
      </c>
      <c r="AS520" s="35">
        <v>8.57142857142857</v>
      </c>
      <c r="AT520" s="35">
        <v>-7.57142857142857</v>
      </c>
      <c r="AU520" s="31">
        <f t="shared" si="11"/>
        <v>7</v>
      </c>
      <c r="AV520" s="36">
        <f>IFERROR($A$2+AU520,"上周无销量")</f>
        <v>43297</v>
      </c>
    </row>
    <row r="521" spans="1:48">
      <c r="A521" s="21" t="s">
        <v>1125</v>
      </c>
      <c r="B521" t="s">
        <v>1126</v>
      </c>
      <c r="C521" t="s">
        <v>1070</v>
      </c>
      <c r="D521" s="31">
        <v>0</v>
      </c>
      <c r="E521" s="31">
        <v>2</v>
      </c>
      <c r="F521" s="31">
        <v>0</v>
      </c>
      <c r="G521" s="31">
        <v>1</v>
      </c>
      <c r="H521" s="32">
        <v>14.98</v>
      </c>
      <c r="I521">
        <v>7</v>
      </c>
      <c r="J521" s="33">
        <v>0</v>
      </c>
      <c r="K521" s="33">
        <v>0</v>
      </c>
      <c r="L521" s="33">
        <v>0</v>
      </c>
      <c r="M521">
        <v>7</v>
      </c>
      <c r="N521">
        <v>0</v>
      </c>
      <c r="O521">
        <v>7</v>
      </c>
      <c r="P521">
        <v>80366</v>
      </c>
      <c r="Q521">
        <v>5069</v>
      </c>
      <c r="R521">
        <v>1578</v>
      </c>
      <c r="S521">
        <v>778</v>
      </c>
      <c r="T521">
        <v>78</v>
      </c>
      <c r="U521">
        <v>13</v>
      </c>
      <c r="V521">
        <v>2</v>
      </c>
      <c r="W521">
        <v>2</v>
      </c>
      <c r="X521" s="23">
        <v>0.000970559689420899</v>
      </c>
      <c r="Y521" s="23">
        <v>0.00256460840402446</v>
      </c>
      <c r="Z521" s="23">
        <v>0.00126742712294043</v>
      </c>
      <c r="AA521" s="23">
        <v>0.0025706940874036</v>
      </c>
      <c r="AB521">
        <v>32.91</v>
      </c>
      <c r="AC521">
        <v>3.18</v>
      </c>
      <c r="AD521">
        <v>0.52</v>
      </c>
      <c r="AE521">
        <v>0.61</v>
      </c>
      <c r="AF521" s="23">
        <v>0</v>
      </c>
      <c r="AG521" s="23">
        <v>0.106141522029372</v>
      </c>
      <c r="AH521" s="23">
        <v>0</v>
      </c>
      <c r="AI521" s="23">
        <v>0.0407209612817089</v>
      </c>
      <c r="AJ521">
        <v>48</v>
      </c>
      <c r="AK521">
        <v>6</v>
      </c>
      <c r="AL521">
        <v>4</v>
      </c>
      <c r="AM521">
        <v>0</v>
      </c>
      <c r="AN521" s="23">
        <v>0</v>
      </c>
      <c r="AO521" s="23">
        <v>0.333333333333333</v>
      </c>
      <c r="AP521" s="23">
        <v>0</v>
      </c>
      <c r="AQ521" s="23" t="s">
        <v>54</v>
      </c>
      <c r="AR521" s="35">
        <v>0</v>
      </c>
      <c r="AS521" s="35">
        <v>0</v>
      </c>
      <c r="AT521" s="35">
        <v>7</v>
      </c>
      <c r="AU521" s="31" t="str">
        <f t="shared" si="11"/>
        <v>库存为7</v>
      </c>
      <c r="AV521" s="36" t="str">
        <f>IFERROR($A$2+AU521,"上周无销量")</f>
        <v>上周无销量</v>
      </c>
    </row>
    <row r="522" spans="1:48">
      <c r="A522" s="21" t="s">
        <v>1127</v>
      </c>
      <c r="B522" t="s">
        <v>1128</v>
      </c>
      <c r="C522" t="s">
        <v>1070</v>
      </c>
      <c r="D522" s="31">
        <v>0</v>
      </c>
      <c r="E522" s="31">
        <v>0</v>
      </c>
      <c r="F522" s="31">
        <v>0</v>
      </c>
      <c r="G522" s="31">
        <v>4</v>
      </c>
      <c r="H522" s="32">
        <v>14.98</v>
      </c>
      <c r="I522">
        <v>9</v>
      </c>
      <c r="J522" s="33">
        <v>0</v>
      </c>
      <c r="K522" s="33">
        <v>0</v>
      </c>
      <c r="L522" s="33">
        <v>0</v>
      </c>
      <c r="M522">
        <v>9</v>
      </c>
      <c r="N522">
        <v>0</v>
      </c>
      <c r="O522">
        <v>9</v>
      </c>
      <c r="P522" t="s">
        <v>54</v>
      </c>
      <c r="Q522" t="s">
        <v>54</v>
      </c>
      <c r="R522" t="s">
        <v>54</v>
      </c>
      <c r="S522" t="s">
        <v>54</v>
      </c>
      <c r="T522" t="s">
        <v>54</v>
      </c>
      <c r="U522" t="s">
        <v>54</v>
      </c>
      <c r="V522" t="s">
        <v>54</v>
      </c>
      <c r="W522" t="s">
        <v>54</v>
      </c>
      <c r="X522" s="23" t="s">
        <v>54</v>
      </c>
      <c r="Y522" s="23" t="s">
        <v>54</v>
      </c>
      <c r="Z522" s="23" t="s">
        <v>54</v>
      </c>
      <c r="AA522" s="23" t="s">
        <v>54</v>
      </c>
      <c r="AB522" t="s">
        <v>54</v>
      </c>
      <c r="AC522" t="s">
        <v>54</v>
      </c>
      <c r="AD522" t="s">
        <v>54</v>
      </c>
      <c r="AE522" t="s">
        <v>54</v>
      </c>
      <c r="AF522" s="23" t="s">
        <v>54</v>
      </c>
      <c r="AG522" s="23" t="s">
        <v>54</v>
      </c>
      <c r="AH522" s="23" t="s">
        <v>54</v>
      </c>
      <c r="AI522" s="23" t="s">
        <v>54</v>
      </c>
      <c r="AJ522">
        <v>3</v>
      </c>
      <c r="AK522">
        <v>1</v>
      </c>
      <c r="AL522">
        <v>3</v>
      </c>
      <c r="AM522">
        <v>2</v>
      </c>
      <c r="AN522" s="23">
        <v>0</v>
      </c>
      <c r="AO522" s="23">
        <v>0</v>
      </c>
      <c r="AP522" s="23">
        <v>0</v>
      </c>
      <c r="AQ522" s="23">
        <v>2</v>
      </c>
      <c r="AR522" s="35">
        <v>0</v>
      </c>
      <c r="AS522" s="35">
        <v>0</v>
      </c>
      <c r="AT522" s="35">
        <v>9</v>
      </c>
      <c r="AU522" s="31" t="str">
        <f t="shared" si="11"/>
        <v>库存为9</v>
      </c>
      <c r="AV522" s="36" t="str">
        <f>IFERROR($A$2+AU522,"上周无销量")</f>
        <v>上周无销量</v>
      </c>
    </row>
    <row r="523" spans="1:48">
      <c r="A523" s="21" t="s">
        <v>1129</v>
      </c>
      <c r="B523" t="s">
        <v>1130</v>
      </c>
      <c r="C523" t="s">
        <v>1070</v>
      </c>
      <c r="D523" s="31">
        <v>1</v>
      </c>
      <c r="E523" s="31">
        <v>0</v>
      </c>
      <c r="F523" s="31">
        <v>0</v>
      </c>
      <c r="G523" s="31">
        <v>3</v>
      </c>
      <c r="H523" s="32">
        <v>12.98</v>
      </c>
      <c r="I523">
        <v>9</v>
      </c>
      <c r="J523" s="33">
        <v>0</v>
      </c>
      <c r="K523" s="33">
        <v>0</v>
      </c>
      <c r="L523" s="33">
        <v>0</v>
      </c>
      <c r="M523">
        <v>9</v>
      </c>
      <c r="N523">
        <v>0</v>
      </c>
      <c r="O523">
        <v>9</v>
      </c>
      <c r="P523" t="s">
        <v>54</v>
      </c>
      <c r="Q523" t="s">
        <v>54</v>
      </c>
      <c r="R523" t="s">
        <v>54</v>
      </c>
      <c r="S523" t="s">
        <v>54</v>
      </c>
      <c r="T523" t="s">
        <v>54</v>
      </c>
      <c r="U523" t="s">
        <v>54</v>
      </c>
      <c r="V523" t="s">
        <v>54</v>
      </c>
      <c r="W523" t="s">
        <v>54</v>
      </c>
      <c r="X523" s="23" t="s">
        <v>54</v>
      </c>
      <c r="Y523" s="23" t="s">
        <v>54</v>
      </c>
      <c r="Z523" s="23" t="s">
        <v>54</v>
      </c>
      <c r="AA523" s="23" t="s">
        <v>54</v>
      </c>
      <c r="AB523" t="s">
        <v>54</v>
      </c>
      <c r="AC523" t="s">
        <v>54</v>
      </c>
      <c r="AD523" t="s">
        <v>54</v>
      </c>
      <c r="AE523" t="s">
        <v>54</v>
      </c>
      <c r="AF523" s="23" t="s">
        <v>54</v>
      </c>
      <c r="AG523" s="23" t="s">
        <v>54</v>
      </c>
      <c r="AH523" s="23" t="s">
        <v>54</v>
      </c>
      <c r="AI523" s="23" t="s">
        <v>54</v>
      </c>
      <c r="AJ523">
        <v>5</v>
      </c>
      <c r="AK523">
        <v>1</v>
      </c>
      <c r="AL523">
        <v>0</v>
      </c>
      <c r="AM523">
        <v>7</v>
      </c>
      <c r="AN523" s="23">
        <v>0.2</v>
      </c>
      <c r="AO523" s="23">
        <v>0</v>
      </c>
      <c r="AP523" s="23" t="s">
        <v>54</v>
      </c>
      <c r="AQ523" s="23">
        <v>0.428571428571429</v>
      </c>
      <c r="AR523" s="35">
        <v>0.142857142857143</v>
      </c>
      <c r="AS523" s="35">
        <v>8.57142857142857</v>
      </c>
      <c r="AT523" s="35">
        <v>0.428571428571429</v>
      </c>
      <c r="AU523" s="31">
        <f t="shared" si="11"/>
        <v>63</v>
      </c>
      <c r="AV523" s="36">
        <f>IFERROR($A$2+AU523,"上周无销量")</f>
        <v>43353</v>
      </c>
    </row>
    <row r="524" spans="1:48">
      <c r="A524" s="21" t="s">
        <v>1131</v>
      </c>
      <c r="B524" t="s">
        <v>1132</v>
      </c>
      <c r="C524" t="s">
        <v>1070</v>
      </c>
      <c r="D524" s="31">
        <v>0</v>
      </c>
      <c r="E524" s="31">
        <v>0</v>
      </c>
      <c r="F524" s="31">
        <v>0</v>
      </c>
      <c r="G524" s="31">
        <v>0</v>
      </c>
      <c r="H524" s="32">
        <v>0</v>
      </c>
      <c r="I524">
        <v>8</v>
      </c>
      <c r="J524" s="33">
        <v>0</v>
      </c>
      <c r="K524" s="33">
        <v>0</v>
      </c>
      <c r="L524" s="33">
        <v>0</v>
      </c>
      <c r="M524">
        <v>8</v>
      </c>
      <c r="N524">
        <v>0</v>
      </c>
      <c r="O524">
        <v>8</v>
      </c>
      <c r="P524" t="s">
        <v>54</v>
      </c>
      <c r="Q524" t="s">
        <v>54</v>
      </c>
      <c r="R524" t="s">
        <v>54</v>
      </c>
      <c r="S524" t="s">
        <v>54</v>
      </c>
      <c r="T524" t="s">
        <v>54</v>
      </c>
      <c r="U524" t="s">
        <v>54</v>
      </c>
      <c r="V524" t="s">
        <v>54</v>
      </c>
      <c r="W524" t="s">
        <v>54</v>
      </c>
      <c r="X524" s="23" t="s">
        <v>54</v>
      </c>
      <c r="Y524" s="23" t="s">
        <v>54</v>
      </c>
      <c r="Z524" s="23" t="s">
        <v>54</v>
      </c>
      <c r="AA524" s="23" t="s">
        <v>54</v>
      </c>
      <c r="AB524" t="s">
        <v>54</v>
      </c>
      <c r="AC524" t="s">
        <v>54</v>
      </c>
      <c r="AD524" t="s">
        <v>54</v>
      </c>
      <c r="AE524" t="s">
        <v>54</v>
      </c>
      <c r="AF524" s="23" t="s">
        <v>54</v>
      </c>
      <c r="AG524" s="23" t="s">
        <v>54</v>
      </c>
      <c r="AH524" s="23" t="s">
        <v>54</v>
      </c>
      <c r="AI524" s="23" t="s">
        <v>54</v>
      </c>
      <c r="AJ524">
        <v>3</v>
      </c>
      <c r="AK524">
        <v>2</v>
      </c>
      <c r="AL524">
        <v>2</v>
      </c>
      <c r="AM524">
        <v>3</v>
      </c>
      <c r="AN524" s="23">
        <v>0</v>
      </c>
      <c r="AO524" s="23">
        <v>0</v>
      </c>
      <c r="AP524" s="23">
        <v>0</v>
      </c>
      <c r="AQ524" s="23">
        <v>0</v>
      </c>
      <c r="AR524" s="35">
        <v>0</v>
      </c>
      <c r="AS524" s="35">
        <v>0</v>
      </c>
      <c r="AT524" s="35">
        <v>8</v>
      </c>
      <c r="AU524" s="31" t="str">
        <f t="shared" si="11"/>
        <v>库存为8</v>
      </c>
      <c r="AV524" s="36" t="str">
        <f>IFERROR($A$2+AU524,"上周无销量")</f>
        <v>上周无销量</v>
      </c>
    </row>
    <row r="525" spans="1:48">
      <c r="A525" s="21" t="s">
        <v>1133</v>
      </c>
      <c r="B525" t="s">
        <v>1134</v>
      </c>
      <c r="C525" t="s">
        <v>1070</v>
      </c>
      <c r="D525" s="31">
        <v>0</v>
      </c>
      <c r="E525" s="31">
        <v>0</v>
      </c>
      <c r="F525" s="31">
        <v>0</v>
      </c>
      <c r="G525" s="31">
        <v>0</v>
      </c>
      <c r="H525" s="32">
        <v>0</v>
      </c>
      <c r="I525">
        <v>12</v>
      </c>
      <c r="J525" s="33">
        <v>0</v>
      </c>
      <c r="K525" s="33">
        <v>0</v>
      </c>
      <c r="L525" s="33">
        <v>0</v>
      </c>
      <c r="M525">
        <v>12</v>
      </c>
      <c r="N525">
        <v>0</v>
      </c>
      <c r="O525">
        <v>12</v>
      </c>
      <c r="P525" t="s">
        <v>54</v>
      </c>
      <c r="Q525" t="s">
        <v>54</v>
      </c>
      <c r="R525" t="s">
        <v>54</v>
      </c>
      <c r="S525" t="s">
        <v>54</v>
      </c>
      <c r="T525" t="s">
        <v>54</v>
      </c>
      <c r="U525" t="s">
        <v>54</v>
      </c>
      <c r="V525" t="s">
        <v>54</v>
      </c>
      <c r="W525" t="s">
        <v>54</v>
      </c>
      <c r="X525" s="23" t="s">
        <v>54</v>
      </c>
      <c r="Y525" s="23" t="s">
        <v>54</v>
      </c>
      <c r="Z525" s="23" t="s">
        <v>54</v>
      </c>
      <c r="AA525" s="23" t="s">
        <v>54</v>
      </c>
      <c r="AB525" t="s">
        <v>54</v>
      </c>
      <c r="AC525" t="s">
        <v>54</v>
      </c>
      <c r="AD525" t="s">
        <v>54</v>
      </c>
      <c r="AE525" t="s">
        <v>54</v>
      </c>
      <c r="AF525" s="23" t="s">
        <v>54</v>
      </c>
      <c r="AG525" s="23" t="s">
        <v>54</v>
      </c>
      <c r="AH525" s="23" t="s">
        <v>54</v>
      </c>
      <c r="AI525" s="23" t="s">
        <v>54</v>
      </c>
      <c r="AJ525">
        <v>4</v>
      </c>
      <c r="AK525">
        <v>4</v>
      </c>
      <c r="AL525">
        <v>0</v>
      </c>
      <c r="AM525">
        <v>2</v>
      </c>
      <c r="AN525" s="23">
        <v>0</v>
      </c>
      <c r="AO525" s="23">
        <v>0</v>
      </c>
      <c r="AP525" s="23" t="s">
        <v>54</v>
      </c>
      <c r="AQ525" s="23">
        <v>0</v>
      </c>
      <c r="AR525" s="35">
        <v>0</v>
      </c>
      <c r="AS525" s="35">
        <v>0</v>
      </c>
      <c r="AT525" s="35">
        <v>12</v>
      </c>
      <c r="AU525" s="31" t="str">
        <f t="shared" si="11"/>
        <v>库存为12</v>
      </c>
      <c r="AV525" s="36" t="str">
        <f>IFERROR($A$2+AU525,"上周无销量")</f>
        <v>上周无销量</v>
      </c>
    </row>
    <row r="526" spans="1:48">
      <c r="A526" s="21" t="s">
        <v>1135</v>
      </c>
      <c r="B526" t="s">
        <v>1136</v>
      </c>
      <c r="C526" t="s">
        <v>1070</v>
      </c>
      <c r="D526" s="31">
        <v>0</v>
      </c>
      <c r="E526" s="31">
        <v>0</v>
      </c>
      <c r="F526" s="31">
        <v>0</v>
      </c>
      <c r="G526" s="31">
        <v>0</v>
      </c>
      <c r="H526" s="32">
        <v>0</v>
      </c>
      <c r="I526">
        <v>15</v>
      </c>
      <c r="J526" s="33">
        <v>0</v>
      </c>
      <c r="K526" s="33">
        <v>0</v>
      </c>
      <c r="L526" s="33">
        <v>0</v>
      </c>
      <c r="M526">
        <v>15</v>
      </c>
      <c r="N526">
        <v>0</v>
      </c>
      <c r="O526">
        <v>15</v>
      </c>
      <c r="P526" t="s">
        <v>54</v>
      </c>
      <c r="Q526" t="s">
        <v>54</v>
      </c>
      <c r="R526" t="s">
        <v>54</v>
      </c>
      <c r="S526" t="s">
        <v>54</v>
      </c>
      <c r="T526" t="s">
        <v>54</v>
      </c>
      <c r="U526" t="s">
        <v>54</v>
      </c>
      <c r="V526" t="s">
        <v>54</v>
      </c>
      <c r="W526" t="s">
        <v>54</v>
      </c>
      <c r="X526" s="23" t="s">
        <v>54</v>
      </c>
      <c r="Y526" s="23" t="s">
        <v>54</v>
      </c>
      <c r="Z526" s="23" t="s">
        <v>54</v>
      </c>
      <c r="AA526" s="23" t="s">
        <v>54</v>
      </c>
      <c r="AB526" t="s">
        <v>54</v>
      </c>
      <c r="AC526" t="s">
        <v>54</v>
      </c>
      <c r="AD526" t="s">
        <v>54</v>
      </c>
      <c r="AE526" t="s">
        <v>54</v>
      </c>
      <c r="AF526" s="23" t="s">
        <v>54</v>
      </c>
      <c r="AG526" s="23" t="s">
        <v>54</v>
      </c>
      <c r="AH526" s="23" t="s">
        <v>54</v>
      </c>
      <c r="AI526" s="23" t="s">
        <v>54</v>
      </c>
      <c r="AJ526">
        <v>2</v>
      </c>
      <c r="AK526">
        <v>0</v>
      </c>
      <c r="AL526">
        <v>1</v>
      </c>
      <c r="AM526">
        <v>1</v>
      </c>
      <c r="AN526" s="23">
        <v>0</v>
      </c>
      <c r="AO526" s="23" t="s">
        <v>54</v>
      </c>
      <c r="AP526" s="23">
        <v>0</v>
      </c>
      <c r="AQ526" s="23">
        <v>0</v>
      </c>
      <c r="AR526" s="35">
        <v>0</v>
      </c>
      <c r="AS526" s="35">
        <v>0</v>
      </c>
      <c r="AT526" s="35">
        <v>15</v>
      </c>
      <c r="AU526" s="31" t="str">
        <f t="shared" si="11"/>
        <v>库存为15</v>
      </c>
      <c r="AV526" s="36" t="str">
        <f>IFERROR($A$2+AU526,"上周无销量")</f>
        <v>上周无销量</v>
      </c>
    </row>
    <row r="527" spans="1:48">
      <c r="A527" s="21" t="s">
        <v>1137</v>
      </c>
      <c r="B527" t="s">
        <v>1138</v>
      </c>
      <c r="C527" t="s">
        <v>1070</v>
      </c>
      <c r="D527" s="31">
        <v>0</v>
      </c>
      <c r="E527" s="31">
        <v>0</v>
      </c>
      <c r="F527" s="31">
        <v>0</v>
      </c>
      <c r="G527" s="31">
        <v>0</v>
      </c>
      <c r="H527" s="32">
        <v>0</v>
      </c>
      <c r="I527">
        <v>16</v>
      </c>
      <c r="J527" s="33">
        <v>0</v>
      </c>
      <c r="K527" s="33">
        <v>0</v>
      </c>
      <c r="L527" s="33">
        <v>0</v>
      </c>
      <c r="M527">
        <v>16</v>
      </c>
      <c r="N527">
        <v>0</v>
      </c>
      <c r="O527">
        <v>16</v>
      </c>
      <c r="P527" t="s">
        <v>54</v>
      </c>
      <c r="Q527" t="s">
        <v>54</v>
      </c>
      <c r="R527" t="s">
        <v>54</v>
      </c>
      <c r="S527" t="s">
        <v>54</v>
      </c>
      <c r="T527" t="s">
        <v>54</v>
      </c>
      <c r="U527" t="s">
        <v>54</v>
      </c>
      <c r="V527" t="s">
        <v>54</v>
      </c>
      <c r="W527" t="s">
        <v>54</v>
      </c>
      <c r="X527" s="23" t="s">
        <v>54</v>
      </c>
      <c r="Y527" s="23" t="s">
        <v>54</v>
      </c>
      <c r="Z527" s="23" t="s">
        <v>54</v>
      </c>
      <c r="AA527" s="23" t="s">
        <v>54</v>
      </c>
      <c r="AB527" t="s">
        <v>54</v>
      </c>
      <c r="AC527" t="s">
        <v>54</v>
      </c>
      <c r="AD527" t="s">
        <v>54</v>
      </c>
      <c r="AE527" t="s">
        <v>54</v>
      </c>
      <c r="AF527" s="23" t="s">
        <v>54</v>
      </c>
      <c r="AG527" s="23" t="s">
        <v>54</v>
      </c>
      <c r="AH527" s="23" t="s">
        <v>54</v>
      </c>
      <c r="AI527" s="23" t="s">
        <v>54</v>
      </c>
      <c r="AJ527">
        <v>4</v>
      </c>
      <c r="AK527">
        <v>0</v>
      </c>
      <c r="AL527">
        <v>1</v>
      </c>
      <c r="AM527">
        <v>3</v>
      </c>
      <c r="AN527" s="23">
        <v>0</v>
      </c>
      <c r="AO527" s="23" t="s">
        <v>54</v>
      </c>
      <c r="AP527" s="23">
        <v>0</v>
      </c>
      <c r="AQ527" s="23">
        <v>0</v>
      </c>
      <c r="AR527" s="35">
        <v>0</v>
      </c>
      <c r="AS527" s="35">
        <v>0</v>
      </c>
      <c r="AT527" s="35">
        <v>16</v>
      </c>
      <c r="AU527" s="31" t="str">
        <f t="shared" si="11"/>
        <v>库存为16</v>
      </c>
      <c r="AV527" s="36" t="str">
        <f>IFERROR($A$2+AU527,"上周无销量")</f>
        <v>上周无销量</v>
      </c>
    </row>
    <row r="528" spans="1:48">
      <c r="A528" s="21" t="s">
        <v>1139</v>
      </c>
      <c r="B528" t="s">
        <v>1140</v>
      </c>
      <c r="C528" t="s">
        <v>1070</v>
      </c>
      <c r="D528" s="31">
        <v>0</v>
      </c>
      <c r="E528" s="31">
        <v>0</v>
      </c>
      <c r="F528" s="31">
        <v>0</v>
      </c>
      <c r="G528" s="31">
        <v>1</v>
      </c>
      <c r="H528" s="32">
        <v>12.98</v>
      </c>
      <c r="I528">
        <v>10</v>
      </c>
      <c r="J528" s="33">
        <v>0</v>
      </c>
      <c r="K528" s="33">
        <v>0</v>
      </c>
      <c r="L528" s="33">
        <v>0</v>
      </c>
      <c r="M528">
        <v>10</v>
      </c>
      <c r="N528">
        <v>0</v>
      </c>
      <c r="O528">
        <v>8</v>
      </c>
      <c r="P528" t="s">
        <v>54</v>
      </c>
      <c r="Q528" t="s">
        <v>54</v>
      </c>
      <c r="R528" t="s">
        <v>54</v>
      </c>
      <c r="S528" t="s">
        <v>54</v>
      </c>
      <c r="T528" t="s">
        <v>54</v>
      </c>
      <c r="U528" t="s">
        <v>54</v>
      </c>
      <c r="V528" t="s">
        <v>54</v>
      </c>
      <c r="W528" t="s">
        <v>54</v>
      </c>
      <c r="X528" s="23" t="s">
        <v>54</v>
      </c>
      <c r="Y528" s="23" t="s">
        <v>54</v>
      </c>
      <c r="Z528" s="23" t="s">
        <v>54</v>
      </c>
      <c r="AA528" s="23" t="s">
        <v>54</v>
      </c>
      <c r="AB528" t="s">
        <v>54</v>
      </c>
      <c r="AC528" t="s">
        <v>54</v>
      </c>
      <c r="AD528" t="s">
        <v>54</v>
      </c>
      <c r="AE528" t="s">
        <v>54</v>
      </c>
      <c r="AF528" s="23" t="s">
        <v>54</v>
      </c>
      <c r="AG528" s="23" t="s">
        <v>54</v>
      </c>
      <c r="AH528" s="23" t="s">
        <v>54</v>
      </c>
      <c r="AI528" s="23" t="s">
        <v>54</v>
      </c>
      <c r="AJ528">
        <v>2</v>
      </c>
      <c r="AK528">
        <v>13</v>
      </c>
      <c r="AL528">
        <v>5</v>
      </c>
      <c r="AM528">
        <v>1</v>
      </c>
      <c r="AN528" s="23">
        <v>0</v>
      </c>
      <c r="AO528" s="23">
        <v>0</v>
      </c>
      <c r="AP528" s="23">
        <v>0</v>
      </c>
      <c r="AQ528" s="23">
        <v>1</v>
      </c>
      <c r="AR528" s="35">
        <v>0</v>
      </c>
      <c r="AS528" s="35">
        <v>0</v>
      </c>
      <c r="AT528" s="35">
        <v>10</v>
      </c>
      <c r="AU528" s="31" t="str">
        <f t="shared" si="11"/>
        <v>库存为10</v>
      </c>
      <c r="AV528" s="36" t="str">
        <f>IFERROR($A$2+AU528,"上周无销量")</f>
        <v>上周无销量</v>
      </c>
    </row>
    <row r="529" spans="1:48">
      <c r="A529" s="21" t="s">
        <v>1141</v>
      </c>
      <c r="B529" t="s">
        <v>1142</v>
      </c>
      <c r="C529" t="s">
        <v>1070</v>
      </c>
      <c r="D529" s="31">
        <v>0</v>
      </c>
      <c r="E529" s="31">
        <v>0</v>
      </c>
      <c r="F529" s="31">
        <v>0</v>
      </c>
      <c r="G529" s="31">
        <v>0</v>
      </c>
      <c r="H529" s="32">
        <v>0</v>
      </c>
      <c r="I529">
        <v>17</v>
      </c>
      <c r="J529" s="33">
        <v>0</v>
      </c>
      <c r="K529" s="33">
        <v>0</v>
      </c>
      <c r="L529" s="33">
        <v>0</v>
      </c>
      <c r="M529">
        <v>17</v>
      </c>
      <c r="N529">
        <v>0</v>
      </c>
      <c r="O529">
        <v>17</v>
      </c>
      <c r="P529" t="s">
        <v>54</v>
      </c>
      <c r="Q529" t="s">
        <v>54</v>
      </c>
      <c r="R529" t="s">
        <v>54</v>
      </c>
      <c r="S529" t="s">
        <v>54</v>
      </c>
      <c r="T529" t="s">
        <v>54</v>
      </c>
      <c r="U529" t="s">
        <v>54</v>
      </c>
      <c r="V529" t="s">
        <v>54</v>
      </c>
      <c r="W529" t="s">
        <v>54</v>
      </c>
      <c r="X529" s="23" t="s">
        <v>54</v>
      </c>
      <c r="Y529" s="23" t="s">
        <v>54</v>
      </c>
      <c r="Z529" s="23" t="s">
        <v>54</v>
      </c>
      <c r="AA529" s="23" t="s">
        <v>54</v>
      </c>
      <c r="AB529" t="s">
        <v>54</v>
      </c>
      <c r="AC529" t="s">
        <v>54</v>
      </c>
      <c r="AD529" t="s">
        <v>54</v>
      </c>
      <c r="AE529" t="s">
        <v>54</v>
      </c>
      <c r="AF529" s="23" t="s">
        <v>54</v>
      </c>
      <c r="AG529" s="23" t="s">
        <v>54</v>
      </c>
      <c r="AH529" s="23" t="s">
        <v>54</v>
      </c>
      <c r="AI529" s="23" t="s">
        <v>54</v>
      </c>
      <c r="AJ529">
        <v>1</v>
      </c>
      <c r="AK529">
        <v>2</v>
      </c>
      <c r="AL529">
        <v>2</v>
      </c>
      <c r="AM529">
        <v>1</v>
      </c>
      <c r="AN529" s="23">
        <v>0</v>
      </c>
      <c r="AO529" s="23">
        <v>0</v>
      </c>
      <c r="AP529" s="23">
        <v>0</v>
      </c>
      <c r="AQ529" s="23">
        <v>0</v>
      </c>
      <c r="AR529" s="35">
        <v>0</v>
      </c>
      <c r="AS529" s="35">
        <v>0</v>
      </c>
      <c r="AT529" s="35">
        <v>17</v>
      </c>
      <c r="AU529" s="31" t="str">
        <f t="shared" si="11"/>
        <v>库存为17</v>
      </c>
      <c r="AV529" s="36" t="str">
        <f>IFERROR($A$2+AU529,"上周无销量")</f>
        <v>上周无销量</v>
      </c>
    </row>
    <row r="530" spans="1:48">
      <c r="A530" s="21" t="s">
        <v>1143</v>
      </c>
      <c r="B530" t="s">
        <v>1144</v>
      </c>
      <c r="C530" t="s">
        <v>1070</v>
      </c>
      <c r="D530" s="31">
        <v>0</v>
      </c>
      <c r="E530" s="31">
        <v>0</v>
      </c>
      <c r="F530" s="31">
        <v>0</v>
      </c>
      <c r="G530" s="31">
        <v>0</v>
      </c>
      <c r="H530" s="32">
        <v>0</v>
      </c>
      <c r="I530">
        <v>15</v>
      </c>
      <c r="J530" s="33">
        <v>0</v>
      </c>
      <c r="K530" s="33">
        <v>0</v>
      </c>
      <c r="L530" s="33">
        <v>0</v>
      </c>
      <c r="M530">
        <v>15</v>
      </c>
      <c r="N530">
        <v>0</v>
      </c>
      <c r="O530">
        <v>14</v>
      </c>
      <c r="P530" t="s">
        <v>54</v>
      </c>
      <c r="Q530" t="s">
        <v>54</v>
      </c>
      <c r="R530" t="s">
        <v>54</v>
      </c>
      <c r="S530" t="s">
        <v>54</v>
      </c>
      <c r="T530" t="s">
        <v>54</v>
      </c>
      <c r="U530" t="s">
        <v>54</v>
      </c>
      <c r="V530" t="s">
        <v>54</v>
      </c>
      <c r="W530" t="s">
        <v>54</v>
      </c>
      <c r="X530" s="23" t="s">
        <v>54</v>
      </c>
      <c r="Y530" s="23" t="s">
        <v>54</v>
      </c>
      <c r="Z530" s="23" t="s">
        <v>54</v>
      </c>
      <c r="AA530" s="23" t="s">
        <v>54</v>
      </c>
      <c r="AB530" t="s">
        <v>54</v>
      </c>
      <c r="AC530" t="s">
        <v>54</v>
      </c>
      <c r="AD530" t="s">
        <v>54</v>
      </c>
      <c r="AE530" t="s">
        <v>54</v>
      </c>
      <c r="AF530" s="23" t="s">
        <v>54</v>
      </c>
      <c r="AG530" s="23" t="s">
        <v>54</v>
      </c>
      <c r="AH530" s="23" t="s">
        <v>54</v>
      </c>
      <c r="AI530" s="23" t="s">
        <v>54</v>
      </c>
      <c r="AJ530">
        <v>2</v>
      </c>
      <c r="AK530">
        <v>1</v>
      </c>
      <c r="AL530">
        <v>2</v>
      </c>
      <c r="AM530">
        <v>1</v>
      </c>
      <c r="AN530" s="23">
        <v>0</v>
      </c>
      <c r="AO530" s="23">
        <v>0</v>
      </c>
      <c r="AP530" s="23">
        <v>0</v>
      </c>
      <c r="AQ530" s="23">
        <v>0</v>
      </c>
      <c r="AR530" s="35">
        <v>0</v>
      </c>
      <c r="AS530" s="35">
        <v>0</v>
      </c>
      <c r="AT530" s="35">
        <v>15</v>
      </c>
      <c r="AU530" s="31" t="str">
        <f t="shared" si="11"/>
        <v>库存为15</v>
      </c>
      <c r="AV530" s="36" t="str">
        <f>IFERROR($A$2+AU530,"上周无销量")</f>
        <v>上周无销量</v>
      </c>
    </row>
    <row r="531" spans="1:48">
      <c r="A531" s="21" t="s">
        <v>1145</v>
      </c>
      <c r="B531" t="s">
        <v>1146</v>
      </c>
      <c r="C531" t="s">
        <v>1070</v>
      </c>
      <c r="D531" s="31">
        <v>0</v>
      </c>
      <c r="E531" s="31">
        <v>0</v>
      </c>
      <c r="F531" s="31">
        <v>0</v>
      </c>
      <c r="G531" s="31">
        <v>0</v>
      </c>
      <c r="H531" s="32">
        <v>0</v>
      </c>
      <c r="I531">
        <v>15</v>
      </c>
      <c r="J531" s="33">
        <v>0</v>
      </c>
      <c r="K531" s="33">
        <v>0</v>
      </c>
      <c r="L531" s="33">
        <v>0</v>
      </c>
      <c r="M531">
        <v>15</v>
      </c>
      <c r="N531">
        <v>0</v>
      </c>
      <c r="O531">
        <v>14</v>
      </c>
      <c r="P531" t="s">
        <v>54</v>
      </c>
      <c r="Q531" t="s">
        <v>54</v>
      </c>
      <c r="R531" t="s">
        <v>54</v>
      </c>
      <c r="S531" t="s">
        <v>54</v>
      </c>
      <c r="T531" t="s">
        <v>54</v>
      </c>
      <c r="U531" t="s">
        <v>54</v>
      </c>
      <c r="V531" t="s">
        <v>54</v>
      </c>
      <c r="W531" t="s">
        <v>54</v>
      </c>
      <c r="X531" s="23" t="s">
        <v>54</v>
      </c>
      <c r="Y531" s="23" t="s">
        <v>54</v>
      </c>
      <c r="Z531" s="23" t="s">
        <v>54</v>
      </c>
      <c r="AA531" s="23" t="s">
        <v>54</v>
      </c>
      <c r="AB531" t="s">
        <v>54</v>
      </c>
      <c r="AC531" t="s">
        <v>54</v>
      </c>
      <c r="AD531" t="s">
        <v>54</v>
      </c>
      <c r="AE531" t="s">
        <v>54</v>
      </c>
      <c r="AF531" s="23" t="s">
        <v>54</v>
      </c>
      <c r="AG531" s="23" t="s">
        <v>54</v>
      </c>
      <c r="AH531" s="23" t="s">
        <v>54</v>
      </c>
      <c r="AI531" s="23" t="s">
        <v>54</v>
      </c>
      <c r="AJ531">
        <v>2</v>
      </c>
      <c r="AK531">
        <v>2</v>
      </c>
      <c r="AL531">
        <v>3</v>
      </c>
      <c r="AM531">
        <v>2</v>
      </c>
      <c r="AN531" s="23">
        <v>0</v>
      </c>
      <c r="AO531" s="23">
        <v>0</v>
      </c>
      <c r="AP531" s="23">
        <v>0</v>
      </c>
      <c r="AQ531" s="23">
        <v>0</v>
      </c>
      <c r="AR531" s="35">
        <v>0</v>
      </c>
      <c r="AS531" s="35">
        <v>0</v>
      </c>
      <c r="AT531" s="35">
        <v>15</v>
      </c>
      <c r="AU531" s="31" t="str">
        <f t="shared" si="11"/>
        <v>库存为15</v>
      </c>
      <c r="AV531" s="36" t="str">
        <f>IFERROR($A$2+AU531,"上周无销量")</f>
        <v>上周无销量</v>
      </c>
    </row>
    <row r="532" spans="1:48">
      <c r="A532" s="21" t="s">
        <v>1147</v>
      </c>
      <c r="B532" t="s">
        <v>1148</v>
      </c>
      <c r="C532" t="s">
        <v>1070</v>
      </c>
      <c r="D532" s="31">
        <v>3</v>
      </c>
      <c r="E532" s="31">
        <v>0</v>
      </c>
      <c r="F532" s="31">
        <v>0</v>
      </c>
      <c r="G532" s="31">
        <v>0</v>
      </c>
      <c r="H532" s="32">
        <v>14.98</v>
      </c>
      <c r="I532">
        <v>0</v>
      </c>
      <c r="J532" s="33">
        <v>0</v>
      </c>
      <c r="K532" s="33">
        <v>0</v>
      </c>
      <c r="L532" s="33">
        <v>0</v>
      </c>
      <c r="M532">
        <v>0</v>
      </c>
      <c r="N532">
        <v>0</v>
      </c>
      <c r="O532">
        <v>0</v>
      </c>
      <c r="P532">
        <v>338</v>
      </c>
      <c r="Q532">
        <v>459</v>
      </c>
      <c r="R532">
        <v>170</v>
      </c>
      <c r="S532">
        <v>55</v>
      </c>
      <c r="T532">
        <v>0</v>
      </c>
      <c r="U532">
        <v>1</v>
      </c>
      <c r="V532">
        <v>0</v>
      </c>
      <c r="W532">
        <v>0</v>
      </c>
      <c r="X532" s="23">
        <v>0</v>
      </c>
      <c r="Y532" s="23">
        <v>0.00217864923747277</v>
      </c>
      <c r="Z532" s="23">
        <v>0</v>
      </c>
      <c r="AA532" s="23">
        <v>0</v>
      </c>
      <c r="AB532">
        <v>0</v>
      </c>
      <c r="AC532">
        <v>0.21</v>
      </c>
      <c r="AD532">
        <v>0</v>
      </c>
      <c r="AE532">
        <v>0</v>
      </c>
      <c r="AF532" s="23" t="s">
        <v>54</v>
      </c>
      <c r="AG532" s="23">
        <v>0</v>
      </c>
      <c r="AH532" s="23" t="s">
        <v>54</v>
      </c>
      <c r="AI532" s="23" t="s">
        <v>54</v>
      </c>
      <c r="AJ532">
        <v>1</v>
      </c>
      <c r="AK532">
        <v>4</v>
      </c>
      <c r="AL532">
        <v>3</v>
      </c>
      <c r="AM532">
        <v>1</v>
      </c>
      <c r="AN532" s="23">
        <v>3</v>
      </c>
      <c r="AO532" s="23">
        <v>0</v>
      </c>
      <c r="AP532" s="23">
        <v>0</v>
      </c>
      <c r="AQ532" s="23">
        <v>0</v>
      </c>
      <c r="AR532" s="35">
        <v>0.428571428571429</v>
      </c>
      <c r="AS532" s="35">
        <v>25.7142857142857</v>
      </c>
      <c r="AT532" s="35">
        <v>-25.7142857142857</v>
      </c>
      <c r="AU532" s="31">
        <f t="shared" si="11"/>
        <v>0</v>
      </c>
      <c r="AV532" s="36">
        <f>IFERROR($A$2+AU532,"上周无销量")</f>
        <v>43290</v>
      </c>
    </row>
    <row r="533" spans="1:48">
      <c r="A533" s="21" t="s">
        <v>1149</v>
      </c>
      <c r="B533" t="s">
        <v>1150</v>
      </c>
      <c r="C533" t="s">
        <v>1070</v>
      </c>
      <c r="D533" s="31">
        <v>0</v>
      </c>
      <c r="E533" s="31">
        <v>0</v>
      </c>
      <c r="F533" s="31">
        <v>0</v>
      </c>
      <c r="G533" s="31">
        <v>0</v>
      </c>
      <c r="H533" s="32">
        <v>0</v>
      </c>
      <c r="I533">
        <v>7</v>
      </c>
      <c r="J533" s="33">
        <v>0</v>
      </c>
      <c r="K533" s="33">
        <v>0</v>
      </c>
      <c r="L533" s="33">
        <v>0</v>
      </c>
      <c r="M533">
        <v>7</v>
      </c>
      <c r="N533">
        <v>0</v>
      </c>
      <c r="O533">
        <v>7</v>
      </c>
      <c r="P533" t="s">
        <v>54</v>
      </c>
      <c r="Q533" t="s">
        <v>54</v>
      </c>
      <c r="R533" t="s">
        <v>54</v>
      </c>
      <c r="S533" t="s">
        <v>54</v>
      </c>
      <c r="T533" t="s">
        <v>54</v>
      </c>
      <c r="U533" t="s">
        <v>54</v>
      </c>
      <c r="V533" t="s">
        <v>54</v>
      </c>
      <c r="W533" t="s">
        <v>54</v>
      </c>
      <c r="X533" s="23" t="s">
        <v>54</v>
      </c>
      <c r="Y533" s="23" t="s">
        <v>54</v>
      </c>
      <c r="Z533" s="23" t="s">
        <v>54</v>
      </c>
      <c r="AA533" s="23" t="s">
        <v>54</v>
      </c>
      <c r="AB533" t="s">
        <v>54</v>
      </c>
      <c r="AC533" t="s">
        <v>54</v>
      </c>
      <c r="AD533" t="s">
        <v>54</v>
      </c>
      <c r="AE533" t="s">
        <v>54</v>
      </c>
      <c r="AF533" s="23" t="s">
        <v>54</v>
      </c>
      <c r="AG533" s="23" t="s">
        <v>54</v>
      </c>
      <c r="AH533" s="23" t="s">
        <v>54</v>
      </c>
      <c r="AI533" s="23" t="s">
        <v>54</v>
      </c>
      <c r="AJ533">
        <v>5</v>
      </c>
      <c r="AK533">
        <v>1</v>
      </c>
      <c r="AL533">
        <v>2</v>
      </c>
      <c r="AM533">
        <v>1</v>
      </c>
      <c r="AN533" s="23">
        <v>0</v>
      </c>
      <c r="AO533" s="23">
        <v>0</v>
      </c>
      <c r="AP533" s="23">
        <v>0</v>
      </c>
      <c r="AQ533" s="23">
        <v>0</v>
      </c>
      <c r="AR533" s="35">
        <v>0</v>
      </c>
      <c r="AS533" s="35">
        <v>0</v>
      </c>
      <c r="AT533" s="35">
        <v>7</v>
      </c>
      <c r="AU533" s="31" t="str">
        <f t="shared" si="11"/>
        <v>库存为7</v>
      </c>
      <c r="AV533" s="36" t="str">
        <f>IFERROR($A$2+AU533,"上周无销量")</f>
        <v>上周无销量</v>
      </c>
    </row>
    <row r="534" spans="1:48">
      <c r="A534" s="21" t="s">
        <v>1151</v>
      </c>
      <c r="B534" t="s">
        <v>1152</v>
      </c>
      <c r="C534" t="s">
        <v>1070</v>
      </c>
      <c r="D534" s="31">
        <v>0</v>
      </c>
      <c r="E534" s="31">
        <v>0</v>
      </c>
      <c r="F534" s="31">
        <v>0</v>
      </c>
      <c r="G534" s="31">
        <v>1</v>
      </c>
      <c r="H534" s="32">
        <v>15.98</v>
      </c>
      <c r="I534">
        <v>1</v>
      </c>
      <c r="J534" s="33">
        <v>0</v>
      </c>
      <c r="K534" s="33">
        <v>0</v>
      </c>
      <c r="L534" s="33">
        <v>0</v>
      </c>
      <c r="M534">
        <v>1</v>
      </c>
      <c r="N534">
        <v>0</v>
      </c>
      <c r="O534">
        <v>0</v>
      </c>
      <c r="P534" t="s">
        <v>54</v>
      </c>
      <c r="Q534" t="s">
        <v>54</v>
      </c>
      <c r="R534" t="s">
        <v>54</v>
      </c>
      <c r="S534" t="s">
        <v>54</v>
      </c>
      <c r="T534" t="s">
        <v>54</v>
      </c>
      <c r="U534" t="s">
        <v>54</v>
      </c>
      <c r="V534" t="s">
        <v>54</v>
      </c>
      <c r="W534" t="s">
        <v>54</v>
      </c>
      <c r="X534" s="23" t="s">
        <v>54</v>
      </c>
      <c r="Y534" s="23" t="s">
        <v>54</v>
      </c>
      <c r="Z534" s="23" t="s">
        <v>54</v>
      </c>
      <c r="AA534" s="23" t="s">
        <v>54</v>
      </c>
      <c r="AB534" t="s">
        <v>54</v>
      </c>
      <c r="AC534" t="s">
        <v>54</v>
      </c>
      <c r="AD534" t="s">
        <v>54</v>
      </c>
      <c r="AE534" t="s">
        <v>54</v>
      </c>
      <c r="AF534" s="23" t="s">
        <v>54</v>
      </c>
      <c r="AG534" s="23" t="s">
        <v>54</v>
      </c>
      <c r="AH534" s="23" t="s">
        <v>54</v>
      </c>
      <c r="AI534" s="23" t="s">
        <v>54</v>
      </c>
      <c r="AJ534">
        <v>4</v>
      </c>
      <c r="AK534">
        <v>3</v>
      </c>
      <c r="AL534">
        <v>4</v>
      </c>
      <c r="AM534">
        <v>0</v>
      </c>
      <c r="AN534" s="23">
        <v>0</v>
      </c>
      <c r="AO534" s="23">
        <v>0</v>
      </c>
      <c r="AP534" s="23">
        <v>0</v>
      </c>
      <c r="AQ534" s="23" t="s">
        <v>54</v>
      </c>
      <c r="AR534" s="35">
        <v>0</v>
      </c>
      <c r="AS534" s="35">
        <v>0</v>
      </c>
      <c r="AT534" s="35">
        <v>1</v>
      </c>
      <c r="AU534" s="31" t="str">
        <f t="shared" si="11"/>
        <v>库存为1</v>
      </c>
      <c r="AV534" s="36" t="str">
        <f>IFERROR($A$2+AU534,"上周无销量")</f>
        <v>上周无销量</v>
      </c>
    </row>
    <row r="535" spans="1:48">
      <c r="A535" s="21" t="s">
        <v>1153</v>
      </c>
      <c r="B535" t="s">
        <v>1154</v>
      </c>
      <c r="C535" t="s">
        <v>1070</v>
      </c>
      <c r="D535" s="31">
        <v>0</v>
      </c>
      <c r="E535" s="31">
        <v>0</v>
      </c>
      <c r="F535" s="31">
        <v>0</v>
      </c>
      <c r="G535" s="31">
        <v>0</v>
      </c>
      <c r="H535" s="32">
        <v>0</v>
      </c>
      <c r="I535">
        <v>1</v>
      </c>
      <c r="J535" s="33">
        <v>0</v>
      </c>
      <c r="K535" s="33">
        <v>0</v>
      </c>
      <c r="L535" s="33">
        <v>0</v>
      </c>
      <c r="M535">
        <v>1</v>
      </c>
      <c r="N535">
        <v>0</v>
      </c>
      <c r="O535">
        <v>0</v>
      </c>
      <c r="P535" t="s">
        <v>54</v>
      </c>
      <c r="Q535" t="s">
        <v>54</v>
      </c>
      <c r="R535" t="s">
        <v>54</v>
      </c>
      <c r="S535" t="s">
        <v>54</v>
      </c>
      <c r="T535" t="s">
        <v>54</v>
      </c>
      <c r="U535" t="s">
        <v>54</v>
      </c>
      <c r="V535" t="s">
        <v>54</v>
      </c>
      <c r="W535" t="s">
        <v>54</v>
      </c>
      <c r="X535" s="23" t="s">
        <v>54</v>
      </c>
      <c r="Y535" s="23" t="s">
        <v>54</v>
      </c>
      <c r="Z535" s="23" t="s">
        <v>54</v>
      </c>
      <c r="AA535" s="23" t="s">
        <v>54</v>
      </c>
      <c r="AB535" t="s">
        <v>54</v>
      </c>
      <c r="AC535" t="s">
        <v>54</v>
      </c>
      <c r="AD535" t="s">
        <v>54</v>
      </c>
      <c r="AE535" t="s">
        <v>54</v>
      </c>
      <c r="AF535" s="23" t="s">
        <v>54</v>
      </c>
      <c r="AG535" s="23" t="s">
        <v>54</v>
      </c>
      <c r="AH535" s="23" t="s">
        <v>54</v>
      </c>
      <c r="AI535" s="23" t="s">
        <v>54</v>
      </c>
      <c r="AJ535">
        <v>0</v>
      </c>
      <c r="AK535">
        <v>2</v>
      </c>
      <c r="AL535">
        <v>3</v>
      </c>
      <c r="AM535">
        <v>0</v>
      </c>
      <c r="AN535" s="23" t="s">
        <v>54</v>
      </c>
      <c r="AO535" s="23">
        <v>0</v>
      </c>
      <c r="AP535" s="23">
        <v>0</v>
      </c>
      <c r="AQ535" s="23" t="s">
        <v>54</v>
      </c>
      <c r="AR535" s="35">
        <v>0</v>
      </c>
      <c r="AS535" s="35">
        <v>0</v>
      </c>
      <c r="AT535" s="35">
        <v>1</v>
      </c>
      <c r="AU535" s="31" t="str">
        <f t="shared" si="11"/>
        <v>库存为1</v>
      </c>
      <c r="AV535" s="36" t="str">
        <f>IFERROR($A$2+AU535,"上周无销量")</f>
        <v>上周无销量</v>
      </c>
    </row>
    <row r="536" spans="1:48">
      <c r="A536" s="21" t="s">
        <v>1155</v>
      </c>
      <c r="B536" t="s">
        <v>1156</v>
      </c>
      <c r="C536" t="s">
        <v>1157</v>
      </c>
      <c r="D536" s="31">
        <v>0</v>
      </c>
      <c r="E536" s="31">
        <v>2</v>
      </c>
      <c r="F536" s="31">
        <v>0</v>
      </c>
      <c r="G536" s="31">
        <v>0</v>
      </c>
      <c r="H536" s="32">
        <v>10</v>
      </c>
      <c r="I536">
        <v>0</v>
      </c>
      <c r="J536" s="33">
        <v>0</v>
      </c>
      <c r="K536" s="33">
        <v>0</v>
      </c>
      <c r="L536" s="33">
        <v>0</v>
      </c>
      <c r="M536">
        <v>0</v>
      </c>
      <c r="N536">
        <v>0</v>
      </c>
      <c r="O536">
        <v>0</v>
      </c>
      <c r="P536" t="s">
        <v>54</v>
      </c>
      <c r="Q536" t="s">
        <v>54</v>
      </c>
      <c r="R536" t="s">
        <v>54</v>
      </c>
      <c r="S536" t="s">
        <v>54</v>
      </c>
      <c r="T536" t="s">
        <v>54</v>
      </c>
      <c r="U536" t="s">
        <v>54</v>
      </c>
      <c r="V536" t="s">
        <v>54</v>
      </c>
      <c r="W536" t="s">
        <v>54</v>
      </c>
      <c r="X536" s="23" t="s">
        <v>54</v>
      </c>
      <c r="Y536" s="23" t="s">
        <v>54</v>
      </c>
      <c r="Z536" s="23" t="s">
        <v>54</v>
      </c>
      <c r="AA536" s="23" t="s">
        <v>54</v>
      </c>
      <c r="AB536" t="s">
        <v>54</v>
      </c>
      <c r="AC536" t="s">
        <v>54</v>
      </c>
      <c r="AD536" t="s">
        <v>54</v>
      </c>
      <c r="AE536" t="s">
        <v>54</v>
      </c>
      <c r="AF536" s="23" t="s">
        <v>54</v>
      </c>
      <c r="AG536" s="23" t="s">
        <v>54</v>
      </c>
      <c r="AH536" s="23" t="s">
        <v>54</v>
      </c>
      <c r="AI536" s="23" t="s">
        <v>54</v>
      </c>
      <c r="AJ536">
        <v>0</v>
      </c>
      <c r="AK536">
        <v>1</v>
      </c>
      <c r="AL536">
        <v>5</v>
      </c>
      <c r="AM536">
        <v>4</v>
      </c>
      <c r="AN536" s="23" t="s">
        <v>54</v>
      </c>
      <c r="AO536" s="23">
        <v>2</v>
      </c>
      <c r="AP536" s="23">
        <v>0</v>
      </c>
      <c r="AQ536" s="23">
        <v>0</v>
      </c>
      <c r="AR536" s="35">
        <v>0</v>
      </c>
      <c r="AS536" s="35">
        <v>0</v>
      </c>
      <c r="AT536" s="35">
        <v>0</v>
      </c>
      <c r="AU536" s="31" t="str">
        <f t="shared" si="11"/>
        <v>库存为0</v>
      </c>
      <c r="AV536" s="36" t="str">
        <f>IFERROR($A$2+AU536,"上周无销量")</f>
        <v>上周无销量</v>
      </c>
    </row>
    <row r="537" spans="1:48">
      <c r="A537" s="21" t="s">
        <v>1158</v>
      </c>
      <c r="B537" t="s">
        <v>1159</v>
      </c>
      <c r="C537" t="s">
        <v>1157</v>
      </c>
      <c r="D537" s="31">
        <v>0</v>
      </c>
      <c r="E537" s="31">
        <v>0</v>
      </c>
      <c r="F537" s="31">
        <v>0</v>
      </c>
      <c r="G537" s="31">
        <v>0</v>
      </c>
      <c r="H537" s="32">
        <v>0</v>
      </c>
      <c r="I537">
        <v>0</v>
      </c>
      <c r="J537" s="33">
        <v>0</v>
      </c>
      <c r="K537" s="33">
        <v>0</v>
      </c>
      <c r="L537" s="33">
        <v>0</v>
      </c>
      <c r="M537">
        <v>0</v>
      </c>
      <c r="N537">
        <v>0</v>
      </c>
      <c r="O537">
        <v>0</v>
      </c>
      <c r="P537" t="s">
        <v>54</v>
      </c>
      <c r="Q537" t="s">
        <v>54</v>
      </c>
      <c r="R537" t="s">
        <v>54</v>
      </c>
      <c r="S537" t="s">
        <v>54</v>
      </c>
      <c r="T537" t="s">
        <v>54</v>
      </c>
      <c r="U537" t="s">
        <v>54</v>
      </c>
      <c r="V537" t="s">
        <v>54</v>
      </c>
      <c r="W537" t="s">
        <v>54</v>
      </c>
      <c r="X537" s="23" t="s">
        <v>54</v>
      </c>
      <c r="Y537" s="23" t="s">
        <v>54</v>
      </c>
      <c r="Z537" s="23" t="s">
        <v>54</v>
      </c>
      <c r="AA537" s="23" t="s">
        <v>54</v>
      </c>
      <c r="AB537" t="s">
        <v>54</v>
      </c>
      <c r="AC537" t="s">
        <v>54</v>
      </c>
      <c r="AD537" t="s">
        <v>54</v>
      </c>
      <c r="AE537" t="s">
        <v>54</v>
      </c>
      <c r="AF537" s="23" t="s">
        <v>54</v>
      </c>
      <c r="AG537" s="23" t="s">
        <v>54</v>
      </c>
      <c r="AH537" s="23" t="s">
        <v>54</v>
      </c>
      <c r="AI537" s="23" t="s">
        <v>54</v>
      </c>
      <c r="AJ537">
        <v>0</v>
      </c>
      <c r="AK537">
        <v>0</v>
      </c>
      <c r="AL537">
        <v>0</v>
      </c>
      <c r="AM537">
        <v>0</v>
      </c>
      <c r="AN537" s="23" t="s">
        <v>54</v>
      </c>
      <c r="AO537" s="23" t="s">
        <v>54</v>
      </c>
      <c r="AP537" s="23" t="s">
        <v>54</v>
      </c>
      <c r="AQ537" s="23" t="s">
        <v>54</v>
      </c>
      <c r="AR537" s="35">
        <v>0</v>
      </c>
      <c r="AS537" s="35">
        <v>0</v>
      </c>
      <c r="AT537" s="35">
        <v>0</v>
      </c>
      <c r="AU537" s="31" t="str">
        <f t="shared" si="11"/>
        <v>库存为0</v>
      </c>
      <c r="AV537" s="36" t="str">
        <f>IFERROR($A$2+AU537,"上周无销量")</f>
        <v>上周无销量</v>
      </c>
    </row>
    <row r="538" spans="1:48">
      <c r="A538" s="21" t="s">
        <v>1160</v>
      </c>
      <c r="B538" t="s">
        <v>1161</v>
      </c>
      <c r="C538" t="s">
        <v>1157</v>
      </c>
      <c r="D538" s="31">
        <v>0</v>
      </c>
      <c r="E538" s="31">
        <v>0</v>
      </c>
      <c r="F538" s="31">
        <v>0</v>
      </c>
      <c r="G538" s="31">
        <v>0</v>
      </c>
      <c r="H538" s="32">
        <v>0</v>
      </c>
      <c r="I538">
        <v>0</v>
      </c>
      <c r="J538" s="33">
        <v>0</v>
      </c>
      <c r="K538" s="33">
        <v>0</v>
      </c>
      <c r="L538" s="33">
        <v>0</v>
      </c>
      <c r="M538">
        <v>0</v>
      </c>
      <c r="N538">
        <v>0</v>
      </c>
      <c r="O538">
        <v>0</v>
      </c>
      <c r="P538" t="s">
        <v>54</v>
      </c>
      <c r="Q538" t="s">
        <v>54</v>
      </c>
      <c r="R538" t="s">
        <v>54</v>
      </c>
      <c r="S538" t="s">
        <v>54</v>
      </c>
      <c r="T538" t="s">
        <v>54</v>
      </c>
      <c r="U538" t="s">
        <v>54</v>
      </c>
      <c r="V538" t="s">
        <v>54</v>
      </c>
      <c r="W538" t="s">
        <v>54</v>
      </c>
      <c r="X538" s="23" t="s">
        <v>54</v>
      </c>
      <c r="Y538" s="23" t="s">
        <v>54</v>
      </c>
      <c r="Z538" s="23" t="s">
        <v>54</v>
      </c>
      <c r="AA538" s="23" t="s">
        <v>54</v>
      </c>
      <c r="AB538" t="s">
        <v>54</v>
      </c>
      <c r="AC538" t="s">
        <v>54</v>
      </c>
      <c r="AD538" t="s">
        <v>54</v>
      </c>
      <c r="AE538" t="s">
        <v>54</v>
      </c>
      <c r="AF538" s="23" t="s">
        <v>54</v>
      </c>
      <c r="AG538" s="23" t="s">
        <v>54</v>
      </c>
      <c r="AH538" s="23" t="s">
        <v>54</v>
      </c>
      <c r="AI538" s="23" t="s">
        <v>54</v>
      </c>
      <c r="AJ538">
        <v>0</v>
      </c>
      <c r="AK538">
        <v>0</v>
      </c>
      <c r="AL538">
        <v>0</v>
      </c>
      <c r="AM538">
        <v>0</v>
      </c>
      <c r="AN538" s="23" t="s">
        <v>54</v>
      </c>
      <c r="AO538" s="23" t="s">
        <v>54</v>
      </c>
      <c r="AP538" s="23" t="s">
        <v>54</v>
      </c>
      <c r="AQ538" s="23" t="s">
        <v>54</v>
      </c>
      <c r="AR538" s="35">
        <v>0</v>
      </c>
      <c r="AS538" s="35">
        <v>0</v>
      </c>
      <c r="AT538" s="35">
        <v>0</v>
      </c>
      <c r="AU538" s="31" t="str">
        <f t="shared" si="11"/>
        <v>库存为0</v>
      </c>
      <c r="AV538" s="36" t="str">
        <f>IFERROR($A$2+AU538,"上周无销量")</f>
        <v>上周无销量</v>
      </c>
    </row>
    <row r="539" spans="1:48">
      <c r="A539" s="21" t="s">
        <v>1162</v>
      </c>
      <c r="B539" t="s">
        <v>1163</v>
      </c>
      <c r="C539" t="s">
        <v>1157</v>
      </c>
      <c r="D539" s="31">
        <v>0</v>
      </c>
      <c r="E539" s="31">
        <v>0</v>
      </c>
      <c r="F539" s="31">
        <v>3</v>
      </c>
      <c r="G539" s="31">
        <v>3</v>
      </c>
      <c r="H539" s="32">
        <v>10</v>
      </c>
      <c r="I539">
        <v>0</v>
      </c>
      <c r="J539" s="33">
        <v>0</v>
      </c>
      <c r="K539" s="33">
        <v>0</v>
      </c>
      <c r="L539" s="33">
        <v>0</v>
      </c>
      <c r="M539">
        <v>0</v>
      </c>
      <c r="N539">
        <v>0</v>
      </c>
      <c r="O539">
        <v>0</v>
      </c>
      <c r="P539" t="s">
        <v>54</v>
      </c>
      <c r="Q539" t="s">
        <v>54</v>
      </c>
      <c r="R539" t="s">
        <v>54</v>
      </c>
      <c r="S539" t="s">
        <v>54</v>
      </c>
      <c r="T539" t="s">
        <v>54</v>
      </c>
      <c r="U539" t="s">
        <v>54</v>
      </c>
      <c r="V539" t="s">
        <v>54</v>
      </c>
      <c r="W539" t="s">
        <v>54</v>
      </c>
      <c r="X539" s="23" t="s">
        <v>54</v>
      </c>
      <c r="Y539" s="23" t="s">
        <v>54</v>
      </c>
      <c r="Z539" s="23" t="s">
        <v>54</v>
      </c>
      <c r="AA539" s="23" t="s">
        <v>54</v>
      </c>
      <c r="AB539" t="s">
        <v>54</v>
      </c>
      <c r="AC539" t="s">
        <v>54</v>
      </c>
      <c r="AD539" t="s">
        <v>54</v>
      </c>
      <c r="AE539" t="s">
        <v>54</v>
      </c>
      <c r="AF539" s="23" t="s">
        <v>54</v>
      </c>
      <c r="AG539" s="23" t="s">
        <v>54</v>
      </c>
      <c r="AH539" s="23" t="s">
        <v>54</v>
      </c>
      <c r="AI539" s="23" t="s">
        <v>54</v>
      </c>
      <c r="AJ539">
        <v>0</v>
      </c>
      <c r="AK539">
        <v>0</v>
      </c>
      <c r="AL539">
        <v>5</v>
      </c>
      <c r="AM539">
        <v>8</v>
      </c>
      <c r="AN539" s="23" t="s">
        <v>54</v>
      </c>
      <c r="AO539" s="23" t="s">
        <v>54</v>
      </c>
      <c r="AP539" s="23">
        <v>0.6</v>
      </c>
      <c r="AQ539" s="23">
        <v>0.375</v>
      </c>
      <c r="AR539" s="35">
        <v>0</v>
      </c>
      <c r="AS539" s="35">
        <v>0</v>
      </c>
      <c r="AT539" s="35">
        <v>0</v>
      </c>
      <c r="AU539" s="31" t="str">
        <f t="shared" si="11"/>
        <v>库存为0</v>
      </c>
      <c r="AV539" s="36" t="str">
        <f>IFERROR($A$2+AU539,"上周无销量")</f>
        <v>上周无销量</v>
      </c>
    </row>
    <row r="540" spans="1:48">
      <c r="A540" s="21" t="s">
        <v>1164</v>
      </c>
      <c r="B540" t="s">
        <v>1165</v>
      </c>
      <c r="C540" t="s">
        <v>1157</v>
      </c>
      <c r="D540" s="31">
        <v>1</v>
      </c>
      <c r="E540" s="31">
        <v>1</v>
      </c>
      <c r="F540" s="31">
        <v>0</v>
      </c>
      <c r="G540" s="31">
        <v>1</v>
      </c>
      <c r="H540" s="32">
        <v>10</v>
      </c>
      <c r="I540">
        <v>0</v>
      </c>
      <c r="J540" s="33">
        <v>0</v>
      </c>
      <c r="K540" s="33">
        <v>0</v>
      </c>
      <c r="L540" s="33">
        <v>0</v>
      </c>
      <c r="M540">
        <v>0</v>
      </c>
      <c r="N540">
        <v>0</v>
      </c>
      <c r="O540">
        <v>0</v>
      </c>
      <c r="P540" t="s">
        <v>54</v>
      </c>
      <c r="Q540" t="s">
        <v>54</v>
      </c>
      <c r="R540" t="s">
        <v>54</v>
      </c>
      <c r="S540" t="s">
        <v>54</v>
      </c>
      <c r="T540" t="s">
        <v>54</v>
      </c>
      <c r="U540" t="s">
        <v>54</v>
      </c>
      <c r="V540" t="s">
        <v>54</v>
      </c>
      <c r="W540" t="s">
        <v>54</v>
      </c>
      <c r="X540" s="23" t="s">
        <v>54</v>
      </c>
      <c r="Y540" s="23" t="s">
        <v>54</v>
      </c>
      <c r="Z540" s="23" t="s">
        <v>54</v>
      </c>
      <c r="AA540" s="23" t="s">
        <v>54</v>
      </c>
      <c r="AB540" t="s">
        <v>54</v>
      </c>
      <c r="AC540" t="s">
        <v>54</v>
      </c>
      <c r="AD540" t="s">
        <v>54</v>
      </c>
      <c r="AE540" t="s">
        <v>54</v>
      </c>
      <c r="AF540" s="23" t="s">
        <v>54</v>
      </c>
      <c r="AG540" s="23" t="s">
        <v>54</v>
      </c>
      <c r="AH540" s="23" t="s">
        <v>54</v>
      </c>
      <c r="AI540" s="23" t="s">
        <v>54</v>
      </c>
      <c r="AJ540">
        <v>0</v>
      </c>
      <c r="AK540">
        <v>6</v>
      </c>
      <c r="AL540">
        <v>4</v>
      </c>
      <c r="AM540">
        <v>4</v>
      </c>
      <c r="AN540" s="23" t="s">
        <v>54</v>
      </c>
      <c r="AO540" s="23">
        <v>0.166666666666667</v>
      </c>
      <c r="AP540" s="23">
        <v>0</v>
      </c>
      <c r="AQ540" s="23">
        <v>0.25</v>
      </c>
      <c r="AR540" s="35">
        <v>0.142857142857143</v>
      </c>
      <c r="AS540" s="35">
        <v>8.57142857142857</v>
      </c>
      <c r="AT540" s="35">
        <v>-8.57142857142857</v>
      </c>
      <c r="AU540" s="31">
        <f t="shared" si="11"/>
        <v>0</v>
      </c>
      <c r="AV540" s="36">
        <f>IFERROR($A$2+AU540,"上周无销量")</f>
        <v>43290</v>
      </c>
    </row>
    <row r="541" spans="1:48">
      <c r="A541" s="21" t="s">
        <v>1166</v>
      </c>
      <c r="B541" t="s">
        <v>1167</v>
      </c>
      <c r="C541" t="s">
        <v>1157</v>
      </c>
      <c r="D541" s="31">
        <v>1</v>
      </c>
      <c r="E541" s="31">
        <v>0</v>
      </c>
      <c r="F541" s="31">
        <v>0</v>
      </c>
      <c r="G541" s="31">
        <v>1</v>
      </c>
      <c r="H541" s="32">
        <v>9.05</v>
      </c>
      <c r="I541">
        <v>6</v>
      </c>
      <c r="J541" s="33">
        <v>0</v>
      </c>
      <c r="K541" s="33">
        <v>0</v>
      </c>
      <c r="L541" s="33">
        <v>0</v>
      </c>
      <c r="M541">
        <v>6</v>
      </c>
      <c r="N541">
        <v>0</v>
      </c>
      <c r="O541">
        <v>7</v>
      </c>
      <c r="P541" t="s">
        <v>54</v>
      </c>
      <c r="Q541" t="s">
        <v>54</v>
      </c>
      <c r="R541" t="s">
        <v>54</v>
      </c>
      <c r="S541" t="s">
        <v>54</v>
      </c>
      <c r="T541" t="s">
        <v>54</v>
      </c>
      <c r="U541" t="s">
        <v>54</v>
      </c>
      <c r="V541" t="s">
        <v>54</v>
      </c>
      <c r="W541" t="s">
        <v>54</v>
      </c>
      <c r="X541" s="23" t="s">
        <v>54</v>
      </c>
      <c r="Y541" s="23" t="s">
        <v>54</v>
      </c>
      <c r="Z541" s="23" t="s">
        <v>54</v>
      </c>
      <c r="AA541" s="23" t="s">
        <v>54</v>
      </c>
      <c r="AB541" t="s">
        <v>54</v>
      </c>
      <c r="AC541" t="s">
        <v>54</v>
      </c>
      <c r="AD541" t="s">
        <v>54</v>
      </c>
      <c r="AE541" t="s">
        <v>54</v>
      </c>
      <c r="AF541" s="23" t="s">
        <v>54</v>
      </c>
      <c r="AG541" s="23" t="s">
        <v>54</v>
      </c>
      <c r="AH541" s="23" t="s">
        <v>54</v>
      </c>
      <c r="AI541" s="23" t="s">
        <v>54</v>
      </c>
      <c r="AJ541">
        <v>5</v>
      </c>
      <c r="AK541">
        <v>4</v>
      </c>
      <c r="AL541">
        <v>3</v>
      </c>
      <c r="AM541">
        <v>6</v>
      </c>
      <c r="AN541" s="23">
        <v>0.2</v>
      </c>
      <c r="AO541" s="23">
        <v>0</v>
      </c>
      <c r="AP541" s="23">
        <v>0</v>
      </c>
      <c r="AQ541" s="23">
        <v>0.166666666666667</v>
      </c>
      <c r="AR541" s="35">
        <v>0.142857142857143</v>
      </c>
      <c r="AS541" s="35">
        <v>8.57142857142857</v>
      </c>
      <c r="AT541" s="35">
        <v>-2.57142857142857</v>
      </c>
      <c r="AU541" s="31">
        <f t="shared" si="11"/>
        <v>42</v>
      </c>
      <c r="AV541" s="36">
        <f>IFERROR($A$2+AU541,"上周无销量")</f>
        <v>43332</v>
      </c>
    </row>
    <row r="542" spans="1:48">
      <c r="A542" s="21" t="s">
        <v>1168</v>
      </c>
      <c r="B542" t="s">
        <v>1169</v>
      </c>
      <c r="C542" t="s">
        <v>1157</v>
      </c>
      <c r="D542" s="31">
        <v>1</v>
      </c>
      <c r="E542" s="31">
        <v>0</v>
      </c>
      <c r="F542" s="31">
        <v>0</v>
      </c>
      <c r="G542" s="31">
        <v>1</v>
      </c>
      <c r="H542" s="32">
        <v>10</v>
      </c>
      <c r="I542">
        <v>0</v>
      </c>
      <c r="J542" s="33">
        <v>0</v>
      </c>
      <c r="K542" s="33">
        <v>0</v>
      </c>
      <c r="L542" s="33">
        <v>0</v>
      </c>
      <c r="M542">
        <v>0</v>
      </c>
      <c r="N542">
        <v>0</v>
      </c>
      <c r="O542">
        <v>0</v>
      </c>
      <c r="P542">
        <v>0</v>
      </c>
      <c r="Q542">
        <v>0</v>
      </c>
      <c r="R542">
        <v>0</v>
      </c>
      <c r="S542">
        <v>394</v>
      </c>
      <c r="T542">
        <v>0</v>
      </c>
      <c r="U542">
        <v>0</v>
      </c>
      <c r="V542">
        <v>0</v>
      </c>
      <c r="W542">
        <v>7</v>
      </c>
      <c r="X542" s="23" t="s">
        <v>54</v>
      </c>
      <c r="Y542" s="23" t="s">
        <v>54</v>
      </c>
      <c r="Z542" s="23" t="s">
        <v>54</v>
      </c>
      <c r="AA542" s="23">
        <v>0.0177664974619289</v>
      </c>
      <c r="AB542">
        <v>0</v>
      </c>
      <c r="AC542">
        <v>0</v>
      </c>
      <c r="AD542">
        <v>0</v>
      </c>
      <c r="AE542">
        <v>4.58</v>
      </c>
      <c r="AF542" s="23" t="s">
        <v>54</v>
      </c>
      <c r="AG542" s="23" t="s">
        <v>54</v>
      </c>
      <c r="AH542" s="23" t="s">
        <v>54</v>
      </c>
      <c r="AI542" s="23">
        <v>0.458</v>
      </c>
      <c r="AJ542">
        <v>3</v>
      </c>
      <c r="AK542">
        <v>0</v>
      </c>
      <c r="AL542">
        <v>0</v>
      </c>
      <c r="AM542">
        <v>4</v>
      </c>
      <c r="AN542" s="23">
        <v>0.333333333333333</v>
      </c>
      <c r="AO542" s="23" t="s">
        <v>54</v>
      </c>
      <c r="AP542" s="23" t="s">
        <v>54</v>
      </c>
      <c r="AQ542" s="23">
        <v>0.25</v>
      </c>
      <c r="AR542" s="35">
        <v>0.142857142857143</v>
      </c>
      <c r="AS542" s="35">
        <v>8.57142857142857</v>
      </c>
      <c r="AT542" s="35">
        <v>-8.57142857142857</v>
      </c>
      <c r="AU542" s="31">
        <f t="shared" si="11"/>
        <v>0</v>
      </c>
      <c r="AV542" s="36">
        <f>IFERROR($A$2+AU542,"上周无销量")</f>
        <v>43290</v>
      </c>
    </row>
    <row r="543" spans="1:48">
      <c r="A543" s="21" t="s">
        <v>1170</v>
      </c>
      <c r="B543" t="s">
        <v>1171</v>
      </c>
      <c r="C543" t="s">
        <v>1157</v>
      </c>
      <c r="D543" s="31">
        <v>0</v>
      </c>
      <c r="E543" s="31">
        <v>0</v>
      </c>
      <c r="F543" s="31">
        <v>0</v>
      </c>
      <c r="G543" s="31">
        <v>0</v>
      </c>
      <c r="H543" s="32">
        <v>0</v>
      </c>
      <c r="I543">
        <v>0</v>
      </c>
      <c r="J543" s="33">
        <v>0</v>
      </c>
      <c r="K543" s="33">
        <v>0</v>
      </c>
      <c r="L543" s="33">
        <v>0</v>
      </c>
      <c r="M543">
        <v>0</v>
      </c>
      <c r="N543">
        <v>0</v>
      </c>
      <c r="O543">
        <v>0</v>
      </c>
      <c r="P543" t="s">
        <v>54</v>
      </c>
      <c r="Q543" t="s">
        <v>54</v>
      </c>
      <c r="R543" t="s">
        <v>54</v>
      </c>
      <c r="S543" t="s">
        <v>54</v>
      </c>
      <c r="T543" t="s">
        <v>54</v>
      </c>
      <c r="U543" t="s">
        <v>54</v>
      </c>
      <c r="V543" t="s">
        <v>54</v>
      </c>
      <c r="W543" t="s">
        <v>54</v>
      </c>
      <c r="X543" s="23" t="s">
        <v>54</v>
      </c>
      <c r="Y543" s="23" t="s">
        <v>54</v>
      </c>
      <c r="Z543" s="23" t="s">
        <v>54</v>
      </c>
      <c r="AA543" s="23" t="s">
        <v>54</v>
      </c>
      <c r="AB543" t="s">
        <v>54</v>
      </c>
      <c r="AC543" t="s">
        <v>54</v>
      </c>
      <c r="AD543" t="s">
        <v>54</v>
      </c>
      <c r="AE543" t="s">
        <v>54</v>
      </c>
      <c r="AF543" s="23" t="s">
        <v>54</v>
      </c>
      <c r="AG543" s="23" t="s">
        <v>54</v>
      </c>
      <c r="AH543" s="23" t="s">
        <v>54</v>
      </c>
      <c r="AI543" s="23" t="s">
        <v>54</v>
      </c>
      <c r="AJ543">
        <v>0</v>
      </c>
      <c r="AK543">
        <v>0</v>
      </c>
      <c r="AL543">
        <v>0</v>
      </c>
      <c r="AM543">
        <v>0</v>
      </c>
      <c r="AN543" s="23" t="s">
        <v>54</v>
      </c>
      <c r="AO543" s="23" t="s">
        <v>54</v>
      </c>
      <c r="AP543" s="23" t="s">
        <v>54</v>
      </c>
      <c r="AQ543" s="23" t="s">
        <v>54</v>
      </c>
      <c r="AR543" s="35">
        <v>0</v>
      </c>
      <c r="AS543" s="35">
        <v>0</v>
      </c>
      <c r="AT543" s="35">
        <v>0</v>
      </c>
      <c r="AU543" s="31" t="str">
        <f t="shared" si="11"/>
        <v>库存为0</v>
      </c>
      <c r="AV543" s="36" t="str">
        <f>IFERROR($A$2+AU543,"上周无销量")</f>
        <v>上周无销量</v>
      </c>
    </row>
    <row r="544" spans="1:48">
      <c r="A544" s="21" t="s">
        <v>1172</v>
      </c>
      <c r="B544" t="s">
        <v>1173</v>
      </c>
      <c r="C544" t="s">
        <v>1157</v>
      </c>
      <c r="D544" s="31">
        <v>0</v>
      </c>
      <c r="E544" s="31">
        <v>0</v>
      </c>
      <c r="F544" s="31">
        <v>0</v>
      </c>
      <c r="G544" s="31">
        <v>0</v>
      </c>
      <c r="H544" s="32">
        <v>0</v>
      </c>
      <c r="I544">
        <v>0</v>
      </c>
      <c r="J544" s="33">
        <v>0</v>
      </c>
      <c r="K544" s="33">
        <v>0</v>
      </c>
      <c r="L544" s="33">
        <v>0</v>
      </c>
      <c r="M544">
        <v>0</v>
      </c>
      <c r="N544">
        <v>0</v>
      </c>
      <c r="O544">
        <v>0</v>
      </c>
      <c r="P544" t="s">
        <v>54</v>
      </c>
      <c r="Q544" t="s">
        <v>54</v>
      </c>
      <c r="R544" t="s">
        <v>54</v>
      </c>
      <c r="S544" t="s">
        <v>54</v>
      </c>
      <c r="T544" t="s">
        <v>54</v>
      </c>
      <c r="U544" t="s">
        <v>54</v>
      </c>
      <c r="V544" t="s">
        <v>54</v>
      </c>
      <c r="W544" t="s">
        <v>54</v>
      </c>
      <c r="X544" s="23" t="s">
        <v>54</v>
      </c>
      <c r="Y544" s="23" t="s">
        <v>54</v>
      </c>
      <c r="Z544" s="23" t="s">
        <v>54</v>
      </c>
      <c r="AA544" s="23" t="s">
        <v>54</v>
      </c>
      <c r="AB544" t="s">
        <v>54</v>
      </c>
      <c r="AC544" t="s">
        <v>54</v>
      </c>
      <c r="AD544" t="s">
        <v>54</v>
      </c>
      <c r="AE544" t="s">
        <v>54</v>
      </c>
      <c r="AF544" s="23" t="s">
        <v>54</v>
      </c>
      <c r="AG544" s="23" t="s">
        <v>54</v>
      </c>
      <c r="AH544" s="23" t="s">
        <v>54</v>
      </c>
      <c r="AI544" s="23" t="s">
        <v>54</v>
      </c>
      <c r="AJ544">
        <v>0</v>
      </c>
      <c r="AK544">
        <v>0</v>
      </c>
      <c r="AL544">
        <v>0</v>
      </c>
      <c r="AM544">
        <v>0</v>
      </c>
      <c r="AN544" s="23" t="s">
        <v>54</v>
      </c>
      <c r="AO544" s="23" t="s">
        <v>54</v>
      </c>
      <c r="AP544" s="23" t="s">
        <v>54</v>
      </c>
      <c r="AQ544" s="23" t="s">
        <v>54</v>
      </c>
      <c r="AR544" s="35">
        <v>0</v>
      </c>
      <c r="AS544" s="35">
        <v>0</v>
      </c>
      <c r="AT544" s="35">
        <v>0</v>
      </c>
      <c r="AU544" s="31" t="str">
        <f t="shared" si="11"/>
        <v>库存为0</v>
      </c>
      <c r="AV544" s="36" t="str">
        <f>IFERROR($A$2+AU544,"上周无销量")</f>
        <v>上周无销量</v>
      </c>
    </row>
    <row r="545" spans="1:48">
      <c r="A545" s="21" t="s">
        <v>1174</v>
      </c>
      <c r="B545" t="s">
        <v>1175</v>
      </c>
      <c r="C545" t="s">
        <v>1157</v>
      </c>
      <c r="D545" s="31">
        <v>1</v>
      </c>
      <c r="E545" s="31">
        <v>0</v>
      </c>
      <c r="F545" s="31">
        <v>0</v>
      </c>
      <c r="G545" s="31">
        <v>0</v>
      </c>
      <c r="H545" s="32">
        <v>9</v>
      </c>
      <c r="I545">
        <v>10</v>
      </c>
      <c r="J545" s="33">
        <v>0</v>
      </c>
      <c r="K545" s="33">
        <v>0</v>
      </c>
      <c r="L545" s="33">
        <v>0</v>
      </c>
      <c r="M545">
        <v>10</v>
      </c>
      <c r="N545">
        <v>0</v>
      </c>
      <c r="O545">
        <v>10</v>
      </c>
      <c r="P545" t="s">
        <v>54</v>
      </c>
      <c r="Q545" t="s">
        <v>54</v>
      </c>
      <c r="R545" t="s">
        <v>54</v>
      </c>
      <c r="S545" t="s">
        <v>54</v>
      </c>
      <c r="T545" t="s">
        <v>54</v>
      </c>
      <c r="U545" t="s">
        <v>54</v>
      </c>
      <c r="V545" t="s">
        <v>54</v>
      </c>
      <c r="W545" t="s">
        <v>54</v>
      </c>
      <c r="X545" s="23" t="s">
        <v>54</v>
      </c>
      <c r="Y545" s="23" t="s">
        <v>54</v>
      </c>
      <c r="Z545" s="23" t="s">
        <v>54</v>
      </c>
      <c r="AA545" s="23" t="s">
        <v>54</v>
      </c>
      <c r="AB545" t="s">
        <v>54</v>
      </c>
      <c r="AC545" t="s">
        <v>54</v>
      </c>
      <c r="AD545" t="s">
        <v>54</v>
      </c>
      <c r="AE545" t="s">
        <v>54</v>
      </c>
      <c r="AF545" s="23" t="s">
        <v>54</v>
      </c>
      <c r="AG545" s="23" t="s">
        <v>54</v>
      </c>
      <c r="AH545" s="23" t="s">
        <v>54</v>
      </c>
      <c r="AI545" s="23" t="s">
        <v>54</v>
      </c>
      <c r="AJ545">
        <v>8</v>
      </c>
      <c r="AK545">
        <v>6</v>
      </c>
      <c r="AL545">
        <v>2</v>
      </c>
      <c r="AM545">
        <v>2</v>
      </c>
      <c r="AN545" s="23">
        <v>0.125</v>
      </c>
      <c r="AO545" s="23">
        <v>0</v>
      </c>
      <c r="AP545" s="23">
        <v>0</v>
      </c>
      <c r="AQ545" s="23">
        <v>0</v>
      </c>
      <c r="AR545" s="35">
        <v>0.142857142857143</v>
      </c>
      <c r="AS545" s="35">
        <v>8.57142857142857</v>
      </c>
      <c r="AT545" s="35">
        <v>1.42857142857143</v>
      </c>
      <c r="AU545" s="31">
        <f t="shared" si="11"/>
        <v>70</v>
      </c>
      <c r="AV545" s="36">
        <f>IFERROR($A$2+AU545,"上周无销量")</f>
        <v>43360</v>
      </c>
    </row>
    <row r="546" spans="1:48">
      <c r="A546" s="21" t="s">
        <v>1176</v>
      </c>
      <c r="B546" t="s">
        <v>1177</v>
      </c>
      <c r="C546" t="s">
        <v>1157</v>
      </c>
      <c r="D546" s="31">
        <v>0</v>
      </c>
      <c r="E546" s="31">
        <v>0</v>
      </c>
      <c r="F546" s="31">
        <v>0</v>
      </c>
      <c r="G546" s="31">
        <v>0</v>
      </c>
      <c r="H546" s="32">
        <v>0</v>
      </c>
      <c r="I546">
        <v>0</v>
      </c>
      <c r="J546" s="33">
        <v>0</v>
      </c>
      <c r="K546" s="33">
        <v>0</v>
      </c>
      <c r="L546" s="33">
        <v>0</v>
      </c>
      <c r="M546">
        <v>0</v>
      </c>
      <c r="N546">
        <v>0</v>
      </c>
      <c r="O546">
        <v>0</v>
      </c>
      <c r="P546" t="s">
        <v>54</v>
      </c>
      <c r="Q546" t="s">
        <v>54</v>
      </c>
      <c r="R546" t="s">
        <v>54</v>
      </c>
      <c r="S546" t="s">
        <v>54</v>
      </c>
      <c r="T546" t="s">
        <v>54</v>
      </c>
      <c r="U546" t="s">
        <v>54</v>
      </c>
      <c r="V546" t="s">
        <v>54</v>
      </c>
      <c r="W546" t="s">
        <v>54</v>
      </c>
      <c r="X546" s="23" t="s">
        <v>54</v>
      </c>
      <c r="Y546" s="23" t="s">
        <v>54</v>
      </c>
      <c r="Z546" s="23" t="s">
        <v>54</v>
      </c>
      <c r="AA546" s="23" t="s">
        <v>54</v>
      </c>
      <c r="AB546" t="s">
        <v>54</v>
      </c>
      <c r="AC546" t="s">
        <v>54</v>
      </c>
      <c r="AD546" t="s">
        <v>54</v>
      </c>
      <c r="AE546" t="s">
        <v>54</v>
      </c>
      <c r="AF546" s="23" t="s">
        <v>54</v>
      </c>
      <c r="AG546" s="23" t="s">
        <v>54</v>
      </c>
      <c r="AH546" s="23" t="s">
        <v>54</v>
      </c>
      <c r="AI546" s="23" t="s">
        <v>54</v>
      </c>
      <c r="AJ546">
        <v>0</v>
      </c>
      <c r="AK546">
        <v>0</v>
      </c>
      <c r="AL546">
        <v>0</v>
      </c>
      <c r="AM546">
        <v>0</v>
      </c>
      <c r="AN546" s="23" t="s">
        <v>54</v>
      </c>
      <c r="AO546" s="23" t="s">
        <v>54</v>
      </c>
      <c r="AP546" s="23" t="s">
        <v>54</v>
      </c>
      <c r="AQ546" s="23" t="s">
        <v>54</v>
      </c>
      <c r="AR546" s="35">
        <v>0</v>
      </c>
      <c r="AS546" s="35">
        <v>0</v>
      </c>
      <c r="AT546" s="35">
        <v>0</v>
      </c>
      <c r="AU546" s="31" t="str">
        <f t="shared" si="11"/>
        <v>库存为0</v>
      </c>
      <c r="AV546" s="36" t="str">
        <f>IFERROR($A$2+AU546,"上周无销量")</f>
        <v>上周无销量</v>
      </c>
    </row>
    <row r="547" spans="1:48">
      <c r="A547" s="21" t="s">
        <v>1178</v>
      </c>
      <c r="B547" t="s">
        <v>1179</v>
      </c>
      <c r="C547" t="s">
        <v>1157</v>
      </c>
      <c r="D547" s="31">
        <v>0</v>
      </c>
      <c r="E547" s="31">
        <v>0</v>
      </c>
      <c r="F547" s="31">
        <v>0</v>
      </c>
      <c r="G547" s="31">
        <v>0</v>
      </c>
      <c r="H547" s="32">
        <v>0</v>
      </c>
      <c r="I547">
        <v>0</v>
      </c>
      <c r="J547" s="33">
        <v>0</v>
      </c>
      <c r="K547" s="33">
        <v>0</v>
      </c>
      <c r="L547" s="33">
        <v>0</v>
      </c>
      <c r="M547">
        <v>0</v>
      </c>
      <c r="N547">
        <v>0</v>
      </c>
      <c r="O547">
        <v>0</v>
      </c>
      <c r="P547" t="s">
        <v>54</v>
      </c>
      <c r="Q547" t="s">
        <v>54</v>
      </c>
      <c r="R547" t="s">
        <v>54</v>
      </c>
      <c r="S547" t="s">
        <v>54</v>
      </c>
      <c r="T547" t="s">
        <v>54</v>
      </c>
      <c r="U547" t="s">
        <v>54</v>
      </c>
      <c r="V547" t="s">
        <v>54</v>
      </c>
      <c r="W547" t="s">
        <v>54</v>
      </c>
      <c r="X547" s="23" t="s">
        <v>54</v>
      </c>
      <c r="Y547" s="23" t="s">
        <v>54</v>
      </c>
      <c r="Z547" s="23" t="s">
        <v>54</v>
      </c>
      <c r="AA547" s="23" t="s">
        <v>54</v>
      </c>
      <c r="AB547" t="s">
        <v>54</v>
      </c>
      <c r="AC547" t="s">
        <v>54</v>
      </c>
      <c r="AD547" t="s">
        <v>54</v>
      </c>
      <c r="AE547" t="s">
        <v>54</v>
      </c>
      <c r="AF547" s="23" t="s">
        <v>54</v>
      </c>
      <c r="AG547" s="23" t="s">
        <v>54</v>
      </c>
      <c r="AH547" s="23" t="s">
        <v>54</v>
      </c>
      <c r="AI547" s="23" t="s">
        <v>54</v>
      </c>
      <c r="AJ547">
        <v>0</v>
      </c>
      <c r="AK547">
        <v>0</v>
      </c>
      <c r="AL547">
        <v>0</v>
      </c>
      <c r="AM547">
        <v>0</v>
      </c>
      <c r="AN547" s="23" t="s">
        <v>54</v>
      </c>
      <c r="AO547" s="23" t="s">
        <v>54</v>
      </c>
      <c r="AP547" s="23" t="s">
        <v>54</v>
      </c>
      <c r="AQ547" s="23" t="s">
        <v>54</v>
      </c>
      <c r="AR547" s="35">
        <v>0</v>
      </c>
      <c r="AS547" s="35">
        <v>0</v>
      </c>
      <c r="AT547" s="35">
        <v>0</v>
      </c>
      <c r="AU547" s="31" t="str">
        <f t="shared" si="11"/>
        <v>库存为0</v>
      </c>
      <c r="AV547" s="36" t="str">
        <f>IFERROR($A$2+AU547,"上周无销量")</f>
        <v>上周无销量</v>
      </c>
    </row>
    <row r="548" spans="1:48">
      <c r="A548" s="21" t="s">
        <v>1180</v>
      </c>
      <c r="B548" t="s">
        <v>1181</v>
      </c>
      <c r="C548" t="s">
        <v>1157</v>
      </c>
      <c r="D548" s="31">
        <v>0</v>
      </c>
      <c r="E548" s="31">
        <v>0</v>
      </c>
      <c r="F548" s="31">
        <v>0</v>
      </c>
      <c r="G548" s="31">
        <v>0</v>
      </c>
      <c r="H548" s="32">
        <v>0</v>
      </c>
      <c r="I548">
        <v>0</v>
      </c>
      <c r="J548" s="33">
        <v>0</v>
      </c>
      <c r="K548" s="33">
        <v>0</v>
      </c>
      <c r="L548" s="33">
        <v>0</v>
      </c>
      <c r="M548">
        <v>0</v>
      </c>
      <c r="N548">
        <v>0</v>
      </c>
      <c r="O548">
        <v>0</v>
      </c>
      <c r="P548" t="s">
        <v>54</v>
      </c>
      <c r="Q548" t="s">
        <v>54</v>
      </c>
      <c r="R548" t="s">
        <v>54</v>
      </c>
      <c r="S548" t="s">
        <v>54</v>
      </c>
      <c r="T548" t="s">
        <v>54</v>
      </c>
      <c r="U548" t="s">
        <v>54</v>
      </c>
      <c r="V548" t="s">
        <v>54</v>
      </c>
      <c r="W548" t="s">
        <v>54</v>
      </c>
      <c r="X548" s="23" t="s">
        <v>54</v>
      </c>
      <c r="Y548" s="23" t="s">
        <v>54</v>
      </c>
      <c r="Z548" s="23" t="s">
        <v>54</v>
      </c>
      <c r="AA548" s="23" t="s">
        <v>54</v>
      </c>
      <c r="AB548" t="s">
        <v>54</v>
      </c>
      <c r="AC548" t="s">
        <v>54</v>
      </c>
      <c r="AD548" t="s">
        <v>54</v>
      </c>
      <c r="AE548" t="s">
        <v>54</v>
      </c>
      <c r="AF548" s="23" t="s">
        <v>54</v>
      </c>
      <c r="AG548" s="23" t="s">
        <v>54</v>
      </c>
      <c r="AH548" s="23" t="s">
        <v>54</v>
      </c>
      <c r="AI548" s="23" t="s">
        <v>54</v>
      </c>
      <c r="AJ548">
        <v>0</v>
      </c>
      <c r="AK548">
        <v>0</v>
      </c>
      <c r="AL548">
        <v>0</v>
      </c>
      <c r="AM548">
        <v>0</v>
      </c>
      <c r="AN548" s="23" t="s">
        <v>54</v>
      </c>
      <c r="AO548" s="23" t="s">
        <v>54</v>
      </c>
      <c r="AP548" s="23" t="s">
        <v>54</v>
      </c>
      <c r="AQ548" s="23" t="s">
        <v>54</v>
      </c>
      <c r="AR548" s="35">
        <v>0</v>
      </c>
      <c r="AS548" s="35">
        <v>0</v>
      </c>
      <c r="AT548" s="35">
        <v>0</v>
      </c>
      <c r="AU548" s="31" t="str">
        <f t="shared" si="11"/>
        <v>库存为0</v>
      </c>
      <c r="AV548" s="36" t="str">
        <f>IFERROR($A$2+AU548,"上周无销量")</f>
        <v>上周无销量</v>
      </c>
    </row>
    <row r="549" spans="1:48">
      <c r="A549" s="21" t="s">
        <v>1182</v>
      </c>
      <c r="B549" t="s">
        <v>1183</v>
      </c>
      <c r="C549" t="s">
        <v>1157</v>
      </c>
      <c r="D549" s="31">
        <v>0</v>
      </c>
      <c r="E549" s="31">
        <v>0</v>
      </c>
      <c r="F549" s="31">
        <v>0</v>
      </c>
      <c r="G549" s="31">
        <v>0</v>
      </c>
      <c r="H549" s="32">
        <v>0</v>
      </c>
      <c r="I549">
        <v>0</v>
      </c>
      <c r="J549" s="33">
        <v>0</v>
      </c>
      <c r="K549" s="33">
        <v>0</v>
      </c>
      <c r="L549" s="33">
        <v>0</v>
      </c>
      <c r="M549">
        <v>0</v>
      </c>
      <c r="N549">
        <v>0</v>
      </c>
      <c r="O549">
        <v>0</v>
      </c>
      <c r="P549" t="s">
        <v>54</v>
      </c>
      <c r="Q549" t="s">
        <v>54</v>
      </c>
      <c r="R549" t="s">
        <v>54</v>
      </c>
      <c r="S549" t="s">
        <v>54</v>
      </c>
      <c r="T549" t="s">
        <v>54</v>
      </c>
      <c r="U549" t="s">
        <v>54</v>
      </c>
      <c r="V549" t="s">
        <v>54</v>
      </c>
      <c r="W549" t="s">
        <v>54</v>
      </c>
      <c r="X549" s="23" t="s">
        <v>54</v>
      </c>
      <c r="Y549" s="23" t="s">
        <v>54</v>
      </c>
      <c r="Z549" s="23" t="s">
        <v>54</v>
      </c>
      <c r="AA549" s="23" t="s">
        <v>54</v>
      </c>
      <c r="AB549" t="s">
        <v>54</v>
      </c>
      <c r="AC549" t="s">
        <v>54</v>
      </c>
      <c r="AD549" t="s">
        <v>54</v>
      </c>
      <c r="AE549" t="s">
        <v>54</v>
      </c>
      <c r="AF549" s="23" t="s">
        <v>54</v>
      </c>
      <c r="AG549" s="23" t="s">
        <v>54</v>
      </c>
      <c r="AH549" s="23" t="s">
        <v>54</v>
      </c>
      <c r="AI549" s="23" t="s">
        <v>54</v>
      </c>
      <c r="AJ549">
        <v>0</v>
      </c>
      <c r="AK549">
        <v>0</v>
      </c>
      <c r="AL549">
        <v>0</v>
      </c>
      <c r="AM549">
        <v>0</v>
      </c>
      <c r="AN549" s="23" t="s">
        <v>54</v>
      </c>
      <c r="AO549" s="23" t="s">
        <v>54</v>
      </c>
      <c r="AP549" s="23" t="s">
        <v>54</v>
      </c>
      <c r="AQ549" s="23" t="s">
        <v>54</v>
      </c>
      <c r="AR549" s="35">
        <v>0</v>
      </c>
      <c r="AS549" s="35">
        <v>0</v>
      </c>
      <c r="AT549" s="35">
        <v>0</v>
      </c>
      <c r="AU549" s="31" t="str">
        <f t="shared" si="11"/>
        <v>库存为0</v>
      </c>
      <c r="AV549" s="36" t="str">
        <f>IFERROR($A$2+AU549,"上周无销量")</f>
        <v>上周无销量</v>
      </c>
    </row>
    <row r="550" spans="1:48">
      <c r="A550" s="21" t="s">
        <v>1184</v>
      </c>
      <c r="B550" t="s">
        <v>1185</v>
      </c>
      <c r="C550" t="s">
        <v>1157</v>
      </c>
      <c r="D550" s="31">
        <v>0</v>
      </c>
      <c r="E550" s="31">
        <v>1</v>
      </c>
      <c r="F550" s="31">
        <v>0</v>
      </c>
      <c r="G550" s="31">
        <v>0</v>
      </c>
      <c r="H550" s="32">
        <v>8.69</v>
      </c>
      <c r="I550">
        <v>12</v>
      </c>
      <c r="J550" s="33">
        <v>0</v>
      </c>
      <c r="K550" s="33">
        <v>0</v>
      </c>
      <c r="L550" s="33">
        <v>0</v>
      </c>
      <c r="M550">
        <v>12</v>
      </c>
      <c r="N550">
        <v>0</v>
      </c>
      <c r="O550">
        <v>12</v>
      </c>
      <c r="P550" t="s">
        <v>54</v>
      </c>
      <c r="Q550" t="s">
        <v>54</v>
      </c>
      <c r="R550" t="s">
        <v>54</v>
      </c>
      <c r="S550" t="s">
        <v>54</v>
      </c>
      <c r="T550" t="s">
        <v>54</v>
      </c>
      <c r="U550" t="s">
        <v>54</v>
      </c>
      <c r="V550" t="s">
        <v>54</v>
      </c>
      <c r="W550" t="s">
        <v>54</v>
      </c>
      <c r="X550" s="23" t="s">
        <v>54</v>
      </c>
      <c r="Y550" s="23" t="s">
        <v>54</v>
      </c>
      <c r="Z550" s="23" t="s">
        <v>54</v>
      </c>
      <c r="AA550" s="23" t="s">
        <v>54</v>
      </c>
      <c r="AB550" t="s">
        <v>54</v>
      </c>
      <c r="AC550" t="s">
        <v>54</v>
      </c>
      <c r="AD550" t="s">
        <v>54</v>
      </c>
      <c r="AE550" t="s">
        <v>54</v>
      </c>
      <c r="AF550" s="23" t="s">
        <v>54</v>
      </c>
      <c r="AG550" s="23" t="s">
        <v>54</v>
      </c>
      <c r="AH550" s="23" t="s">
        <v>54</v>
      </c>
      <c r="AI550" s="23" t="s">
        <v>54</v>
      </c>
      <c r="AJ550">
        <v>6</v>
      </c>
      <c r="AK550">
        <v>4</v>
      </c>
      <c r="AL550">
        <v>10</v>
      </c>
      <c r="AM550">
        <v>1</v>
      </c>
      <c r="AN550" s="23">
        <v>0</v>
      </c>
      <c r="AO550" s="23">
        <v>0.25</v>
      </c>
      <c r="AP550" s="23">
        <v>0</v>
      </c>
      <c r="AQ550" s="23">
        <v>0</v>
      </c>
      <c r="AR550" s="35">
        <v>0</v>
      </c>
      <c r="AS550" s="35">
        <v>0</v>
      </c>
      <c r="AT550" s="35">
        <v>12</v>
      </c>
      <c r="AU550" s="31" t="str">
        <f t="shared" si="11"/>
        <v>库存为12</v>
      </c>
      <c r="AV550" s="36" t="str">
        <f>IFERROR($A$2+AU550,"上周无销量")</f>
        <v>上周无销量</v>
      </c>
    </row>
    <row r="551" spans="1:48">
      <c r="A551" s="21" t="s">
        <v>1186</v>
      </c>
      <c r="B551" t="s">
        <v>1187</v>
      </c>
      <c r="C551" t="s">
        <v>1157</v>
      </c>
      <c r="D551" s="31">
        <v>0</v>
      </c>
      <c r="E551" s="31">
        <v>0</v>
      </c>
      <c r="F551" s="31">
        <v>0</v>
      </c>
      <c r="G551" s="31">
        <v>0</v>
      </c>
      <c r="H551" s="32">
        <v>0</v>
      </c>
      <c r="I551">
        <v>0</v>
      </c>
      <c r="J551" s="33">
        <v>0</v>
      </c>
      <c r="K551" s="33">
        <v>0</v>
      </c>
      <c r="L551" s="33">
        <v>0</v>
      </c>
      <c r="M551">
        <v>0</v>
      </c>
      <c r="N551">
        <v>0</v>
      </c>
      <c r="O551">
        <v>0</v>
      </c>
      <c r="P551" t="s">
        <v>54</v>
      </c>
      <c r="Q551" t="s">
        <v>54</v>
      </c>
      <c r="R551" t="s">
        <v>54</v>
      </c>
      <c r="S551" t="s">
        <v>54</v>
      </c>
      <c r="T551" t="s">
        <v>54</v>
      </c>
      <c r="U551" t="s">
        <v>54</v>
      </c>
      <c r="V551" t="s">
        <v>54</v>
      </c>
      <c r="W551" t="s">
        <v>54</v>
      </c>
      <c r="X551" s="23" t="s">
        <v>54</v>
      </c>
      <c r="Y551" s="23" t="s">
        <v>54</v>
      </c>
      <c r="Z551" s="23" t="s">
        <v>54</v>
      </c>
      <c r="AA551" s="23" t="s">
        <v>54</v>
      </c>
      <c r="AB551" t="s">
        <v>54</v>
      </c>
      <c r="AC551" t="s">
        <v>54</v>
      </c>
      <c r="AD551" t="s">
        <v>54</v>
      </c>
      <c r="AE551" t="s">
        <v>54</v>
      </c>
      <c r="AF551" s="23" t="s">
        <v>54</v>
      </c>
      <c r="AG551" s="23" t="s">
        <v>54</v>
      </c>
      <c r="AH551" s="23" t="s">
        <v>54</v>
      </c>
      <c r="AI551" s="23" t="s">
        <v>54</v>
      </c>
      <c r="AJ551">
        <v>0</v>
      </c>
      <c r="AK551">
        <v>0</v>
      </c>
      <c r="AL551">
        <v>0</v>
      </c>
      <c r="AM551">
        <v>0</v>
      </c>
      <c r="AN551" s="23" t="s">
        <v>54</v>
      </c>
      <c r="AO551" s="23" t="s">
        <v>54</v>
      </c>
      <c r="AP551" s="23" t="s">
        <v>54</v>
      </c>
      <c r="AQ551" s="23" t="s">
        <v>54</v>
      </c>
      <c r="AR551" s="35">
        <v>0</v>
      </c>
      <c r="AS551" s="35">
        <v>0</v>
      </c>
      <c r="AT551" s="35">
        <v>0</v>
      </c>
      <c r="AU551" s="31" t="str">
        <f t="shared" si="11"/>
        <v>库存为0</v>
      </c>
      <c r="AV551" s="36" t="str">
        <f>IFERROR($A$2+AU551,"上周无销量")</f>
        <v>上周无销量</v>
      </c>
    </row>
    <row r="552" spans="1:48">
      <c r="A552" s="21" t="s">
        <v>1188</v>
      </c>
      <c r="B552" t="s">
        <v>1189</v>
      </c>
      <c r="C552" t="s">
        <v>1157</v>
      </c>
      <c r="D552" s="31">
        <v>0</v>
      </c>
      <c r="E552" s="31">
        <v>0</v>
      </c>
      <c r="F552" s="31">
        <v>0</v>
      </c>
      <c r="G552" s="31">
        <v>0</v>
      </c>
      <c r="H552" s="32">
        <v>0</v>
      </c>
      <c r="I552">
        <v>0</v>
      </c>
      <c r="J552" s="33">
        <v>0</v>
      </c>
      <c r="K552" s="33">
        <v>0</v>
      </c>
      <c r="L552" s="33">
        <v>0</v>
      </c>
      <c r="M552">
        <v>0</v>
      </c>
      <c r="N552">
        <v>0</v>
      </c>
      <c r="O552">
        <v>0</v>
      </c>
      <c r="P552" t="s">
        <v>54</v>
      </c>
      <c r="Q552" t="s">
        <v>54</v>
      </c>
      <c r="R552" t="s">
        <v>54</v>
      </c>
      <c r="S552" t="s">
        <v>54</v>
      </c>
      <c r="T552" t="s">
        <v>54</v>
      </c>
      <c r="U552" t="s">
        <v>54</v>
      </c>
      <c r="V552" t="s">
        <v>54</v>
      </c>
      <c r="W552" t="s">
        <v>54</v>
      </c>
      <c r="X552" s="23" t="s">
        <v>54</v>
      </c>
      <c r="Y552" s="23" t="s">
        <v>54</v>
      </c>
      <c r="Z552" s="23" t="s">
        <v>54</v>
      </c>
      <c r="AA552" s="23" t="s">
        <v>54</v>
      </c>
      <c r="AB552" t="s">
        <v>54</v>
      </c>
      <c r="AC552" t="s">
        <v>54</v>
      </c>
      <c r="AD552" t="s">
        <v>54</v>
      </c>
      <c r="AE552" t="s">
        <v>54</v>
      </c>
      <c r="AF552" s="23" t="s">
        <v>54</v>
      </c>
      <c r="AG552" s="23" t="s">
        <v>54</v>
      </c>
      <c r="AH552" s="23" t="s">
        <v>54</v>
      </c>
      <c r="AI552" s="23" t="s">
        <v>54</v>
      </c>
      <c r="AJ552">
        <v>0</v>
      </c>
      <c r="AK552">
        <v>0</v>
      </c>
      <c r="AL552">
        <v>0</v>
      </c>
      <c r="AM552">
        <v>0</v>
      </c>
      <c r="AN552" s="23" t="s">
        <v>54</v>
      </c>
      <c r="AO552" s="23" t="s">
        <v>54</v>
      </c>
      <c r="AP552" s="23" t="s">
        <v>54</v>
      </c>
      <c r="AQ552" s="23" t="s">
        <v>54</v>
      </c>
      <c r="AR552" s="35">
        <v>0</v>
      </c>
      <c r="AS552" s="35">
        <v>0</v>
      </c>
      <c r="AT552" s="35">
        <v>0</v>
      </c>
      <c r="AU552" s="31" t="str">
        <f t="shared" si="11"/>
        <v>库存为0</v>
      </c>
      <c r="AV552" s="36" t="str">
        <f>IFERROR($A$2+AU552,"上周无销量")</f>
        <v>上周无销量</v>
      </c>
    </row>
    <row r="553" spans="1:48">
      <c r="A553" s="21" t="s">
        <v>1190</v>
      </c>
      <c r="B553" t="s">
        <v>1191</v>
      </c>
      <c r="C553" t="s">
        <v>1157</v>
      </c>
      <c r="D553" s="31">
        <v>2</v>
      </c>
      <c r="E553" s="31">
        <v>0</v>
      </c>
      <c r="F553" s="31">
        <v>3</v>
      </c>
      <c r="G553" s="31">
        <v>2</v>
      </c>
      <c r="H553" s="32">
        <v>12.1285714285714</v>
      </c>
      <c r="I553">
        <v>1</v>
      </c>
      <c r="J553" s="33">
        <v>0</v>
      </c>
      <c r="K553" s="33">
        <v>0</v>
      </c>
      <c r="L553" s="33">
        <v>0</v>
      </c>
      <c r="M553">
        <v>1</v>
      </c>
      <c r="N553">
        <v>0</v>
      </c>
      <c r="O553">
        <v>1</v>
      </c>
      <c r="P553" t="s">
        <v>54</v>
      </c>
      <c r="Q553" t="s">
        <v>54</v>
      </c>
      <c r="R553" t="s">
        <v>54</v>
      </c>
      <c r="S553" t="s">
        <v>54</v>
      </c>
      <c r="T553" t="s">
        <v>54</v>
      </c>
      <c r="U553" t="s">
        <v>54</v>
      </c>
      <c r="V553" t="s">
        <v>54</v>
      </c>
      <c r="W553" t="s">
        <v>54</v>
      </c>
      <c r="X553" s="23" t="s">
        <v>54</v>
      </c>
      <c r="Y553" s="23" t="s">
        <v>54</v>
      </c>
      <c r="Z553" s="23" t="s">
        <v>54</v>
      </c>
      <c r="AA553" s="23" t="s">
        <v>54</v>
      </c>
      <c r="AB553" t="s">
        <v>54</v>
      </c>
      <c r="AC553" t="s">
        <v>54</v>
      </c>
      <c r="AD553" t="s">
        <v>54</v>
      </c>
      <c r="AE553" t="s">
        <v>54</v>
      </c>
      <c r="AF553" s="23" t="s">
        <v>54</v>
      </c>
      <c r="AG553" s="23" t="s">
        <v>54</v>
      </c>
      <c r="AH553" s="23" t="s">
        <v>54</v>
      </c>
      <c r="AI553" s="23" t="s">
        <v>54</v>
      </c>
      <c r="AJ553">
        <v>12</v>
      </c>
      <c r="AK553">
        <v>12</v>
      </c>
      <c r="AL553">
        <v>10</v>
      </c>
      <c r="AM553">
        <v>7</v>
      </c>
      <c r="AN553" s="23">
        <v>0.166666666666667</v>
      </c>
      <c r="AO553" s="23">
        <v>0</v>
      </c>
      <c r="AP553" s="23">
        <v>0.3</v>
      </c>
      <c r="AQ553" s="23">
        <v>0.285714285714286</v>
      </c>
      <c r="AR553" s="35">
        <v>0.285714285714286</v>
      </c>
      <c r="AS553" s="35">
        <v>17.1428571428571</v>
      </c>
      <c r="AT553" s="35">
        <v>-16.1428571428571</v>
      </c>
      <c r="AU553" s="31">
        <f t="shared" si="11"/>
        <v>3</v>
      </c>
      <c r="AV553" s="36">
        <f>IFERROR($A$2+AU553,"上周无销量")</f>
        <v>43293</v>
      </c>
    </row>
    <row r="554" spans="1:48">
      <c r="A554" s="21" t="s">
        <v>1192</v>
      </c>
      <c r="B554" t="s">
        <v>1193</v>
      </c>
      <c r="C554" t="s">
        <v>1157</v>
      </c>
      <c r="D554" s="31">
        <v>0</v>
      </c>
      <c r="E554" s="31">
        <v>0</v>
      </c>
      <c r="F554" s="31">
        <v>0</v>
      </c>
      <c r="G554" s="31">
        <v>1</v>
      </c>
      <c r="H554" s="32">
        <v>12.98</v>
      </c>
      <c r="I554">
        <v>0</v>
      </c>
      <c r="J554" s="33">
        <v>0</v>
      </c>
      <c r="K554" s="33">
        <v>0</v>
      </c>
      <c r="L554" s="33">
        <v>0</v>
      </c>
      <c r="M554">
        <v>0</v>
      </c>
      <c r="N554">
        <v>0</v>
      </c>
      <c r="O554">
        <v>0</v>
      </c>
      <c r="P554" t="s">
        <v>54</v>
      </c>
      <c r="Q554" t="s">
        <v>54</v>
      </c>
      <c r="R554" t="s">
        <v>54</v>
      </c>
      <c r="S554" t="s">
        <v>54</v>
      </c>
      <c r="T554" t="s">
        <v>54</v>
      </c>
      <c r="U554" t="s">
        <v>54</v>
      </c>
      <c r="V554" t="s">
        <v>54</v>
      </c>
      <c r="W554" t="s">
        <v>54</v>
      </c>
      <c r="X554" s="23" t="s">
        <v>54</v>
      </c>
      <c r="Y554" s="23" t="s">
        <v>54</v>
      </c>
      <c r="Z554" s="23" t="s">
        <v>54</v>
      </c>
      <c r="AA554" s="23" t="s">
        <v>54</v>
      </c>
      <c r="AB554" t="s">
        <v>54</v>
      </c>
      <c r="AC554" t="s">
        <v>54</v>
      </c>
      <c r="AD554" t="s">
        <v>54</v>
      </c>
      <c r="AE554" t="s">
        <v>54</v>
      </c>
      <c r="AF554" s="23" t="s">
        <v>54</v>
      </c>
      <c r="AG554" s="23" t="s">
        <v>54</v>
      </c>
      <c r="AH554" s="23" t="s">
        <v>54</v>
      </c>
      <c r="AI554" s="23" t="s">
        <v>54</v>
      </c>
      <c r="AJ554">
        <v>0</v>
      </c>
      <c r="AK554">
        <v>0</v>
      </c>
      <c r="AL554">
        <v>0</v>
      </c>
      <c r="AM554">
        <v>0</v>
      </c>
      <c r="AN554" s="23" t="s">
        <v>54</v>
      </c>
      <c r="AO554" s="23" t="s">
        <v>54</v>
      </c>
      <c r="AP554" s="23" t="s">
        <v>54</v>
      </c>
      <c r="AQ554" s="23" t="s">
        <v>54</v>
      </c>
      <c r="AR554" s="35">
        <v>0</v>
      </c>
      <c r="AS554" s="35">
        <v>0</v>
      </c>
      <c r="AT554" s="35">
        <v>0</v>
      </c>
      <c r="AU554" s="31" t="str">
        <f t="shared" si="11"/>
        <v>库存为0</v>
      </c>
      <c r="AV554" s="36" t="str">
        <f>IFERROR($A$2+AU554,"上周无销量")</f>
        <v>上周无销量</v>
      </c>
    </row>
    <row r="555" spans="1:48">
      <c r="A555" s="21" t="s">
        <v>1194</v>
      </c>
      <c r="B555" t="s">
        <v>1195</v>
      </c>
      <c r="C555" t="s">
        <v>1157</v>
      </c>
      <c r="D555" s="31">
        <v>4</v>
      </c>
      <c r="E555" s="31">
        <v>1</v>
      </c>
      <c r="F555" s="31">
        <v>2</v>
      </c>
      <c r="G555" s="31">
        <v>3</v>
      </c>
      <c r="H555" s="32">
        <v>11.788</v>
      </c>
      <c r="I555">
        <v>0</v>
      </c>
      <c r="J555" s="33">
        <v>0</v>
      </c>
      <c r="K555" s="33">
        <v>0</v>
      </c>
      <c r="L555" s="33">
        <v>0</v>
      </c>
      <c r="M555">
        <v>0</v>
      </c>
      <c r="N555">
        <v>0</v>
      </c>
      <c r="O555">
        <v>0</v>
      </c>
      <c r="P555" t="s">
        <v>54</v>
      </c>
      <c r="Q555" t="s">
        <v>54</v>
      </c>
      <c r="R555" t="s">
        <v>54</v>
      </c>
      <c r="S555" t="s">
        <v>54</v>
      </c>
      <c r="T555" t="s">
        <v>54</v>
      </c>
      <c r="U555" t="s">
        <v>54</v>
      </c>
      <c r="V555" t="s">
        <v>54</v>
      </c>
      <c r="W555" t="s">
        <v>54</v>
      </c>
      <c r="X555" s="23" t="s">
        <v>54</v>
      </c>
      <c r="Y555" s="23" t="s">
        <v>54</v>
      </c>
      <c r="Z555" s="23" t="s">
        <v>54</v>
      </c>
      <c r="AA555" s="23" t="s">
        <v>54</v>
      </c>
      <c r="AB555" t="s">
        <v>54</v>
      </c>
      <c r="AC555" t="s">
        <v>54</v>
      </c>
      <c r="AD555" t="s">
        <v>54</v>
      </c>
      <c r="AE555" t="s">
        <v>54</v>
      </c>
      <c r="AF555" s="23" t="s">
        <v>54</v>
      </c>
      <c r="AG555" s="23" t="s">
        <v>54</v>
      </c>
      <c r="AH555" s="23" t="s">
        <v>54</v>
      </c>
      <c r="AI555" s="23" t="s">
        <v>54</v>
      </c>
      <c r="AJ555">
        <v>12</v>
      </c>
      <c r="AK555">
        <v>10</v>
      </c>
      <c r="AL555">
        <v>18</v>
      </c>
      <c r="AM555">
        <v>5</v>
      </c>
      <c r="AN555" s="23">
        <v>0.333333333333333</v>
      </c>
      <c r="AO555" s="23">
        <v>0.1</v>
      </c>
      <c r="AP555" s="23">
        <v>0.111111111111111</v>
      </c>
      <c r="AQ555" s="23">
        <v>0.6</v>
      </c>
      <c r="AR555" s="35">
        <v>0.571428571428571</v>
      </c>
      <c r="AS555" s="35">
        <v>34.2857142857143</v>
      </c>
      <c r="AT555" s="35">
        <v>-34.2857142857143</v>
      </c>
      <c r="AU555" s="31">
        <f t="shared" si="11"/>
        <v>0</v>
      </c>
      <c r="AV555" s="36">
        <f>IFERROR($A$2+AU555,"上周无销量")</f>
        <v>43290</v>
      </c>
    </row>
    <row r="556" spans="1:48">
      <c r="A556" s="21" t="s">
        <v>1196</v>
      </c>
      <c r="B556" t="s">
        <v>1197</v>
      </c>
      <c r="C556" t="s">
        <v>1157</v>
      </c>
      <c r="D556" s="31">
        <v>2</v>
      </c>
      <c r="E556" s="31">
        <v>2</v>
      </c>
      <c r="F556" s="31">
        <v>2</v>
      </c>
      <c r="G556" s="31">
        <v>0</v>
      </c>
      <c r="H556" s="32">
        <v>11.49</v>
      </c>
      <c r="I556">
        <v>1</v>
      </c>
      <c r="J556" s="33">
        <v>0</v>
      </c>
      <c r="K556" s="33">
        <v>0</v>
      </c>
      <c r="L556" s="33">
        <v>0</v>
      </c>
      <c r="M556">
        <v>1</v>
      </c>
      <c r="N556">
        <v>0</v>
      </c>
      <c r="O556">
        <v>0</v>
      </c>
      <c r="P556" t="s">
        <v>54</v>
      </c>
      <c r="Q556" t="s">
        <v>54</v>
      </c>
      <c r="R556" t="s">
        <v>54</v>
      </c>
      <c r="S556" t="s">
        <v>54</v>
      </c>
      <c r="T556" t="s">
        <v>54</v>
      </c>
      <c r="U556" t="s">
        <v>54</v>
      </c>
      <c r="V556" t="s">
        <v>54</v>
      </c>
      <c r="W556" t="s">
        <v>54</v>
      </c>
      <c r="X556" s="23" t="s">
        <v>54</v>
      </c>
      <c r="Y556" s="23" t="s">
        <v>54</v>
      </c>
      <c r="Z556" s="23" t="s">
        <v>54</v>
      </c>
      <c r="AA556" s="23" t="s">
        <v>54</v>
      </c>
      <c r="AB556" t="s">
        <v>54</v>
      </c>
      <c r="AC556" t="s">
        <v>54</v>
      </c>
      <c r="AD556" t="s">
        <v>54</v>
      </c>
      <c r="AE556" t="s">
        <v>54</v>
      </c>
      <c r="AF556" s="23" t="s">
        <v>54</v>
      </c>
      <c r="AG556" s="23" t="s">
        <v>54</v>
      </c>
      <c r="AH556" s="23" t="s">
        <v>54</v>
      </c>
      <c r="AI556" s="23" t="s">
        <v>54</v>
      </c>
      <c r="AJ556">
        <v>4</v>
      </c>
      <c r="AK556">
        <v>7</v>
      </c>
      <c r="AL556">
        <v>14</v>
      </c>
      <c r="AM556">
        <v>5</v>
      </c>
      <c r="AN556" s="23">
        <v>0.5</v>
      </c>
      <c r="AO556" s="23">
        <v>0.285714285714286</v>
      </c>
      <c r="AP556" s="23">
        <v>0.142857142857143</v>
      </c>
      <c r="AQ556" s="23">
        <v>0</v>
      </c>
      <c r="AR556" s="35">
        <v>0.285714285714286</v>
      </c>
      <c r="AS556" s="35">
        <v>17.1428571428571</v>
      </c>
      <c r="AT556" s="35">
        <v>-16.1428571428571</v>
      </c>
      <c r="AU556" s="31">
        <f t="shared" si="11"/>
        <v>3</v>
      </c>
      <c r="AV556" s="36">
        <f>IFERROR($A$2+AU556,"上周无销量")</f>
        <v>43293</v>
      </c>
    </row>
    <row r="557" spans="1:48">
      <c r="A557" s="21" t="s">
        <v>1198</v>
      </c>
      <c r="B557" t="s">
        <v>1199</v>
      </c>
      <c r="C557" t="s">
        <v>1157</v>
      </c>
      <c r="D557" s="31">
        <v>2</v>
      </c>
      <c r="E557" s="31">
        <v>0</v>
      </c>
      <c r="F557" s="31">
        <v>1</v>
      </c>
      <c r="G557" s="31">
        <v>1</v>
      </c>
      <c r="H557" s="32">
        <v>11.49</v>
      </c>
      <c r="I557">
        <v>0</v>
      </c>
      <c r="J557" s="33">
        <v>0</v>
      </c>
      <c r="K557" s="33">
        <v>0</v>
      </c>
      <c r="L557" s="33">
        <v>0</v>
      </c>
      <c r="M557">
        <v>0</v>
      </c>
      <c r="N557">
        <v>0</v>
      </c>
      <c r="O557">
        <v>0</v>
      </c>
      <c r="P557">
        <v>1120</v>
      </c>
      <c r="Q557">
        <v>2566</v>
      </c>
      <c r="R557">
        <v>1193</v>
      </c>
      <c r="S557">
        <v>0</v>
      </c>
      <c r="T557">
        <v>25</v>
      </c>
      <c r="U557">
        <v>36</v>
      </c>
      <c r="V557">
        <v>25</v>
      </c>
      <c r="W557">
        <v>0</v>
      </c>
      <c r="X557" s="23">
        <v>0.0223214285714286</v>
      </c>
      <c r="Y557" s="23">
        <v>0.0140296180826189</v>
      </c>
      <c r="Z557" s="23">
        <v>0.0209555741827326</v>
      </c>
      <c r="AA557" s="23" t="s">
        <v>54</v>
      </c>
      <c r="AB557">
        <v>16.09</v>
      </c>
      <c r="AC557">
        <v>27.89</v>
      </c>
      <c r="AD557">
        <v>17.02</v>
      </c>
      <c r="AE557">
        <v>0</v>
      </c>
      <c r="AF557" s="23">
        <v>0.700174064403829</v>
      </c>
      <c r="AG557" s="23">
        <v>0</v>
      </c>
      <c r="AH557" s="23">
        <v>1.48128807658834</v>
      </c>
      <c r="AI557" s="23" t="s">
        <v>54</v>
      </c>
      <c r="AJ557">
        <v>22</v>
      </c>
      <c r="AK557">
        <v>25</v>
      </c>
      <c r="AL557">
        <v>26</v>
      </c>
      <c r="AM557">
        <v>12</v>
      </c>
      <c r="AN557" s="23">
        <v>0.0909090909090909</v>
      </c>
      <c r="AO557" s="23">
        <v>0</v>
      </c>
      <c r="AP557" s="23">
        <v>0.0384615384615385</v>
      </c>
      <c r="AQ557" s="23">
        <v>0.0833333333333333</v>
      </c>
      <c r="AR557" s="35">
        <v>0.285714285714286</v>
      </c>
      <c r="AS557" s="35">
        <v>17.1428571428571</v>
      </c>
      <c r="AT557" s="35">
        <v>-17.1428571428571</v>
      </c>
      <c r="AU557" s="31">
        <f t="shared" si="11"/>
        <v>0</v>
      </c>
      <c r="AV557" s="36">
        <f>IFERROR($A$2+AU557,"上周无销量")</f>
        <v>43290</v>
      </c>
    </row>
    <row r="558" spans="1:48">
      <c r="A558" s="21" t="s">
        <v>1200</v>
      </c>
      <c r="B558" t="s">
        <v>1201</v>
      </c>
      <c r="C558" t="s">
        <v>1157</v>
      </c>
      <c r="D558" s="31">
        <v>0</v>
      </c>
      <c r="E558" s="31">
        <v>0</v>
      </c>
      <c r="F558" s="31">
        <v>0</v>
      </c>
      <c r="G558" s="31">
        <v>0</v>
      </c>
      <c r="H558" s="32">
        <v>0</v>
      </c>
      <c r="I558">
        <v>0</v>
      </c>
      <c r="J558" s="33">
        <v>0</v>
      </c>
      <c r="K558" s="33">
        <v>0</v>
      </c>
      <c r="L558" s="33">
        <v>0</v>
      </c>
      <c r="M558">
        <v>0</v>
      </c>
      <c r="N558">
        <v>0</v>
      </c>
      <c r="O558">
        <v>0</v>
      </c>
      <c r="P558" t="s">
        <v>54</v>
      </c>
      <c r="Q558" t="s">
        <v>54</v>
      </c>
      <c r="R558" t="s">
        <v>54</v>
      </c>
      <c r="S558" t="s">
        <v>54</v>
      </c>
      <c r="T558" t="s">
        <v>54</v>
      </c>
      <c r="U558" t="s">
        <v>54</v>
      </c>
      <c r="V558" t="s">
        <v>54</v>
      </c>
      <c r="W558" t="s">
        <v>54</v>
      </c>
      <c r="X558" s="23" t="s">
        <v>54</v>
      </c>
      <c r="Y558" s="23" t="s">
        <v>54</v>
      </c>
      <c r="Z558" s="23" t="s">
        <v>54</v>
      </c>
      <c r="AA558" s="23" t="s">
        <v>54</v>
      </c>
      <c r="AB558" t="s">
        <v>54</v>
      </c>
      <c r="AC558" t="s">
        <v>54</v>
      </c>
      <c r="AD558" t="s">
        <v>54</v>
      </c>
      <c r="AE558" t="s">
        <v>54</v>
      </c>
      <c r="AF558" s="23" t="s">
        <v>54</v>
      </c>
      <c r="AG558" s="23" t="s">
        <v>54</v>
      </c>
      <c r="AH558" s="23" t="s">
        <v>54</v>
      </c>
      <c r="AI558" s="23" t="s">
        <v>54</v>
      </c>
      <c r="AJ558">
        <v>0</v>
      </c>
      <c r="AK558">
        <v>0</v>
      </c>
      <c r="AL558">
        <v>0</v>
      </c>
      <c r="AM558">
        <v>0</v>
      </c>
      <c r="AN558" s="23" t="s">
        <v>54</v>
      </c>
      <c r="AO558" s="23" t="s">
        <v>54</v>
      </c>
      <c r="AP558" s="23" t="s">
        <v>54</v>
      </c>
      <c r="AQ558" s="23" t="s">
        <v>54</v>
      </c>
      <c r="AR558" s="35">
        <v>0</v>
      </c>
      <c r="AS558" s="35">
        <v>0</v>
      </c>
      <c r="AT558" s="35">
        <v>0</v>
      </c>
      <c r="AU558" s="31" t="str">
        <f t="shared" si="11"/>
        <v>库存为0</v>
      </c>
      <c r="AV558" s="36" t="str">
        <f>IFERROR($A$2+AU558,"上周无销量")</f>
        <v>上周无销量</v>
      </c>
    </row>
    <row r="559" spans="1:48">
      <c r="A559" s="21" t="s">
        <v>1202</v>
      </c>
      <c r="B559" t="s">
        <v>1203</v>
      </c>
      <c r="C559" t="s">
        <v>1157</v>
      </c>
      <c r="D559" s="31">
        <v>1</v>
      </c>
      <c r="E559" s="31">
        <v>0</v>
      </c>
      <c r="F559" s="31">
        <v>0</v>
      </c>
      <c r="G559" s="31">
        <v>1</v>
      </c>
      <c r="H559" s="32">
        <v>10</v>
      </c>
      <c r="I559">
        <v>4</v>
      </c>
      <c r="J559" s="33">
        <v>0</v>
      </c>
      <c r="K559" s="33">
        <v>0</v>
      </c>
      <c r="L559" s="33">
        <v>0</v>
      </c>
      <c r="M559">
        <v>4</v>
      </c>
      <c r="N559">
        <v>0</v>
      </c>
      <c r="O559">
        <v>4</v>
      </c>
      <c r="P559" t="s">
        <v>54</v>
      </c>
      <c r="Q559" t="s">
        <v>54</v>
      </c>
      <c r="R559" t="s">
        <v>54</v>
      </c>
      <c r="S559" t="s">
        <v>54</v>
      </c>
      <c r="T559" t="s">
        <v>54</v>
      </c>
      <c r="U559" t="s">
        <v>54</v>
      </c>
      <c r="V559" t="s">
        <v>54</v>
      </c>
      <c r="W559" t="s">
        <v>54</v>
      </c>
      <c r="X559" s="23" t="s">
        <v>54</v>
      </c>
      <c r="Y559" s="23" t="s">
        <v>54</v>
      </c>
      <c r="Z559" s="23" t="s">
        <v>54</v>
      </c>
      <c r="AA559" s="23" t="s">
        <v>54</v>
      </c>
      <c r="AB559" t="s">
        <v>54</v>
      </c>
      <c r="AC559" t="s">
        <v>54</v>
      </c>
      <c r="AD559" t="s">
        <v>54</v>
      </c>
      <c r="AE559" t="s">
        <v>54</v>
      </c>
      <c r="AF559" s="23" t="s">
        <v>54</v>
      </c>
      <c r="AG559" s="23" t="s">
        <v>54</v>
      </c>
      <c r="AH559" s="23" t="s">
        <v>54</v>
      </c>
      <c r="AI559" s="23" t="s">
        <v>54</v>
      </c>
      <c r="AJ559">
        <v>6</v>
      </c>
      <c r="AK559">
        <v>8</v>
      </c>
      <c r="AL559">
        <v>8</v>
      </c>
      <c r="AM559">
        <v>6</v>
      </c>
      <c r="AN559" s="23">
        <v>0.166666666666667</v>
      </c>
      <c r="AO559" s="23">
        <v>0</v>
      </c>
      <c r="AP559" s="23">
        <v>0</v>
      </c>
      <c r="AQ559" s="23">
        <v>0.166666666666667</v>
      </c>
      <c r="AR559" s="35">
        <v>0.142857142857143</v>
      </c>
      <c r="AS559" s="35">
        <v>8.57142857142857</v>
      </c>
      <c r="AT559" s="35">
        <v>-4.57142857142857</v>
      </c>
      <c r="AU559" s="31">
        <f t="shared" si="11"/>
        <v>28</v>
      </c>
      <c r="AV559" s="36">
        <f>IFERROR($A$2+AU559,"上周无销量")</f>
        <v>43318</v>
      </c>
    </row>
    <row r="560" spans="1:48">
      <c r="A560" s="21" t="s">
        <v>1204</v>
      </c>
      <c r="B560" t="s">
        <v>1205</v>
      </c>
      <c r="C560" t="s">
        <v>1157</v>
      </c>
      <c r="D560" s="31">
        <v>2</v>
      </c>
      <c r="E560" s="31">
        <v>0</v>
      </c>
      <c r="F560" s="31">
        <v>0</v>
      </c>
      <c r="G560" s="31">
        <v>0</v>
      </c>
      <c r="H560" s="32">
        <v>10</v>
      </c>
      <c r="I560">
        <v>7</v>
      </c>
      <c r="J560" s="33">
        <v>0</v>
      </c>
      <c r="K560" s="33">
        <v>0</v>
      </c>
      <c r="L560" s="33">
        <v>0</v>
      </c>
      <c r="M560">
        <v>7</v>
      </c>
      <c r="N560">
        <v>0</v>
      </c>
      <c r="O560">
        <v>7</v>
      </c>
      <c r="P560" t="s">
        <v>54</v>
      </c>
      <c r="Q560" t="s">
        <v>54</v>
      </c>
      <c r="R560" t="s">
        <v>54</v>
      </c>
      <c r="S560" t="s">
        <v>54</v>
      </c>
      <c r="T560" t="s">
        <v>54</v>
      </c>
      <c r="U560" t="s">
        <v>54</v>
      </c>
      <c r="V560" t="s">
        <v>54</v>
      </c>
      <c r="W560" t="s">
        <v>54</v>
      </c>
      <c r="X560" s="23" t="s">
        <v>54</v>
      </c>
      <c r="Y560" s="23" t="s">
        <v>54</v>
      </c>
      <c r="Z560" s="23" t="s">
        <v>54</v>
      </c>
      <c r="AA560" s="23" t="s">
        <v>54</v>
      </c>
      <c r="AB560" t="s">
        <v>54</v>
      </c>
      <c r="AC560" t="s">
        <v>54</v>
      </c>
      <c r="AD560" t="s">
        <v>54</v>
      </c>
      <c r="AE560" t="s">
        <v>54</v>
      </c>
      <c r="AF560" s="23" t="s">
        <v>54</v>
      </c>
      <c r="AG560" s="23" t="s">
        <v>54</v>
      </c>
      <c r="AH560" s="23" t="s">
        <v>54</v>
      </c>
      <c r="AI560" s="23" t="s">
        <v>54</v>
      </c>
      <c r="AJ560">
        <v>9</v>
      </c>
      <c r="AK560">
        <v>4</v>
      </c>
      <c r="AL560">
        <v>2</v>
      </c>
      <c r="AM560">
        <v>3</v>
      </c>
      <c r="AN560" s="23">
        <v>0.222222222222222</v>
      </c>
      <c r="AO560" s="23">
        <v>0</v>
      </c>
      <c r="AP560" s="23">
        <v>0</v>
      </c>
      <c r="AQ560" s="23">
        <v>0</v>
      </c>
      <c r="AR560" s="35">
        <v>0.285714285714286</v>
      </c>
      <c r="AS560" s="35">
        <v>17.1428571428571</v>
      </c>
      <c r="AT560" s="35">
        <v>-10.1428571428571</v>
      </c>
      <c r="AU560" s="31">
        <f t="shared" si="11"/>
        <v>24</v>
      </c>
      <c r="AV560" s="36">
        <f>IFERROR($A$2+AU560,"上周无销量")</f>
        <v>43314</v>
      </c>
    </row>
    <row r="561" spans="1:48">
      <c r="A561" s="21" t="s">
        <v>1206</v>
      </c>
      <c r="B561" t="s">
        <v>1207</v>
      </c>
      <c r="C561" t="s">
        <v>1157</v>
      </c>
      <c r="D561" s="31">
        <v>0</v>
      </c>
      <c r="E561" s="31">
        <v>2</v>
      </c>
      <c r="F561" s="31">
        <v>0</v>
      </c>
      <c r="G561" s="31">
        <v>0</v>
      </c>
      <c r="H561" s="32">
        <v>10</v>
      </c>
      <c r="I561">
        <v>10</v>
      </c>
      <c r="J561" s="33">
        <v>0</v>
      </c>
      <c r="K561" s="33">
        <v>0</v>
      </c>
      <c r="L561" s="33">
        <v>0</v>
      </c>
      <c r="M561">
        <v>10</v>
      </c>
      <c r="N561">
        <v>0</v>
      </c>
      <c r="O561">
        <v>10</v>
      </c>
      <c r="P561" t="s">
        <v>54</v>
      </c>
      <c r="Q561" t="s">
        <v>54</v>
      </c>
      <c r="R561" t="s">
        <v>54</v>
      </c>
      <c r="S561" t="s">
        <v>54</v>
      </c>
      <c r="T561" t="s">
        <v>54</v>
      </c>
      <c r="U561" t="s">
        <v>54</v>
      </c>
      <c r="V561" t="s">
        <v>54</v>
      </c>
      <c r="W561" t="s">
        <v>54</v>
      </c>
      <c r="X561" s="23" t="s">
        <v>54</v>
      </c>
      <c r="Y561" s="23" t="s">
        <v>54</v>
      </c>
      <c r="Z561" s="23" t="s">
        <v>54</v>
      </c>
      <c r="AA561" s="23" t="s">
        <v>54</v>
      </c>
      <c r="AB561" t="s">
        <v>54</v>
      </c>
      <c r="AC561" t="s">
        <v>54</v>
      </c>
      <c r="AD561" t="s">
        <v>54</v>
      </c>
      <c r="AE561" t="s">
        <v>54</v>
      </c>
      <c r="AF561" s="23" t="s">
        <v>54</v>
      </c>
      <c r="AG561" s="23" t="s">
        <v>54</v>
      </c>
      <c r="AH561" s="23" t="s">
        <v>54</v>
      </c>
      <c r="AI561" s="23" t="s">
        <v>54</v>
      </c>
      <c r="AJ561">
        <v>16</v>
      </c>
      <c r="AK561">
        <v>5</v>
      </c>
      <c r="AL561">
        <v>4</v>
      </c>
      <c r="AM561">
        <v>3</v>
      </c>
      <c r="AN561" s="23">
        <v>0</v>
      </c>
      <c r="AO561" s="23">
        <v>0.4</v>
      </c>
      <c r="AP561" s="23">
        <v>0</v>
      </c>
      <c r="AQ561" s="23">
        <v>0</v>
      </c>
      <c r="AR561" s="35">
        <v>0</v>
      </c>
      <c r="AS561" s="35">
        <v>0</v>
      </c>
      <c r="AT561" s="35">
        <v>10</v>
      </c>
      <c r="AU561" s="31" t="str">
        <f t="shared" si="11"/>
        <v>库存为10</v>
      </c>
      <c r="AV561" s="36" t="str">
        <f>IFERROR($A$2+AU561,"上周无销量")</f>
        <v>上周无销量</v>
      </c>
    </row>
    <row r="562" spans="1:48">
      <c r="A562" s="21" t="s">
        <v>1208</v>
      </c>
      <c r="B562" t="s">
        <v>1209</v>
      </c>
      <c r="C562" t="s">
        <v>1157</v>
      </c>
      <c r="D562" s="31">
        <v>0</v>
      </c>
      <c r="E562" s="31">
        <v>0</v>
      </c>
      <c r="F562" s="31">
        <v>0</v>
      </c>
      <c r="G562" s="31">
        <v>0</v>
      </c>
      <c r="H562" s="32">
        <v>0</v>
      </c>
      <c r="I562">
        <v>0</v>
      </c>
      <c r="J562" s="33">
        <v>0</v>
      </c>
      <c r="K562" s="33">
        <v>0</v>
      </c>
      <c r="L562" s="33">
        <v>0</v>
      </c>
      <c r="M562">
        <v>0</v>
      </c>
      <c r="N562">
        <v>0</v>
      </c>
      <c r="O562">
        <v>0</v>
      </c>
      <c r="P562" t="s">
        <v>54</v>
      </c>
      <c r="Q562" t="s">
        <v>54</v>
      </c>
      <c r="R562" t="s">
        <v>54</v>
      </c>
      <c r="S562" t="s">
        <v>54</v>
      </c>
      <c r="T562" t="s">
        <v>54</v>
      </c>
      <c r="U562" t="s">
        <v>54</v>
      </c>
      <c r="V562" t="s">
        <v>54</v>
      </c>
      <c r="W562" t="s">
        <v>54</v>
      </c>
      <c r="X562" s="23" t="s">
        <v>54</v>
      </c>
      <c r="Y562" s="23" t="s">
        <v>54</v>
      </c>
      <c r="Z562" s="23" t="s">
        <v>54</v>
      </c>
      <c r="AA562" s="23" t="s">
        <v>54</v>
      </c>
      <c r="AB562" t="s">
        <v>54</v>
      </c>
      <c r="AC562" t="s">
        <v>54</v>
      </c>
      <c r="AD562" t="s">
        <v>54</v>
      </c>
      <c r="AE562" t="s">
        <v>54</v>
      </c>
      <c r="AF562" s="23" t="s">
        <v>54</v>
      </c>
      <c r="AG562" s="23" t="s">
        <v>54</v>
      </c>
      <c r="AH562" s="23" t="s">
        <v>54</v>
      </c>
      <c r="AI562" s="23" t="s">
        <v>54</v>
      </c>
      <c r="AJ562">
        <v>0</v>
      </c>
      <c r="AK562">
        <v>0</v>
      </c>
      <c r="AL562">
        <v>0</v>
      </c>
      <c r="AM562">
        <v>0</v>
      </c>
      <c r="AN562" s="23" t="s">
        <v>54</v>
      </c>
      <c r="AO562" s="23" t="s">
        <v>54</v>
      </c>
      <c r="AP562" s="23" t="s">
        <v>54</v>
      </c>
      <c r="AQ562" s="23" t="s">
        <v>54</v>
      </c>
      <c r="AR562" s="35">
        <v>0</v>
      </c>
      <c r="AS562" s="35">
        <v>0</v>
      </c>
      <c r="AT562" s="35">
        <v>0</v>
      </c>
      <c r="AU562" s="31" t="str">
        <f t="shared" si="11"/>
        <v>库存为0</v>
      </c>
      <c r="AV562" s="36" t="str">
        <f>IFERROR($A$2+AU562,"上周无销量")</f>
        <v>上周无销量</v>
      </c>
    </row>
    <row r="563" spans="1:48">
      <c r="A563" s="21" t="s">
        <v>1210</v>
      </c>
      <c r="B563" t="s">
        <v>1211</v>
      </c>
      <c r="C563" t="s">
        <v>1157</v>
      </c>
      <c r="D563" s="31">
        <v>0</v>
      </c>
      <c r="E563" s="31">
        <v>0</v>
      </c>
      <c r="F563" s="31">
        <v>0</v>
      </c>
      <c r="G563" s="31">
        <v>0</v>
      </c>
      <c r="H563" s="32">
        <v>0</v>
      </c>
      <c r="I563">
        <v>0</v>
      </c>
      <c r="J563" s="33">
        <v>0</v>
      </c>
      <c r="K563" s="33">
        <v>0</v>
      </c>
      <c r="L563" s="33">
        <v>0</v>
      </c>
      <c r="M563">
        <v>0</v>
      </c>
      <c r="N563">
        <v>0</v>
      </c>
      <c r="O563">
        <v>0</v>
      </c>
      <c r="P563" t="s">
        <v>54</v>
      </c>
      <c r="Q563" t="s">
        <v>54</v>
      </c>
      <c r="R563" t="s">
        <v>54</v>
      </c>
      <c r="S563" t="s">
        <v>54</v>
      </c>
      <c r="T563" t="s">
        <v>54</v>
      </c>
      <c r="U563" t="s">
        <v>54</v>
      </c>
      <c r="V563" t="s">
        <v>54</v>
      </c>
      <c r="W563" t="s">
        <v>54</v>
      </c>
      <c r="X563" s="23" t="s">
        <v>54</v>
      </c>
      <c r="Y563" s="23" t="s">
        <v>54</v>
      </c>
      <c r="Z563" s="23" t="s">
        <v>54</v>
      </c>
      <c r="AA563" s="23" t="s">
        <v>54</v>
      </c>
      <c r="AB563" t="s">
        <v>54</v>
      </c>
      <c r="AC563" t="s">
        <v>54</v>
      </c>
      <c r="AD563" t="s">
        <v>54</v>
      </c>
      <c r="AE563" t="s">
        <v>54</v>
      </c>
      <c r="AF563" s="23" t="s">
        <v>54</v>
      </c>
      <c r="AG563" s="23" t="s">
        <v>54</v>
      </c>
      <c r="AH563" s="23" t="s">
        <v>54</v>
      </c>
      <c r="AI563" s="23" t="s">
        <v>54</v>
      </c>
      <c r="AJ563">
        <v>0</v>
      </c>
      <c r="AK563">
        <v>0</v>
      </c>
      <c r="AL563">
        <v>0</v>
      </c>
      <c r="AM563">
        <v>0</v>
      </c>
      <c r="AN563" s="23" t="s">
        <v>54</v>
      </c>
      <c r="AO563" s="23" t="s">
        <v>54</v>
      </c>
      <c r="AP563" s="23" t="s">
        <v>54</v>
      </c>
      <c r="AQ563" s="23" t="s">
        <v>54</v>
      </c>
      <c r="AR563" s="35">
        <v>0</v>
      </c>
      <c r="AS563" s="35">
        <v>0</v>
      </c>
      <c r="AT563" s="35">
        <v>0</v>
      </c>
      <c r="AU563" s="31" t="str">
        <f t="shared" si="11"/>
        <v>库存为0</v>
      </c>
      <c r="AV563" s="36" t="str">
        <f>IFERROR($A$2+AU563,"上周无销量")</f>
        <v>上周无销量</v>
      </c>
    </row>
    <row r="564" spans="1:48">
      <c r="A564" s="21" t="s">
        <v>1212</v>
      </c>
      <c r="B564" t="s">
        <v>1213</v>
      </c>
      <c r="C564" t="s">
        <v>1157</v>
      </c>
      <c r="D564" s="31">
        <v>0</v>
      </c>
      <c r="E564" s="31">
        <v>0</v>
      </c>
      <c r="F564" s="31">
        <v>0</v>
      </c>
      <c r="G564" s="31">
        <v>0</v>
      </c>
      <c r="H564" s="32">
        <v>0</v>
      </c>
      <c r="I564">
        <v>0</v>
      </c>
      <c r="J564" s="33">
        <v>0</v>
      </c>
      <c r="K564" s="33">
        <v>0</v>
      </c>
      <c r="L564" s="33">
        <v>0</v>
      </c>
      <c r="M564">
        <v>0</v>
      </c>
      <c r="N564">
        <v>0</v>
      </c>
      <c r="O564">
        <v>0</v>
      </c>
      <c r="P564" t="s">
        <v>54</v>
      </c>
      <c r="Q564" t="s">
        <v>54</v>
      </c>
      <c r="R564" t="s">
        <v>54</v>
      </c>
      <c r="S564" t="s">
        <v>54</v>
      </c>
      <c r="T564" t="s">
        <v>54</v>
      </c>
      <c r="U564" t="s">
        <v>54</v>
      </c>
      <c r="V564" t="s">
        <v>54</v>
      </c>
      <c r="W564" t="s">
        <v>54</v>
      </c>
      <c r="X564" s="23" t="s">
        <v>54</v>
      </c>
      <c r="Y564" s="23" t="s">
        <v>54</v>
      </c>
      <c r="Z564" s="23" t="s">
        <v>54</v>
      </c>
      <c r="AA564" s="23" t="s">
        <v>54</v>
      </c>
      <c r="AB564" t="s">
        <v>54</v>
      </c>
      <c r="AC564" t="s">
        <v>54</v>
      </c>
      <c r="AD564" t="s">
        <v>54</v>
      </c>
      <c r="AE564" t="s">
        <v>54</v>
      </c>
      <c r="AF564" s="23" t="s">
        <v>54</v>
      </c>
      <c r="AG564" s="23" t="s">
        <v>54</v>
      </c>
      <c r="AH564" s="23" t="s">
        <v>54</v>
      </c>
      <c r="AI564" s="23" t="s">
        <v>54</v>
      </c>
      <c r="AJ564">
        <v>0</v>
      </c>
      <c r="AK564">
        <v>0</v>
      </c>
      <c r="AL564">
        <v>0</v>
      </c>
      <c r="AM564">
        <v>0</v>
      </c>
      <c r="AN564" s="23" t="s">
        <v>54</v>
      </c>
      <c r="AO564" s="23" t="s">
        <v>54</v>
      </c>
      <c r="AP564" s="23" t="s">
        <v>54</v>
      </c>
      <c r="AQ564" s="23" t="s">
        <v>54</v>
      </c>
      <c r="AR564" s="35">
        <v>0</v>
      </c>
      <c r="AS564" s="35">
        <v>0</v>
      </c>
      <c r="AT564" s="35">
        <v>0</v>
      </c>
      <c r="AU564" s="31" t="str">
        <f t="shared" si="11"/>
        <v>库存为0</v>
      </c>
      <c r="AV564" s="36" t="str">
        <f>IFERROR($A$2+AU564,"上周无销量")</f>
        <v>上周无销量</v>
      </c>
    </row>
    <row r="565" spans="1:48">
      <c r="A565" s="21" t="s">
        <v>1214</v>
      </c>
      <c r="B565" t="s">
        <v>1215</v>
      </c>
      <c r="C565" t="s">
        <v>1157</v>
      </c>
      <c r="D565" s="31">
        <v>4</v>
      </c>
      <c r="E565" s="31">
        <v>3</v>
      </c>
      <c r="F565" s="31">
        <v>0</v>
      </c>
      <c r="G565" s="31">
        <v>0</v>
      </c>
      <c r="H565" s="32">
        <v>10</v>
      </c>
      <c r="I565">
        <v>0</v>
      </c>
      <c r="J565" s="33">
        <v>0</v>
      </c>
      <c r="K565" s="33">
        <v>0</v>
      </c>
      <c r="L565" s="33">
        <v>0</v>
      </c>
      <c r="M565">
        <v>0</v>
      </c>
      <c r="N565">
        <v>0</v>
      </c>
      <c r="O565">
        <v>0</v>
      </c>
      <c r="P565" t="s">
        <v>54</v>
      </c>
      <c r="Q565" t="s">
        <v>54</v>
      </c>
      <c r="R565" t="s">
        <v>54</v>
      </c>
      <c r="S565" t="s">
        <v>54</v>
      </c>
      <c r="T565" t="s">
        <v>54</v>
      </c>
      <c r="U565" t="s">
        <v>54</v>
      </c>
      <c r="V565" t="s">
        <v>54</v>
      </c>
      <c r="W565" t="s">
        <v>54</v>
      </c>
      <c r="X565" s="23" t="s">
        <v>54</v>
      </c>
      <c r="Y565" s="23" t="s">
        <v>54</v>
      </c>
      <c r="Z565" s="23" t="s">
        <v>54</v>
      </c>
      <c r="AA565" s="23" t="s">
        <v>54</v>
      </c>
      <c r="AB565" t="s">
        <v>54</v>
      </c>
      <c r="AC565" t="s">
        <v>54</v>
      </c>
      <c r="AD565" t="s">
        <v>54</v>
      </c>
      <c r="AE565" t="s">
        <v>54</v>
      </c>
      <c r="AF565" s="23" t="s">
        <v>54</v>
      </c>
      <c r="AG565" s="23" t="s">
        <v>54</v>
      </c>
      <c r="AH565" s="23" t="s">
        <v>54</v>
      </c>
      <c r="AI565" s="23" t="s">
        <v>54</v>
      </c>
      <c r="AJ565">
        <v>1</v>
      </c>
      <c r="AK565">
        <v>1</v>
      </c>
      <c r="AL565">
        <v>8</v>
      </c>
      <c r="AM565">
        <v>3</v>
      </c>
      <c r="AN565" s="23">
        <v>4</v>
      </c>
      <c r="AO565" s="23">
        <v>3</v>
      </c>
      <c r="AP565" s="23">
        <v>0</v>
      </c>
      <c r="AQ565" s="23">
        <v>0</v>
      </c>
      <c r="AR565" s="35">
        <v>0.571428571428571</v>
      </c>
      <c r="AS565" s="35">
        <v>34.2857142857143</v>
      </c>
      <c r="AT565" s="35">
        <v>-34.2857142857143</v>
      </c>
      <c r="AU565" s="31">
        <f t="shared" si="11"/>
        <v>0</v>
      </c>
      <c r="AV565" s="36">
        <f>IFERROR($A$2+AU565,"上周无销量")</f>
        <v>43290</v>
      </c>
    </row>
    <row r="566" spans="1:48">
      <c r="A566" s="21" t="s">
        <v>1216</v>
      </c>
      <c r="B566" t="s">
        <v>1217</v>
      </c>
      <c r="C566" t="s">
        <v>1157</v>
      </c>
      <c r="D566" s="31">
        <v>0</v>
      </c>
      <c r="E566" s="31">
        <v>0</v>
      </c>
      <c r="F566" s="31">
        <v>0</v>
      </c>
      <c r="G566" s="31">
        <v>2</v>
      </c>
      <c r="H566" s="32">
        <v>10</v>
      </c>
      <c r="I566">
        <v>0</v>
      </c>
      <c r="J566" s="33">
        <v>0</v>
      </c>
      <c r="K566" s="33">
        <v>0</v>
      </c>
      <c r="L566" s="33">
        <v>0</v>
      </c>
      <c r="M566">
        <v>0</v>
      </c>
      <c r="N566">
        <v>0</v>
      </c>
      <c r="O566">
        <v>0</v>
      </c>
      <c r="P566" t="s">
        <v>54</v>
      </c>
      <c r="Q566" t="s">
        <v>54</v>
      </c>
      <c r="R566" t="s">
        <v>54</v>
      </c>
      <c r="S566" t="s">
        <v>54</v>
      </c>
      <c r="T566" t="s">
        <v>54</v>
      </c>
      <c r="U566" t="s">
        <v>54</v>
      </c>
      <c r="V566" t="s">
        <v>54</v>
      </c>
      <c r="W566" t="s">
        <v>54</v>
      </c>
      <c r="X566" s="23" t="s">
        <v>54</v>
      </c>
      <c r="Y566" s="23" t="s">
        <v>54</v>
      </c>
      <c r="Z566" s="23" t="s">
        <v>54</v>
      </c>
      <c r="AA566" s="23" t="s">
        <v>54</v>
      </c>
      <c r="AB566" t="s">
        <v>54</v>
      </c>
      <c r="AC566" t="s">
        <v>54</v>
      </c>
      <c r="AD566" t="s">
        <v>54</v>
      </c>
      <c r="AE566" t="s">
        <v>54</v>
      </c>
      <c r="AF566" s="23" t="s">
        <v>54</v>
      </c>
      <c r="AG566" s="23" t="s">
        <v>54</v>
      </c>
      <c r="AH566" s="23" t="s">
        <v>54</v>
      </c>
      <c r="AI566" s="23" t="s">
        <v>54</v>
      </c>
      <c r="AJ566">
        <v>0</v>
      </c>
      <c r="AK566">
        <v>0</v>
      </c>
      <c r="AL566">
        <v>0</v>
      </c>
      <c r="AM566">
        <v>0</v>
      </c>
      <c r="AN566" s="23" t="s">
        <v>54</v>
      </c>
      <c r="AO566" s="23" t="s">
        <v>54</v>
      </c>
      <c r="AP566" s="23" t="s">
        <v>54</v>
      </c>
      <c r="AQ566" s="23" t="s">
        <v>54</v>
      </c>
      <c r="AR566" s="35">
        <v>0</v>
      </c>
      <c r="AS566" s="35">
        <v>0</v>
      </c>
      <c r="AT566" s="35">
        <v>0</v>
      </c>
      <c r="AU566" s="31" t="str">
        <f t="shared" si="11"/>
        <v>库存为0</v>
      </c>
      <c r="AV566" s="36" t="str">
        <f>IFERROR($A$2+AU566,"上周无销量")</f>
        <v>上周无销量</v>
      </c>
    </row>
    <row r="567" spans="1:48">
      <c r="A567" s="21" t="s">
        <v>1218</v>
      </c>
      <c r="B567" t="s">
        <v>1219</v>
      </c>
      <c r="C567" t="s">
        <v>1218</v>
      </c>
      <c r="D567" s="31">
        <v>0</v>
      </c>
      <c r="E567" s="31">
        <v>0</v>
      </c>
      <c r="F567" s="31">
        <v>0</v>
      </c>
      <c r="G567" s="31">
        <v>1</v>
      </c>
      <c r="H567" s="32">
        <v>10.99</v>
      </c>
      <c r="I567">
        <v>4</v>
      </c>
      <c r="J567" s="33">
        <v>0</v>
      </c>
      <c r="K567" s="33">
        <v>0</v>
      </c>
      <c r="L567" s="33">
        <v>0</v>
      </c>
      <c r="M567">
        <v>4</v>
      </c>
      <c r="N567">
        <v>0</v>
      </c>
      <c r="O567">
        <v>4</v>
      </c>
      <c r="P567" t="s">
        <v>54</v>
      </c>
      <c r="Q567" t="s">
        <v>54</v>
      </c>
      <c r="R567" t="s">
        <v>54</v>
      </c>
      <c r="S567" t="s">
        <v>54</v>
      </c>
      <c r="T567" t="s">
        <v>54</v>
      </c>
      <c r="U567" t="s">
        <v>54</v>
      </c>
      <c r="V567" t="s">
        <v>54</v>
      </c>
      <c r="W567" t="s">
        <v>54</v>
      </c>
      <c r="X567" s="23" t="s">
        <v>54</v>
      </c>
      <c r="Y567" s="23" t="s">
        <v>54</v>
      </c>
      <c r="Z567" s="23" t="s">
        <v>54</v>
      </c>
      <c r="AA567" s="23" t="s">
        <v>54</v>
      </c>
      <c r="AB567" t="s">
        <v>54</v>
      </c>
      <c r="AC567" t="s">
        <v>54</v>
      </c>
      <c r="AD567" t="s">
        <v>54</v>
      </c>
      <c r="AE567" t="s">
        <v>54</v>
      </c>
      <c r="AF567" s="23" t="s">
        <v>54</v>
      </c>
      <c r="AG567" s="23" t="s">
        <v>54</v>
      </c>
      <c r="AH567" s="23" t="s">
        <v>54</v>
      </c>
      <c r="AI567" s="23" t="s">
        <v>54</v>
      </c>
      <c r="AJ567">
        <v>14</v>
      </c>
      <c r="AK567">
        <v>4</v>
      </c>
      <c r="AL567">
        <v>7</v>
      </c>
      <c r="AM567">
        <v>19</v>
      </c>
      <c r="AN567" s="23">
        <v>0</v>
      </c>
      <c r="AO567" s="23">
        <v>0</v>
      </c>
      <c r="AP567" s="23">
        <v>0</v>
      </c>
      <c r="AQ567" s="23">
        <v>0.0526315789473684</v>
      </c>
      <c r="AR567" s="35">
        <v>0</v>
      </c>
      <c r="AS567" s="35">
        <v>0</v>
      </c>
      <c r="AT567" s="35">
        <v>4</v>
      </c>
      <c r="AU567" s="31" t="str">
        <f t="shared" si="11"/>
        <v>库存为4</v>
      </c>
      <c r="AV567" s="36" t="str">
        <f>IFERROR($A$2+AU567,"上周无销量")</f>
        <v>上周无销量</v>
      </c>
    </row>
    <row r="568" spans="1:48">
      <c r="A568" s="21" t="s">
        <v>1220</v>
      </c>
      <c r="B568" t="s">
        <v>1221</v>
      </c>
      <c r="C568" t="s">
        <v>1222</v>
      </c>
      <c r="D568" s="31">
        <v>0</v>
      </c>
      <c r="E568" s="31">
        <v>0</v>
      </c>
      <c r="F568" s="31">
        <v>0</v>
      </c>
      <c r="G568" s="31">
        <v>0</v>
      </c>
      <c r="H568" s="32">
        <v>0</v>
      </c>
      <c r="I568">
        <v>0</v>
      </c>
      <c r="J568" s="33">
        <v>0</v>
      </c>
      <c r="K568" s="33">
        <v>0</v>
      </c>
      <c r="L568" s="33">
        <v>0</v>
      </c>
      <c r="M568">
        <v>0</v>
      </c>
      <c r="N568">
        <v>0</v>
      </c>
      <c r="O568">
        <v>0</v>
      </c>
      <c r="P568" t="s">
        <v>54</v>
      </c>
      <c r="Q568" t="s">
        <v>54</v>
      </c>
      <c r="R568" t="s">
        <v>54</v>
      </c>
      <c r="S568" t="s">
        <v>54</v>
      </c>
      <c r="T568" t="s">
        <v>54</v>
      </c>
      <c r="U568" t="s">
        <v>54</v>
      </c>
      <c r="V568" t="s">
        <v>54</v>
      </c>
      <c r="W568" t="s">
        <v>54</v>
      </c>
      <c r="X568" s="23" t="s">
        <v>54</v>
      </c>
      <c r="Y568" s="23" t="s">
        <v>54</v>
      </c>
      <c r="Z568" s="23" t="s">
        <v>54</v>
      </c>
      <c r="AA568" s="23" t="s">
        <v>54</v>
      </c>
      <c r="AB568" t="s">
        <v>54</v>
      </c>
      <c r="AC568" t="s">
        <v>54</v>
      </c>
      <c r="AD568" t="s">
        <v>54</v>
      </c>
      <c r="AE568" t="s">
        <v>54</v>
      </c>
      <c r="AF568" s="23" t="s">
        <v>54</v>
      </c>
      <c r="AG568" s="23" t="s">
        <v>54</v>
      </c>
      <c r="AH568" s="23" t="s">
        <v>54</v>
      </c>
      <c r="AI568" s="23" t="s">
        <v>54</v>
      </c>
      <c r="AJ568">
        <v>0</v>
      </c>
      <c r="AK568">
        <v>0</v>
      </c>
      <c r="AL568">
        <v>0</v>
      </c>
      <c r="AM568">
        <v>0</v>
      </c>
      <c r="AN568" s="23" t="s">
        <v>54</v>
      </c>
      <c r="AO568" s="23" t="s">
        <v>54</v>
      </c>
      <c r="AP568" s="23" t="s">
        <v>54</v>
      </c>
      <c r="AQ568" s="23" t="s">
        <v>54</v>
      </c>
      <c r="AR568" s="35">
        <v>0</v>
      </c>
      <c r="AS568" s="35">
        <v>0</v>
      </c>
      <c r="AT568" s="35">
        <v>0</v>
      </c>
      <c r="AU568" s="31" t="str">
        <f t="shared" si="11"/>
        <v>库存为0</v>
      </c>
      <c r="AV568" s="36" t="str">
        <f>IFERROR($A$2+AU568,"上周无销量")</f>
        <v>上周无销量</v>
      </c>
    </row>
    <row r="569" spans="1:48">
      <c r="A569" s="21" t="s">
        <v>1223</v>
      </c>
      <c r="B569" t="s">
        <v>1224</v>
      </c>
      <c r="C569" t="s">
        <v>1222</v>
      </c>
      <c r="D569" s="31">
        <v>0</v>
      </c>
      <c r="E569" s="31">
        <v>0</v>
      </c>
      <c r="F569" s="31">
        <v>0</v>
      </c>
      <c r="G569" s="31">
        <v>0</v>
      </c>
      <c r="H569" s="32">
        <v>0</v>
      </c>
      <c r="I569">
        <v>0</v>
      </c>
      <c r="J569" s="33">
        <v>0</v>
      </c>
      <c r="K569" s="33">
        <v>0</v>
      </c>
      <c r="L569" s="33">
        <v>0</v>
      </c>
      <c r="M569">
        <v>0</v>
      </c>
      <c r="N569">
        <v>0</v>
      </c>
      <c r="O569">
        <v>0</v>
      </c>
      <c r="P569" t="s">
        <v>54</v>
      </c>
      <c r="Q569" t="s">
        <v>54</v>
      </c>
      <c r="R569" t="s">
        <v>54</v>
      </c>
      <c r="S569" t="s">
        <v>54</v>
      </c>
      <c r="T569" t="s">
        <v>54</v>
      </c>
      <c r="U569" t="s">
        <v>54</v>
      </c>
      <c r="V569" t="s">
        <v>54</v>
      </c>
      <c r="W569" t="s">
        <v>54</v>
      </c>
      <c r="X569" s="23" t="s">
        <v>54</v>
      </c>
      <c r="Y569" s="23" t="s">
        <v>54</v>
      </c>
      <c r="Z569" s="23" t="s">
        <v>54</v>
      </c>
      <c r="AA569" s="23" t="s">
        <v>54</v>
      </c>
      <c r="AB569" t="s">
        <v>54</v>
      </c>
      <c r="AC569" t="s">
        <v>54</v>
      </c>
      <c r="AD569" t="s">
        <v>54</v>
      </c>
      <c r="AE569" t="s">
        <v>54</v>
      </c>
      <c r="AF569" s="23" t="s">
        <v>54</v>
      </c>
      <c r="AG569" s="23" t="s">
        <v>54</v>
      </c>
      <c r="AH569" s="23" t="s">
        <v>54</v>
      </c>
      <c r="AI569" s="23" t="s">
        <v>54</v>
      </c>
      <c r="AJ569">
        <v>0</v>
      </c>
      <c r="AK569">
        <v>0</v>
      </c>
      <c r="AL569">
        <v>0</v>
      </c>
      <c r="AM569">
        <v>0</v>
      </c>
      <c r="AN569" s="23" t="s">
        <v>54</v>
      </c>
      <c r="AO569" s="23" t="s">
        <v>54</v>
      </c>
      <c r="AP569" s="23" t="s">
        <v>54</v>
      </c>
      <c r="AQ569" s="23" t="s">
        <v>54</v>
      </c>
      <c r="AR569" s="35">
        <v>0</v>
      </c>
      <c r="AS569" s="35">
        <v>0</v>
      </c>
      <c r="AT569" s="35">
        <v>0</v>
      </c>
      <c r="AU569" s="31" t="str">
        <f t="shared" si="11"/>
        <v>库存为0</v>
      </c>
      <c r="AV569" s="36" t="str">
        <f>IFERROR($A$2+AU569,"上周无销量")</f>
        <v>上周无销量</v>
      </c>
    </row>
    <row r="570" spans="1:48">
      <c r="A570" s="21" t="s">
        <v>1225</v>
      </c>
      <c r="B570" t="s">
        <v>1226</v>
      </c>
      <c r="C570" t="s">
        <v>1222</v>
      </c>
      <c r="D570" s="31">
        <v>0</v>
      </c>
      <c r="E570" s="31">
        <v>0</v>
      </c>
      <c r="F570" s="31">
        <v>0</v>
      </c>
      <c r="G570" s="31">
        <v>0</v>
      </c>
      <c r="H570" s="32">
        <v>0</v>
      </c>
      <c r="I570">
        <v>0</v>
      </c>
      <c r="J570" s="33">
        <v>0</v>
      </c>
      <c r="K570" s="33">
        <v>0</v>
      </c>
      <c r="L570" s="33">
        <v>0</v>
      </c>
      <c r="M570">
        <v>0</v>
      </c>
      <c r="N570">
        <v>0</v>
      </c>
      <c r="O570">
        <v>0</v>
      </c>
      <c r="P570" t="s">
        <v>54</v>
      </c>
      <c r="Q570" t="s">
        <v>54</v>
      </c>
      <c r="R570" t="s">
        <v>54</v>
      </c>
      <c r="S570" t="s">
        <v>54</v>
      </c>
      <c r="T570" t="s">
        <v>54</v>
      </c>
      <c r="U570" t="s">
        <v>54</v>
      </c>
      <c r="V570" t="s">
        <v>54</v>
      </c>
      <c r="W570" t="s">
        <v>54</v>
      </c>
      <c r="X570" s="23" t="s">
        <v>54</v>
      </c>
      <c r="Y570" s="23" t="s">
        <v>54</v>
      </c>
      <c r="Z570" s="23" t="s">
        <v>54</v>
      </c>
      <c r="AA570" s="23" t="s">
        <v>54</v>
      </c>
      <c r="AB570" t="s">
        <v>54</v>
      </c>
      <c r="AC570" t="s">
        <v>54</v>
      </c>
      <c r="AD570" t="s">
        <v>54</v>
      </c>
      <c r="AE570" t="s">
        <v>54</v>
      </c>
      <c r="AF570" s="23" t="s">
        <v>54</v>
      </c>
      <c r="AG570" s="23" t="s">
        <v>54</v>
      </c>
      <c r="AH570" s="23" t="s">
        <v>54</v>
      </c>
      <c r="AI570" s="23" t="s">
        <v>54</v>
      </c>
      <c r="AJ570">
        <v>0</v>
      </c>
      <c r="AK570">
        <v>0</v>
      </c>
      <c r="AL570">
        <v>0</v>
      </c>
      <c r="AM570">
        <v>0</v>
      </c>
      <c r="AN570" s="23" t="s">
        <v>54</v>
      </c>
      <c r="AO570" s="23" t="s">
        <v>54</v>
      </c>
      <c r="AP570" s="23" t="s">
        <v>54</v>
      </c>
      <c r="AQ570" s="23" t="s">
        <v>54</v>
      </c>
      <c r="AR570" s="35">
        <v>0</v>
      </c>
      <c r="AS570" s="35">
        <v>0</v>
      </c>
      <c r="AT570" s="35">
        <v>0</v>
      </c>
      <c r="AU570" s="31" t="str">
        <f t="shared" si="11"/>
        <v>库存为0</v>
      </c>
      <c r="AV570" s="36" t="str">
        <f>IFERROR($A$2+AU570,"上周无销量")</f>
        <v>上周无销量</v>
      </c>
    </row>
    <row r="571" spans="1:48">
      <c r="A571" s="21" t="s">
        <v>1227</v>
      </c>
      <c r="B571" t="s">
        <v>1228</v>
      </c>
      <c r="C571" t="s">
        <v>1222</v>
      </c>
      <c r="D571" s="31">
        <v>0</v>
      </c>
      <c r="E571" s="31">
        <v>0</v>
      </c>
      <c r="F571" s="31">
        <v>0</v>
      </c>
      <c r="G571" s="31">
        <v>0</v>
      </c>
      <c r="H571" s="32">
        <v>0</v>
      </c>
      <c r="I571">
        <v>0</v>
      </c>
      <c r="J571" s="33">
        <v>0</v>
      </c>
      <c r="K571" s="33">
        <v>0</v>
      </c>
      <c r="L571" s="33">
        <v>0</v>
      </c>
      <c r="M571">
        <v>0</v>
      </c>
      <c r="N571">
        <v>0</v>
      </c>
      <c r="O571">
        <v>0</v>
      </c>
      <c r="P571" t="s">
        <v>54</v>
      </c>
      <c r="Q571" t="s">
        <v>54</v>
      </c>
      <c r="R571" t="s">
        <v>54</v>
      </c>
      <c r="S571" t="s">
        <v>54</v>
      </c>
      <c r="T571" t="s">
        <v>54</v>
      </c>
      <c r="U571" t="s">
        <v>54</v>
      </c>
      <c r="V571" t="s">
        <v>54</v>
      </c>
      <c r="W571" t="s">
        <v>54</v>
      </c>
      <c r="X571" s="23" t="s">
        <v>54</v>
      </c>
      <c r="Y571" s="23" t="s">
        <v>54</v>
      </c>
      <c r="Z571" s="23" t="s">
        <v>54</v>
      </c>
      <c r="AA571" s="23" t="s">
        <v>54</v>
      </c>
      <c r="AB571" t="s">
        <v>54</v>
      </c>
      <c r="AC571" t="s">
        <v>54</v>
      </c>
      <c r="AD571" t="s">
        <v>54</v>
      </c>
      <c r="AE571" t="s">
        <v>54</v>
      </c>
      <c r="AF571" s="23" t="s">
        <v>54</v>
      </c>
      <c r="AG571" s="23" t="s">
        <v>54</v>
      </c>
      <c r="AH571" s="23" t="s">
        <v>54</v>
      </c>
      <c r="AI571" s="23" t="s">
        <v>54</v>
      </c>
      <c r="AJ571">
        <v>0</v>
      </c>
      <c r="AK571">
        <v>0</v>
      </c>
      <c r="AL571">
        <v>0</v>
      </c>
      <c r="AM571">
        <v>0</v>
      </c>
      <c r="AN571" s="23" t="s">
        <v>54</v>
      </c>
      <c r="AO571" s="23" t="s">
        <v>54</v>
      </c>
      <c r="AP571" s="23" t="s">
        <v>54</v>
      </c>
      <c r="AQ571" s="23" t="s">
        <v>54</v>
      </c>
      <c r="AR571" s="35">
        <v>0</v>
      </c>
      <c r="AS571" s="35">
        <v>0</v>
      </c>
      <c r="AT571" s="35">
        <v>0</v>
      </c>
      <c r="AU571" s="31" t="str">
        <f t="shared" si="11"/>
        <v>库存为0</v>
      </c>
      <c r="AV571" s="36" t="str">
        <f>IFERROR($A$2+AU571,"上周无销量")</f>
        <v>上周无销量</v>
      </c>
    </row>
    <row r="572" spans="1:48">
      <c r="A572" s="21" t="s">
        <v>1229</v>
      </c>
      <c r="B572" t="s">
        <v>1230</v>
      </c>
      <c r="C572" t="s">
        <v>1222</v>
      </c>
      <c r="D572" s="31">
        <v>0</v>
      </c>
      <c r="E572" s="31">
        <v>0</v>
      </c>
      <c r="F572" s="31">
        <v>0</v>
      </c>
      <c r="G572" s="31">
        <v>0</v>
      </c>
      <c r="H572" s="32">
        <v>0</v>
      </c>
      <c r="I572">
        <v>0</v>
      </c>
      <c r="J572" s="33">
        <v>0</v>
      </c>
      <c r="K572" s="33">
        <v>0</v>
      </c>
      <c r="L572" s="33">
        <v>0</v>
      </c>
      <c r="M572">
        <v>0</v>
      </c>
      <c r="N572">
        <v>0</v>
      </c>
      <c r="O572">
        <v>0</v>
      </c>
      <c r="P572" t="s">
        <v>54</v>
      </c>
      <c r="Q572" t="s">
        <v>54</v>
      </c>
      <c r="R572" t="s">
        <v>54</v>
      </c>
      <c r="S572" t="s">
        <v>54</v>
      </c>
      <c r="T572" t="s">
        <v>54</v>
      </c>
      <c r="U572" t="s">
        <v>54</v>
      </c>
      <c r="V572" t="s">
        <v>54</v>
      </c>
      <c r="W572" t="s">
        <v>54</v>
      </c>
      <c r="X572" s="23" t="s">
        <v>54</v>
      </c>
      <c r="Y572" s="23" t="s">
        <v>54</v>
      </c>
      <c r="Z572" s="23" t="s">
        <v>54</v>
      </c>
      <c r="AA572" s="23" t="s">
        <v>54</v>
      </c>
      <c r="AB572" t="s">
        <v>54</v>
      </c>
      <c r="AC572" t="s">
        <v>54</v>
      </c>
      <c r="AD572" t="s">
        <v>54</v>
      </c>
      <c r="AE572" t="s">
        <v>54</v>
      </c>
      <c r="AF572" s="23" t="s">
        <v>54</v>
      </c>
      <c r="AG572" s="23" t="s">
        <v>54</v>
      </c>
      <c r="AH572" s="23" t="s">
        <v>54</v>
      </c>
      <c r="AI572" s="23" t="s">
        <v>54</v>
      </c>
      <c r="AJ572">
        <v>0</v>
      </c>
      <c r="AK572">
        <v>0</v>
      </c>
      <c r="AL572">
        <v>0</v>
      </c>
      <c r="AM572">
        <v>0</v>
      </c>
      <c r="AN572" s="23" t="s">
        <v>54</v>
      </c>
      <c r="AO572" s="23" t="s">
        <v>54</v>
      </c>
      <c r="AP572" s="23" t="s">
        <v>54</v>
      </c>
      <c r="AQ572" s="23" t="s">
        <v>54</v>
      </c>
      <c r="AR572" s="35">
        <v>0</v>
      </c>
      <c r="AS572" s="35">
        <v>0</v>
      </c>
      <c r="AT572" s="35">
        <v>0</v>
      </c>
      <c r="AU572" s="31" t="str">
        <f t="shared" si="11"/>
        <v>库存为0</v>
      </c>
      <c r="AV572" s="36" t="str">
        <f>IFERROR($A$2+AU572,"上周无销量")</f>
        <v>上周无销量</v>
      </c>
    </row>
    <row r="573" spans="1:48">
      <c r="A573" s="21" t="s">
        <v>1231</v>
      </c>
      <c r="B573" t="s">
        <v>1232</v>
      </c>
      <c r="C573" t="s">
        <v>1222</v>
      </c>
      <c r="D573" s="31">
        <v>0</v>
      </c>
      <c r="E573" s="31">
        <v>0</v>
      </c>
      <c r="F573" s="31">
        <v>0</v>
      </c>
      <c r="G573" s="31">
        <v>0</v>
      </c>
      <c r="H573" s="32">
        <v>0</v>
      </c>
      <c r="I573">
        <v>0</v>
      </c>
      <c r="J573" s="33">
        <v>0</v>
      </c>
      <c r="K573" s="33">
        <v>0</v>
      </c>
      <c r="L573" s="33">
        <v>0</v>
      </c>
      <c r="M573">
        <v>0</v>
      </c>
      <c r="N573">
        <v>0</v>
      </c>
      <c r="O573">
        <v>0</v>
      </c>
      <c r="P573" t="s">
        <v>54</v>
      </c>
      <c r="Q573" t="s">
        <v>54</v>
      </c>
      <c r="R573" t="s">
        <v>54</v>
      </c>
      <c r="S573" t="s">
        <v>54</v>
      </c>
      <c r="T573" t="s">
        <v>54</v>
      </c>
      <c r="U573" t="s">
        <v>54</v>
      </c>
      <c r="V573" t="s">
        <v>54</v>
      </c>
      <c r="W573" t="s">
        <v>54</v>
      </c>
      <c r="X573" s="23" t="s">
        <v>54</v>
      </c>
      <c r="Y573" s="23" t="s">
        <v>54</v>
      </c>
      <c r="Z573" s="23" t="s">
        <v>54</v>
      </c>
      <c r="AA573" s="23" t="s">
        <v>54</v>
      </c>
      <c r="AB573" t="s">
        <v>54</v>
      </c>
      <c r="AC573" t="s">
        <v>54</v>
      </c>
      <c r="AD573" t="s">
        <v>54</v>
      </c>
      <c r="AE573" t="s">
        <v>54</v>
      </c>
      <c r="AF573" s="23" t="s">
        <v>54</v>
      </c>
      <c r="AG573" s="23" t="s">
        <v>54</v>
      </c>
      <c r="AH573" s="23" t="s">
        <v>54</v>
      </c>
      <c r="AI573" s="23" t="s">
        <v>54</v>
      </c>
      <c r="AJ573">
        <v>0</v>
      </c>
      <c r="AK573">
        <v>0</v>
      </c>
      <c r="AL573">
        <v>0</v>
      </c>
      <c r="AM573">
        <v>0</v>
      </c>
      <c r="AN573" s="23" t="s">
        <v>54</v>
      </c>
      <c r="AO573" s="23" t="s">
        <v>54</v>
      </c>
      <c r="AP573" s="23" t="s">
        <v>54</v>
      </c>
      <c r="AQ573" s="23" t="s">
        <v>54</v>
      </c>
      <c r="AR573" s="35">
        <v>0</v>
      </c>
      <c r="AS573" s="35">
        <v>0</v>
      </c>
      <c r="AT573" s="35">
        <v>0</v>
      </c>
      <c r="AU573" s="31" t="str">
        <f t="shared" si="11"/>
        <v>库存为0</v>
      </c>
      <c r="AV573" s="36" t="str">
        <f>IFERROR($A$2+AU573,"上周无销量")</f>
        <v>上周无销量</v>
      </c>
    </row>
    <row r="574" spans="1:48">
      <c r="A574" s="21" t="s">
        <v>1233</v>
      </c>
      <c r="B574" t="s">
        <v>1234</v>
      </c>
      <c r="C574" t="s">
        <v>1222</v>
      </c>
      <c r="D574" s="31">
        <v>0</v>
      </c>
      <c r="E574" s="31">
        <v>0</v>
      </c>
      <c r="F574" s="31">
        <v>0</v>
      </c>
      <c r="G574" s="31">
        <v>0</v>
      </c>
      <c r="H574" s="32">
        <v>0</v>
      </c>
      <c r="I574">
        <v>0</v>
      </c>
      <c r="J574" s="33">
        <v>0</v>
      </c>
      <c r="K574" s="33">
        <v>0</v>
      </c>
      <c r="L574" s="33">
        <v>0</v>
      </c>
      <c r="M574">
        <v>0</v>
      </c>
      <c r="N574">
        <v>0</v>
      </c>
      <c r="O574">
        <v>0</v>
      </c>
      <c r="P574" t="s">
        <v>54</v>
      </c>
      <c r="Q574" t="s">
        <v>54</v>
      </c>
      <c r="R574" t="s">
        <v>54</v>
      </c>
      <c r="S574" t="s">
        <v>54</v>
      </c>
      <c r="T574" t="s">
        <v>54</v>
      </c>
      <c r="U574" t="s">
        <v>54</v>
      </c>
      <c r="V574" t="s">
        <v>54</v>
      </c>
      <c r="W574" t="s">
        <v>54</v>
      </c>
      <c r="X574" s="23" t="s">
        <v>54</v>
      </c>
      <c r="Y574" s="23" t="s">
        <v>54</v>
      </c>
      <c r="Z574" s="23" t="s">
        <v>54</v>
      </c>
      <c r="AA574" s="23" t="s">
        <v>54</v>
      </c>
      <c r="AB574" t="s">
        <v>54</v>
      </c>
      <c r="AC574" t="s">
        <v>54</v>
      </c>
      <c r="AD574" t="s">
        <v>54</v>
      </c>
      <c r="AE574" t="s">
        <v>54</v>
      </c>
      <c r="AF574" s="23" t="s">
        <v>54</v>
      </c>
      <c r="AG574" s="23" t="s">
        <v>54</v>
      </c>
      <c r="AH574" s="23" t="s">
        <v>54</v>
      </c>
      <c r="AI574" s="23" t="s">
        <v>54</v>
      </c>
      <c r="AJ574">
        <v>0</v>
      </c>
      <c r="AK574">
        <v>0</v>
      </c>
      <c r="AL574">
        <v>0</v>
      </c>
      <c r="AM574">
        <v>0</v>
      </c>
      <c r="AN574" s="23" t="s">
        <v>54</v>
      </c>
      <c r="AO574" s="23" t="s">
        <v>54</v>
      </c>
      <c r="AP574" s="23" t="s">
        <v>54</v>
      </c>
      <c r="AQ574" s="23" t="s">
        <v>54</v>
      </c>
      <c r="AR574" s="35">
        <v>0</v>
      </c>
      <c r="AS574" s="35">
        <v>0</v>
      </c>
      <c r="AT574" s="35">
        <v>0</v>
      </c>
      <c r="AU574" s="31" t="str">
        <f t="shared" si="11"/>
        <v>库存为0</v>
      </c>
      <c r="AV574" s="36" t="str">
        <f>IFERROR($A$2+AU574,"上周无销量")</f>
        <v>上周无销量</v>
      </c>
    </row>
    <row r="575" spans="1:48">
      <c r="A575" s="21" t="s">
        <v>1235</v>
      </c>
      <c r="B575" t="s">
        <v>1236</v>
      </c>
      <c r="C575" t="s">
        <v>1222</v>
      </c>
      <c r="D575" s="31">
        <v>0</v>
      </c>
      <c r="E575" s="31">
        <v>0</v>
      </c>
      <c r="F575" s="31">
        <v>0</v>
      </c>
      <c r="G575" s="31">
        <v>0</v>
      </c>
      <c r="H575" s="32">
        <v>0</v>
      </c>
      <c r="I575">
        <v>0</v>
      </c>
      <c r="J575" s="33">
        <v>0</v>
      </c>
      <c r="K575" s="33">
        <v>0</v>
      </c>
      <c r="L575" s="33">
        <v>0</v>
      </c>
      <c r="M575">
        <v>0</v>
      </c>
      <c r="N575">
        <v>0</v>
      </c>
      <c r="O575">
        <v>0</v>
      </c>
      <c r="P575" t="s">
        <v>54</v>
      </c>
      <c r="Q575" t="s">
        <v>54</v>
      </c>
      <c r="R575" t="s">
        <v>54</v>
      </c>
      <c r="S575" t="s">
        <v>54</v>
      </c>
      <c r="T575" t="s">
        <v>54</v>
      </c>
      <c r="U575" t="s">
        <v>54</v>
      </c>
      <c r="V575" t="s">
        <v>54</v>
      </c>
      <c r="W575" t="s">
        <v>54</v>
      </c>
      <c r="X575" s="23" t="s">
        <v>54</v>
      </c>
      <c r="Y575" s="23" t="s">
        <v>54</v>
      </c>
      <c r="Z575" s="23" t="s">
        <v>54</v>
      </c>
      <c r="AA575" s="23" t="s">
        <v>54</v>
      </c>
      <c r="AB575" t="s">
        <v>54</v>
      </c>
      <c r="AC575" t="s">
        <v>54</v>
      </c>
      <c r="AD575" t="s">
        <v>54</v>
      </c>
      <c r="AE575" t="s">
        <v>54</v>
      </c>
      <c r="AF575" s="23" t="s">
        <v>54</v>
      </c>
      <c r="AG575" s="23" t="s">
        <v>54</v>
      </c>
      <c r="AH575" s="23" t="s">
        <v>54</v>
      </c>
      <c r="AI575" s="23" t="s">
        <v>54</v>
      </c>
      <c r="AJ575">
        <v>0</v>
      </c>
      <c r="AK575">
        <v>0</v>
      </c>
      <c r="AL575">
        <v>0</v>
      </c>
      <c r="AM575">
        <v>0</v>
      </c>
      <c r="AN575" s="23" t="s">
        <v>54</v>
      </c>
      <c r="AO575" s="23" t="s">
        <v>54</v>
      </c>
      <c r="AP575" s="23" t="s">
        <v>54</v>
      </c>
      <c r="AQ575" s="23" t="s">
        <v>54</v>
      </c>
      <c r="AR575" s="35">
        <v>0</v>
      </c>
      <c r="AS575" s="35">
        <v>0</v>
      </c>
      <c r="AT575" s="35">
        <v>0</v>
      </c>
      <c r="AU575" s="31" t="str">
        <f t="shared" si="11"/>
        <v>库存为0</v>
      </c>
      <c r="AV575" s="36" t="str">
        <f>IFERROR($A$2+AU575,"上周无销量")</f>
        <v>上周无销量</v>
      </c>
    </row>
    <row r="576" spans="1:48">
      <c r="A576" s="21" t="s">
        <v>1237</v>
      </c>
      <c r="B576" t="s">
        <v>1238</v>
      </c>
      <c r="C576" t="s">
        <v>1222</v>
      </c>
      <c r="D576" s="31">
        <v>0</v>
      </c>
      <c r="E576" s="31">
        <v>0</v>
      </c>
      <c r="F576" s="31">
        <v>0</v>
      </c>
      <c r="G576" s="31">
        <v>0</v>
      </c>
      <c r="H576" s="32">
        <v>0</v>
      </c>
      <c r="I576">
        <v>0</v>
      </c>
      <c r="J576" s="33">
        <v>0</v>
      </c>
      <c r="K576" s="33">
        <v>0</v>
      </c>
      <c r="L576" s="33">
        <v>0</v>
      </c>
      <c r="M576">
        <v>0</v>
      </c>
      <c r="N576">
        <v>0</v>
      </c>
      <c r="O576">
        <v>0</v>
      </c>
      <c r="P576" t="s">
        <v>54</v>
      </c>
      <c r="Q576" t="s">
        <v>54</v>
      </c>
      <c r="R576" t="s">
        <v>54</v>
      </c>
      <c r="S576" t="s">
        <v>54</v>
      </c>
      <c r="T576" t="s">
        <v>54</v>
      </c>
      <c r="U576" t="s">
        <v>54</v>
      </c>
      <c r="V576" t="s">
        <v>54</v>
      </c>
      <c r="W576" t="s">
        <v>54</v>
      </c>
      <c r="X576" s="23" t="s">
        <v>54</v>
      </c>
      <c r="Y576" s="23" t="s">
        <v>54</v>
      </c>
      <c r="Z576" s="23" t="s">
        <v>54</v>
      </c>
      <c r="AA576" s="23" t="s">
        <v>54</v>
      </c>
      <c r="AB576" t="s">
        <v>54</v>
      </c>
      <c r="AC576" t="s">
        <v>54</v>
      </c>
      <c r="AD576" t="s">
        <v>54</v>
      </c>
      <c r="AE576" t="s">
        <v>54</v>
      </c>
      <c r="AF576" s="23" t="s">
        <v>54</v>
      </c>
      <c r="AG576" s="23" t="s">
        <v>54</v>
      </c>
      <c r="AH576" s="23" t="s">
        <v>54</v>
      </c>
      <c r="AI576" s="23" t="s">
        <v>54</v>
      </c>
      <c r="AJ576">
        <v>0</v>
      </c>
      <c r="AK576">
        <v>0</v>
      </c>
      <c r="AL576">
        <v>0</v>
      </c>
      <c r="AM576">
        <v>0</v>
      </c>
      <c r="AN576" s="23" t="s">
        <v>54</v>
      </c>
      <c r="AO576" s="23" t="s">
        <v>54</v>
      </c>
      <c r="AP576" s="23" t="s">
        <v>54</v>
      </c>
      <c r="AQ576" s="23" t="s">
        <v>54</v>
      </c>
      <c r="AR576" s="35">
        <v>0</v>
      </c>
      <c r="AS576" s="35">
        <v>0</v>
      </c>
      <c r="AT576" s="35">
        <v>0</v>
      </c>
      <c r="AU576" s="31" t="str">
        <f t="shared" si="11"/>
        <v>库存为0</v>
      </c>
      <c r="AV576" s="36" t="str">
        <f>IFERROR($A$2+AU576,"上周无销量")</f>
        <v>上周无销量</v>
      </c>
    </row>
    <row r="577" spans="1:48">
      <c r="A577" s="21" t="s">
        <v>1239</v>
      </c>
      <c r="B577" t="s">
        <v>1240</v>
      </c>
      <c r="C577" t="s">
        <v>1222</v>
      </c>
      <c r="D577" s="31">
        <v>0</v>
      </c>
      <c r="E577" s="31">
        <v>0</v>
      </c>
      <c r="F577" s="31">
        <v>0</v>
      </c>
      <c r="G577" s="31">
        <v>0</v>
      </c>
      <c r="H577" s="32">
        <v>0</v>
      </c>
      <c r="I577">
        <v>0</v>
      </c>
      <c r="J577" s="33">
        <v>0</v>
      </c>
      <c r="K577" s="33">
        <v>0</v>
      </c>
      <c r="L577" s="33">
        <v>0</v>
      </c>
      <c r="M577">
        <v>0</v>
      </c>
      <c r="N577">
        <v>0</v>
      </c>
      <c r="O577">
        <v>0</v>
      </c>
      <c r="P577" t="s">
        <v>54</v>
      </c>
      <c r="Q577" t="s">
        <v>54</v>
      </c>
      <c r="R577" t="s">
        <v>54</v>
      </c>
      <c r="S577" t="s">
        <v>54</v>
      </c>
      <c r="T577" t="s">
        <v>54</v>
      </c>
      <c r="U577" t="s">
        <v>54</v>
      </c>
      <c r="V577" t="s">
        <v>54</v>
      </c>
      <c r="W577" t="s">
        <v>54</v>
      </c>
      <c r="X577" s="23" t="s">
        <v>54</v>
      </c>
      <c r="Y577" s="23" t="s">
        <v>54</v>
      </c>
      <c r="Z577" s="23" t="s">
        <v>54</v>
      </c>
      <c r="AA577" s="23" t="s">
        <v>54</v>
      </c>
      <c r="AB577" t="s">
        <v>54</v>
      </c>
      <c r="AC577" t="s">
        <v>54</v>
      </c>
      <c r="AD577" t="s">
        <v>54</v>
      </c>
      <c r="AE577" t="s">
        <v>54</v>
      </c>
      <c r="AF577" s="23" t="s">
        <v>54</v>
      </c>
      <c r="AG577" s="23" t="s">
        <v>54</v>
      </c>
      <c r="AH577" s="23" t="s">
        <v>54</v>
      </c>
      <c r="AI577" s="23" t="s">
        <v>54</v>
      </c>
      <c r="AJ577">
        <v>0</v>
      </c>
      <c r="AK577">
        <v>0</v>
      </c>
      <c r="AL577">
        <v>0</v>
      </c>
      <c r="AM577">
        <v>0</v>
      </c>
      <c r="AN577" s="23" t="s">
        <v>54</v>
      </c>
      <c r="AO577" s="23" t="s">
        <v>54</v>
      </c>
      <c r="AP577" s="23" t="s">
        <v>54</v>
      </c>
      <c r="AQ577" s="23" t="s">
        <v>54</v>
      </c>
      <c r="AR577" s="35">
        <v>0</v>
      </c>
      <c r="AS577" s="35">
        <v>0</v>
      </c>
      <c r="AT577" s="35">
        <v>0</v>
      </c>
      <c r="AU577" s="31" t="str">
        <f t="shared" si="11"/>
        <v>库存为0</v>
      </c>
      <c r="AV577" s="36" t="str">
        <f>IFERROR($A$2+AU577,"上周无销量")</f>
        <v>上周无销量</v>
      </c>
    </row>
    <row r="578" spans="1:48">
      <c r="A578" s="21" t="s">
        <v>1241</v>
      </c>
      <c r="B578" t="s">
        <v>1242</v>
      </c>
      <c r="C578" t="s">
        <v>1222</v>
      </c>
      <c r="D578" s="31">
        <v>0</v>
      </c>
      <c r="E578" s="31">
        <v>0</v>
      </c>
      <c r="F578" s="31">
        <v>0</v>
      </c>
      <c r="G578" s="31">
        <v>0</v>
      </c>
      <c r="H578" s="32">
        <v>0</v>
      </c>
      <c r="I578">
        <v>0</v>
      </c>
      <c r="J578" s="33">
        <v>0</v>
      </c>
      <c r="K578" s="33">
        <v>0</v>
      </c>
      <c r="L578" s="33">
        <v>0</v>
      </c>
      <c r="M578">
        <v>0</v>
      </c>
      <c r="N578">
        <v>0</v>
      </c>
      <c r="O578">
        <v>0</v>
      </c>
      <c r="P578" t="s">
        <v>54</v>
      </c>
      <c r="Q578" t="s">
        <v>54</v>
      </c>
      <c r="R578" t="s">
        <v>54</v>
      </c>
      <c r="S578" t="s">
        <v>54</v>
      </c>
      <c r="T578" t="s">
        <v>54</v>
      </c>
      <c r="U578" t="s">
        <v>54</v>
      </c>
      <c r="V578" t="s">
        <v>54</v>
      </c>
      <c r="W578" t="s">
        <v>54</v>
      </c>
      <c r="X578" s="23" t="s">
        <v>54</v>
      </c>
      <c r="Y578" s="23" t="s">
        <v>54</v>
      </c>
      <c r="Z578" s="23" t="s">
        <v>54</v>
      </c>
      <c r="AA578" s="23" t="s">
        <v>54</v>
      </c>
      <c r="AB578" t="s">
        <v>54</v>
      </c>
      <c r="AC578" t="s">
        <v>54</v>
      </c>
      <c r="AD578" t="s">
        <v>54</v>
      </c>
      <c r="AE578" t="s">
        <v>54</v>
      </c>
      <c r="AF578" s="23" t="s">
        <v>54</v>
      </c>
      <c r="AG578" s="23" t="s">
        <v>54</v>
      </c>
      <c r="AH578" s="23" t="s">
        <v>54</v>
      </c>
      <c r="AI578" s="23" t="s">
        <v>54</v>
      </c>
      <c r="AJ578">
        <v>0</v>
      </c>
      <c r="AK578">
        <v>0</v>
      </c>
      <c r="AL578">
        <v>0</v>
      </c>
      <c r="AM578">
        <v>0</v>
      </c>
      <c r="AN578" s="23" t="s">
        <v>54</v>
      </c>
      <c r="AO578" s="23" t="s">
        <v>54</v>
      </c>
      <c r="AP578" s="23" t="s">
        <v>54</v>
      </c>
      <c r="AQ578" s="23" t="s">
        <v>54</v>
      </c>
      <c r="AR578" s="35">
        <v>0</v>
      </c>
      <c r="AS578" s="35">
        <v>0</v>
      </c>
      <c r="AT578" s="35">
        <v>0</v>
      </c>
      <c r="AU578" s="31" t="str">
        <f t="shared" si="11"/>
        <v>库存为0</v>
      </c>
      <c r="AV578" s="36" t="str">
        <f>IFERROR($A$2+AU578,"上周无销量")</f>
        <v>上周无销量</v>
      </c>
    </row>
    <row r="579" spans="1:48">
      <c r="A579" s="21" t="s">
        <v>1243</v>
      </c>
      <c r="B579" t="s">
        <v>1244</v>
      </c>
      <c r="C579" t="s">
        <v>1222</v>
      </c>
      <c r="D579" s="31">
        <v>0</v>
      </c>
      <c r="E579" s="31">
        <v>0</v>
      </c>
      <c r="F579" s="31">
        <v>0</v>
      </c>
      <c r="G579" s="31">
        <v>0</v>
      </c>
      <c r="H579" s="32">
        <v>0</v>
      </c>
      <c r="I579">
        <v>0</v>
      </c>
      <c r="J579" s="33">
        <v>0</v>
      </c>
      <c r="K579" s="33">
        <v>0</v>
      </c>
      <c r="L579" s="33">
        <v>0</v>
      </c>
      <c r="M579">
        <v>0</v>
      </c>
      <c r="N579">
        <v>0</v>
      </c>
      <c r="O579">
        <v>0</v>
      </c>
      <c r="P579" t="s">
        <v>54</v>
      </c>
      <c r="Q579" t="s">
        <v>54</v>
      </c>
      <c r="R579" t="s">
        <v>54</v>
      </c>
      <c r="S579" t="s">
        <v>54</v>
      </c>
      <c r="T579" t="s">
        <v>54</v>
      </c>
      <c r="U579" t="s">
        <v>54</v>
      </c>
      <c r="V579" t="s">
        <v>54</v>
      </c>
      <c r="W579" t="s">
        <v>54</v>
      </c>
      <c r="X579" s="23" t="s">
        <v>54</v>
      </c>
      <c r="Y579" s="23" t="s">
        <v>54</v>
      </c>
      <c r="Z579" s="23" t="s">
        <v>54</v>
      </c>
      <c r="AA579" s="23" t="s">
        <v>54</v>
      </c>
      <c r="AB579" t="s">
        <v>54</v>
      </c>
      <c r="AC579" t="s">
        <v>54</v>
      </c>
      <c r="AD579" t="s">
        <v>54</v>
      </c>
      <c r="AE579" t="s">
        <v>54</v>
      </c>
      <c r="AF579" s="23" t="s">
        <v>54</v>
      </c>
      <c r="AG579" s="23" t="s">
        <v>54</v>
      </c>
      <c r="AH579" s="23" t="s">
        <v>54</v>
      </c>
      <c r="AI579" s="23" t="s">
        <v>54</v>
      </c>
      <c r="AJ579">
        <v>0</v>
      </c>
      <c r="AK579">
        <v>0</v>
      </c>
      <c r="AL579">
        <v>0</v>
      </c>
      <c r="AM579">
        <v>0</v>
      </c>
      <c r="AN579" s="23" t="s">
        <v>54</v>
      </c>
      <c r="AO579" s="23" t="s">
        <v>54</v>
      </c>
      <c r="AP579" s="23" t="s">
        <v>54</v>
      </c>
      <c r="AQ579" s="23" t="s">
        <v>54</v>
      </c>
      <c r="AR579" s="35">
        <v>0</v>
      </c>
      <c r="AS579" s="35">
        <v>0</v>
      </c>
      <c r="AT579" s="35">
        <v>0</v>
      </c>
      <c r="AU579" s="31" t="str">
        <f t="shared" si="11"/>
        <v>库存为0</v>
      </c>
      <c r="AV579" s="36" t="str">
        <f>IFERROR($A$2+AU579,"上周无销量")</f>
        <v>上周无销量</v>
      </c>
    </row>
    <row r="580" spans="1:48">
      <c r="A580" s="21" t="s">
        <v>1245</v>
      </c>
      <c r="B580" t="s">
        <v>1246</v>
      </c>
      <c r="C580" t="s">
        <v>1222</v>
      </c>
      <c r="D580" s="31">
        <v>0</v>
      </c>
      <c r="E580" s="31">
        <v>0</v>
      </c>
      <c r="F580" s="31">
        <v>0</v>
      </c>
      <c r="G580" s="31">
        <v>0</v>
      </c>
      <c r="H580" s="32">
        <v>0</v>
      </c>
      <c r="I580">
        <v>0</v>
      </c>
      <c r="J580" s="33">
        <v>0</v>
      </c>
      <c r="K580" s="33">
        <v>0</v>
      </c>
      <c r="L580" s="33">
        <v>0</v>
      </c>
      <c r="M580">
        <v>0</v>
      </c>
      <c r="N580">
        <v>0</v>
      </c>
      <c r="O580">
        <v>0</v>
      </c>
      <c r="P580" t="s">
        <v>54</v>
      </c>
      <c r="Q580" t="s">
        <v>54</v>
      </c>
      <c r="R580" t="s">
        <v>54</v>
      </c>
      <c r="S580" t="s">
        <v>54</v>
      </c>
      <c r="T580" t="s">
        <v>54</v>
      </c>
      <c r="U580" t="s">
        <v>54</v>
      </c>
      <c r="V580" t="s">
        <v>54</v>
      </c>
      <c r="W580" t="s">
        <v>54</v>
      </c>
      <c r="X580" s="23" t="s">
        <v>54</v>
      </c>
      <c r="Y580" s="23" t="s">
        <v>54</v>
      </c>
      <c r="Z580" s="23" t="s">
        <v>54</v>
      </c>
      <c r="AA580" s="23" t="s">
        <v>54</v>
      </c>
      <c r="AB580" t="s">
        <v>54</v>
      </c>
      <c r="AC580" t="s">
        <v>54</v>
      </c>
      <c r="AD580" t="s">
        <v>54</v>
      </c>
      <c r="AE580" t="s">
        <v>54</v>
      </c>
      <c r="AF580" s="23" t="s">
        <v>54</v>
      </c>
      <c r="AG580" s="23" t="s">
        <v>54</v>
      </c>
      <c r="AH580" s="23" t="s">
        <v>54</v>
      </c>
      <c r="AI580" s="23" t="s">
        <v>54</v>
      </c>
      <c r="AJ580">
        <v>0</v>
      </c>
      <c r="AK580">
        <v>0</v>
      </c>
      <c r="AL580">
        <v>0</v>
      </c>
      <c r="AM580">
        <v>0</v>
      </c>
      <c r="AN580" s="23" t="s">
        <v>54</v>
      </c>
      <c r="AO580" s="23" t="s">
        <v>54</v>
      </c>
      <c r="AP580" s="23" t="s">
        <v>54</v>
      </c>
      <c r="AQ580" s="23" t="s">
        <v>54</v>
      </c>
      <c r="AR580" s="35">
        <v>0</v>
      </c>
      <c r="AS580" s="35">
        <v>0</v>
      </c>
      <c r="AT580" s="35">
        <v>0</v>
      </c>
      <c r="AU580" s="31" t="str">
        <f t="shared" si="11"/>
        <v>库存为0</v>
      </c>
      <c r="AV580" s="36" t="str">
        <f>IFERROR($A$2+AU580,"上周无销量")</f>
        <v>上周无销量</v>
      </c>
    </row>
    <row r="581" spans="1:48">
      <c r="A581" s="21" t="s">
        <v>1247</v>
      </c>
      <c r="B581" t="s">
        <v>1248</v>
      </c>
      <c r="C581" t="s">
        <v>1222</v>
      </c>
      <c r="D581" s="31">
        <v>0</v>
      </c>
      <c r="E581" s="31">
        <v>0</v>
      </c>
      <c r="F581" s="31">
        <v>0</v>
      </c>
      <c r="G581" s="31">
        <v>0</v>
      </c>
      <c r="H581" s="32">
        <v>0</v>
      </c>
      <c r="I581">
        <v>0</v>
      </c>
      <c r="J581" s="33">
        <v>0</v>
      </c>
      <c r="K581" s="33">
        <v>0</v>
      </c>
      <c r="L581" s="33">
        <v>0</v>
      </c>
      <c r="M581">
        <v>0</v>
      </c>
      <c r="N581">
        <v>0</v>
      </c>
      <c r="O581">
        <v>0</v>
      </c>
      <c r="P581" t="s">
        <v>54</v>
      </c>
      <c r="Q581" t="s">
        <v>54</v>
      </c>
      <c r="R581" t="s">
        <v>54</v>
      </c>
      <c r="S581" t="s">
        <v>54</v>
      </c>
      <c r="T581" t="s">
        <v>54</v>
      </c>
      <c r="U581" t="s">
        <v>54</v>
      </c>
      <c r="V581" t="s">
        <v>54</v>
      </c>
      <c r="W581" t="s">
        <v>54</v>
      </c>
      <c r="X581" s="23" t="s">
        <v>54</v>
      </c>
      <c r="Y581" s="23" t="s">
        <v>54</v>
      </c>
      <c r="Z581" s="23" t="s">
        <v>54</v>
      </c>
      <c r="AA581" s="23" t="s">
        <v>54</v>
      </c>
      <c r="AB581" t="s">
        <v>54</v>
      </c>
      <c r="AC581" t="s">
        <v>54</v>
      </c>
      <c r="AD581" t="s">
        <v>54</v>
      </c>
      <c r="AE581" t="s">
        <v>54</v>
      </c>
      <c r="AF581" s="23" t="s">
        <v>54</v>
      </c>
      <c r="AG581" s="23" t="s">
        <v>54</v>
      </c>
      <c r="AH581" s="23" t="s">
        <v>54</v>
      </c>
      <c r="AI581" s="23" t="s">
        <v>54</v>
      </c>
      <c r="AJ581">
        <v>0</v>
      </c>
      <c r="AK581">
        <v>0</v>
      </c>
      <c r="AL581">
        <v>0</v>
      </c>
      <c r="AM581">
        <v>0</v>
      </c>
      <c r="AN581" s="23" t="s">
        <v>54</v>
      </c>
      <c r="AO581" s="23" t="s">
        <v>54</v>
      </c>
      <c r="AP581" s="23" t="s">
        <v>54</v>
      </c>
      <c r="AQ581" s="23" t="s">
        <v>54</v>
      </c>
      <c r="AR581" s="35">
        <v>0</v>
      </c>
      <c r="AS581" s="35">
        <v>0</v>
      </c>
      <c r="AT581" s="35">
        <v>0</v>
      </c>
      <c r="AU581" s="31" t="str">
        <f t="shared" ref="AU581:AU644" si="12">IF(AR581="","库存为"&amp;M581,IF(AS581=0,"库存为"&amp;M581,INT(M581/AR581)))</f>
        <v>库存为0</v>
      </c>
      <c r="AV581" s="36" t="str">
        <f>IFERROR($A$2+AU581,"上周无销量")</f>
        <v>上周无销量</v>
      </c>
    </row>
    <row r="582" spans="1:48">
      <c r="A582" s="21" t="s">
        <v>1249</v>
      </c>
      <c r="B582" t="s">
        <v>1250</v>
      </c>
      <c r="C582" t="s">
        <v>1222</v>
      </c>
      <c r="D582" s="31">
        <v>0</v>
      </c>
      <c r="E582" s="31">
        <v>0</v>
      </c>
      <c r="F582" s="31">
        <v>0</v>
      </c>
      <c r="G582" s="31">
        <v>0</v>
      </c>
      <c r="H582" s="32">
        <v>0</v>
      </c>
      <c r="I582">
        <v>0</v>
      </c>
      <c r="J582" s="33">
        <v>0</v>
      </c>
      <c r="K582" s="33">
        <v>0</v>
      </c>
      <c r="L582" s="33">
        <v>0</v>
      </c>
      <c r="M582">
        <v>0</v>
      </c>
      <c r="N582">
        <v>0</v>
      </c>
      <c r="O582">
        <v>0</v>
      </c>
      <c r="P582" t="s">
        <v>54</v>
      </c>
      <c r="Q582" t="s">
        <v>54</v>
      </c>
      <c r="R582" t="s">
        <v>54</v>
      </c>
      <c r="S582" t="s">
        <v>54</v>
      </c>
      <c r="T582" t="s">
        <v>54</v>
      </c>
      <c r="U582" t="s">
        <v>54</v>
      </c>
      <c r="V582" t="s">
        <v>54</v>
      </c>
      <c r="W582" t="s">
        <v>54</v>
      </c>
      <c r="X582" s="23" t="s">
        <v>54</v>
      </c>
      <c r="Y582" s="23" t="s">
        <v>54</v>
      </c>
      <c r="Z582" s="23" t="s">
        <v>54</v>
      </c>
      <c r="AA582" s="23" t="s">
        <v>54</v>
      </c>
      <c r="AB582" t="s">
        <v>54</v>
      </c>
      <c r="AC582" t="s">
        <v>54</v>
      </c>
      <c r="AD582" t="s">
        <v>54</v>
      </c>
      <c r="AE582" t="s">
        <v>54</v>
      </c>
      <c r="AF582" s="23" t="s">
        <v>54</v>
      </c>
      <c r="AG582" s="23" t="s">
        <v>54</v>
      </c>
      <c r="AH582" s="23" t="s">
        <v>54</v>
      </c>
      <c r="AI582" s="23" t="s">
        <v>54</v>
      </c>
      <c r="AJ582">
        <v>0</v>
      </c>
      <c r="AK582">
        <v>0</v>
      </c>
      <c r="AL582">
        <v>0</v>
      </c>
      <c r="AM582">
        <v>0</v>
      </c>
      <c r="AN582" s="23" t="s">
        <v>54</v>
      </c>
      <c r="AO582" s="23" t="s">
        <v>54</v>
      </c>
      <c r="AP582" s="23" t="s">
        <v>54</v>
      </c>
      <c r="AQ582" s="23" t="s">
        <v>54</v>
      </c>
      <c r="AR582" s="35">
        <v>0</v>
      </c>
      <c r="AS582" s="35">
        <v>0</v>
      </c>
      <c r="AT582" s="35">
        <v>0</v>
      </c>
      <c r="AU582" s="31" t="str">
        <f t="shared" si="12"/>
        <v>库存为0</v>
      </c>
      <c r="AV582" s="36" t="str">
        <f>IFERROR($A$2+AU582,"上周无销量")</f>
        <v>上周无销量</v>
      </c>
    </row>
    <row r="583" spans="1:48">
      <c r="A583" s="21" t="s">
        <v>1251</v>
      </c>
      <c r="B583" t="s">
        <v>1252</v>
      </c>
      <c r="C583" t="s">
        <v>1222</v>
      </c>
      <c r="D583" s="31">
        <v>0</v>
      </c>
      <c r="E583" s="31">
        <v>0</v>
      </c>
      <c r="F583" s="31">
        <v>0</v>
      </c>
      <c r="G583" s="31">
        <v>0</v>
      </c>
      <c r="H583" s="32">
        <v>0</v>
      </c>
      <c r="I583">
        <v>0</v>
      </c>
      <c r="J583" s="33">
        <v>0</v>
      </c>
      <c r="K583" s="33">
        <v>0</v>
      </c>
      <c r="L583" s="33">
        <v>0</v>
      </c>
      <c r="M583">
        <v>0</v>
      </c>
      <c r="N583">
        <v>0</v>
      </c>
      <c r="O583">
        <v>0</v>
      </c>
      <c r="P583" t="s">
        <v>54</v>
      </c>
      <c r="Q583" t="s">
        <v>54</v>
      </c>
      <c r="R583" t="s">
        <v>54</v>
      </c>
      <c r="S583" t="s">
        <v>54</v>
      </c>
      <c r="T583" t="s">
        <v>54</v>
      </c>
      <c r="U583" t="s">
        <v>54</v>
      </c>
      <c r="V583" t="s">
        <v>54</v>
      </c>
      <c r="W583" t="s">
        <v>54</v>
      </c>
      <c r="X583" s="23" t="s">
        <v>54</v>
      </c>
      <c r="Y583" s="23" t="s">
        <v>54</v>
      </c>
      <c r="Z583" s="23" t="s">
        <v>54</v>
      </c>
      <c r="AA583" s="23" t="s">
        <v>54</v>
      </c>
      <c r="AB583" t="s">
        <v>54</v>
      </c>
      <c r="AC583" t="s">
        <v>54</v>
      </c>
      <c r="AD583" t="s">
        <v>54</v>
      </c>
      <c r="AE583" t="s">
        <v>54</v>
      </c>
      <c r="AF583" s="23" t="s">
        <v>54</v>
      </c>
      <c r="AG583" s="23" t="s">
        <v>54</v>
      </c>
      <c r="AH583" s="23" t="s">
        <v>54</v>
      </c>
      <c r="AI583" s="23" t="s">
        <v>54</v>
      </c>
      <c r="AJ583">
        <v>0</v>
      </c>
      <c r="AK583">
        <v>0</v>
      </c>
      <c r="AL583">
        <v>0</v>
      </c>
      <c r="AM583">
        <v>0</v>
      </c>
      <c r="AN583" s="23" t="s">
        <v>54</v>
      </c>
      <c r="AO583" s="23" t="s">
        <v>54</v>
      </c>
      <c r="AP583" s="23" t="s">
        <v>54</v>
      </c>
      <c r="AQ583" s="23" t="s">
        <v>54</v>
      </c>
      <c r="AR583" s="35">
        <v>0</v>
      </c>
      <c r="AS583" s="35">
        <v>0</v>
      </c>
      <c r="AT583" s="35">
        <v>0</v>
      </c>
      <c r="AU583" s="31" t="str">
        <f t="shared" si="12"/>
        <v>库存为0</v>
      </c>
      <c r="AV583" s="36" t="str">
        <f>IFERROR($A$2+AU583,"上周无销量")</f>
        <v>上周无销量</v>
      </c>
    </row>
    <row r="584" spans="1:48">
      <c r="A584" s="21" t="s">
        <v>1253</v>
      </c>
      <c r="B584" t="s">
        <v>1254</v>
      </c>
      <c r="C584" t="s">
        <v>1222</v>
      </c>
      <c r="D584" s="31">
        <v>0</v>
      </c>
      <c r="E584" s="31">
        <v>0</v>
      </c>
      <c r="F584" s="31">
        <v>0</v>
      </c>
      <c r="G584" s="31">
        <v>0</v>
      </c>
      <c r="H584" s="32">
        <v>0</v>
      </c>
      <c r="I584">
        <v>0</v>
      </c>
      <c r="J584" s="33">
        <v>0</v>
      </c>
      <c r="K584" s="33">
        <v>0</v>
      </c>
      <c r="L584" s="33">
        <v>0</v>
      </c>
      <c r="M584">
        <v>0</v>
      </c>
      <c r="N584">
        <v>0</v>
      </c>
      <c r="O584">
        <v>0</v>
      </c>
      <c r="P584" t="s">
        <v>54</v>
      </c>
      <c r="Q584" t="s">
        <v>54</v>
      </c>
      <c r="R584" t="s">
        <v>54</v>
      </c>
      <c r="S584" t="s">
        <v>54</v>
      </c>
      <c r="T584" t="s">
        <v>54</v>
      </c>
      <c r="U584" t="s">
        <v>54</v>
      </c>
      <c r="V584" t="s">
        <v>54</v>
      </c>
      <c r="W584" t="s">
        <v>54</v>
      </c>
      <c r="X584" s="23" t="s">
        <v>54</v>
      </c>
      <c r="Y584" s="23" t="s">
        <v>54</v>
      </c>
      <c r="Z584" s="23" t="s">
        <v>54</v>
      </c>
      <c r="AA584" s="23" t="s">
        <v>54</v>
      </c>
      <c r="AB584" t="s">
        <v>54</v>
      </c>
      <c r="AC584" t="s">
        <v>54</v>
      </c>
      <c r="AD584" t="s">
        <v>54</v>
      </c>
      <c r="AE584" t="s">
        <v>54</v>
      </c>
      <c r="AF584" s="23" t="s">
        <v>54</v>
      </c>
      <c r="AG584" s="23" t="s">
        <v>54</v>
      </c>
      <c r="AH584" s="23" t="s">
        <v>54</v>
      </c>
      <c r="AI584" s="23" t="s">
        <v>54</v>
      </c>
      <c r="AJ584">
        <v>0</v>
      </c>
      <c r="AK584">
        <v>0</v>
      </c>
      <c r="AL584">
        <v>0</v>
      </c>
      <c r="AM584">
        <v>0</v>
      </c>
      <c r="AN584" s="23" t="s">
        <v>54</v>
      </c>
      <c r="AO584" s="23" t="s">
        <v>54</v>
      </c>
      <c r="AP584" s="23" t="s">
        <v>54</v>
      </c>
      <c r="AQ584" s="23" t="s">
        <v>54</v>
      </c>
      <c r="AR584" s="35">
        <v>0</v>
      </c>
      <c r="AS584" s="35">
        <v>0</v>
      </c>
      <c r="AT584" s="35">
        <v>0</v>
      </c>
      <c r="AU584" s="31" t="str">
        <f t="shared" si="12"/>
        <v>库存为0</v>
      </c>
      <c r="AV584" s="36" t="str">
        <f>IFERROR($A$2+AU584,"上周无销量")</f>
        <v>上周无销量</v>
      </c>
    </row>
    <row r="585" spans="1:48">
      <c r="A585" s="21" t="s">
        <v>1255</v>
      </c>
      <c r="B585" t="s">
        <v>1256</v>
      </c>
      <c r="C585" t="s">
        <v>1222</v>
      </c>
      <c r="D585" s="31">
        <v>0</v>
      </c>
      <c r="E585" s="31">
        <v>0</v>
      </c>
      <c r="F585" s="31">
        <v>0</v>
      </c>
      <c r="G585" s="31">
        <v>0</v>
      </c>
      <c r="H585" s="32">
        <v>0</v>
      </c>
      <c r="I585">
        <v>0</v>
      </c>
      <c r="J585" s="33">
        <v>0</v>
      </c>
      <c r="K585" s="33">
        <v>0</v>
      </c>
      <c r="L585" s="33">
        <v>0</v>
      </c>
      <c r="M585">
        <v>0</v>
      </c>
      <c r="N585">
        <v>0</v>
      </c>
      <c r="O585">
        <v>0</v>
      </c>
      <c r="P585" t="s">
        <v>54</v>
      </c>
      <c r="Q585" t="s">
        <v>54</v>
      </c>
      <c r="R585" t="s">
        <v>54</v>
      </c>
      <c r="S585" t="s">
        <v>54</v>
      </c>
      <c r="T585" t="s">
        <v>54</v>
      </c>
      <c r="U585" t="s">
        <v>54</v>
      </c>
      <c r="V585" t="s">
        <v>54</v>
      </c>
      <c r="W585" t="s">
        <v>54</v>
      </c>
      <c r="X585" s="23" t="s">
        <v>54</v>
      </c>
      <c r="Y585" s="23" t="s">
        <v>54</v>
      </c>
      <c r="Z585" s="23" t="s">
        <v>54</v>
      </c>
      <c r="AA585" s="23" t="s">
        <v>54</v>
      </c>
      <c r="AB585" t="s">
        <v>54</v>
      </c>
      <c r="AC585" t="s">
        <v>54</v>
      </c>
      <c r="AD585" t="s">
        <v>54</v>
      </c>
      <c r="AE585" t="s">
        <v>54</v>
      </c>
      <c r="AF585" s="23" t="s">
        <v>54</v>
      </c>
      <c r="AG585" s="23" t="s">
        <v>54</v>
      </c>
      <c r="AH585" s="23" t="s">
        <v>54</v>
      </c>
      <c r="AI585" s="23" t="s">
        <v>54</v>
      </c>
      <c r="AJ585">
        <v>0</v>
      </c>
      <c r="AK585">
        <v>0</v>
      </c>
      <c r="AL585">
        <v>0</v>
      </c>
      <c r="AM585">
        <v>0</v>
      </c>
      <c r="AN585" s="23" t="s">
        <v>54</v>
      </c>
      <c r="AO585" s="23" t="s">
        <v>54</v>
      </c>
      <c r="AP585" s="23" t="s">
        <v>54</v>
      </c>
      <c r="AQ585" s="23" t="s">
        <v>54</v>
      </c>
      <c r="AR585" s="35">
        <v>0</v>
      </c>
      <c r="AS585" s="35">
        <v>0</v>
      </c>
      <c r="AT585" s="35">
        <v>0</v>
      </c>
      <c r="AU585" s="31" t="str">
        <f t="shared" si="12"/>
        <v>库存为0</v>
      </c>
      <c r="AV585" s="36" t="str">
        <f>IFERROR($A$2+AU585,"上周无销量")</f>
        <v>上周无销量</v>
      </c>
    </row>
    <row r="586" spans="1:48">
      <c r="A586" s="21" t="s">
        <v>1257</v>
      </c>
      <c r="B586" t="s">
        <v>1258</v>
      </c>
      <c r="C586" t="s">
        <v>1222</v>
      </c>
      <c r="D586" s="31">
        <v>0</v>
      </c>
      <c r="E586" s="31">
        <v>0</v>
      </c>
      <c r="F586" s="31">
        <v>0</v>
      </c>
      <c r="G586" s="31">
        <v>0</v>
      </c>
      <c r="H586" s="32">
        <v>0</v>
      </c>
      <c r="I586">
        <v>0</v>
      </c>
      <c r="J586" s="33">
        <v>0</v>
      </c>
      <c r="K586" s="33">
        <v>0</v>
      </c>
      <c r="L586" s="33">
        <v>0</v>
      </c>
      <c r="M586">
        <v>0</v>
      </c>
      <c r="N586">
        <v>0</v>
      </c>
      <c r="O586">
        <v>0</v>
      </c>
      <c r="P586" t="s">
        <v>54</v>
      </c>
      <c r="Q586" t="s">
        <v>54</v>
      </c>
      <c r="R586" t="s">
        <v>54</v>
      </c>
      <c r="S586" t="s">
        <v>54</v>
      </c>
      <c r="T586" t="s">
        <v>54</v>
      </c>
      <c r="U586" t="s">
        <v>54</v>
      </c>
      <c r="V586" t="s">
        <v>54</v>
      </c>
      <c r="W586" t="s">
        <v>54</v>
      </c>
      <c r="X586" s="23" t="s">
        <v>54</v>
      </c>
      <c r="Y586" s="23" t="s">
        <v>54</v>
      </c>
      <c r="Z586" s="23" t="s">
        <v>54</v>
      </c>
      <c r="AA586" s="23" t="s">
        <v>54</v>
      </c>
      <c r="AB586" t="s">
        <v>54</v>
      </c>
      <c r="AC586" t="s">
        <v>54</v>
      </c>
      <c r="AD586" t="s">
        <v>54</v>
      </c>
      <c r="AE586" t="s">
        <v>54</v>
      </c>
      <c r="AF586" s="23" t="s">
        <v>54</v>
      </c>
      <c r="AG586" s="23" t="s">
        <v>54</v>
      </c>
      <c r="AH586" s="23" t="s">
        <v>54</v>
      </c>
      <c r="AI586" s="23" t="s">
        <v>54</v>
      </c>
      <c r="AJ586">
        <v>0</v>
      </c>
      <c r="AK586">
        <v>0</v>
      </c>
      <c r="AL586">
        <v>0</v>
      </c>
      <c r="AM586">
        <v>0</v>
      </c>
      <c r="AN586" s="23" t="s">
        <v>54</v>
      </c>
      <c r="AO586" s="23" t="s">
        <v>54</v>
      </c>
      <c r="AP586" s="23" t="s">
        <v>54</v>
      </c>
      <c r="AQ586" s="23" t="s">
        <v>54</v>
      </c>
      <c r="AR586" s="35">
        <v>0</v>
      </c>
      <c r="AS586" s="35">
        <v>0</v>
      </c>
      <c r="AT586" s="35">
        <v>0</v>
      </c>
      <c r="AU586" s="31" t="str">
        <f t="shared" si="12"/>
        <v>库存为0</v>
      </c>
      <c r="AV586" s="36" t="str">
        <f>IFERROR($A$2+AU586,"上周无销量")</f>
        <v>上周无销量</v>
      </c>
    </row>
    <row r="587" spans="1:48">
      <c r="A587" s="21" t="s">
        <v>1259</v>
      </c>
      <c r="B587" t="s">
        <v>1260</v>
      </c>
      <c r="C587" t="s">
        <v>1222</v>
      </c>
      <c r="D587" s="31">
        <v>0</v>
      </c>
      <c r="E587" s="31">
        <v>0</v>
      </c>
      <c r="F587" s="31">
        <v>0</v>
      </c>
      <c r="G587" s="31">
        <v>0</v>
      </c>
      <c r="H587" s="32">
        <v>0</v>
      </c>
      <c r="I587">
        <v>0</v>
      </c>
      <c r="J587" s="33">
        <v>0</v>
      </c>
      <c r="K587" s="33">
        <v>0</v>
      </c>
      <c r="L587" s="33">
        <v>0</v>
      </c>
      <c r="M587">
        <v>0</v>
      </c>
      <c r="N587">
        <v>0</v>
      </c>
      <c r="O587">
        <v>0</v>
      </c>
      <c r="P587" t="s">
        <v>54</v>
      </c>
      <c r="Q587" t="s">
        <v>54</v>
      </c>
      <c r="R587" t="s">
        <v>54</v>
      </c>
      <c r="S587" t="s">
        <v>54</v>
      </c>
      <c r="T587" t="s">
        <v>54</v>
      </c>
      <c r="U587" t="s">
        <v>54</v>
      </c>
      <c r="V587" t="s">
        <v>54</v>
      </c>
      <c r="W587" t="s">
        <v>54</v>
      </c>
      <c r="X587" s="23" t="s">
        <v>54</v>
      </c>
      <c r="Y587" s="23" t="s">
        <v>54</v>
      </c>
      <c r="Z587" s="23" t="s">
        <v>54</v>
      </c>
      <c r="AA587" s="23" t="s">
        <v>54</v>
      </c>
      <c r="AB587" t="s">
        <v>54</v>
      </c>
      <c r="AC587" t="s">
        <v>54</v>
      </c>
      <c r="AD587" t="s">
        <v>54</v>
      </c>
      <c r="AE587" t="s">
        <v>54</v>
      </c>
      <c r="AF587" s="23" t="s">
        <v>54</v>
      </c>
      <c r="AG587" s="23" t="s">
        <v>54</v>
      </c>
      <c r="AH587" s="23" t="s">
        <v>54</v>
      </c>
      <c r="AI587" s="23" t="s">
        <v>54</v>
      </c>
      <c r="AJ587">
        <v>0</v>
      </c>
      <c r="AK587">
        <v>0</v>
      </c>
      <c r="AL587">
        <v>0</v>
      </c>
      <c r="AM587">
        <v>0</v>
      </c>
      <c r="AN587" s="23" t="s">
        <v>54</v>
      </c>
      <c r="AO587" s="23" t="s">
        <v>54</v>
      </c>
      <c r="AP587" s="23" t="s">
        <v>54</v>
      </c>
      <c r="AQ587" s="23" t="s">
        <v>54</v>
      </c>
      <c r="AR587" s="35">
        <v>0</v>
      </c>
      <c r="AS587" s="35">
        <v>0</v>
      </c>
      <c r="AT587" s="35">
        <v>0</v>
      </c>
      <c r="AU587" s="31" t="str">
        <f t="shared" si="12"/>
        <v>库存为0</v>
      </c>
      <c r="AV587" s="36" t="str">
        <f>IFERROR($A$2+AU587,"上周无销量")</f>
        <v>上周无销量</v>
      </c>
    </row>
    <row r="588" spans="1:48">
      <c r="A588" s="21" t="s">
        <v>1261</v>
      </c>
      <c r="B588" t="s">
        <v>1262</v>
      </c>
      <c r="C588" t="s">
        <v>1222</v>
      </c>
      <c r="D588" s="31">
        <v>0</v>
      </c>
      <c r="E588" s="31">
        <v>0</v>
      </c>
      <c r="F588" s="31">
        <v>0</v>
      </c>
      <c r="G588" s="31">
        <v>0</v>
      </c>
      <c r="H588" s="32">
        <v>0</v>
      </c>
      <c r="I588">
        <v>0</v>
      </c>
      <c r="J588" s="33">
        <v>0</v>
      </c>
      <c r="K588" s="33">
        <v>0</v>
      </c>
      <c r="L588" s="33">
        <v>0</v>
      </c>
      <c r="M588">
        <v>0</v>
      </c>
      <c r="N588">
        <v>0</v>
      </c>
      <c r="O588">
        <v>0</v>
      </c>
      <c r="P588" t="s">
        <v>54</v>
      </c>
      <c r="Q588" t="s">
        <v>54</v>
      </c>
      <c r="R588" t="s">
        <v>54</v>
      </c>
      <c r="S588" t="s">
        <v>54</v>
      </c>
      <c r="T588" t="s">
        <v>54</v>
      </c>
      <c r="U588" t="s">
        <v>54</v>
      </c>
      <c r="V588" t="s">
        <v>54</v>
      </c>
      <c r="W588" t="s">
        <v>54</v>
      </c>
      <c r="X588" s="23" t="s">
        <v>54</v>
      </c>
      <c r="Y588" s="23" t="s">
        <v>54</v>
      </c>
      <c r="Z588" s="23" t="s">
        <v>54</v>
      </c>
      <c r="AA588" s="23" t="s">
        <v>54</v>
      </c>
      <c r="AB588" t="s">
        <v>54</v>
      </c>
      <c r="AC588" t="s">
        <v>54</v>
      </c>
      <c r="AD588" t="s">
        <v>54</v>
      </c>
      <c r="AE588" t="s">
        <v>54</v>
      </c>
      <c r="AF588" s="23" t="s">
        <v>54</v>
      </c>
      <c r="AG588" s="23" t="s">
        <v>54</v>
      </c>
      <c r="AH588" s="23" t="s">
        <v>54</v>
      </c>
      <c r="AI588" s="23" t="s">
        <v>54</v>
      </c>
      <c r="AJ588">
        <v>0</v>
      </c>
      <c r="AK588">
        <v>0</v>
      </c>
      <c r="AL588">
        <v>0</v>
      </c>
      <c r="AM588">
        <v>0</v>
      </c>
      <c r="AN588" s="23" t="s">
        <v>54</v>
      </c>
      <c r="AO588" s="23" t="s">
        <v>54</v>
      </c>
      <c r="AP588" s="23" t="s">
        <v>54</v>
      </c>
      <c r="AQ588" s="23" t="s">
        <v>54</v>
      </c>
      <c r="AR588" s="35">
        <v>0</v>
      </c>
      <c r="AS588" s="35">
        <v>0</v>
      </c>
      <c r="AT588" s="35">
        <v>0</v>
      </c>
      <c r="AU588" s="31" t="str">
        <f t="shared" si="12"/>
        <v>库存为0</v>
      </c>
      <c r="AV588" s="36" t="str">
        <f>IFERROR($A$2+AU588,"上周无销量")</f>
        <v>上周无销量</v>
      </c>
    </row>
    <row r="589" spans="1:48">
      <c r="A589" s="21" t="s">
        <v>1263</v>
      </c>
      <c r="B589" t="s">
        <v>1264</v>
      </c>
      <c r="C589" t="s">
        <v>1222</v>
      </c>
      <c r="D589" s="31">
        <v>0</v>
      </c>
      <c r="E589" s="31">
        <v>0</v>
      </c>
      <c r="F589" s="31">
        <v>0</v>
      </c>
      <c r="G589" s="31">
        <v>0</v>
      </c>
      <c r="H589" s="32">
        <v>0</v>
      </c>
      <c r="I589">
        <v>0</v>
      </c>
      <c r="J589" s="33">
        <v>0</v>
      </c>
      <c r="K589" s="33">
        <v>0</v>
      </c>
      <c r="L589" s="33">
        <v>0</v>
      </c>
      <c r="M589">
        <v>0</v>
      </c>
      <c r="N589">
        <v>0</v>
      </c>
      <c r="O589">
        <v>0</v>
      </c>
      <c r="P589" t="s">
        <v>54</v>
      </c>
      <c r="Q589" t="s">
        <v>54</v>
      </c>
      <c r="R589" t="s">
        <v>54</v>
      </c>
      <c r="S589" t="s">
        <v>54</v>
      </c>
      <c r="T589" t="s">
        <v>54</v>
      </c>
      <c r="U589" t="s">
        <v>54</v>
      </c>
      <c r="V589" t="s">
        <v>54</v>
      </c>
      <c r="W589" t="s">
        <v>54</v>
      </c>
      <c r="X589" s="23" t="s">
        <v>54</v>
      </c>
      <c r="Y589" s="23" t="s">
        <v>54</v>
      </c>
      <c r="Z589" s="23" t="s">
        <v>54</v>
      </c>
      <c r="AA589" s="23" t="s">
        <v>54</v>
      </c>
      <c r="AB589" t="s">
        <v>54</v>
      </c>
      <c r="AC589" t="s">
        <v>54</v>
      </c>
      <c r="AD589" t="s">
        <v>54</v>
      </c>
      <c r="AE589" t="s">
        <v>54</v>
      </c>
      <c r="AF589" s="23" t="s">
        <v>54</v>
      </c>
      <c r="AG589" s="23" t="s">
        <v>54</v>
      </c>
      <c r="AH589" s="23" t="s">
        <v>54</v>
      </c>
      <c r="AI589" s="23" t="s">
        <v>54</v>
      </c>
      <c r="AJ589">
        <v>0</v>
      </c>
      <c r="AK589">
        <v>0</v>
      </c>
      <c r="AL589">
        <v>0</v>
      </c>
      <c r="AM589">
        <v>0</v>
      </c>
      <c r="AN589" s="23" t="s">
        <v>54</v>
      </c>
      <c r="AO589" s="23" t="s">
        <v>54</v>
      </c>
      <c r="AP589" s="23" t="s">
        <v>54</v>
      </c>
      <c r="AQ589" s="23" t="s">
        <v>54</v>
      </c>
      <c r="AR589" s="35">
        <v>0</v>
      </c>
      <c r="AS589" s="35">
        <v>0</v>
      </c>
      <c r="AT589" s="35">
        <v>0</v>
      </c>
      <c r="AU589" s="31" t="str">
        <f t="shared" si="12"/>
        <v>库存为0</v>
      </c>
      <c r="AV589" s="36" t="str">
        <f>IFERROR($A$2+AU589,"上周无销量")</f>
        <v>上周无销量</v>
      </c>
    </row>
    <row r="590" spans="1:48">
      <c r="A590" s="21" t="s">
        <v>1265</v>
      </c>
      <c r="B590" t="s">
        <v>1266</v>
      </c>
      <c r="C590" t="s">
        <v>1222</v>
      </c>
      <c r="D590" s="31">
        <v>0</v>
      </c>
      <c r="E590" s="31">
        <v>0</v>
      </c>
      <c r="F590" s="31">
        <v>0</v>
      </c>
      <c r="G590" s="31">
        <v>0</v>
      </c>
      <c r="H590" s="32">
        <v>0</v>
      </c>
      <c r="I590">
        <v>0</v>
      </c>
      <c r="J590" s="33">
        <v>0</v>
      </c>
      <c r="K590" s="33">
        <v>0</v>
      </c>
      <c r="L590" s="33">
        <v>0</v>
      </c>
      <c r="M590">
        <v>0</v>
      </c>
      <c r="N590">
        <v>0</v>
      </c>
      <c r="O590">
        <v>0</v>
      </c>
      <c r="P590" t="s">
        <v>54</v>
      </c>
      <c r="Q590" t="s">
        <v>54</v>
      </c>
      <c r="R590" t="s">
        <v>54</v>
      </c>
      <c r="S590" t="s">
        <v>54</v>
      </c>
      <c r="T590" t="s">
        <v>54</v>
      </c>
      <c r="U590" t="s">
        <v>54</v>
      </c>
      <c r="V590" t="s">
        <v>54</v>
      </c>
      <c r="W590" t="s">
        <v>54</v>
      </c>
      <c r="X590" s="23" t="s">
        <v>54</v>
      </c>
      <c r="Y590" s="23" t="s">
        <v>54</v>
      </c>
      <c r="Z590" s="23" t="s">
        <v>54</v>
      </c>
      <c r="AA590" s="23" t="s">
        <v>54</v>
      </c>
      <c r="AB590" t="s">
        <v>54</v>
      </c>
      <c r="AC590" t="s">
        <v>54</v>
      </c>
      <c r="AD590" t="s">
        <v>54</v>
      </c>
      <c r="AE590" t="s">
        <v>54</v>
      </c>
      <c r="AF590" s="23" t="s">
        <v>54</v>
      </c>
      <c r="AG590" s="23" t="s">
        <v>54</v>
      </c>
      <c r="AH590" s="23" t="s">
        <v>54</v>
      </c>
      <c r="AI590" s="23" t="s">
        <v>54</v>
      </c>
      <c r="AJ590">
        <v>0</v>
      </c>
      <c r="AK590">
        <v>0</v>
      </c>
      <c r="AL590">
        <v>0</v>
      </c>
      <c r="AM590">
        <v>0</v>
      </c>
      <c r="AN590" s="23" t="s">
        <v>54</v>
      </c>
      <c r="AO590" s="23" t="s">
        <v>54</v>
      </c>
      <c r="AP590" s="23" t="s">
        <v>54</v>
      </c>
      <c r="AQ590" s="23" t="s">
        <v>54</v>
      </c>
      <c r="AR590" s="35">
        <v>0</v>
      </c>
      <c r="AS590" s="35">
        <v>0</v>
      </c>
      <c r="AT590" s="35">
        <v>0</v>
      </c>
      <c r="AU590" s="31" t="str">
        <f t="shared" si="12"/>
        <v>库存为0</v>
      </c>
      <c r="AV590" s="36" t="str">
        <f>IFERROR($A$2+AU590,"上周无销量")</f>
        <v>上周无销量</v>
      </c>
    </row>
    <row r="591" spans="1:48">
      <c r="A591" s="21" t="s">
        <v>1267</v>
      </c>
      <c r="B591" t="s">
        <v>1268</v>
      </c>
      <c r="C591" t="s">
        <v>1222</v>
      </c>
      <c r="D591" s="31">
        <v>0</v>
      </c>
      <c r="E591" s="31">
        <v>0</v>
      </c>
      <c r="F591" s="31">
        <v>0</v>
      </c>
      <c r="G591" s="31">
        <v>0</v>
      </c>
      <c r="H591" s="32">
        <v>0</v>
      </c>
      <c r="I591">
        <v>0</v>
      </c>
      <c r="J591" s="33">
        <v>0</v>
      </c>
      <c r="K591" s="33">
        <v>0</v>
      </c>
      <c r="L591" s="33">
        <v>0</v>
      </c>
      <c r="M591">
        <v>0</v>
      </c>
      <c r="N591">
        <v>0</v>
      </c>
      <c r="O591">
        <v>0</v>
      </c>
      <c r="P591" t="s">
        <v>54</v>
      </c>
      <c r="Q591" t="s">
        <v>54</v>
      </c>
      <c r="R591" t="s">
        <v>54</v>
      </c>
      <c r="S591" t="s">
        <v>54</v>
      </c>
      <c r="T591" t="s">
        <v>54</v>
      </c>
      <c r="U591" t="s">
        <v>54</v>
      </c>
      <c r="V591" t="s">
        <v>54</v>
      </c>
      <c r="W591" t="s">
        <v>54</v>
      </c>
      <c r="X591" s="23" t="s">
        <v>54</v>
      </c>
      <c r="Y591" s="23" t="s">
        <v>54</v>
      </c>
      <c r="Z591" s="23" t="s">
        <v>54</v>
      </c>
      <c r="AA591" s="23" t="s">
        <v>54</v>
      </c>
      <c r="AB591" t="s">
        <v>54</v>
      </c>
      <c r="AC591" t="s">
        <v>54</v>
      </c>
      <c r="AD591" t="s">
        <v>54</v>
      </c>
      <c r="AE591" t="s">
        <v>54</v>
      </c>
      <c r="AF591" s="23" t="s">
        <v>54</v>
      </c>
      <c r="AG591" s="23" t="s">
        <v>54</v>
      </c>
      <c r="AH591" s="23" t="s">
        <v>54</v>
      </c>
      <c r="AI591" s="23" t="s">
        <v>54</v>
      </c>
      <c r="AJ591">
        <v>0</v>
      </c>
      <c r="AK591">
        <v>0</v>
      </c>
      <c r="AL591">
        <v>0</v>
      </c>
      <c r="AM591">
        <v>0</v>
      </c>
      <c r="AN591" s="23" t="s">
        <v>54</v>
      </c>
      <c r="AO591" s="23" t="s">
        <v>54</v>
      </c>
      <c r="AP591" s="23" t="s">
        <v>54</v>
      </c>
      <c r="AQ591" s="23" t="s">
        <v>54</v>
      </c>
      <c r="AR591" s="35">
        <v>0</v>
      </c>
      <c r="AS591" s="35">
        <v>0</v>
      </c>
      <c r="AT591" s="35">
        <v>0</v>
      </c>
      <c r="AU591" s="31" t="str">
        <f t="shared" si="12"/>
        <v>库存为0</v>
      </c>
      <c r="AV591" s="36" t="str">
        <f>IFERROR($A$2+AU591,"上周无销量")</f>
        <v>上周无销量</v>
      </c>
    </row>
    <row r="592" spans="1:48">
      <c r="A592" s="21" t="s">
        <v>1269</v>
      </c>
      <c r="B592" t="s">
        <v>1270</v>
      </c>
      <c r="C592" t="s">
        <v>1222</v>
      </c>
      <c r="D592" s="31">
        <v>0</v>
      </c>
      <c r="E592" s="31">
        <v>0</v>
      </c>
      <c r="F592" s="31">
        <v>0</v>
      </c>
      <c r="G592" s="31">
        <v>0</v>
      </c>
      <c r="H592" s="32">
        <v>0</v>
      </c>
      <c r="I592">
        <v>0</v>
      </c>
      <c r="J592" s="33">
        <v>0</v>
      </c>
      <c r="K592" s="33">
        <v>0</v>
      </c>
      <c r="L592" s="33">
        <v>0</v>
      </c>
      <c r="M592">
        <v>0</v>
      </c>
      <c r="N592">
        <v>0</v>
      </c>
      <c r="O592">
        <v>0</v>
      </c>
      <c r="P592" t="s">
        <v>54</v>
      </c>
      <c r="Q592" t="s">
        <v>54</v>
      </c>
      <c r="R592" t="s">
        <v>54</v>
      </c>
      <c r="S592" t="s">
        <v>54</v>
      </c>
      <c r="T592" t="s">
        <v>54</v>
      </c>
      <c r="U592" t="s">
        <v>54</v>
      </c>
      <c r="V592" t="s">
        <v>54</v>
      </c>
      <c r="W592" t="s">
        <v>54</v>
      </c>
      <c r="X592" s="23" t="s">
        <v>54</v>
      </c>
      <c r="Y592" s="23" t="s">
        <v>54</v>
      </c>
      <c r="Z592" s="23" t="s">
        <v>54</v>
      </c>
      <c r="AA592" s="23" t="s">
        <v>54</v>
      </c>
      <c r="AB592" t="s">
        <v>54</v>
      </c>
      <c r="AC592" t="s">
        <v>54</v>
      </c>
      <c r="AD592" t="s">
        <v>54</v>
      </c>
      <c r="AE592" t="s">
        <v>54</v>
      </c>
      <c r="AF592" s="23" t="s">
        <v>54</v>
      </c>
      <c r="AG592" s="23" t="s">
        <v>54</v>
      </c>
      <c r="AH592" s="23" t="s">
        <v>54</v>
      </c>
      <c r="AI592" s="23" t="s">
        <v>54</v>
      </c>
      <c r="AJ592">
        <v>0</v>
      </c>
      <c r="AK592">
        <v>0</v>
      </c>
      <c r="AL592">
        <v>0</v>
      </c>
      <c r="AM592">
        <v>0</v>
      </c>
      <c r="AN592" s="23" t="s">
        <v>54</v>
      </c>
      <c r="AO592" s="23" t="s">
        <v>54</v>
      </c>
      <c r="AP592" s="23" t="s">
        <v>54</v>
      </c>
      <c r="AQ592" s="23" t="s">
        <v>54</v>
      </c>
      <c r="AR592" s="35">
        <v>0</v>
      </c>
      <c r="AS592" s="35">
        <v>0</v>
      </c>
      <c r="AT592" s="35">
        <v>0</v>
      </c>
      <c r="AU592" s="31" t="str">
        <f t="shared" si="12"/>
        <v>库存为0</v>
      </c>
      <c r="AV592" s="36" t="str">
        <f>IFERROR($A$2+AU592,"上周无销量")</f>
        <v>上周无销量</v>
      </c>
    </row>
    <row r="593" spans="1:48">
      <c r="A593" s="21" t="s">
        <v>1271</v>
      </c>
      <c r="B593" t="s">
        <v>1272</v>
      </c>
      <c r="C593" t="s">
        <v>1222</v>
      </c>
      <c r="D593" s="31">
        <v>0</v>
      </c>
      <c r="E593" s="31">
        <v>0</v>
      </c>
      <c r="F593" s="31">
        <v>0</v>
      </c>
      <c r="G593" s="31">
        <v>0</v>
      </c>
      <c r="H593" s="32">
        <v>0</v>
      </c>
      <c r="I593">
        <v>0</v>
      </c>
      <c r="J593" s="33">
        <v>0</v>
      </c>
      <c r="K593" s="33">
        <v>0</v>
      </c>
      <c r="L593" s="33">
        <v>0</v>
      </c>
      <c r="M593">
        <v>0</v>
      </c>
      <c r="N593">
        <v>0</v>
      </c>
      <c r="O593">
        <v>0</v>
      </c>
      <c r="P593" t="s">
        <v>54</v>
      </c>
      <c r="Q593" t="s">
        <v>54</v>
      </c>
      <c r="R593" t="s">
        <v>54</v>
      </c>
      <c r="S593" t="s">
        <v>54</v>
      </c>
      <c r="T593" t="s">
        <v>54</v>
      </c>
      <c r="U593" t="s">
        <v>54</v>
      </c>
      <c r="V593" t="s">
        <v>54</v>
      </c>
      <c r="W593" t="s">
        <v>54</v>
      </c>
      <c r="X593" s="23" t="s">
        <v>54</v>
      </c>
      <c r="Y593" s="23" t="s">
        <v>54</v>
      </c>
      <c r="Z593" s="23" t="s">
        <v>54</v>
      </c>
      <c r="AA593" s="23" t="s">
        <v>54</v>
      </c>
      <c r="AB593" t="s">
        <v>54</v>
      </c>
      <c r="AC593" t="s">
        <v>54</v>
      </c>
      <c r="AD593" t="s">
        <v>54</v>
      </c>
      <c r="AE593" t="s">
        <v>54</v>
      </c>
      <c r="AF593" s="23" t="s">
        <v>54</v>
      </c>
      <c r="AG593" s="23" t="s">
        <v>54</v>
      </c>
      <c r="AH593" s="23" t="s">
        <v>54</v>
      </c>
      <c r="AI593" s="23" t="s">
        <v>54</v>
      </c>
      <c r="AJ593">
        <v>0</v>
      </c>
      <c r="AK593">
        <v>0</v>
      </c>
      <c r="AL593">
        <v>0</v>
      </c>
      <c r="AM593">
        <v>0</v>
      </c>
      <c r="AN593" s="23" t="s">
        <v>54</v>
      </c>
      <c r="AO593" s="23" t="s">
        <v>54</v>
      </c>
      <c r="AP593" s="23" t="s">
        <v>54</v>
      </c>
      <c r="AQ593" s="23" t="s">
        <v>54</v>
      </c>
      <c r="AR593" s="35">
        <v>0</v>
      </c>
      <c r="AS593" s="35">
        <v>0</v>
      </c>
      <c r="AT593" s="35">
        <v>0</v>
      </c>
      <c r="AU593" s="31" t="str">
        <f t="shared" si="12"/>
        <v>库存为0</v>
      </c>
      <c r="AV593" s="36" t="str">
        <f>IFERROR($A$2+AU593,"上周无销量")</f>
        <v>上周无销量</v>
      </c>
    </row>
    <row r="594" spans="1:48">
      <c r="A594" s="21" t="s">
        <v>1273</v>
      </c>
      <c r="B594" t="s">
        <v>1274</v>
      </c>
      <c r="C594" t="s">
        <v>1222</v>
      </c>
      <c r="D594" s="31">
        <v>0</v>
      </c>
      <c r="E594" s="31">
        <v>0</v>
      </c>
      <c r="F594" s="31">
        <v>0</v>
      </c>
      <c r="G594" s="31">
        <v>0</v>
      </c>
      <c r="H594" s="32">
        <v>0</v>
      </c>
      <c r="I594">
        <v>0</v>
      </c>
      <c r="J594" s="33">
        <v>0</v>
      </c>
      <c r="K594" s="33">
        <v>0</v>
      </c>
      <c r="L594" s="33">
        <v>0</v>
      </c>
      <c r="M594">
        <v>0</v>
      </c>
      <c r="N594">
        <v>0</v>
      </c>
      <c r="O594">
        <v>0</v>
      </c>
      <c r="P594" t="s">
        <v>54</v>
      </c>
      <c r="Q594" t="s">
        <v>54</v>
      </c>
      <c r="R594" t="s">
        <v>54</v>
      </c>
      <c r="S594" t="s">
        <v>54</v>
      </c>
      <c r="T594" t="s">
        <v>54</v>
      </c>
      <c r="U594" t="s">
        <v>54</v>
      </c>
      <c r="V594" t="s">
        <v>54</v>
      </c>
      <c r="W594" t="s">
        <v>54</v>
      </c>
      <c r="X594" s="23" t="s">
        <v>54</v>
      </c>
      <c r="Y594" s="23" t="s">
        <v>54</v>
      </c>
      <c r="Z594" s="23" t="s">
        <v>54</v>
      </c>
      <c r="AA594" s="23" t="s">
        <v>54</v>
      </c>
      <c r="AB594" t="s">
        <v>54</v>
      </c>
      <c r="AC594" t="s">
        <v>54</v>
      </c>
      <c r="AD594" t="s">
        <v>54</v>
      </c>
      <c r="AE594" t="s">
        <v>54</v>
      </c>
      <c r="AF594" s="23" t="s">
        <v>54</v>
      </c>
      <c r="AG594" s="23" t="s">
        <v>54</v>
      </c>
      <c r="AH594" s="23" t="s">
        <v>54</v>
      </c>
      <c r="AI594" s="23" t="s">
        <v>54</v>
      </c>
      <c r="AJ594">
        <v>0</v>
      </c>
      <c r="AK594">
        <v>0</v>
      </c>
      <c r="AL594">
        <v>0</v>
      </c>
      <c r="AM594">
        <v>0</v>
      </c>
      <c r="AN594" s="23" t="s">
        <v>54</v>
      </c>
      <c r="AO594" s="23" t="s">
        <v>54</v>
      </c>
      <c r="AP594" s="23" t="s">
        <v>54</v>
      </c>
      <c r="AQ594" s="23" t="s">
        <v>54</v>
      </c>
      <c r="AR594" s="35">
        <v>0</v>
      </c>
      <c r="AS594" s="35">
        <v>0</v>
      </c>
      <c r="AT594" s="35">
        <v>0</v>
      </c>
      <c r="AU594" s="31" t="str">
        <f t="shared" si="12"/>
        <v>库存为0</v>
      </c>
      <c r="AV594" s="36" t="str">
        <f>IFERROR($A$2+AU594,"上周无销量")</f>
        <v>上周无销量</v>
      </c>
    </row>
    <row r="595" spans="1:48">
      <c r="A595" s="21" t="s">
        <v>1275</v>
      </c>
      <c r="B595" t="s">
        <v>1276</v>
      </c>
      <c r="C595" t="s">
        <v>1222</v>
      </c>
      <c r="D595" s="31">
        <v>0</v>
      </c>
      <c r="E595" s="31">
        <v>0</v>
      </c>
      <c r="F595" s="31">
        <v>0</v>
      </c>
      <c r="G595" s="31">
        <v>0</v>
      </c>
      <c r="H595" s="32">
        <v>0</v>
      </c>
      <c r="I595">
        <v>0</v>
      </c>
      <c r="J595" s="33">
        <v>0</v>
      </c>
      <c r="K595" s="33">
        <v>0</v>
      </c>
      <c r="L595" s="33">
        <v>0</v>
      </c>
      <c r="M595">
        <v>0</v>
      </c>
      <c r="N595">
        <v>0</v>
      </c>
      <c r="O595">
        <v>0</v>
      </c>
      <c r="P595" t="s">
        <v>54</v>
      </c>
      <c r="Q595" t="s">
        <v>54</v>
      </c>
      <c r="R595" t="s">
        <v>54</v>
      </c>
      <c r="S595" t="s">
        <v>54</v>
      </c>
      <c r="T595" t="s">
        <v>54</v>
      </c>
      <c r="U595" t="s">
        <v>54</v>
      </c>
      <c r="V595" t="s">
        <v>54</v>
      </c>
      <c r="W595" t="s">
        <v>54</v>
      </c>
      <c r="X595" s="23" t="s">
        <v>54</v>
      </c>
      <c r="Y595" s="23" t="s">
        <v>54</v>
      </c>
      <c r="Z595" s="23" t="s">
        <v>54</v>
      </c>
      <c r="AA595" s="23" t="s">
        <v>54</v>
      </c>
      <c r="AB595" t="s">
        <v>54</v>
      </c>
      <c r="AC595" t="s">
        <v>54</v>
      </c>
      <c r="AD595" t="s">
        <v>54</v>
      </c>
      <c r="AE595" t="s">
        <v>54</v>
      </c>
      <c r="AF595" s="23" t="s">
        <v>54</v>
      </c>
      <c r="AG595" s="23" t="s">
        <v>54</v>
      </c>
      <c r="AH595" s="23" t="s">
        <v>54</v>
      </c>
      <c r="AI595" s="23" t="s">
        <v>54</v>
      </c>
      <c r="AJ595">
        <v>0</v>
      </c>
      <c r="AK595">
        <v>0</v>
      </c>
      <c r="AL595">
        <v>0</v>
      </c>
      <c r="AM595">
        <v>0</v>
      </c>
      <c r="AN595" s="23" t="s">
        <v>54</v>
      </c>
      <c r="AO595" s="23" t="s">
        <v>54</v>
      </c>
      <c r="AP595" s="23" t="s">
        <v>54</v>
      </c>
      <c r="AQ595" s="23" t="s">
        <v>54</v>
      </c>
      <c r="AR595" s="35">
        <v>0</v>
      </c>
      <c r="AS595" s="35">
        <v>0</v>
      </c>
      <c r="AT595" s="35">
        <v>0</v>
      </c>
      <c r="AU595" s="31" t="str">
        <f t="shared" si="12"/>
        <v>库存为0</v>
      </c>
      <c r="AV595" s="36" t="str">
        <f>IFERROR($A$2+AU595,"上周无销量")</f>
        <v>上周无销量</v>
      </c>
    </row>
    <row r="596" spans="1:48">
      <c r="A596" s="21" t="s">
        <v>1277</v>
      </c>
      <c r="B596" t="s">
        <v>1278</v>
      </c>
      <c r="C596" t="s">
        <v>1222</v>
      </c>
      <c r="D596" s="31">
        <v>0</v>
      </c>
      <c r="E596" s="31">
        <v>0</v>
      </c>
      <c r="F596" s="31">
        <v>0</v>
      </c>
      <c r="G596" s="31">
        <v>0</v>
      </c>
      <c r="H596" s="32">
        <v>0</v>
      </c>
      <c r="I596">
        <v>0</v>
      </c>
      <c r="J596" s="33">
        <v>0</v>
      </c>
      <c r="K596" s="33">
        <v>0</v>
      </c>
      <c r="L596" s="33">
        <v>0</v>
      </c>
      <c r="M596">
        <v>0</v>
      </c>
      <c r="N596">
        <v>0</v>
      </c>
      <c r="O596">
        <v>0</v>
      </c>
      <c r="P596" t="s">
        <v>54</v>
      </c>
      <c r="Q596" t="s">
        <v>54</v>
      </c>
      <c r="R596" t="s">
        <v>54</v>
      </c>
      <c r="S596" t="s">
        <v>54</v>
      </c>
      <c r="T596" t="s">
        <v>54</v>
      </c>
      <c r="U596" t="s">
        <v>54</v>
      </c>
      <c r="V596" t="s">
        <v>54</v>
      </c>
      <c r="W596" t="s">
        <v>54</v>
      </c>
      <c r="X596" s="23" t="s">
        <v>54</v>
      </c>
      <c r="Y596" s="23" t="s">
        <v>54</v>
      </c>
      <c r="Z596" s="23" t="s">
        <v>54</v>
      </c>
      <c r="AA596" s="23" t="s">
        <v>54</v>
      </c>
      <c r="AB596" t="s">
        <v>54</v>
      </c>
      <c r="AC596" t="s">
        <v>54</v>
      </c>
      <c r="AD596" t="s">
        <v>54</v>
      </c>
      <c r="AE596" t="s">
        <v>54</v>
      </c>
      <c r="AF596" s="23" t="s">
        <v>54</v>
      </c>
      <c r="AG596" s="23" t="s">
        <v>54</v>
      </c>
      <c r="AH596" s="23" t="s">
        <v>54</v>
      </c>
      <c r="AI596" s="23" t="s">
        <v>54</v>
      </c>
      <c r="AJ596">
        <v>0</v>
      </c>
      <c r="AK596">
        <v>0</v>
      </c>
      <c r="AL596">
        <v>0</v>
      </c>
      <c r="AM596">
        <v>0</v>
      </c>
      <c r="AN596" s="23" t="s">
        <v>54</v>
      </c>
      <c r="AO596" s="23" t="s">
        <v>54</v>
      </c>
      <c r="AP596" s="23" t="s">
        <v>54</v>
      </c>
      <c r="AQ596" s="23" t="s">
        <v>54</v>
      </c>
      <c r="AR596" s="35">
        <v>0</v>
      </c>
      <c r="AS596" s="35">
        <v>0</v>
      </c>
      <c r="AT596" s="35">
        <v>0</v>
      </c>
      <c r="AU596" s="31" t="str">
        <f t="shared" si="12"/>
        <v>库存为0</v>
      </c>
      <c r="AV596" s="36" t="str">
        <f>IFERROR($A$2+AU596,"上周无销量")</f>
        <v>上周无销量</v>
      </c>
    </row>
    <row r="597" spans="1:48">
      <c r="A597" s="21" t="s">
        <v>1279</v>
      </c>
      <c r="B597" t="s">
        <v>1280</v>
      </c>
      <c r="C597" t="s">
        <v>1222</v>
      </c>
      <c r="D597" s="31">
        <v>0</v>
      </c>
      <c r="E597" s="31">
        <v>0</v>
      </c>
      <c r="F597" s="31">
        <v>0</v>
      </c>
      <c r="G597" s="31">
        <v>0</v>
      </c>
      <c r="H597" s="32">
        <v>0</v>
      </c>
      <c r="I597">
        <v>0</v>
      </c>
      <c r="J597" s="33">
        <v>0</v>
      </c>
      <c r="K597" s="33">
        <v>0</v>
      </c>
      <c r="L597" s="33">
        <v>0</v>
      </c>
      <c r="M597">
        <v>0</v>
      </c>
      <c r="N597">
        <v>0</v>
      </c>
      <c r="O597">
        <v>0</v>
      </c>
      <c r="P597" t="s">
        <v>54</v>
      </c>
      <c r="Q597" t="s">
        <v>54</v>
      </c>
      <c r="R597" t="s">
        <v>54</v>
      </c>
      <c r="S597" t="s">
        <v>54</v>
      </c>
      <c r="T597" t="s">
        <v>54</v>
      </c>
      <c r="U597" t="s">
        <v>54</v>
      </c>
      <c r="V597" t="s">
        <v>54</v>
      </c>
      <c r="W597" t="s">
        <v>54</v>
      </c>
      <c r="X597" s="23" t="s">
        <v>54</v>
      </c>
      <c r="Y597" s="23" t="s">
        <v>54</v>
      </c>
      <c r="Z597" s="23" t="s">
        <v>54</v>
      </c>
      <c r="AA597" s="23" t="s">
        <v>54</v>
      </c>
      <c r="AB597" t="s">
        <v>54</v>
      </c>
      <c r="AC597" t="s">
        <v>54</v>
      </c>
      <c r="AD597" t="s">
        <v>54</v>
      </c>
      <c r="AE597" t="s">
        <v>54</v>
      </c>
      <c r="AF597" s="23" t="s">
        <v>54</v>
      </c>
      <c r="AG597" s="23" t="s">
        <v>54</v>
      </c>
      <c r="AH597" s="23" t="s">
        <v>54</v>
      </c>
      <c r="AI597" s="23" t="s">
        <v>54</v>
      </c>
      <c r="AJ597">
        <v>0</v>
      </c>
      <c r="AK597">
        <v>0</v>
      </c>
      <c r="AL597">
        <v>0</v>
      </c>
      <c r="AM597">
        <v>0</v>
      </c>
      <c r="AN597" s="23" t="s">
        <v>54</v>
      </c>
      <c r="AO597" s="23" t="s">
        <v>54</v>
      </c>
      <c r="AP597" s="23" t="s">
        <v>54</v>
      </c>
      <c r="AQ597" s="23" t="s">
        <v>54</v>
      </c>
      <c r="AR597" s="35">
        <v>0</v>
      </c>
      <c r="AS597" s="35">
        <v>0</v>
      </c>
      <c r="AT597" s="35">
        <v>0</v>
      </c>
      <c r="AU597" s="31" t="str">
        <f t="shared" si="12"/>
        <v>库存为0</v>
      </c>
      <c r="AV597" s="36" t="str">
        <f>IFERROR($A$2+AU597,"上周无销量")</f>
        <v>上周无销量</v>
      </c>
    </row>
    <row r="598" spans="1:48">
      <c r="A598" s="21" t="s">
        <v>1281</v>
      </c>
      <c r="B598" t="s">
        <v>1282</v>
      </c>
      <c r="C598" t="s">
        <v>1222</v>
      </c>
      <c r="D598" s="31">
        <v>0</v>
      </c>
      <c r="E598" s="31">
        <v>0</v>
      </c>
      <c r="F598" s="31">
        <v>0</v>
      </c>
      <c r="G598" s="31">
        <v>0</v>
      </c>
      <c r="H598" s="32">
        <v>0</v>
      </c>
      <c r="I598">
        <v>0</v>
      </c>
      <c r="J598" s="33">
        <v>0</v>
      </c>
      <c r="K598" s="33">
        <v>0</v>
      </c>
      <c r="L598" s="33">
        <v>0</v>
      </c>
      <c r="M598">
        <v>0</v>
      </c>
      <c r="N598">
        <v>0</v>
      </c>
      <c r="O598">
        <v>0</v>
      </c>
      <c r="P598" t="s">
        <v>54</v>
      </c>
      <c r="Q598" t="s">
        <v>54</v>
      </c>
      <c r="R598" t="s">
        <v>54</v>
      </c>
      <c r="S598" t="s">
        <v>54</v>
      </c>
      <c r="T598" t="s">
        <v>54</v>
      </c>
      <c r="U598" t="s">
        <v>54</v>
      </c>
      <c r="V598" t="s">
        <v>54</v>
      </c>
      <c r="W598" t="s">
        <v>54</v>
      </c>
      <c r="X598" s="23" t="s">
        <v>54</v>
      </c>
      <c r="Y598" s="23" t="s">
        <v>54</v>
      </c>
      <c r="Z598" s="23" t="s">
        <v>54</v>
      </c>
      <c r="AA598" s="23" t="s">
        <v>54</v>
      </c>
      <c r="AB598" t="s">
        <v>54</v>
      </c>
      <c r="AC598" t="s">
        <v>54</v>
      </c>
      <c r="AD598" t="s">
        <v>54</v>
      </c>
      <c r="AE598" t="s">
        <v>54</v>
      </c>
      <c r="AF598" s="23" t="s">
        <v>54</v>
      </c>
      <c r="AG598" s="23" t="s">
        <v>54</v>
      </c>
      <c r="AH598" s="23" t="s">
        <v>54</v>
      </c>
      <c r="AI598" s="23" t="s">
        <v>54</v>
      </c>
      <c r="AJ598">
        <v>0</v>
      </c>
      <c r="AK598">
        <v>0</v>
      </c>
      <c r="AL598">
        <v>0</v>
      </c>
      <c r="AM598">
        <v>0</v>
      </c>
      <c r="AN598" s="23" t="s">
        <v>54</v>
      </c>
      <c r="AO598" s="23" t="s">
        <v>54</v>
      </c>
      <c r="AP598" s="23" t="s">
        <v>54</v>
      </c>
      <c r="AQ598" s="23" t="s">
        <v>54</v>
      </c>
      <c r="AR598" s="35">
        <v>0</v>
      </c>
      <c r="AS598" s="35">
        <v>0</v>
      </c>
      <c r="AT598" s="35">
        <v>0</v>
      </c>
      <c r="AU598" s="31" t="str">
        <f t="shared" si="12"/>
        <v>库存为0</v>
      </c>
      <c r="AV598" s="36" t="str">
        <f>IFERROR($A$2+AU598,"上周无销量")</f>
        <v>上周无销量</v>
      </c>
    </row>
    <row r="599" spans="1:48">
      <c r="A599" s="21" t="s">
        <v>1283</v>
      </c>
      <c r="B599" t="s">
        <v>1284</v>
      </c>
      <c r="C599" t="s">
        <v>1222</v>
      </c>
      <c r="D599" s="31">
        <v>0</v>
      </c>
      <c r="E599" s="31">
        <v>0</v>
      </c>
      <c r="F599" s="31">
        <v>0</v>
      </c>
      <c r="G599" s="31">
        <v>0</v>
      </c>
      <c r="H599" s="32">
        <v>0</v>
      </c>
      <c r="I599">
        <v>0</v>
      </c>
      <c r="J599" s="33">
        <v>0</v>
      </c>
      <c r="K599" s="33">
        <v>0</v>
      </c>
      <c r="L599" s="33">
        <v>0</v>
      </c>
      <c r="M599">
        <v>0</v>
      </c>
      <c r="N599">
        <v>0</v>
      </c>
      <c r="O599">
        <v>0</v>
      </c>
      <c r="P599" t="s">
        <v>54</v>
      </c>
      <c r="Q599" t="s">
        <v>54</v>
      </c>
      <c r="R599" t="s">
        <v>54</v>
      </c>
      <c r="S599" t="s">
        <v>54</v>
      </c>
      <c r="T599" t="s">
        <v>54</v>
      </c>
      <c r="U599" t="s">
        <v>54</v>
      </c>
      <c r="V599" t="s">
        <v>54</v>
      </c>
      <c r="W599" t="s">
        <v>54</v>
      </c>
      <c r="X599" s="23" t="s">
        <v>54</v>
      </c>
      <c r="Y599" s="23" t="s">
        <v>54</v>
      </c>
      <c r="Z599" s="23" t="s">
        <v>54</v>
      </c>
      <c r="AA599" s="23" t="s">
        <v>54</v>
      </c>
      <c r="AB599" t="s">
        <v>54</v>
      </c>
      <c r="AC599" t="s">
        <v>54</v>
      </c>
      <c r="AD599" t="s">
        <v>54</v>
      </c>
      <c r="AE599" t="s">
        <v>54</v>
      </c>
      <c r="AF599" s="23" t="s">
        <v>54</v>
      </c>
      <c r="AG599" s="23" t="s">
        <v>54</v>
      </c>
      <c r="AH599" s="23" t="s">
        <v>54</v>
      </c>
      <c r="AI599" s="23" t="s">
        <v>54</v>
      </c>
      <c r="AJ599">
        <v>0</v>
      </c>
      <c r="AK599">
        <v>0</v>
      </c>
      <c r="AL599">
        <v>0</v>
      </c>
      <c r="AM599">
        <v>0</v>
      </c>
      <c r="AN599" s="23" t="s">
        <v>54</v>
      </c>
      <c r="AO599" s="23" t="s">
        <v>54</v>
      </c>
      <c r="AP599" s="23" t="s">
        <v>54</v>
      </c>
      <c r="AQ599" s="23" t="s">
        <v>54</v>
      </c>
      <c r="AR599" s="35">
        <v>0</v>
      </c>
      <c r="AS599" s="35">
        <v>0</v>
      </c>
      <c r="AT599" s="35">
        <v>0</v>
      </c>
      <c r="AU599" s="31" t="str">
        <f t="shared" si="12"/>
        <v>库存为0</v>
      </c>
      <c r="AV599" s="36" t="str">
        <f>IFERROR($A$2+AU599,"上周无销量")</f>
        <v>上周无销量</v>
      </c>
    </row>
    <row r="600" spans="1:48">
      <c r="A600" s="21" t="s">
        <v>1285</v>
      </c>
      <c r="B600" t="s">
        <v>1286</v>
      </c>
      <c r="C600" t="s">
        <v>1222</v>
      </c>
      <c r="D600" s="31">
        <v>0</v>
      </c>
      <c r="E600" s="31">
        <v>0</v>
      </c>
      <c r="F600" s="31">
        <v>0</v>
      </c>
      <c r="G600" s="31">
        <v>0</v>
      </c>
      <c r="H600" s="32">
        <v>0</v>
      </c>
      <c r="I600">
        <v>0</v>
      </c>
      <c r="J600" s="33">
        <v>0</v>
      </c>
      <c r="K600" s="33">
        <v>0</v>
      </c>
      <c r="L600" s="33">
        <v>0</v>
      </c>
      <c r="M600">
        <v>0</v>
      </c>
      <c r="N600">
        <v>0</v>
      </c>
      <c r="O600">
        <v>0</v>
      </c>
      <c r="P600" t="s">
        <v>54</v>
      </c>
      <c r="Q600" t="s">
        <v>54</v>
      </c>
      <c r="R600" t="s">
        <v>54</v>
      </c>
      <c r="S600" t="s">
        <v>54</v>
      </c>
      <c r="T600" t="s">
        <v>54</v>
      </c>
      <c r="U600" t="s">
        <v>54</v>
      </c>
      <c r="V600" t="s">
        <v>54</v>
      </c>
      <c r="W600" t="s">
        <v>54</v>
      </c>
      <c r="X600" s="23" t="s">
        <v>54</v>
      </c>
      <c r="Y600" s="23" t="s">
        <v>54</v>
      </c>
      <c r="Z600" s="23" t="s">
        <v>54</v>
      </c>
      <c r="AA600" s="23" t="s">
        <v>54</v>
      </c>
      <c r="AB600" t="s">
        <v>54</v>
      </c>
      <c r="AC600" t="s">
        <v>54</v>
      </c>
      <c r="AD600" t="s">
        <v>54</v>
      </c>
      <c r="AE600" t="s">
        <v>54</v>
      </c>
      <c r="AF600" s="23" t="s">
        <v>54</v>
      </c>
      <c r="AG600" s="23" t="s">
        <v>54</v>
      </c>
      <c r="AH600" s="23" t="s">
        <v>54</v>
      </c>
      <c r="AI600" s="23" t="s">
        <v>54</v>
      </c>
      <c r="AJ600">
        <v>0</v>
      </c>
      <c r="AK600">
        <v>0</v>
      </c>
      <c r="AL600">
        <v>0</v>
      </c>
      <c r="AM600">
        <v>0</v>
      </c>
      <c r="AN600" s="23" t="s">
        <v>54</v>
      </c>
      <c r="AO600" s="23" t="s">
        <v>54</v>
      </c>
      <c r="AP600" s="23" t="s">
        <v>54</v>
      </c>
      <c r="AQ600" s="23" t="s">
        <v>54</v>
      </c>
      <c r="AR600" s="35">
        <v>0</v>
      </c>
      <c r="AS600" s="35">
        <v>0</v>
      </c>
      <c r="AT600" s="35">
        <v>0</v>
      </c>
      <c r="AU600" s="31" t="str">
        <f t="shared" si="12"/>
        <v>库存为0</v>
      </c>
      <c r="AV600" s="36" t="str">
        <f>IFERROR($A$2+AU600,"上周无销量")</f>
        <v>上周无销量</v>
      </c>
    </row>
    <row r="601" spans="1:48">
      <c r="A601" s="21" t="s">
        <v>1287</v>
      </c>
      <c r="B601" t="s">
        <v>1288</v>
      </c>
      <c r="C601" t="s">
        <v>1289</v>
      </c>
      <c r="D601" s="31">
        <v>6</v>
      </c>
      <c r="E601" s="31">
        <v>3</v>
      </c>
      <c r="F601" s="31">
        <v>5</v>
      </c>
      <c r="G601" s="31">
        <v>4</v>
      </c>
      <c r="H601" s="32">
        <v>24.99</v>
      </c>
      <c r="I601">
        <v>16</v>
      </c>
      <c r="J601" s="33">
        <v>3</v>
      </c>
      <c r="K601" s="33">
        <v>0</v>
      </c>
      <c r="L601" s="33">
        <v>0</v>
      </c>
      <c r="M601">
        <v>19</v>
      </c>
      <c r="N601">
        <v>0</v>
      </c>
      <c r="O601">
        <v>0</v>
      </c>
      <c r="P601" t="s">
        <v>54</v>
      </c>
      <c r="Q601" t="s">
        <v>54</v>
      </c>
      <c r="R601" t="s">
        <v>54</v>
      </c>
      <c r="S601" t="s">
        <v>54</v>
      </c>
      <c r="T601" t="s">
        <v>54</v>
      </c>
      <c r="U601" t="s">
        <v>54</v>
      </c>
      <c r="V601" t="s">
        <v>54</v>
      </c>
      <c r="W601" t="s">
        <v>54</v>
      </c>
      <c r="X601" s="23" t="s">
        <v>54</v>
      </c>
      <c r="Y601" s="23" t="s">
        <v>54</v>
      </c>
      <c r="Z601" s="23" t="s">
        <v>54</v>
      </c>
      <c r="AA601" s="23" t="s">
        <v>54</v>
      </c>
      <c r="AB601" t="s">
        <v>54</v>
      </c>
      <c r="AC601" t="s">
        <v>54</v>
      </c>
      <c r="AD601" t="s">
        <v>54</v>
      </c>
      <c r="AE601" t="s">
        <v>54</v>
      </c>
      <c r="AF601" s="23" t="s">
        <v>54</v>
      </c>
      <c r="AG601" s="23" t="s">
        <v>54</v>
      </c>
      <c r="AH601" s="23" t="s">
        <v>54</v>
      </c>
      <c r="AI601" s="23" t="s">
        <v>54</v>
      </c>
      <c r="AJ601">
        <v>40</v>
      </c>
      <c r="AK601">
        <v>36</v>
      </c>
      <c r="AL601">
        <v>347</v>
      </c>
      <c r="AM601">
        <v>70</v>
      </c>
      <c r="AN601" s="23">
        <v>0.15</v>
      </c>
      <c r="AO601" s="23">
        <v>0.0833333333333333</v>
      </c>
      <c r="AP601" s="23">
        <v>0.0144092219020173</v>
      </c>
      <c r="AQ601" s="23">
        <v>0.0571428571428571</v>
      </c>
      <c r="AR601" s="35">
        <v>0.857142857142857</v>
      </c>
      <c r="AS601" s="35">
        <v>51.4285714285714</v>
      </c>
      <c r="AT601" s="35">
        <v>-32.4285714285714</v>
      </c>
      <c r="AU601" s="31">
        <f t="shared" si="12"/>
        <v>22</v>
      </c>
      <c r="AV601" s="36">
        <f>IFERROR($A$2+AU601,"上周无销量")</f>
        <v>43312</v>
      </c>
    </row>
    <row r="602" spans="1:48">
      <c r="A602" s="21" t="s">
        <v>1290</v>
      </c>
      <c r="B602" t="s">
        <v>1291</v>
      </c>
      <c r="C602" t="s">
        <v>1289</v>
      </c>
      <c r="D602" s="31">
        <v>8</v>
      </c>
      <c r="E602" s="31">
        <v>9</v>
      </c>
      <c r="F602" s="31">
        <v>4</v>
      </c>
      <c r="G602" s="31">
        <v>5</v>
      </c>
      <c r="H602" s="32">
        <v>18.99</v>
      </c>
      <c r="I602">
        <v>16</v>
      </c>
      <c r="J602" s="33">
        <v>0</v>
      </c>
      <c r="K602" s="33">
        <v>0</v>
      </c>
      <c r="L602" s="33">
        <v>4</v>
      </c>
      <c r="M602">
        <v>20</v>
      </c>
      <c r="N602">
        <v>1</v>
      </c>
      <c r="O602">
        <v>0</v>
      </c>
      <c r="P602" t="s">
        <v>54</v>
      </c>
      <c r="Q602" t="s">
        <v>54</v>
      </c>
      <c r="R602" t="s">
        <v>54</v>
      </c>
      <c r="S602" t="s">
        <v>54</v>
      </c>
      <c r="T602" t="s">
        <v>54</v>
      </c>
      <c r="U602" t="s">
        <v>54</v>
      </c>
      <c r="V602" t="s">
        <v>54</v>
      </c>
      <c r="W602" t="s">
        <v>54</v>
      </c>
      <c r="X602" s="23" t="s">
        <v>54</v>
      </c>
      <c r="Y602" s="23" t="s">
        <v>54</v>
      </c>
      <c r="Z602" s="23" t="s">
        <v>54</v>
      </c>
      <c r="AA602" s="23" t="s">
        <v>54</v>
      </c>
      <c r="AB602" t="s">
        <v>54</v>
      </c>
      <c r="AC602" t="s">
        <v>54</v>
      </c>
      <c r="AD602" t="s">
        <v>54</v>
      </c>
      <c r="AE602" t="s">
        <v>54</v>
      </c>
      <c r="AF602" s="23" t="s">
        <v>54</v>
      </c>
      <c r="AG602" s="23" t="s">
        <v>54</v>
      </c>
      <c r="AH602" s="23" t="s">
        <v>54</v>
      </c>
      <c r="AI602" s="23" t="s">
        <v>54</v>
      </c>
      <c r="AJ602">
        <v>50</v>
      </c>
      <c r="AK602">
        <v>46</v>
      </c>
      <c r="AL602">
        <v>16</v>
      </c>
      <c r="AM602">
        <v>24</v>
      </c>
      <c r="AN602" s="23">
        <v>0.16</v>
      </c>
      <c r="AO602" s="23">
        <v>0.195652173913043</v>
      </c>
      <c r="AP602" s="23">
        <v>0.25</v>
      </c>
      <c r="AQ602" s="23">
        <v>0.208333333333333</v>
      </c>
      <c r="AR602" s="35">
        <v>1.14285714285714</v>
      </c>
      <c r="AS602" s="35">
        <v>68.5714285714286</v>
      </c>
      <c r="AT602" s="35">
        <v>-48.5714285714286</v>
      </c>
      <c r="AU602" s="31">
        <f t="shared" si="12"/>
        <v>17</v>
      </c>
      <c r="AV602" s="36">
        <f>IFERROR($A$2+AU602,"上周无销量")</f>
        <v>43307</v>
      </c>
    </row>
    <row r="603" spans="1:48">
      <c r="A603" s="21" t="s">
        <v>1292</v>
      </c>
      <c r="B603" t="s">
        <v>1293</v>
      </c>
      <c r="C603" t="s">
        <v>1289</v>
      </c>
      <c r="D603" s="31">
        <v>26</v>
      </c>
      <c r="E603" s="31">
        <v>18</v>
      </c>
      <c r="F603" s="31">
        <v>4</v>
      </c>
      <c r="G603" s="31">
        <v>4</v>
      </c>
      <c r="H603" s="32">
        <v>13.99</v>
      </c>
      <c r="I603">
        <v>16</v>
      </c>
      <c r="J603" s="33">
        <v>30</v>
      </c>
      <c r="K603" s="33">
        <v>0</v>
      </c>
      <c r="L603" s="33">
        <v>40</v>
      </c>
      <c r="M603">
        <v>86</v>
      </c>
      <c r="N603">
        <v>0</v>
      </c>
      <c r="O603">
        <v>0</v>
      </c>
      <c r="P603">
        <v>3173</v>
      </c>
      <c r="Q603">
        <v>1007</v>
      </c>
      <c r="R603">
        <v>0</v>
      </c>
      <c r="S603">
        <v>0</v>
      </c>
      <c r="T603">
        <v>68</v>
      </c>
      <c r="U603">
        <v>14</v>
      </c>
      <c r="V603">
        <v>0</v>
      </c>
      <c r="W603">
        <v>0</v>
      </c>
      <c r="X603" s="23">
        <v>0.0214308225653955</v>
      </c>
      <c r="Y603" s="23">
        <v>0.0139026812313803</v>
      </c>
      <c r="Z603" s="23" t="s">
        <v>54</v>
      </c>
      <c r="AA603" s="23" t="s">
        <v>54</v>
      </c>
      <c r="AB603">
        <v>43.09</v>
      </c>
      <c r="AC603">
        <v>10.08</v>
      </c>
      <c r="AD603">
        <v>0</v>
      </c>
      <c r="AE603">
        <v>0</v>
      </c>
      <c r="AF603" s="23">
        <v>0.118463737834717</v>
      </c>
      <c r="AG603" s="23">
        <v>0.0400285918513224</v>
      </c>
      <c r="AH603" s="23" t="s">
        <v>54</v>
      </c>
      <c r="AI603" s="23" t="s">
        <v>54</v>
      </c>
      <c r="AJ603">
        <v>140</v>
      </c>
      <c r="AK603">
        <v>117</v>
      </c>
      <c r="AL603">
        <v>64</v>
      </c>
      <c r="AM603">
        <v>29</v>
      </c>
      <c r="AN603" s="23">
        <v>0.185714285714286</v>
      </c>
      <c r="AO603" s="23">
        <v>0.153846153846154</v>
      </c>
      <c r="AP603" s="23">
        <v>0.0625</v>
      </c>
      <c r="AQ603" s="23">
        <v>0.137931034482759</v>
      </c>
      <c r="AR603" s="35">
        <v>3.71428571428571</v>
      </c>
      <c r="AS603" s="35">
        <v>222.857142857143</v>
      </c>
      <c r="AT603" s="35">
        <v>-136.857142857143</v>
      </c>
      <c r="AU603" s="31">
        <f t="shared" si="12"/>
        <v>23</v>
      </c>
      <c r="AV603" s="36">
        <f>IFERROR($A$2+AU603,"上周无销量")</f>
        <v>43313</v>
      </c>
    </row>
    <row r="604" spans="1:48">
      <c r="A604" s="21" t="s">
        <v>1294</v>
      </c>
      <c r="B604" t="s">
        <v>1295</v>
      </c>
      <c r="C604" t="s">
        <v>1289</v>
      </c>
      <c r="D604" s="31">
        <v>0</v>
      </c>
      <c r="E604" s="31">
        <v>0</v>
      </c>
      <c r="F604" s="31">
        <v>0</v>
      </c>
      <c r="G604" s="31">
        <v>0</v>
      </c>
      <c r="H604" s="32">
        <v>0</v>
      </c>
      <c r="I604">
        <v>0</v>
      </c>
      <c r="J604" s="33">
        <v>0</v>
      </c>
      <c r="K604" s="33">
        <v>0</v>
      </c>
      <c r="L604" s="33">
        <v>0</v>
      </c>
      <c r="M604">
        <v>0</v>
      </c>
      <c r="N604">
        <v>0</v>
      </c>
      <c r="O604">
        <v>0</v>
      </c>
      <c r="P604" t="s">
        <v>54</v>
      </c>
      <c r="Q604" t="s">
        <v>54</v>
      </c>
      <c r="R604" t="s">
        <v>54</v>
      </c>
      <c r="S604" t="s">
        <v>54</v>
      </c>
      <c r="T604" t="s">
        <v>54</v>
      </c>
      <c r="U604" t="s">
        <v>54</v>
      </c>
      <c r="V604" t="s">
        <v>54</v>
      </c>
      <c r="W604" t="s">
        <v>54</v>
      </c>
      <c r="X604" s="23" t="s">
        <v>54</v>
      </c>
      <c r="Y604" s="23" t="s">
        <v>54</v>
      </c>
      <c r="Z604" s="23" t="s">
        <v>54</v>
      </c>
      <c r="AA604" s="23" t="s">
        <v>54</v>
      </c>
      <c r="AB604" t="s">
        <v>54</v>
      </c>
      <c r="AC604" t="s">
        <v>54</v>
      </c>
      <c r="AD604" t="s">
        <v>54</v>
      </c>
      <c r="AE604" t="s">
        <v>54</v>
      </c>
      <c r="AF604" s="23" t="s">
        <v>54</v>
      </c>
      <c r="AG604" s="23" t="s">
        <v>54</v>
      </c>
      <c r="AH604" s="23" t="s">
        <v>54</v>
      </c>
      <c r="AI604" s="23" t="s">
        <v>54</v>
      </c>
      <c r="AJ604">
        <v>85</v>
      </c>
      <c r="AK604">
        <v>76</v>
      </c>
      <c r="AL604">
        <v>5</v>
      </c>
      <c r="AM604">
        <v>176</v>
      </c>
      <c r="AN604" s="23">
        <v>0</v>
      </c>
      <c r="AO604" s="23">
        <v>0</v>
      </c>
      <c r="AP604" s="23">
        <v>0</v>
      </c>
      <c r="AQ604" s="23">
        <v>0</v>
      </c>
      <c r="AR604" s="35">
        <v>0</v>
      </c>
      <c r="AS604" s="35">
        <v>0</v>
      </c>
      <c r="AT604" s="35">
        <v>0</v>
      </c>
      <c r="AU604" s="31" t="str">
        <f t="shared" si="12"/>
        <v>库存为0</v>
      </c>
      <c r="AV604" s="36" t="str">
        <f>IFERROR($A$2+AU604,"上周无销量")</f>
        <v>上周无销量</v>
      </c>
    </row>
    <row r="605" spans="1:48">
      <c r="A605" s="21" t="s">
        <v>1296</v>
      </c>
      <c r="B605" t="s">
        <v>1297</v>
      </c>
      <c r="C605" t="s">
        <v>1289</v>
      </c>
      <c r="D605" s="31">
        <v>0</v>
      </c>
      <c r="E605" s="31">
        <v>0</v>
      </c>
      <c r="F605" s="31">
        <v>0</v>
      </c>
      <c r="G605" s="31">
        <v>0</v>
      </c>
      <c r="H605" s="32">
        <v>0</v>
      </c>
      <c r="I605">
        <v>0</v>
      </c>
      <c r="J605" s="33">
        <v>0</v>
      </c>
      <c r="K605" s="33">
        <v>0</v>
      </c>
      <c r="L605" s="33">
        <v>0</v>
      </c>
      <c r="M605">
        <v>0</v>
      </c>
      <c r="N605">
        <v>0</v>
      </c>
      <c r="O605">
        <v>0</v>
      </c>
      <c r="P605" t="s">
        <v>54</v>
      </c>
      <c r="Q605" t="s">
        <v>54</v>
      </c>
      <c r="R605" t="s">
        <v>54</v>
      </c>
      <c r="S605" t="s">
        <v>54</v>
      </c>
      <c r="T605" t="s">
        <v>54</v>
      </c>
      <c r="U605" t="s">
        <v>54</v>
      </c>
      <c r="V605" t="s">
        <v>54</v>
      </c>
      <c r="W605" t="s">
        <v>54</v>
      </c>
      <c r="X605" s="23" t="s">
        <v>54</v>
      </c>
      <c r="Y605" s="23" t="s">
        <v>54</v>
      </c>
      <c r="Z605" s="23" t="s">
        <v>54</v>
      </c>
      <c r="AA605" s="23" t="s">
        <v>54</v>
      </c>
      <c r="AB605" t="s">
        <v>54</v>
      </c>
      <c r="AC605" t="s">
        <v>54</v>
      </c>
      <c r="AD605" t="s">
        <v>54</v>
      </c>
      <c r="AE605" t="s">
        <v>54</v>
      </c>
      <c r="AF605" s="23" t="s">
        <v>54</v>
      </c>
      <c r="AG605" s="23" t="s">
        <v>54</v>
      </c>
      <c r="AH605" s="23" t="s">
        <v>54</v>
      </c>
      <c r="AI605" s="23" t="s">
        <v>54</v>
      </c>
      <c r="AJ605">
        <v>110</v>
      </c>
      <c r="AK605">
        <v>87</v>
      </c>
      <c r="AL605">
        <v>2284</v>
      </c>
      <c r="AM605">
        <v>114</v>
      </c>
      <c r="AN605" s="23">
        <v>0</v>
      </c>
      <c r="AO605" s="23">
        <v>0</v>
      </c>
      <c r="AP605" s="23">
        <v>0</v>
      </c>
      <c r="AQ605" s="23">
        <v>0</v>
      </c>
      <c r="AR605" s="35">
        <v>0</v>
      </c>
      <c r="AS605" s="35">
        <v>0</v>
      </c>
      <c r="AT605" s="35">
        <v>0</v>
      </c>
      <c r="AU605" s="31" t="str">
        <f t="shared" si="12"/>
        <v>库存为0</v>
      </c>
      <c r="AV605" s="36" t="str">
        <f>IFERROR($A$2+AU605,"上周无销量")</f>
        <v>上周无销量</v>
      </c>
    </row>
    <row r="606" spans="1:48">
      <c r="A606" s="21" t="s">
        <v>1298</v>
      </c>
      <c r="B606" t="s">
        <v>1299</v>
      </c>
      <c r="C606" t="s">
        <v>1289</v>
      </c>
      <c r="D606" s="31">
        <v>0</v>
      </c>
      <c r="E606" s="31">
        <v>0</v>
      </c>
      <c r="F606" s="31">
        <v>0</v>
      </c>
      <c r="G606" s="31">
        <v>0</v>
      </c>
      <c r="H606" s="32">
        <v>0</v>
      </c>
      <c r="I606">
        <v>0</v>
      </c>
      <c r="J606" s="33">
        <v>0</v>
      </c>
      <c r="K606" s="33">
        <v>0</v>
      </c>
      <c r="L606" s="33">
        <v>0</v>
      </c>
      <c r="M606">
        <v>0</v>
      </c>
      <c r="N606">
        <v>1</v>
      </c>
      <c r="O606">
        <v>0</v>
      </c>
      <c r="P606" t="s">
        <v>54</v>
      </c>
      <c r="Q606" t="s">
        <v>54</v>
      </c>
      <c r="R606" t="s">
        <v>54</v>
      </c>
      <c r="S606" t="s">
        <v>54</v>
      </c>
      <c r="T606" t="s">
        <v>54</v>
      </c>
      <c r="U606" t="s">
        <v>54</v>
      </c>
      <c r="V606" t="s">
        <v>54</v>
      </c>
      <c r="W606" t="s">
        <v>54</v>
      </c>
      <c r="X606" s="23" t="s">
        <v>54</v>
      </c>
      <c r="Y606" s="23" t="s">
        <v>54</v>
      </c>
      <c r="Z606" s="23" t="s">
        <v>54</v>
      </c>
      <c r="AA606" s="23" t="s">
        <v>54</v>
      </c>
      <c r="AB606" t="s">
        <v>54</v>
      </c>
      <c r="AC606" t="s">
        <v>54</v>
      </c>
      <c r="AD606" t="s">
        <v>54</v>
      </c>
      <c r="AE606" t="s">
        <v>54</v>
      </c>
      <c r="AF606" s="23" t="s">
        <v>54</v>
      </c>
      <c r="AG606" s="23" t="s">
        <v>54</v>
      </c>
      <c r="AH606" s="23" t="s">
        <v>54</v>
      </c>
      <c r="AI606" s="23" t="s">
        <v>54</v>
      </c>
      <c r="AJ606">
        <v>170</v>
      </c>
      <c r="AK606">
        <v>175</v>
      </c>
      <c r="AL606">
        <v>660</v>
      </c>
      <c r="AM606">
        <v>115</v>
      </c>
      <c r="AN606" s="23">
        <v>0</v>
      </c>
      <c r="AO606" s="23">
        <v>0</v>
      </c>
      <c r="AP606" s="23">
        <v>0</v>
      </c>
      <c r="AQ606" s="23">
        <v>0</v>
      </c>
      <c r="AR606" s="35">
        <v>0</v>
      </c>
      <c r="AS606" s="35">
        <v>0</v>
      </c>
      <c r="AT606" s="35">
        <v>0</v>
      </c>
      <c r="AU606" s="31" t="str">
        <f t="shared" si="12"/>
        <v>库存为0</v>
      </c>
      <c r="AV606" s="36" t="str">
        <f>IFERROR($A$2+AU606,"上周无销量")</f>
        <v>上周无销量</v>
      </c>
    </row>
    <row r="607" spans="1:48">
      <c r="A607" s="21" t="s">
        <v>1300</v>
      </c>
      <c r="B607" t="s">
        <v>1301</v>
      </c>
      <c r="C607" t="s">
        <v>1289</v>
      </c>
      <c r="D607" s="31">
        <v>0</v>
      </c>
      <c r="E607" s="31">
        <v>0</v>
      </c>
      <c r="F607" s="31">
        <v>0</v>
      </c>
      <c r="G607" s="31">
        <v>0</v>
      </c>
      <c r="H607" s="32">
        <v>0</v>
      </c>
      <c r="I607">
        <v>0</v>
      </c>
      <c r="J607" s="33">
        <v>0</v>
      </c>
      <c r="K607" s="33">
        <v>0</v>
      </c>
      <c r="L607" s="33">
        <v>0</v>
      </c>
      <c r="M607">
        <v>0</v>
      </c>
      <c r="N607">
        <v>0</v>
      </c>
      <c r="O607">
        <v>0</v>
      </c>
      <c r="P607" t="s">
        <v>54</v>
      </c>
      <c r="Q607" t="s">
        <v>54</v>
      </c>
      <c r="R607" t="s">
        <v>54</v>
      </c>
      <c r="S607" t="s">
        <v>54</v>
      </c>
      <c r="T607" t="s">
        <v>54</v>
      </c>
      <c r="U607" t="s">
        <v>54</v>
      </c>
      <c r="V607" t="s">
        <v>54</v>
      </c>
      <c r="W607" t="s">
        <v>54</v>
      </c>
      <c r="X607" s="23" t="s">
        <v>54</v>
      </c>
      <c r="Y607" s="23" t="s">
        <v>54</v>
      </c>
      <c r="Z607" s="23" t="s">
        <v>54</v>
      </c>
      <c r="AA607" s="23" t="s">
        <v>54</v>
      </c>
      <c r="AB607" t="s">
        <v>54</v>
      </c>
      <c r="AC607" t="s">
        <v>54</v>
      </c>
      <c r="AD607" t="s">
        <v>54</v>
      </c>
      <c r="AE607" t="s">
        <v>54</v>
      </c>
      <c r="AF607" s="23" t="s">
        <v>54</v>
      </c>
      <c r="AG607" s="23" t="s">
        <v>54</v>
      </c>
      <c r="AH607" s="23" t="s">
        <v>54</v>
      </c>
      <c r="AI607" s="23" t="s">
        <v>54</v>
      </c>
      <c r="AJ607">
        <v>0</v>
      </c>
      <c r="AK607">
        <v>0</v>
      </c>
      <c r="AL607">
        <v>0</v>
      </c>
      <c r="AM607">
        <v>0</v>
      </c>
      <c r="AN607" s="23" t="s">
        <v>54</v>
      </c>
      <c r="AO607" s="23" t="s">
        <v>54</v>
      </c>
      <c r="AP607" s="23" t="s">
        <v>54</v>
      </c>
      <c r="AQ607" s="23" t="s">
        <v>54</v>
      </c>
      <c r="AR607" s="35">
        <v>0</v>
      </c>
      <c r="AS607" s="35">
        <v>0</v>
      </c>
      <c r="AT607" s="35">
        <v>0</v>
      </c>
      <c r="AU607" s="31" t="str">
        <f t="shared" si="12"/>
        <v>库存为0</v>
      </c>
      <c r="AV607" s="36" t="str">
        <f>IFERROR($A$2+AU607,"上周无销量")</f>
        <v>上周无销量</v>
      </c>
    </row>
    <row r="608" spans="1:48">
      <c r="A608" s="21" t="s">
        <v>1302</v>
      </c>
      <c r="B608" t="s">
        <v>1303</v>
      </c>
      <c r="C608" t="s">
        <v>1289</v>
      </c>
      <c r="D608" s="31">
        <v>0</v>
      </c>
      <c r="E608" s="31">
        <v>0</v>
      </c>
      <c r="F608" s="31">
        <v>0</v>
      </c>
      <c r="G608" s="31">
        <v>0</v>
      </c>
      <c r="H608" s="32">
        <v>0</v>
      </c>
      <c r="I608">
        <v>0</v>
      </c>
      <c r="J608" s="33">
        <v>0</v>
      </c>
      <c r="K608" s="33">
        <v>0</v>
      </c>
      <c r="L608" s="33">
        <v>0</v>
      </c>
      <c r="M608">
        <v>0</v>
      </c>
      <c r="N608">
        <v>0</v>
      </c>
      <c r="O608">
        <v>0</v>
      </c>
      <c r="P608" t="s">
        <v>54</v>
      </c>
      <c r="Q608" t="s">
        <v>54</v>
      </c>
      <c r="R608" t="s">
        <v>54</v>
      </c>
      <c r="S608" t="s">
        <v>54</v>
      </c>
      <c r="T608" t="s">
        <v>54</v>
      </c>
      <c r="U608" t="s">
        <v>54</v>
      </c>
      <c r="V608" t="s">
        <v>54</v>
      </c>
      <c r="W608" t="s">
        <v>54</v>
      </c>
      <c r="X608" s="23" t="s">
        <v>54</v>
      </c>
      <c r="Y608" s="23" t="s">
        <v>54</v>
      </c>
      <c r="Z608" s="23" t="s">
        <v>54</v>
      </c>
      <c r="AA608" s="23" t="s">
        <v>54</v>
      </c>
      <c r="AB608" t="s">
        <v>54</v>
      </c>
      <c r="AC608" t="s">
        <v>54</v>
      </c>
      <c r="AD608" t="s">
        <v>54</v>
      </c>
      <c r="AE608" t="s">
        <v>54</v>
      </c>
      <c r="AF608" s="23" t="s">
        <v>54</v>
      </c>
      <c r="AG608" s="23" t="s">
        <v>54</v>
      </c>
      <c r="AH608" s="23" t="s">
        <v>54</v>
      </c>
      <c r="AI608" s="23" t="s">
        <v>54</v>
      </c>
      <c r="AJ608">
        <v>0</v>
      </c>
      <c r="AK608">
        <v>0</v>
      </c>
      <c r="AL608">
        <v>0</v>
      </c>
      <c r="AM608">
        <v>0</v>
      </c>
      <c r="AN608" s="23" t="s">
        <v>54</v>
      </c>
      <c r="AO608" s="23" t="s">
        <v>54</v>
      </c>
      <c r="AP608" s="23" t="s">
        <v>54</v>
      </c>
      <c r="AQ608" s="23" t="s">
        <v>54</v>
      </c>
      <c r="AR608" s="35">
        <v>0</v>
      </c>
      <c r="AS608" s="35">
        <v>0</v>
      </c>
      <c r="AT608" s="35">
        <v>0</v>
      </c>
      <c r="AU608" s="31" t="str">
        <f t="shared" si="12"/>
        <v>库存为0</v>
      </c>
      <c r="AV608" s="36" t="str">
        <f>IFERROR($A$2+AU608,"上周无销量")</f>
        <v>上周无销量</v>
      </c>
    </row>
    <row r="609" spans="1:48">
      <c r="A609" s="21" t="s">
        <v>1304</v>
      </c>
      <c r="B609" t="s">
        <v>1305</v>
      </c>
      <c r="C609" t="s">
        <v>1289</v>
      </c>
      <c r="D609" s="31">
        <v>0</v>
      </c>
      <c r="E609" s="31">
        <v>0</v>
      </c>
      <c r="F609" s="31">
        <v>0</v>
      </c>
      <c r="G609" s="31">
        <v>0</v>
      </c>
      <c r="H609" s="32">
        <v>0</v>
      </c>
      <c r="I609">
        <v>0</v>
      </c>
      <c r="J609" s="33">
        <v>0</v>
      </c>
      <c r="K609" s="33">
        <v>0</v>
      </c>
      <c r="L609" s="33">
        <v>0</v>
      </c>
      <c r="M609">
        <v>0</v>
      </c>
      <c r="N609">
        <v>0</v>
      </c>
      <c r="O609">
        <v>0</v>
      </c>
      <c r="P609" t="s">
        <v>54</v>
      </c>
      <c r="Q609" t="s">
        <v>54</v>
      </c>
      <c r="R609" t="s">
        <v>54</v>
      </c>
      <c r="S609" t="s">
        <v>54</v>
      </c>
      <c r="T609" t="s">
        <v>54</v>
      </c>
      <c r="U609" t="s">
        <v>54</v>
      </c>
      <c r="V609" t="s">
        <v>54</v>
      </c>
      <c r="W609" t="s">
        <v>54</v>
      </c>
      <c r="X609" s="23" t="s">
        <v>54</v>
      </c>
      <c r="Y609" s="23" t="s">
        <v>54</v>
      </c>
      <c r="Z609" s="23" t="s">
        <v>54</v>
      </c>
      <c r="AA609" s="23" t="s">
        <v>54</v>
      </c>
      <c r="AB609" t="s">
        <v>54</v>
      </c>
      <c r="AC609" t="s">
        <v>54</v>
      </c>
      <c r="AD609" t="s">
        <v>54</v>
      </c>
      <c r="AE609" t="s">
        <v>54</v>
      </c>
      <c r="AF609" s="23" t="s">
        <v>54</v>
      </c>
      <c r="AG609" s="23" t="s">
        <v>54</v>
      </c>
      <c r="AH609" s="23" t="s">
        <v>54</v>
      </c>
      <c r="AI609" s="23" t="s">
        <v>54</v>
      </c>
      <c r="AJ609">
        <v>0</v>
      </c>
      <c r="AK609">
        <v>0</v>
      </c>
      <c r="AL609">
        <v>0</v>
      </c>
      <c r="AM609">
        <v>0</v>
      </c>
      <c r="AN609" s="23" t="s">
        <v>54</v>
      </c>
      <c r="AO609" s="23" t="s">
        <v>54</v>
      </c>
      <c r="AP609" s="23" t="s">
        <v>54</v>
      </c>
      <c r="AQ609" s="23" t="s">
        <v>54</v>
      </c>
      <c r="AR609" s="35">
        <v>0</v>
      </c>
      <c r="AS609" s="35">
        <v>0</v>
      </c>
      <c r="AT609" s="35">
        <v>0</v>
      </c>
      <c r="AU609" s="31" t="str">
        <f t="shared" si="12"/>
        <v>库存为0</v>
      </c>
      <c r="AV609" s="36" t="str">
        <f>IFERROR($A$2+AU609,"上周无销量")</f>
        <v>上周无销量</v>
      </c>
    </row>
    <row r="610" spans="1:48">
      <c r="A610" s="21" t="s">
        <v>1306</v>
      </c>
      <c r="B610" t="s">
        <v>1307</v>
      </c>
      <c r="C610" t="s">
        <v>1289</v>
      </c>
      <c r="D610" s="31">
        <v>0</v>
      </c>
      <c r="E610" s="31">
        <v>0</v>
      </c>
      <c r="F610" s="31">
        <v>0</v>
      </c>
      <c r="G610" s="31">
        <v>0</v>
      </c>
      <c r="H610" s="32">
        <v>0</v>
      </c>
      <c r="I610">
        <v>0</v>
      </c>
      <c r="J610" s="33">
        <v>0</v>
      </c>
      <c r="K610" s="33">
        <v>0</v>
      </c>
      <c r="L610" s="33">
        <v>0</v>
      </c>
      <c r="M610">
        <v>0</v>
      </c>
      <c r="N610">
        <v>0</v>
      </c>
      <c r="O610">
        <v>0</v>
      </c>
      <c r="P610" t="s">
        <v>54</v>
      </c>
      <c r="Q610" t="s">
        <v>54</v>
      </c>
      <c r="R610" t="s">
        <v>54</v>
      </c>
      <c r="S610" t="s">
        <v>54</v>
      </c>
      <c r="T610" t="s">
        <v>54</v>
      </c>
      <c r="U610" t="s">
        <v>54</v>
      </c>
      <c r="V610" t="s">
        <v>54</v>
      </c>
      <c r="W610" t="s">
        <v>54</v>
      </c>
      <c r="X610" s="23" t="s">
        <v>54</v>
      </c>
      <c r="Y610" s="23" t="s">
        <v>54</v>
      </c>
      <c r="Z610" s="23" t="s">
        <v>54</v>
      </c>
      <c r="AA610" s="23" t="s">
        <v>54</v>
      </c>
      <c r="AB610" t="s">
        <v>54</v>
      </c>
      <c r="AC610" t="s">
        <v>54</v>
      </c>
      <c r="AD610" t="s">
        <v>54</v>
      </c>
      <c r="AE610" t="s">
        <v>54</v>
      </c>
      <c r="AF610" s="23" t="s">
        <v>54</v>
      </c>
      <c r="AG610" s="23" t="s">
        <v>54</v>
      </c>
      <c r="AH610" s="23" t="s">
        <v>54</v>
      </c>
      <c r="AI610" s="23" t="s">
        <v>54</v>
      </c>
      <c r="AJ610">
        <v>53</v>
      </c>
      <c r="AK610">
        <v>48</v>
      </c>
      <c r="AL610">
        <v>328</v>
      </c>
      <c r="AM610">
        <v>51</v>
      </c>
      <c r="AN610" s="23">
        <v>0</v>
      </c>
      <c r="AO610" s="23">
        <v>0</v>
      </c>
      <c r="AP610" s="23">
        <v>0</v>
      </c>
      <c r="AQ610" s="23">
        <v>0</v>
      </c>
      <c r="AR610" s="35">
        <v>0</v>
      </c>
      <c r="AS610" s="35">
        <v>0</v>
      </c>
      <c r="AT610" s="35">
        <v>0</v>
      </c>
      <c r="AU610" s="31" t="str">
        <f t="shared" si="12"/>
        <v>库存为0</v>
      </c>
      <c r="AV610" s="36" t="str">
        <f>IFERROR($A$2+AU610,"上周无销量")</f>
        <v>上周无销量</v>
      </c>
    </row>
    <row r="611" spans="1:48">
      <c r="A611" s="21" t="s">
        <v>1308</v>
      </c>
      <c r="B611" t="s">
        <v>1309</v>
      </c>
      <c r="C611" t="s">
        <v>1289</v>
      </c>
      <c r="D611" s="31">
        <v>2</v>
      </c>
      <c r="E611" s="31">
        <v>0</v>
      </c>
      <c r="F611" s="31">
        <v>0</v>
      </c>
      <c r="G611" s="31">
        <v>0</v>
      </c>
      <c r="H611" s="32">
        <v>18.99</v>
      </c>
      <c r="I611">
        <v>0</v>
      </c>
      <c r="J611" s="33">
        <v>0</v>
      </c>
      <c r="K611" s="33">
        <v>0</v>
      </c>
      <c r="L611" s="33">
        <v>0</v>
      </c>
      <c r="M611">
        <v>0</v>
      </c>
      <c r="N611">
        <v>1</v>
      </c>
      <c r="O611">
        <v>0</v>
      </c>
      <c r="P611" t="s">
        <v>54</v>
      </c>
      <c r="Q611" t="s">
        <v>54</v>
      </c>
      <c r="R611" t="s">
        <v>54</v>
      </c>
      <c r="S611" t="s">
        <v>54</v>
      </c>
      <c r="T611" t="s">
        <v>54</v>
      </c>
      <c r="U611" t="s">
        <v>54</v>
      </c>
      <c r="V611" t="s">
        <v>54</v>
      </c>
      <c r="W611" t="s">
        <v>54</v>
      </c>
      <c r="X611" s="23" t="s">
        <v>54</v>
      </c>
      <c r="Y611" s="23" t="s">
        <v>54</v>
      </c>
      <c r="Z611" s="23" t="s">
        <v>54</v>
      </c>
      <c r="AA611" s="23" t="s">
        <v>54</v>
      </c>
      <c r="AB611" t="s">
        <v>54</v>
      </c>
      <c r="AC611" t="s">
        <v>54</v>
      </c>
      <c r="AD611" t="s">
        <v>54</v>
      </c>
      <c r="AE611" t="s">
        <v>54</v>
      </c>
      <c r="AF611" s="23" t="s">
        <v>54</v>
      </c>
      <c r="AG611" s="23" t="s">
        <v>54</v>
      </c>
      <c r="AH611" s="23" t="s">
        <v>54</v>
      </c>
      <c r="AI611" s="23" t="s">
        <v>54</v>
      </c>
      <c r="AJ611">
        <v>78</v>
      </c>
      <c r="AK611">
        <v>57</v>
      </c>
      <c r="AL611">
        <v>396</v>
      </c>
      <c r="AM611">
        <v>81</v>
      </c>
      <c r="AN611" s="23">
        <v>0.0256410256410256</v>
      </c>
      <c r="AO611" s="23">
        <v>0</v>
      </c>
      <c r="AP611" s="23">
        <v>0</v>
      </c>
      <c r="AQ611" s="23">
        <v>0</v>
      </c>
      <c r="AR611" s="35">
        <v>0.285714285714286</v>
      </c>
      <c r="AS611" s="35">
        <v>17.1428571428571</v>
      </c>
      <c r="AT611" s="35">
        <v>-17.1428571428571</v>
      </c>
      <c r="AU611" s="31">
        <f t="shared" si="12"/>
        <v>0</v>
      </c>
      <c r="AV611" s="36">
        <f>IFERROR($A$2+AU611,"上周无销量")</f>
        <v>43290</v>
      </c>
    </row>
    <row r="612" spans="1:48">
      <c r="A612" s="21" t="s">
        <v>1310</v>
      </c>
      <c r="B612" t="s">
        <v>1311</v>
      </c>
      <c r="C612" t="s">
        <v>1289</v>
      </c>
      <c r="D612" s="31">
        <v>0</v>
      </c>
      <c r="E612" s="31">
        <v>0</v>
      </c>
      <c r="F612" s="31">
        <v>0</v>
      </c>
      <c r="G612" s="31">
        <v>0</v>
      </c>
      <c r="H612" s="32">
        <v>0</v>
      </c>
      <c r="I612">
        <v>0</v>
      </c>
      <c r="J612" s="33">
        <v>0</v>
      </c>
      <c r="K612" s="33">
        <v>0</v>
      </c>
      <c r="L612" s="33">
        <v>0</v>
      </c>
      <c r="M612">
        <v>0</v>
      </c>
      <c r="N612">
        <v>0</v>
      </c>
      <c r="O612">
        <v>0</v>
      </c>
      <c r="P612" t="s">
        <v>54</v>
      </c>
      <c r="Q612" t="s">
        <v>54</v>
      </c>
      <c r="R612" t="s">
        <v>54</v>
      </c>
      <c r="S612" t="s">
        <v>54</v>
      </c>
      <c r="T612" t="s">
        <v>54</v>
      </c>
      <c r="U612" t="s">
        <v>54</v>
      </c>
      <c r="V612" t="s">
        <v>54</v>
      </c>
      <c r="W612" t="s">
        <v>54</v>
      </c>
      <c r="X612" s="23" t="s">
        <v>54</v>
      </c>
      <c r="Y612" s="23" t="s">
        <v>54</v>
      </c>
      <c r="Z612" s="23" t="s">
        <v>54</v>
      </c>
      <c r="AA612" s="23" t="s">
        <v>54</v>
      </c>
      <c r="AB612" t="s">
        <v>54</v>
      </c>
      <c r="AC612" t="s">
        <v>54</v>
      </c>
      <c r="AD612" t="s">
        <v>54</v>
      </c>
      <c r="AE612" t="s">
        <v>54</v>
      </c>
      <c r="AF612" s="23" t="s">
        <v>54</v>
      </c>
      <c r="AG612" s="23" t="s">
        <v>54</v>
      </c>
      <c r="AH612" s="23" t="s">
        <v>54</v>
      </c>
      <c r="AI612" s="23" t="s">
        <v>54</v>
      </c>
      <c r="AJ612">
        <v>179</v>
      </c>
      <c r="AK612">
        <v>144</v>
      </c>
      <c r="AL612">
        <v>310</v>
      </c>
      <c r="AM612">
        <v>118</v>
      </c>
      <c r="AN612" s="23">
        <v>0</v>
      </c>
      <c r="AO612" s="23">
        <v>0</v>
      </c>
      <c r="AP612" s="23">
        <v>0</v>
      </c>
      <c r="AQ612" s="23">
        <v>0</v>
      </c>
      <c r="AR612" s="35">
        <v>0</v>
      </c>
      <c r="AS612" s="35">
        <v>0</v>
      </c>
      <c r="AT612" s="35">
        <v>0</v>
      </c>
      <c r="AU612" s="31" t="str">
        <f t="shared" si="12"/>
        <v>库存为0</v>
      </c>
      <c r="AV612" s="36" t="str">
        <f>IFERROR($A$2+AU612,"上周无销量")</f>
        <v>上周无销量</v>
      </c>
    </row>
    <row r="613" spans="1:48">
      <c r="A613" s="21" t="s">
        <v>1312</v>
      </c>
      <c r="B613" t="s">
        <v>1313</v>
      </c>
      <c r="C613" t="s">
        <v>1289</v>
      </c>
      <c r="D613" s="31">
        <v>5</v>
      </c>
      <c r="E613" s="31">
        <v>4</v>
      </c>
      <c r="F613" s="31">
        <v>3</v>
      </c>
      <c r="G613" s="31">
        <v>4</v>
      </c>
      <c r="H613" s="32">
        <v>24.99</v>
      </c>
      <c r="I613">
        <v>5</v>
      </c>
      <c r="J613" s="33">
        <v>15</v>
      </c>
      <c r="K613" s="33">
        <v>0</v>
      </c>
      <c r="L613" s="33">
        <v>6</v>
      </c>
      <c r="M613">
        <v>26</v>
      </c>
      <c r="N613">
        <v>0</v>
      </c>
      <c r="O613">
        <v>0</v>
      </c>
      <c r="P613" t="s">
        <v>54</v>
      </c>
      <c r="Q613" t="s">
        <v>54</v>
      </c>
      <c r="R613" t="s">
        <v>54</v>
      </c>
      <c r="S613" t="s">
        <v>54</v>
      </c>
      <c r="T613" t="s">
        <v>54</v>
      </c>
      <c r="U613" t="s">
        <v>54</v>
      </c>
      <c r="V613" t="s">
        <v>54</v>
      </c>
      <c r="W613" t="s">
        <v>54</v>
      </c>
      <c r="X613" s="23" t="s">
        <v>54</v>
      </c>
      <c r="Y613" s="23" t="s">
        <v>54</v>
      </c>
      <c r="Z613" s="23" t="s">
        <v>54</v>
      </c>
      <c r="AA613" s="23" t="s">
        <v>54</v>
      </c>
      <c r="AB613" t="s">
        <v>54</v>
      </c>
      <c r="AC613" t="s">
        <v>54</v>
      </c>
      <c r="AD613" t="s">
        <v>54</v>
      </c>
      <c r="AE613" t="s">
        <v>54</v>
      </c>
      <c r="AF613" s="23" t="s">
        <v>54</v>
      </c>
      <c r="AG613" s="23" t="s">
        <v>54</v>
      </c>
      <c r="AH613" s="23" t="s">
        <v>54</v>
      </c>
      <c r="AI613" s="23" t="s">
        <v>54</v>
      </c>
      <c r="AJ613">
        <v>75</v>
      </c>
      <c r="AK613">
        <v>39</v>
      </c>
      <c r="AL613">
        <v>60</v>
      </c>
      <c r="AM613">
        <v>22</v>
      </c>
      <c r="AN613" s="23">
        <v>0.0666666666666667</v>
      </c>
      <c r="AO613" s="23">
        <v>0.102564102564103</v>
      </c>
      <c r="AP613" s="23">
        <v>0.05</v>
      </c>
      <c r="AQ613" s="23">
        <v>0.181818181818182</v>
      </c>
      <c r="AR613" s="35">
        <v>0.714285714285714</v>
      </c>
      <c r="AS613" s="35">
        <v>42.8571428571429</v>
      </c>
      <c r="AT613" s="35">
        <v>-16.8571428571429</v>
      </c>
      <c r="AU613" s="31">
        <f t="shared" si="12"/>
        <v>36</v>
      </c>
      <c r="AV613" s="36">
        <f>IFERROR($A$2+AU613,"上周无销量")</f>
        <v>43326</v>
      </c>
    </row>
    <row r="614" spans="1:48">
      <c r="A614" s="21" t="s">
        <v>1314</v>
      </c>
      <c r="B614" t="s">
        <v>1315</v>
      </c>
      <c r="C614" t="s">
        <v>1289</v>
      </c>
      <c r="D614" s="31">
        <v>13</v>
      </c>
      <c r="E614" s="31">
        <v>13</v>
      </c>
      <c r="F614" s="31">
        <v>2</v>
      </c>
      <c r="G614" s="31">
        <v>11</v>
      </c>
      <c r="H614" s="32">
        <v>18.9646153846154</v>
      </c>
      <c r="I614">
        <v>17</v>
      </c>
      <c r="J614" s="33">
        <v>23</v>
      </c>
      <c r="K614" s="33">
        <v>0</v>
      </c>
      <c r="L614" s="33">
        <v>0</v>
      </c>
      <c r="M614">
        <v>40</v>
      </c>
      <c r="N614">
        <v>0</v>
      </c>
      <c r="O614">
        <v>0</v>
      </c>
      <c r="P614" t="s">
        <v>54</v>
      </c>
      <c r="Q614" t="s">
        <v>54</v>
      </c>
      <c r="R614" t="s">
        <v>54</v>
      </c>
      <c r="S614" t="s">
        <v>54</v>
      </c>
      <c r="T614" t="s">
        <v>54</v>
      </c>
      <c r="U614" t="s">
        <v>54</v>
      </c>
      <c r="V614" t="s">
        <v>54</v>
      </c>
      <c r="W614" t="s">
        <v>54</v>
      </c>
      <c r="X614" s="23" t="s">
        <v>54</v>
      </c>
      <c r="Y614" s="23" t="s">
        <v>54</v>
      </c>
      <c r="Z614" s="23" t="s">
        <v>54</v>
      </c>
      <c r="AA614" s="23" t="s">
        <v>54</v>
      </c>
      <c r="AB614" t="s">
        <v>54</v>
      </c>
      <c r="AC614" t="s">
        <v>54</v>
      </c>
      <c r="AD614" t="s">
        <v>54</v>
      </c>
      <c r="AE614" t="s">
        <v>54</v>
      </c>
      <c r="AF614" s="23" t="s">
        <v>54</v>
      </c>
      <c r="AG614" s="23" t="s">
        <v>54</v>
      </c>
      <c r="AH614" s="23" t="s">
        <v>54</v>
      </c>
      <c r="AI614" s="23" t="s">
        <v>54</v>
      </c>
      <c r="AJ614">
        <v>68</v>
      </c>
      <c r="AK614">
        <v>41</v>
      </c>
      <c r="AL614">
        <v>94</v>
      </c>
      <c r="AM614">
        <v>72</v>
      </c>
      <c r="AN614" s="23">
        <v>0.191176470588235</v>
      </c>
      <c r="AO614" s="23">
        <v>0.317073170731707</v>
      </c>
      <c r="AP614" s="23">
        <v>0.0212765957446809</v>
      </c>
      <c r="AQ614" s="23">
        <v>0.152777777777778</v>
      </c>
      <c r="AR614" s="35">
        <v>1.85714285714286</v>
      </c>
      <c r="AS614" s="35">
        <v>111.428571428571</v>
      </c>
      <c r="AT614" s="35">
        <v>-71.4285714285714</v>
      </c>
      <c r="AU614" s="31">
        <f t="shared" si="12"/>
        <v>21</v>
      </c>
      <c r="AV614" s="36">
        <f>IFERROR($A$2+AU614,"上周无销量")</f>
        <v>43311</v>
      </c>
    </row>
    <row r="615" spans="1:48">
      <c r="A615" s="21" t="s">
        <v>1316</v>
      </c>
      <c r="B615" t="s">
        <v>1317</v>
      </c>
      <c r="C615" t="s">
        <v>1289</v>
      </c>
      <c r="D615" s="31">
        <v>26</v>
      </c>
      <c r="E615" s="31">
        <v>14</v>
      </c>
      <c r="F615" s="31">
        <v>32</v>
      </c>
      <c r="G615" s="31">
        <v>7</v>
      </c>
      <c r="H615" s="32">
        <v>13.9774683544304</v>
      </c>
      <c r="I615">
        <v>50</v>
      </c>
      <c r="J615" s="33">
        <v>20</v>
      </c>
      <c r="K615" s="33">
        <v>0</v>
      </c>
      <c r="L615" s="33">
        <v>11</v>
      </c>
      <c r="M615">
        <v>81</v>
      </c>
      <c r="N615">
        <v>0</v>
      </c>
      <c r="O615">
        <v>0</v>
      </c>
      <c r="P615">
        <v>43678</v>
      </c>
      <c r="Q615">
        <v>8106</v>
      </c>
      <c r="R615">
        <v>0</v>
      </c>
      <c r="S615">
        <v>0</v>
      </c>
      <c r="T615">
        <v>346</v>
      </c>
      <c r="U615">
        <v>58</v>
      </c>
      <c r="V615">
        <v>0</v>
      </c>
      <c r="W615">
        <v>0</v>
      </c>
      <c r="X615" s="23">
        <v>0.00792160813224049</v>
      </c>
      <c r="Y615" s="23">
        <v>0.00715519368369109</v>
      </c>
      <c r="Z615" s="23" t="s">
        <v>54</v>
      </c>
      <c r="AA615" s="23" t="s">
        <v>54</v>
      </c>
      <c r="AB615">
        <v>268.12</v>
      </c>
      <c r="AC615">
        <v>45.19</v>
      </c>
      <c r="AD615">
        <v>0</v>
      </c>
      <c r="AE615">
        <v>0</v>
      </c>
      <c r="AF615" s="23">
        <v>0.737780793403766</v>
      </c>
      <c r="AG615" s="23">
        <v>0.230932888632441</v>
      </c>
      <c r="AH615" s="23" t="s">
        <v>54</v>
      </c>
      <c r="AI615" s="23" t="s">
        <v>54</v>
      </c>
      <c r="AJ615">
        <v>212</v>
      </c>
      <c r="AK615">
        <v>100</v>
      </c>
      <c r="AL615">
        <v>303</v>
      </c>
      <c r="AM615">
        <v>47</v>
      </c>
      <c r="AN615" s="23">
        <v>0.122641509433962</v>
      </c>
      <c r="AO615" s="23">
        <v>0.14</v>
      </c>
      <c r="AP615" s="23">
        <v>0.105610561056106</v>
      </c>
      <c r="AQ615" s="23">
        <v>0.148936170212766</v>
      </c>
      <c r="AR615" s="35">
        <v>3.71428571428571</v>
      </c>
      <c r="AS615" s="35">
        <v>222.857142857143</v>
      </c>
      <c r="AT615" s="35">
        <v>-141.857142857143</v>
      </c>
      <c r="AU615" s="31">
        <f t="shared" si="12"/>
        <v>21</v>
      </c>
      <c r="AV615" s="36">
        <f>IFERROR($A$2+AU615,"上周无销量")</f>
        <v>43311</v>
      </c>
    </row>
    <row r="616" spans="1:48">
      <c r="A616" s="21" t="s">
        <v>1318</v>
      </c>
      <c r="B616" t="s">
        <v>1319</v>
      </c>
      <c r="C616" t="s">
        <v>1289</v>
      </c>
      <c r="D616" s="31">
        <v>0</v>
      </c>
      <c r="E616" s="31">
        <v>0</v>
      </c>
      <c r="F616" s="31">
        <v>0</v>
      </c>
      <c r="G616" s="31">
        <v>0</v>
      </c>
      <c r="H616" s="32">
        <v>0</v>
      </c>
      <c r="I616">
        <v>0</v>
      </c>
      <c r="J616" s="33">
        <v>0</v>
      </c>
      <c r="K616" s="33">
        <v>0</v>
      </c>
      <c r="L616" s="33">
        <v>0</v>
      </c>
      <c r="M616">
        <v>0</v>
      </c>
      <c r="N616">
        <v>0</v>
      </c>
      <c r="O616">
        <v>0</v>
      </c>
      <c r="P616" t="s">
        <v>54</v>
      </c>
      <c r="Q616" t="s">
        <v>54</v>
      </c>
      <c r="R616" t="s">
        <v>54</v>
      </c>
      <c r="S616" t="s">
        <v>54</v>
      </c>
      <c r="T616" t="s">
        <v>54</v>
      </c>
      <c r="U616" t="s">
        <v>54</v>
      </c>
      <c r="V616" t="s">
        <v>54</v>
      </c>
      <c r="W616" t="s">
        <v>54</v>
      </c>
      <c r="X616" s="23" t="s">
        <v>54</v>
      </c>
      <c r="Y616" s="23" t="s">
        <v>54</v>
      </c>
      <c r="Z616" s="23" t="s">
        <v>54</v>
      </c>
      <c r="AA616" s="23" t="s">
        <v>54</v>
      </c>
      <c r="AB616" t="s">
        <v>54</v>
      </c>
      <c r="AC616" t="s">
        <v>54</v>
      </c>
      <c r="AD616" t="s">
        <v>54</v>
      </c>
      <c r="AE616" t="s">
        <v>54</v>
      </c>
      <c r="AF616" s="23" t="s">
        <v>54</v>
      </c>
      <c r="AG616" s="23" t="s">
        <v>54</v>
      </c>
      <c r="AH616" s="23" t="s">
        <v>54</v>
      </c>
      <c r="AI616" s="23" t="s">
        <v>54</v>
      </c>
      <c r="AJ616">
        <v>126</v>
      </c>
      <c r="AK616">
        <v>122</v>
      </c>
      <c r="AL616">
        <v>525</v>
      </c>
      <c r="AM616">
        <v>151</v>
      </c>
      <c r="AN616" s="23">
        <v>0</v>
      </c>
      <c r="AO616" s="23">
        <v>0</v>
      </c>
      <c r="AP616" s="23">
        <v>0</v>
      </c>
      <c r="AQ616" s="23">
        <v>0</v>
      </c>
      <c r="AR616" s="35">
        <v>0</v>
      </c>
      <c r="AS616" s="35">
        <v>0</v>
      </c>
      <c r="AT616" s="35">
        <v>0</v>
      </c>
      <c r="AU616" s="31" t="str">
        <f t="shared" si="12"/>
        <v>库存为0</v>
      </c>
      <c r="AV616" s="36" t="str">
        <f>IFERROR($A$2+AU616,"上周无销量")</f>
        <v>上周无销量</v>
      </c>
    </row>
    <row r="617" spans="1:48">
      <c r="A617" s="21" t="s">
        <v>1320</v>
      </c>
      <c r="B617" t="s">
        <v>1321</v>
      </c>
      <c r="C617" t="s">
        <v>1289</v>
      </c>
      <c r="D617" s="31">
        <v>0</v>
      </c>
      <c r="E617" s="31">
        <v>0</v>
      </c>
      <c r="F617" s="31">
        <v>0</v>
      </c>
      <c r="G617" s="31">
        <v>0</v>
      </c>
      <c r="H617" s="32">
        <v>0</v>
      </c>
      <c r="I617">
        <v>0</v>
      </c>
      <c r="J617" s="33">
        <v>0</v>
      </c>
      <c r="K617" s="33">
        <v>0</v>
      </c>
      <c r="L617" s="33">
        <v>0</v>
      </c>
      <c r="M617">
        <v>0</v>
      </c>
      <c r="N617">
        <v>0</v>
      </c>
      <c r="O617">
        <v>0</v>
      </c>
      <c r="P617" t="s">
        <v>54</v>
      </c>
      <c r="Q617" t="s">
        <v>54</v>
      </c>
      <c r="R617" t="s">
        <v>54</v>
      </c>
      <c r="S617" t="s">
        <v>54</v>
      </c>
      <c r="T617" t="s">
        <v>54</v>
      </c>
      <c r="U617" t="s">
        <v>54</v>
      </c>
      <c r="V617" t="s">
        <v>54</v>
      </c>
      <c r="W617" t="s">
        <v>54</v>
      </c>
      <c r="X617" s="23" t="s">
        <v>54</v>
      </c>
      <c r="Y617" s="23" t="s">
        <v>54</v>
      </c>
      <c r="Z617" s="23" t="s">
        <v>54</v>
      </c>
      <c r="AA617" s="23" t="s">
        <v>54</v>
      </c>
      <c r="AB617" t="s">
        <v>54</v>
      </c>
      <c r="AC617" t="s">
        <v>54</v>
      </c>
      <c r="AD617" t="s">
        <v>54</v>
      </c>
      <c r="AE617" t="s">
        <v>54</v>
      </c>
      <c r="AF617" s="23" t="s">
        <v>54</v>
      </c>
      <c r="AG617" s="23" t="s">
        <v>54</v>
      </c>
      <c r="AH617" s="23" t="s">
        <v>54</v>
      </c>
      <c r="AI617" s="23" t="s">
        <v>54</v>
      </c>
      <c r="AJ617">
        <v>201</v>
      </c>
      <c r="AK617">
        <v>186</v>
      </c>
      <c r="AL617">
        <v>494</v>
      </c>
      <c r="AM617">
        <v>242</v>
      </c>
      <c r="AN617" s="23">
        <v>0</v>
      </c>
      <c r="AO617" s="23">
        <v>0</v>
      </c>
      <c r="AP617" s="23">
        <v>0</v>
      </c>
      <c r="AQ617" s="23">
        <v>0</v>
      </c>
      <c r="AR617" s="35">
        <v>0</v>
      </c>
      <c r="AS617" s="35">
        <v>0</v>
      </c>
      <c r="AT617" s="35">
        <v>0</v>
      </c>
      <c r="AU617" s="31" t="str">
        <f t="shared" si="12"/>
        <v>库存为0</v>
      </c>
      <c r="AV617" s="36" t="str">
        <f>IFERROR($A$2+AU617,"上周无销量")</f>
        <v>上周无销量</v>
      </c>
    </row>
    <row r="618" spans="1:48">
      <c r="A618" s="21" t="s">
        <v>1322</v>
      </c>
      <c r="B618" t="s">
        <v>1323</v>
      </c>
      <c r="C618" t="s">
        <v>1289</v>
      </c>
      <c r="D618" s="31">
        <v>0</v>
      </c>
      <c r="E618" s="31">
        <v>0</v>
      </c>
      <c r="F618" s="31">
        <v>0</v>
      </c>
      <c r="G618" s="31">
        <v>0</v>
      </c>
      <c r="H618" s="32">
        <v>0</v>
      </c>
      <c r="I618">
        <v>0</v>
      </c>
      <c r="J618" s="33">
        <v>0</v>
      </c>
      <c r="K618" s="33">
        <v>0</v>
      </c>
      <c r="L618" s="33">
        <v>0</v>
      </c>
      <c r="M618">
        <v>0</v>
      </c>
      <c r="N618">
        <v>0</v>
      </c>
      <c r="O618">
        <v>0</v>
      </c>
      <c r="P618" t="s">
        <v>54</v>
      </c>
      <c r="Q618" t="s">
        <v>54</v>
      </c>
      <c r="R618" t="s">
        <v>54</v>
      </c>
      <c r="S618" t="s">
        <v>54</v>
      </c>
      <c r="T618" t="s">
        <v>54</v>
      </c>
      <c r="U618" t="s">
        <v>54</v>
      </c>
      <c r="V618" t="s">
        <v>54</v>
      </c>
      <c r="W618" t="s">
        <v>54</v>
      </c>
      <c r="X618" s="23" t="s">
        <v>54</v>
      </c>
      <c r="Y618" s="23" t="s">
        <v>54</v>
      </c>
      <c r="Z618" s="23" t="s">
        <v>54</v>
      </c>
      <c r="AA618" s="23" t="s">
        <v>54</v>
      </c>
      <c r="AB618" t="s">
        <v>54</v>
      </c>
      <c r="AC618" t="s">
        <v>54</v>
      </c>
      <c r="AD618" t="s">
        <v>54</v>
      </c>
      <c r="AE618" t="s">
        <v>54</v>
      </c>
      <c r="AF618" s="23" t="s">
        <v>54</v>
      </c>
      <c r="AG618" s="23" t="s">
        <v>54</v>
      </c>
      <c r="AH618" s="23" t="s">
        <v>54</v>
      </c>
      <c r="AI618" s="23" t="s">
        <v>54</v>
      </c>
      <c r="AJ618">
        <v>648</v>
      </c>
      <c r="AK618">
        <v>607</v>
      </c>
      <c r="AL618">
        <v>1083</v>
      </c>
      <c r="AM618">
        <v>551</v>
      </c>
      <c r="AN618" s="23">
        <v>0</v>
      </c>
      <c r="AO618" s="23">
        <v>0</v>
      </c>
      <c r="AP618" s="23">
        <v>0</v>
      </c>
      <c r="AQ618" s="23">
        <v>0</v>
      </c>
      <c r="AR618" s="35">
        <v>0</v>
      </c>
      <c r="AS618" s="35">
        <v>0</v>
      </c>
      <c r="AT618" s="35">
        <v>0</v>
      </c>
      <c r="AU618" s="31" t="str">
        <f t="shared" si="12"/>
        <v>库存为0</v>
      </c>
      <c r="AV618" s="36" t="str">
        <f>IFERROR($A$2+AU618,"上周无销量")</f>
        <v>上周无销量</v>
      </c>
    </row>
    <row r="619" spans="1:48">
      <c r="A619" s="21" t="s">
        <v>1324</v>
      </c>
      <c r="B619" t="s">
        <v>1325</v>
      </c>
      <c r="C619" t="s">
        <v>1289</v>
      </c>
      <c r="D619" s="31">
        <v>3</v>
      </c>
      <c r="E619" s="31">
        <v>3</v>
      </c>
      <c r="F619" s="31">
        <v>5</v>
      </c>
      <c r="G619" s="31">
        <v>0</v>
      </c>
      <c r="H619" s="32">
        <v>24.99</v>
      </c>
      <c r="I619">
        <v>16</v>
      </c>
      <c r="J619" s="33">
        <v>0</v>
      </c>
      <c r="K619" s="33">
        <v>0</v>
      </c>
      <c r="L619" s="33">
        <v>0</v>
      </c>
      <c r="M619">
        <v>16</v>
      </c>
      <c r="N619">
        <v>0</v>
      </c>
      <c r="O619">
        <v>0</v>
      </c>
      <c r="P619" t="s">
        <v>54</v>
      </c>
      <c r="Q619" t="s">
        <v>54</v>
      </c>
      <c r="R619" t="s">
        <v>54</v>
      </c>
      <c r="S619" t="s">
        <v>54</v>
      </c>
      <c r="T619" t="s">
        <v>54</v>
      </c>
      <c r="U619" t="s">
        <v>54</v>
      </c>
      <c r="V619" t="s">
        <v>54</v>
      </c>
      <c r="W619" t="s">
        <v>54</v>
      </c>
      <c r="X619" s="23" t="s">
        <v>54</v>
      </c>
      <c r="Y619" s="23" t="s">
        <v>54</v>
      </c>
      <c r="Z619" s="23" t="s">
        <v>54</v>
      </c>
      <c r="AA619" s="23" t="s">
        <v>54</v>
      </c>
      <c r="AB619" t="s">
        <v>54</v>
      </c>
      <c r="AC619" t="s">
        <v>54</v>
      </c>
      <c r="AD619" t="s">
        <v>54</v>
      </c>
      <c r="AE619" t="s">
        <v>54</v>
      </c>
      <c r="AF619" s="23" t="s">
        <v>54</v>
      </c>
      <c r="AG619" s="23" t="s">
        <v>54</v>
      </c>
      <c r="AH619" s="23" t="s">
        <v>54</v>
      </c>
      <c r="AI619" s="23" t="s">
        <v>54</v>
      </c>
      <c r="AJ619">
        <v>34</v>
      </c>
      <c r="AK619">
        <v>33</v>
      </c>
      <c r="AL619">
        <v>163</v>
      </c>
      <c r="AM619">
        <v>34</v>
      </c>
      <c r="AN619" s="23">
        <v>0.0882352941176471</v>
      </c>
      <c r="AO619" s="23">
        <v>0.0909090909090909</v>
      </c>
      <c r="AP619" s="23">
        <v>0.0306748466257669</v>
      </c>
      <c r="AQ619" s="23">
        <v>0</v>
      </c>
      <c r="AR619" s="35">
        <v>0.428571428571429</v>
      </c>
      <c r="AS619" s="35">
        <v>25.7142857142857</v>
      </c>
      <c r="AT619" s="35">
        <v>-9.71428571428571</v>
      </c>
      <c r="AU619" s="31">
        <f t="shared" si="12"/>
        <v>37</v>
      </c>
      <c r="AV619" s="36">
        <f>IFERROR($A$2+AU619,"上周无销量")</f>
        <v>43327</v>
      </c>
    </row>
    <row r="620" spans="1:48">
      <c r="A620" s="21" t="s">
        <v>1326</v>
      </c>
      <c r="B620" t="s">
        <v>1327</v>
      </c>
      <c r="C620" t="s">
        <v>1289</v>
      </c>
      <c r="D620" s="31">
        <v>1</v>
      </c>
      <c r="E620" s="31">
        <v>3</v>
      </c>
      <c r="F620" s="31">
        <v>6</v>
      </c>
      <c r="G620" s="31">
        <v>1</v>
      </c>
      <c r="H620" s="32">
        <v>18.99</v>
      </c>
      <c r="I620">
        <v>31</v>
      </c>
      <c r="J620" s="33">
        <v>0</v>
      </c>
      <c r="K620" s="33">
        <v>0</v>
      </c>
      <c r="L620" s="33">
        <v>0</v>
      </c>
      <c r="M620">
        <v>31</v>
      </c>
      <c r="N620">
        <v>0</v>
      </c>
      <c r="O620">
        <v>0</v>
      </c>
      <c r="P620" t="s">
        <v>54</v>
      </c>
      <c r="Q620" t="s">
        <v>54</v>
      </c>
      <c r="R620" t="s">
        <v>54</v>
      </c>
      <c r="S620" t="s">
        <v>54</v>
      </c>
      <c r="T620" t="s">
        <v>54</v>
      </c>
      <c r="U620" t="s">
        <v>54</v>
      </c>
      <c r="V620" t="s">
        <v>54</v>
      </c>
      <c r="W620" t="s">
        <v>54</v>
      </c>
      <c r="X620" s="23" t="s">
        <v>54</v>
      </c>
      <c r="Y620" s="23" t="s">
        <v>54</v>
      </c>
      <c r="Z620" s="23" t="s">
        <v>54</v>
      </c>
      <c r="AA620" s="23" t="s">
        <v>54</v>
      </c>
      <c r="AB620" t="s">
        <v>54</v>
      </c>
      <c r="AC620" t="s">
        <v>54</v>
      </c>
      <c r="AD620" t="s">
        <v>54</v>
      </c>
      <c r="AE620" t="s">
        <v>54</v>
      </c>
      <c r="AF620" s="23" t="s">
        <v>54</v>
      </c>
      <c r="AG620" s="23" t="s">
        <v>54</v>
      </c>
      <c r="AH620" s="23" t="s">
        <v>54</v>
      </c>
      <c r="AI620" s="23" t="s">
        <v>54</v>
      </c>
      <c r="AJ620">
        <v>39</v>
      </c>
      <c r="AK620">
        <v>26</v>
      </c>
      <c r="AL620">
        <v>233</v>
      </c>
      <c r="AM620">
        <v>53</v>
      </c>
      <c r="AN620" s="23">
        <v>0.0256410256410256</v>
      </c>
      <c r="AO620" s="23">
        <v>0.115384615384615</v>
      </c>
      <c r="AP620" s="23">
        <v>0.0257510729613734</v>
      </c>
      <c r="AQ620" s="23">
        <v>0.0188679245283019</v>
      </c>
      <c r="AR620" s="35">
        <v>0.142857142857143</v>
      </c>
      <c r="AS620" s="35">
        <v>8.57142857142857</v>
      </c>
      <c r="AT620" s="35">
        <v>22.4285714285714</v>
      </c>
      <c r="AU620" s="31">
        <f t="shared" si="12"/>
        <v>217</v>
      </c>
      <c r="AV620" s="36">
        <f>IFERROR($A$2+AU620,"上周无销量")</f>
        <v>43507</v>
      </c>
    </row>
    <row r="621" spans="1:48">
      <c r="A621" s="21" t="s">
        <v>1328</v>
      </c>
      <c r="B621" t="s">
        <v>1329</v>
      </c>
      <c r="C621" t="s">
        <v>1289</v>
      </c>
      <c r="D621" s="31">
        <v>7</v>
      </c>
      <c r="E621" s="31">
        <v>4</v>
      </c>
      <c r="F621" s="31">
        <v>4</v>
      </c>
      <c r="G621" s="31">
        <v>4</v>
      </c>
      <c r="H621" s="32">
        <v>13.9378947368421</v>
      </c>
      <c r="I621">
        <v>32</v>
      </c>
      <c r="J621" s="33">
        <v>0</v>
      </c>
      <c r="K621" s="33">
        <v>0</v>
      </c>
      <c r="L621" s="33">
        <v>1</v>
      </c>
      <c r="M621">
        <v>33</v>
      </c>
      <c r="N621">
        <v>1</v>
      </c>
      <c r="O621">
        <v>0</v>
      </c>
      <c r="P621" t="s">
        <v>54</v>
      </c>
      <c r="Q621" t="s">
        <v>54</v>
      </c>
      <c r="R621" t="s">
        <v>54</v>
      </c>
      <c r="S621" t="s">
        <v>54</v>
      </c>
      <c r="T621" t="s">
        <v>54</v>
      </c>
      <c r="U621" t="s">
        <v>54</v>
      </c>
      <c r="V621" t="s">
        <v>54</v>
      </c>
      <c r="W621" t="s">
        <v>54</v>
      </c>
      <c r="X621" s="23" t="s">
        <v>54</v>
      </c>
      <c r="Y621" s="23" t="s">
        <v>54</v>
      </c>
      <c r="Z621" s="23" t="s">
        <v>54</v>
      </c>
      <c r="AA621" s="23" t="s">
        <v>54</v>
      </c>
      <c r="AB621" t="s">
        <v>54</v>
      </c>
      <c r="AC621" t="s">
        <v>54</v>
      </c>
      <c r="AD621" t="s">
        <v>54</v>
      </c>
      <c r="AE621" t="s">
        <v>54</v>
      </c>
      <c r="AF621" s="23" t="s">
        <v>54</v>
      </c>
      <c r="AG621" s="23" t="s">
        <v>54</v>
      </c>
      <c r="AH621" s="23" t="s">
        <v>54</v>
      </c>
      <c r="AI621" s="23" t="s">
        <v>54</v>
      </c>
      <c r="AJ621">
        <v>77</v>
      </c>
      <c r="AK621">
        <v>71</v>
      </c>
      <c r="AL621">
        <v>347</v>
      </c>
      <c r="AM621">
        <v>72</v>
      </c>
      <c r="AN621" s="23">
        <v>0.0909090909090909</v>
      </c>
      <c r="AO621" s="23">
        <v>0.0563380281690141</v>
      </c>
      <c r="AP621" s="23">
        <v>0.0115273775216138</v>
      </c>
      <c r="AQ621" s="23">
        <v>0.0555555555555556</v>
      </c>
      <c r="AR621" s="35">
        <v>1</v>
      </c>
      <c r="AS621" s="35">
        <v>60</v>
      </c>
      <c r="AT621" s="35">
        <v>-27</v>
      </c>
      <c r="AU621" s="31">
        <f t="shared" si="12"/>
        <v>33</v>
      </c>
      <c r="AV621" s="36">
        <f>IFERROR($A$2+AU621,"上周无销量")</f>
        <v>43323</v>
      </c>
    </row>
    <row r="622" spans="1:48">
      <c r="A622" s="21" t="s">
        <v>1330</v>
      </c>
      <c r="B622" t="s">
        <v>1331</v>
      </c>
      <c r="C622" t="s">
        <v>1289</v>
      </c>
      <c r="D622" s="31">
        <v>0</v>
      </c>
      <c r="E622" s="31">
        <v>0</v>
      </c>
      <c r="F622" s="31">
        <v>14</v>
      </c>
      <c r="G622" s="31">
        <v>1</v>
      </c>
      <c r="H622" s="32">
        <v>25.99</v>
      </c>
      <c r="I622">
        <v>0</v>
      </c>
      <c r="J622" s="33">
        <v>0</v>
      </c>
      <c r="K622" s="33">
        <v>0</v>
      </c>
      <c r="L622" s="33">
        <v>0</v>
      </c>
      <c r="M622">
        <v>0</v>
      </c>
      <c r="N622">
        <v>1</v>
      </c>
      <c r="O622">
        <v>0</v>
      </c>
      <c r="P622" t="s">
        <v>54</v>
      </c>
      <c r="Q622" t="s">
        <v>54</v>
      </c>
      <c r="R622" t="s">
        <v>54</v>
      </c>
      <c r="S622" t="s">
        <v>54</v>
      </c>
      <c r="T622" t="s">
        <v>54</v>
      </c>
      <c r="U622" t="s">
        <v>54</v>
      </c>
      <c r="V622" t="s">
        <v>54</v>
      </c>
      <c r="W622" t="s">
        <v>54</v>
      </c>
      <c r="X622" s="23" t="s">
        <v>54</v>
      </c>
      <c r="Y622" s="23" t="s">
        <v>54</v>
      </c>
      <c r="Z622" s="23" t="s">
        <v>54</v>
      </c>
      <c r="AA622" s="23" t="s">
        <v>54</v>
      </c>
      <c r="AB622" t="s">
        <v>54</v>
      </c>
      <c r="AC622" t="s">
        <v>54</v>
      </c>
      <c r="AD622" t="s">
        <v>54</v>
      </c>
      <c r="AE622" t="s">
        <v>54</v>
      </c>
      <c r="AF622" s="23" t="s">
        <v>54</v>
      </c>
      <c r="AG622" s="23" t="s">
        <v>54</v>
      </c>
      <c r="AH622" s="23" t="s">
        <v>54</v>
      </c>
      <c r="AI622" s="23" t="s">
        <v>54</v>
      </c>
      <c r="AJ622">
        <v>160</v>
      </c>
      <c r="AK622">
        <v>105</v>
      </c>
      <c r="AL622">
        <v>735</v>
      </c>
      <c r="AM622">
        <v>148</v>
      </c>
      <c r="AN622" s="23">
        <v>0</v>
      </c>
      <c r="AO622" s="23">
        <v>0</v>
      </c>
      <c r="AP622" s="23">
        <v>0.019047619047619</v>
      </c>
      <c r="AQ622" s="23">
        <v>0.00675675675675676</v>
      </c>
      <c r="AR622" s="35">
        <v>0</v>
      </c>
      <c r="AS622" s="35">
        <v>0</v>
      </c>
      <c r="AT622" s="35">
        <v>0</v>
      </c>
      <c r="AU622" s="31" t="str">
        <f t="shared" si="12"/>
        <v>库存为0</v>
      </c>
      <c r="AV622" s="36" t="str">
        <f>IFERROR($A$2+AU622,"上周无销量")</f>
        <v>上周无销量</v>
      </c>
    </row>
    <row r="623" spans="1:48">
      <c r="A623" s="21" t="s">
        <v>1332</v>
      </c>
      <c r="B623" t="s">
        <v>1333</v>
      </c>
      <c r="C623" t="s">
        <v>1289</v>
      </c>
      <c r="D623" s="31">
        <v>0</v>
      </c>
      <c r="E623" s="31">
        <v>0</v>
      </c>
      <c r="F623" s="31">
        <v>0</v>
      </c>
      <c r="G623" s="31">
        <v>0</v>
      </c>
      <c r="H623" s="32">
        <v>0</v>
      </c>
      <c r="I623">
        <v>0</v>
      </c>
      <c r="J623" s="33">
        <v>0</v>
      </c>
      <c r="K623" s="33">
        <v>0</v>
      </c>
      <c r="L623" s="33">
        <v>0</v>
      </c>
      <c r="M623">
        <v>0</v>
      </c>
      <c r="N623">
        <v>0</v>
      </c>
      <c r="O623">
        <v>0</v>
      </c>
      <c r="P623" t="s">
        <v>54</v>
      </c>
      <c r="Q623" t="s">
        <v>54</v>
      </c>
      <c r="R623" t="s">
        <v>54</v>
      </c>
      <c r="S623" t="s">
        <v>54</v>
      </c>
      <c r="T623" t="s">
        <v>54</v>
      </c>
      <c r="U623" t="s">
        <v>54</v>
      </c>
      <c r="V623" t="s">
        <v>54</v>
      </c>
      <c r="W623" t="s">
        <v>54</v>
      </c>
      <c r="X623" s="23" t="s">
        <v>54</v>
      </c>
      <c r="Y623" s="23" t="s">
        <v>54</v>
      </c>
      <c r="Z623" s="23" t="s">
        <v>54</v>
      </c>
      <c r="AA623" s="23" t="s">
        <v>54</v>
      </c>
      <c r="AB623" t="s">
        <v>54</v>
      </c>
      <c r="AC623" t="s">
        <v>54</v>
      </c>
      <c r="AD623" t="s">
        <v>54</v>
      </c>
      <c r="AE623" t="s">
        <v>54</v>
      </c>
      <c r="AF623" s="23" t="s">
        <v>54</v>
      </c>
      <c r="AG623" s="23" t="s">
        <v>54</v>
      </c>
      <c r="AH623" s="23" t="s">
        <v>54</v>
      </c>
      <c r="AI623" s="23" t="s">
        <v>54</v>
      </c>
      <c r="AJ623">
        <v>197</v>
      </c>
      <c r="AK623">
        <v>150</v>
      </c>
      <c r="AL623">
        <v>1186</v>
      </c>
      <c r="AM623">
        <v>518</v>
      </c>
      <c r="AN623" s="23">
        <v>0</v>
      </c>
      <c r="AO623" s="23">
        <v>0</v>
      </c>
      <c r="AP623" s="23">
        <v>0</v>
      </c>
      <c r="AQ623" s="23">
        <v>0</v>
      </c>
      <c r="AR623" s="35">
        <v>0</v>
      </c>
      <c r="AS623" s="35">
        <v>0</v>
      </c>
      <c r="AT623" s="35">
        <v>0</v>
      </c>
      <c r="AU623" s="31" t="str">
        <f t="shared" si="12"/>
        <v>库存为0</v>
      </c>
      <c r="AV623" s="36" t="str">
        <f>IFERROR($A$2+AU623,"上周无销量")</f>
        <v>上周无销量</v>
      </c>
    </row>
    <row r="624" spans="1:48">
      <c r="A624" s="21" t="s">
        <v>1334</v>
      </c>
      <c r="B624" t="s">
        <v>1335</v>
      </c>
      <c r="C624" t="s">
        <v>1289</v>
      </c>
      <c r="D624" s="31">
        <v>0</v>
      </c>
      <c r="E624" s="31">
        <v>0</v>
      </c>
      <c r="F624" s="31">
        <v>0</v>
      </c>
      <c r="G624" s="31">
        <v>0</v>
      </c>
      <c r="H624" s="32">
        <v>0</v>
      </c>
      <c r="I624">
        <v>0</v>
      </c>
      <c r="J624" s="33">
        <v>0</v>
      </c>
      <c r="K624" s="33">
        <v>0</v>
      </c>
      <c r="L624" s="33">
        <v>0</v>
      </c>
      <c r="M624">
        <v>0</v>
      </c>
      <c r="N624">
        <v>0</v>
      </c>
      <c r="O624">
        <v>0</v>
      </c>
      <c r="P624" t="s">
        <v>54</v>
      </c>
      <c r="Q624" t="s">
        <v>54</v>
      </c>
      <c r="R624" t="s">
        <v>54</v>
      </c>
      <c r="S624" t="s">
        <v>54</v>
      </c>
      <c r="T624" t="s">
        <v>54</v>
      </c>
      <c r="U624" t="s">
        <v>54</v>
      </c>
      <c r="V624" t="s">
        <v>54</v>
      </c>
      <c r="W624" t="s">
        <v>54</v>
      </c>
      <c r="X624" s="23" t="s">
        <v>54</v>
      </c>
      <c r="Y624" s="23" t="s">
        <v>54</v>
      </c>
      <c r="Z624" s="23" t="s">
        <v>54</v>
      </c>
      <c r="AA624" s="23" t="s">
        <v>54</v>
      </c>
      <c r="AB624" t="s">
        <v>54</v>
      </c>
      <c r="AC624" t="s">
        <v>54</v>
      </c>
      <c r="AD624" t="s">
        <v>54</v>
      </c>
      <c r="AE624" t="s">
        <v>54</v>
      </c>
      <c r="AF624" s="23" t="s">
        <v>54</v>
      </c>
      <c r="AG624" s="23" t="s">
        <v>54</v>
      </c>
      <c r="AH624" s="23" t="s">
        <v>54</v>
      </c>
      <c r="AI624" s="23" t="s">
        <v>54</v>
      </c>
      <c r="AJ624">
        <v>245</v>
      </c>
      <c r="AK624">
        <v>175</v>
      </c>
      <c r="AL624">
        <v>1599</v>
      </c>
      <c r="AM624">
        <v>162</v>
      </c>
      <c r="AN624" s="23">
        <v>0</v>
      </c>
      <c r="AO624" s="23">
        <v>0</v>
      </c>
      <c r="AP624" s="23">
        <v>0</v>
      </c>
      <c r="AQ624" s="23">
        <v>0</v>
      </c>
      <c r="AR624" s="35">
        <v>0</v>
      </c>
      <c r="AS624" s="35">
        <v>0</v>
      </c>
      <c r="AT624" s="35">
        <v>0</v>
      </c>
      <c r="AU624" s="31" t="str">
        <f t="shared" si="12"/>
        <v>库存为0</v>
      </c>
      <c r="AV624" s="36" t="str">
        <f>IFERROR($A$2+AU624,"上周无销量")</f>
        <v>上周无销量</v>
      </c>
    </row>
    <row r="625" spans="1:48">
      <c r="A625" s="21" t="s">
        <v>1336</v>
      </c>
      <c r="B625" t="s">
        <v>1337</v>
      </c>
      <c r="C625" t="s">
        <v>1289</v>
      </c>
      <c r="D625" s="31">
        <v>3</v>
      </c>
      <c r="E625" s="31">
        <v>3</v>
      </c>
      <c r="F625" s="31">
        <v>4</v>
      </c>
      <c r="G625" s="31">
        <v>2</v>
      </c>
      <c r="H625" s="32">
        <v>25.99</v>
      </c>
      <c r="I625">
        <v>16</v>
      </c>
      <c r="J625" s="33">
        <v>3</v>
      </c>
      <c r="K625" s="33">
        <v>0</v>
      </c>
      <c r="L625" s="33">
        <v>0</v>
      </c>
      <c r="M625">
        <v>19</v>
      </c>
      <c r="N625">
        <v>0</v>
      </c>
      <c r="O625">
        <v>0</v>
      </c>
      <c r="P625" t="s">
        <v>54</v>
      </c>
      <c r="Q625" t="s">
        <v>54</v>
      </c>
      <c r="R625" t="s">
        <v>54</v>
      </c>
      <c r="S625" t="s">
        <v>54</v>
      </c>
      <c r="T625" t="s">
        <v>54</v>
      </c>
      <c r="U625" t="s">
        <v>54</v>
      </c>
      <c r="V625" t="s">
        <v>54</v>
      </c>
      <c r="W625" t="s">
        <v>54</v>
      </c>
      <c r="X625" s="23" t="s">
        <v>54</v>
      </c>
      <c r="Y625" s="23" t="s">
        <v>54</v>
      </c>
      <c r="Z625" s="23" t="s">
        <v>54</v>
      </c>
      <c r="AA625" s="23" t="s">
        <v>54</v>
      </c>
      <c r="AB625" t="s">
        <v>54</v>
      </c>
      <c r="AC625" t="s">
        <v>54</v>
      </c>
      <c r="AD625" t="s">
        <v>54</v>
      </c>
      <c r="AE625" t="s">
        <v>54</v>
      </c>
      <c r="AF625" s="23" t="s">
        <v>54</v>
      </c>
      <c r="AG625" s="23" t="s">
        <v>54</v>
      </c>
      <c r="AH625" s="23" t="s">
        <v>54</v>
      </c>
      <c r="AI625" s="23" t="s">
        <v>54</v>
      </c>
      <c r="AJ625">
        <v>39</v>
      </c>
      <c r="AK625">
        <v>36</v>
      </c>
      <c r="AL625">
        <v>174</v>
      </c>
      <c r="AM625">
        <v>37</v>
      </c>
      <c r="AN625" s="23">
        <v>0.0769230769230769</v>
      </c>
      <c r="AO625" s="23">
        <v>0.0833333333333333</v>
      </c>
      <c r="AP625" s="23">
        <v>0.0229885057471264</v>
      </c>
      <c r="AQ625" s="23">
        <v>0.0540540540540541</v>
      </c>
      <c r="AR625" s="35">
        <v>0.428571428571429</v>
      </c>
      <c r="AS625" s="35">
        <v>25.7142857142857</v>
      </c>
      <c r="AT625" s="35">
        <v>-6.71428571428571</v>
      </c>
      <c r="AU625" s="31">
        <f t="shared" si="12"/>
        <v>44</v>
      </c>
      <c r="AV625" s="36">
        <f>IFERROR($A$2+AU625,"上周无销量")</f>
        <v>43334</v>
      </c>
    </row>
    <row r="626" spans="1:48">
      <c r="A626" s="21" t="s">
        <v>1338</v>
      </c>
      <c r="B626" t="s">
        <v>1339</v>
      </c>
      <c r="C626" t="s">
        <v>1289</v>
      </c>
      <c r="D626" s="31">
        <v>3</v>
      </c>
      <c r="E626" s="31">
        <v>1</v>
      </c>
      <c r="F626" s="31">
        <v>5</v>
      </c>
      <c r="G626" s="31">
        <v>5</v>
      </c>
      <c r="H626" s="32">
        <v>18.99</v>
      </c>
      <c r="I626">
        <v>26</v>
      </c>
      <c r="J626" s="33">
        <v>0</v>
      </c>
      <c r="K626" s="33">
        <v>0</v>
      </c>
      <c r="L626" s="33">
        <v>0</v>
      </c>
      <c r="M626">
        <v>26</v>
      </c>
      <c r="N626">
        <v>0</v>
      </c>
      <c r="O626">
        <v>0</v>
      </c>
      <c r="P626" t="s">
        <v>54</v>
      </c>
      <c r="Q626" t="s">
        <v>54</v>
      </c>
      <c r="R626" t="s">
        <v>54</v>
      </c>
      <c r="S626" t="s">
        <v>54</v>
      </c>
      <c r="T626" t="s">
        <v>54</v>
      </c>
      <c r="U626" t="s">
        <v>54</v>
      </c>
      <c r="V626" t="s">
        <v>54</v>
      </c>
      <c r="W626" t="s">
        <v>54</v>
      </c>
      <c r="X626" s="23" t="s">
        <v>54</v>
      </c>
      <c r="Y626" s="23" t="s">
        <v>54</v>
      </c>
      <c r="Z626" s="23" t="s">
        <v>54</v>
      </c>
      <c r="AA626" s="23" t="s">
        <v>54</v>
      </c>
      <c r="AB626" t="s">
        <v>54</v>
      </c>
      <c r="AC626" t="s">
        <v>54</v>
      </c>
      <c r="AD626" t="s">
        <v>54</v>
      </c>
      <c r="AE626" t="s">
        <v>54</v>
      </c>
      <c r="AF626" s="23" t="s">
        <v>54</v>
      </c>
      <c r="AG626" s="23" t="s">
        <v>54</v>
      </c>
      <c r="AH626" s="23" t="s">
        <v>54</v>
      </c>
      <c r="AI626" s="23" t="s">
        <v>54</v>
      </c>
      <c r="AJ626">
        <v>26</v>
      </c>
      <c r="AK626">
        <v>24</v>
      </c>
      <c r="AL626">
        <v>147</v>
      </c>
      <c r="AM626">
        <v>49</v>
      </c>
      <c r="AN626" s="23">
        <v>0.115384615384615</v>
      </c>
      <c r="AO626" s="23">
        <v>0.0416666666666667</v>
      </c>
      <c r="AP626" s="23">
        <v>0.0340136054421769</v>
      </c>
      <c r="AQ626" s="23">
        <v>0.102040816326531</v>
      </c>
      <c r="AR626" s="35">
        <v>0.428571428571429</v>
      </c>
      <c r="AS626" s="35">
        <v>25.7142857142857</v>
      </c>
      <c r="AT626" s="35">
        <v>0.285714285714288</v>
      </c>
      <c r="AU626" s="31">
        <f t="shared" si="12"/>
        <v>60</v>
      </c>
      <c r="AV626" s="36">
        <f>IFERROR($A$2+AU626,"上周无销量")</f>
        <v>43350</v>
      </c>
    </row>
    <row r="627" spans="1:48">
      <c r="A627" s="21" t="s">
        <v>1340</v>
      </c>
      <c r="B627" t="s">
        <v>1341</v>
      </c>
      <c r="C627" t="s">
        <v>1289</v>
      </c>
      <c r="D627" s="31">
        <v>7</v>
      </c>
      <c r="E627" s="31">
        <v>5</v>
      </c>
      <c r="F627" s="31">
        <v>8</v>
      </c>
      <c r="G627" s="31">
        <v>11</v>
      </c>
      <c r="H627" s="32">
        <v>13.99</v>
      </c>
      <c r="I627">
        <v>37</v>
      </c>
      <c r="J627" s="33">
        <v>50</v>
      </c>
      <c r="K627" s="33">
        <v>0</v>
      </c>
      <c r="L627" s="33">
        <v>29</v>
      </c>
      <c r="M627">
        <v>116</v>
      </c>
      <c r="N627">
        <v>0</v>
      </c>
      <c r="O627">
        <v>0</v>
      </c>
      <c r="P627">
        <v>3243</v>
      </c>
      <c r="Q627">
        <v>979</v>
      </c>
      <c r="R627">
        <v>0</v>
      </c>
      <c r="S627">
        <v>0</v>
      </c>
      <c r="T627">
        <v>24</v>
      </c>
      <c r="U627">
        <v>4</v>
      </c>
      <c r="V627">
        <v>0</v>
      </c>
      <c r="W627">
        <v>0</v>
      </c>
      <c r="X627" s="23">
        <v>0.00740055504162812</v>
      </c>
      <c r="Y627" s="23">
        <v>0.00408580183861083</v>
      </c>
      <c r="Z627" s="23" t="s">
        <v>54</v>
      </c>
      <c r="AA627" s="23" t="s">
        <v>54</v>
      </c>
      <c r="AB627">
        <v>15.29</v>
      </c>
      <c r="AC627">
        <v>2.64</v>
      </c>
      <c r="AD627">
        <v>0</v>
      </c>
      <c r="AE627">
        <v>0</v>
      </c>
      <c r="AF627" s="23">
        <v>0.156131930971102</v>
      </c>
      <c r="AG627" s="23">
        <v>0.0377412437455325</v>
      </c>
      <c r="AH627" s="23" t="s">
        <v>54</v>
      </c>
      <c r="AI627" s="23" t="s">
        <v>54</v>
      </c>
      <c r="AJ627">
        <v>83</v>
      </c>
      <c r="AK627">
        <v>81</v>
      </c>
      <c r="AL627">
        <v>306</v>
      </c>
      <c r="AM627">
        <v>77</v>
      </c>
      <c r="AN627" s="23">
        <v>0.0843373493975904</v>
      </c>
      <c r="AO627" s="23">
        <v>0.0617283950617284</v>
      </c>
      <c r="AP627" s="23">
        <v>0.0261437908496732</v>
      </c>
      <c r="AQ627" s="23">
        <v>0.142857142857143</v>
      </c>
      <c r="AR627" s="35">
        <v>1</v>
      </c>
      <c r="AS627" s="35">
        <v>60</v>
      </c>
      <c r="AT627" s="35">
        <v>56</v>
      </c>
      <c r="AU627" s="31">
        <f t="shared" si="12"/>
        <v>116</v>
      </c>
      <c r="AV627" s="36">
        <f>IFERROR($A$2+AU627,"上周无销量")</f>
        <v>43406</v>
      </c>
    </row>
    <row r="628" spans="1:48">
      <c r="A628" s="21" t="s">
        <v>1342</v>
      </c>
      <c r="B628" t="s">
        <v>1343</v>
      </c>
      <c r="C628" t="s">
        <v>1289</v>
      </c>
      <c r="D628" s="31">
        <v>1</v>
      </c>
      <c r="E628" s="31">
        <v>3</v>
      </c>
      <c r="F628" s="31">
        <v>0</v>
      </c>
      <c r="G628" s="31">
        <v>0</v>
      </c>
      <c r="H628" s="32">
        <v>24.99</v>
      </c>
      <c r="I628">
        <v>8</v>
      </c>
      <c r="J628" s="33">
        <v>0</v>
      </c>
      <c r="K628" s="33">
        <v>0</v>
      </c>
      <c r="L628" s="33">
        <v>0</v>
      </c>
      <c r="M628">
        <v>8</v>
      </c>
      <c r="N628">
        <v>0</v>
      </c>
      <c r="O628">
        <v>0</v>
      </c>
      <c r="P628" t="s">
        <v>54</v>
      </c>
      <c r="Q628" t="s">
        <v>54</v>
      </c>
      <c r="R628" t="s">
        <v>54</v>
      </c>
      <c r="S628" t="s">
        <v>54</v>
      </c>
      <c r="T628" t="s">
        <v>54</v>
      </c>
      <c r="U628" t="s">
        <v>54</v>
      </c>
      <c r="V628" t="s">
        <v>54</v>
      </c>
      <c r="W628" t="s">
        <v>54</v>
      </c>
      <c r="X628" s="23" t="s">
        <v>54</v>
      </c>
      <c r="Y628" s="23" t="s">
        <v>54</v>
      </c>
      <c r="Z628" s="23" t="s">
        <v>54</v>
      </c>
      <c r="AA628" s="23" t="s">
        <v>54</v>
      </c>
      <c r="AB628" t="s">
        <v>54</v>
      </c>
      <c r="AC628" t="s">
        <v>54</v>
      </c>
      <c r="AD628" t="s">
        <v>54</v>
      </c>
      <c r="AE628" t="s">
        <v>54</v>
      </c>
      <c r="AF628" s="23" t="s">
        <v>54</v>
      </c>
      <c r="AG628" s="23" t="s">
        <v>54</v>
      </c>
      <c r="AH628" s="23" t="s">
        <v>54</v>
      </c>
      <c r="AI628" s="23" t="s">
        <v>54</v>
      </c>
      <c r="AJ628">
        <v>31</v>
      </c>
      <c r="AK628">
        <v>33</v>
      </c>
      <c r="AL628">
        <v>363</v>
      </c>
      <c r="AM628">
        <v>36</v>
      </c>
      <c r="AN628" s="23">
        <v>0.032258064516129</v>
      </c>
      <c r="AO628" s="23">
        <v>0.0909090909090909</v>
      </c>
      <c r="AP628" s="23">
        <v>0</v>
      </c>
      <c r="AQ628" s="23">
        <v>0</v>
      </c>
      <c r="AR628" s="35">
        <v>0.142857142857143</v>
      </c>
      <c r="AS628" s="35">
        <v>8.57142857142857</v>
      </c>
      <c r="AT628" s="35">
        <v>-0.571428571428571</v>
      </c>
      <c r="AU628" s="31">
        <f t="shared" si="12"/>
        <v>56</v>
      </c>
      <c r="AV628" s="36">
        <f>IFERROR($A$2+AU628,"上周无销量")</f>
        <v>43346</v>
      </c>
    </row>
    <row r="629" spans="1:48">
      <c r="A629" s="21" t="s">
        <v>1344</v>
      </c>
      <c r="B629" t="s">
        <v>1345</v>
      </c>
      <c r="C629" t="s">
        <v>1289</v>
      </c>
      <c r="D629" s="31">
        <v>1</v>
      </c>
      <c r="E629" s="31">
        <v>2</v>
      </c>
      <c r="F629" s="31">
        <v>5</v>
      </c>
      <c r="G629" s="31">
        <v>0</v>
      </c>
      <c r="H629" s="32">
        <v>18.99</v>
      </c>
      <c r="I629">
        <v>9</v>
      </c>
      <c r="J629" s="33">
        <v>0</v>
      </c>
      <c r="K629" s="33">
        <v>0</v>
      </c>
      <c r="L629" s="33">
        <v>0</v>
      </c>
      <c r="M629">
        <v>9</v>
      </c>
      <c r="N629">
        <v>0</v>
      </c>
      <c r="O629">
        <v>0</v>
      </c>
      <c r="P629">
        <v>21</v>
      </c>
      <c r="Q629">
        <v>13</v>
      </c>
      <c r="R629">
        <v>0</v>
      </c>
      <c r="S629">
        <v>0</v>
      </c>
      <c r="T629">
        <v>0</v>
      </c>
      <c r="U629">
        <v>0</v>
      </c>
      <c r="V629">
        <v>0</v>
      </c>
      <c r="W629">
        <v>0</v>
      </c>
      <c r="X629" s="23">
        <v>0</v>
      </c>
      <c r="Y629" s="23">
        <v>0</v>
      </c>
      <c r="Z629" s="23" t="s">
        <v>54</v>
      </c>
      <c r="AA629" s="23" t="s">
        <v>54</v>
      </c>
      <c r="AB629">
        <v>0</v>
      </c>
      <c r="AC629">
        <v>0</v>
      </c>
      <c r="AD629">
        <v>0</v>
      </c>
      <c r="AE629">
        <v>0</v>
      </c>
      <c r="AF629" s="23" t="s">
        <v>54</v>
      </c>
      <c r="AG629" s="23" t="s">
        <v>54</v>
      </c>
      <c r="AH629" s="23" t="s">
        <v>54</v>
      </c>
      <c r="AI629" s="23" t="s">
        <v>54</v>
      </c>
      <c r="AJ629">
        <v>33</v>
      </c>
      <c r="AK629">
        <v>34</v>
      </c>
      <c r="AL629">
        <v>200</v>
      </c>
      <c r="AM629">
        <v>55</v>
      </c>
      <c r="AN629" s="23">
        <v>0.0303030303030303</v>
      </c>
      <c r="AO629" s="23">
        <v>0.0588235294117647</v>
      </c>
      <c r="AP629" s="23">
        <v>0.025</v>
      </c>
      <c r="AQ629" s="23">
        <v>0</v>
      </c>
      <c r="AR629" s="35">
        <v>0.142857142857143</v>
      </c>
      <c r="AS629" s="35">
        <v>8.57142857142857</v>
      </c>
      <c r="AT629" s="35">
        <v>0.428571428571429</v>
      </c>
      <c r="AU629" s="31">
        <f t="shared" si="12"/>
        <v>63</v>
      </c>
      <c r="AV629" s="36">
        <f>IFERROR($A$2+AU629,"上周无销量")</f>
        <v>43353</v>
      </c>
    </row>
    <row r="630" spans="1:48">
      <c r="A630" s="21" t="s">
        <v>1346</v>
      </c>
      <c r="B630" t="s">
        <v>1347</v>
      </c>
      <c r="C630" t="s">
        <v>1289</v>
      </c>
      <c r="D630" s="31">
        <v>1</v>
      </c>
      <c r="E630" s="31">
        <v>0</v>
      </c>
      <c r="F630" s="31">
        <v>0</v>
      </c>
      <c r="G630" s="31">
        <v>0</v>
      </c>
      <c r="H630" s="32">
        <v>13.99</v>
      </c>
      <c r="I630">
        <v>0</v>
      </c>
      <c r="J630" s="33">
        <v>0</v>
      </c>
      <c r="K630" s="33">
        <v>0</v>
      </c>
      <c r="L630" s="33">
        <v>0</v>
      </c>
      <c r="M630">
        <v>0</v>
      </c>
      <c r="N630">
        <v>0</v>
      </c>
      <c r="O630">
        <v>0</v>
      </c>
      <c r="P630" t="s">
        <v>54</v>
      </c>
      <c r="Q630" t="s">
        <v>54</v>
      </c>
      <c r="R630" t="s">
        <v>54</v>
      </c>
      <c r="S630" t="s">
        <v>54</v>
      </c>
      <c r="T630" t="s">
        <v>54</v>
      </c>
      <c r="U630" t="s">
        <v>54</v>
      </c>
      <c r="V630" t="s">
        <v>54</v>
      </c>
      <c r="W630" t="s">
        <v>54</v>
      </c>
      <c r="X630" s="23" t="s">
        <v>54</v>
      </c>
      <c r="Y630" s="23" t="s">
        <v>54</v>
      </c>
      <c r="Z630" s="23" t="s">
        <v>54</v>
      </c>
      <c r="AA630" s="23" t="s">
        <v>54</v>
      </c>
      <c r="AB630" t="s">
        <v>54</v>
      </c>
      <c r="AC630" t="s">
        <v>54</v>
      </c>
      <c r="AD630" t="s">
        <v>54</v>
      </c>
      <c r="AE630" t="s">
        <v>54</v>
      </c>
      <c r="AF630" s="23" t="s">
        <v>54</v>
      </c>
      <c r="AG630" s="23" t="s">
        <v>54</v>
      </c>
      <c r="AH630" s="23" t="s">
        <v>54</v>
      </c>
      <c r="AI630" s="23" t="s">
        <v>54</v>
      </c>
      <c r="AJ630">
        <v>54</v>
      </c>
      <c r="AK630">
        <v>60</v>
      </c>
      <c r="AL630">
        <v>192</v>
      </c>
      <c r="AM630">
        <v>37</v>
      </c>
      <c r="AN630" s="23">
        <v>0.0185185185185185</v>
      </c>
      <c r="AO630" s="23">
        <v>0</v>
      </c>
      <c r="AP630" s="23">
        <v>0</v>
      </c>
      <c r="AQ630" s="23">
        <v>0</v>
      </c>
      <c r="AR630" s="35">
        <v>0.142857142857143</v>
      </c>
      <c r="AS630" s="35">
        <v>8.57142857142857</v>
      </c>
      <c r="AT630" s="35">
        <v>-8.57142857142857</v>
      </c>
      <c r="AU630" s="31">
        <f t="shared" si="12"/>
        <v>0</v>
      </c>
      <c r="AV630" s="36">
        <f>IFERROR($A$2+AU630,"上周无销量")</f>
        <v>43290</v>
      </c>
    </row>
    <row r="631" spans="1:48">
      <c r="A631" s="21" t="s">
        <v>1348</v>
      </c>
      <c r="B631" t="s">
        <v>1349</v>
      </c>
      <c r="C631" t="s">
        <v>1289</v>
      </c>
      <c r="D631" s="31">
        <v>3</v>
      </c>
      <c r="E631" s="31">
        <v>0</v>
      </c>
      <c r="F631" s="31">
        <v>0</v>
      </c>
      <c r="G631" s="31">
        <v>0</v>
      </c>
      <c r="H631" s="32">
        <v>24.99</v>
      </c>
      <c r="I631">
        <v>18</v>
      </c>
      <c r="J631" s="33">
        <v>0</v>
      </c>
      <c r="K631" s="33">
        <v>0</v>
      </c>
      <c r="L631" s="33">
        <v>0</v>
      </c>
      <c r="M631">
        <v>18</v>
      </c>
      <c r="N631">
        <v>0</v>
      </c>
      <c r="O631">
        <v>0</v>
      </c>
      <c r="P631" t="s">
        <v>54</v>
      </c>
      <c r="Q631" t="s">
        <v>54</v>
      </c>
      <c r="R631" t="s">
        <v>54</v>
      </c>
      <c r="S631" t="s">
        <v>54</v>
      </c>
      <c r="T631" t="s">
        <v>54</v>
      </c>
      <c r="U631" t="s">
        <v>54</v>
      </c>
      <c r="V631" t="s">
        <v>54</v>
      </c>
      <c r="W631" t="s">
        <v>54</v>
      </c>
      <c r="X631" s="23" t="s">
        <v>54</v>
      </c>
      <c r="Y631" s="23" t="s">
        <v>54</v>
      </c>
      <c r="Z631" s="23" t="s">
        <v>54</v>
      </c>
      <c r="AA631" s="23" t="s">
        <v>54</v>
      </c>
      <c r="AB631" t="s">
        <v>54</v>
      </c>
      <c r="AC631" t="s">
        <v>54</v>
      </c>
      <c r="AD631" t="s">
        <v>54</v>
      </c>
      <c r="AE631" t="s">
        <v>54</v>
      </c>
      <c r="AF631" s="23" t="s">
        <v>54</v>
      </c>
      <c r="AG631" s="23" t="s">
        <v>54</v>
      </c>
      <c r="AH631" s="23" t="s">
        <v>54</v>
      </c>
      <c r="AI631" s="23" t="s">
        <v>54</v>
      </c>
      <c r="AJ631">
        <v>28</v>
      </c>
      <c r="AK631">
        <v>25</v>
      </c>
      <c r="AL631">
        <v>136</v>
      </c>
      <c r="AM631">
        <v>33</v>
      </c>
      <c r="AN631" s="23">
        <v>0.107142857142857</v>
      </c>
      <c r="AO631" s="23">
        <v>0</v>
      </c>
      <c r="AP631" s="23">
        <v>0</v>
      </c>
      <c r="AQ631" s="23">
        <v>0</v>
      </c>
      <c r="AR631" s="35">
        <v>0.428571428571429</v>
      </c>
      <c r="AS631" s="35">
        <v>25.7142857142857</v>
      </c>
      <c r="AT631" s="35">
        <v>-7.71428571428571</v>
      </c>
      <c r="AU631" s="31">
        <f t="shared" si="12"/>
        <v>42</v>
      </c>
      <c r="AV631" s="36">
        <f>IFERROR($A$2+AU631,"上周无销量")</f>
        <v>43332</v>
      </c>
    </row>
    <row r="632" spans="1:48">
      <c r="A632" s="21" t="s">
        <v>1350</v>
      </c>
      <c r="B632" t="s">
        <v>1351</v>
      </c>
      <c r="C632" t="s">
        <v>1289</v>
      </c>
      <c r="D632" s="31">
        <v>5</v>
      </c>
      <c r="E632" s="31">
        <v>1</v>
      </c>
      <c r="F632" s="31">
        <v>5</v>
      </c>
      <c r="G632" s="31">
        <v>0</v>
      </c>
      <c r="H632" s="32">
        <v>18.9</v>
      </c>
      <c r="I632">
        <v>20</v>
      </c>
      <c r="J632" s="33">
        <v>0</v>
      </c>
      <c r="K632" s="33">
        <v>0</v>
      </c>
      <c r="L632" s="33">
        <v>0</v>
      </c>
      <c r="M632">
        <v>20</v>
      </c>
      <c r="N632">
        <v>0</v>
      </c>
      <c r="O632">
        <v>0</v>
      </c>
      <c r="P632">
        <v>53</v>
      </c>
      <c r="Q632">
        <v>23</v>
      </c>
      <c r="R632">
        <v>0</v>
      </c>
      <c r="S632">
        <v>0</v>
      </c>
      <c r="T632">
        <v>0</v>
      </c>
      <c r="U632">
        <v>0</v>
      </c>
      <c r="V632">
        <v>0</v>
      </c>
      <c r="W632">
        <v>0</v>
      </c>
      <c r="X632" s="23">
        <v>0</v>
      </c>
      <c r="Y632" s="23">
        <v>0</v>
      </c>
      <c r="Z632" s="23" t="s">
        <v>54</v>
      </c>
      <c r="AA632" s="23" t="s">
        <v>54</v>
      </c>
      <c r="AB632">
        <v>0</v>
      </c>
      <c r="AC632">
        <v>0</v>
      </c>
      <c r="AD632">
        <v>0</v>
      </c>
      <c r="AE632">
        <v>0</v>
      </c>
      <c r="AF632" s="23" t="s">
        <v>54</v>
      </c>
      <c r="AG632" s="23" t="s">
        <v>54</v>
      </c>
      <c r="AH632" s="23" t="s">
        <v>54</v>
      </c>
      <c r="AI632" s="23" t="s">
        <v>54</v>
      </c>
      <c r="AJ632">
        <v>35</v>
      </c>
      <c r="AK632">
        <v>34</v>
      </c>
      <c r="AL632">
        <v>162</v>
      </c>
      <c r="AM632">
        <v>54</v>
      </c>
      <c r="AN632" s="23">
        <v>0.142857142857143</v>
      </c>
      <c r="AO632" s="23">
        <v>0.0294117647058824</v>
      </c>
      <c r="AP632" s="23">
        <v>0.0308641975308642</v>
      </c>
      <c r="AQ632" s="23">
        <v>0</v>
      </c>
      <c r="AR632" s="35">
        <v>0.714285714285714</v>
      </c>
      <c r="AS632" s="35">
        <v>42.8571428571429</v>
      </c>
      <c r="AT632" s="35">
        <v>-22.8571428571429</v>
      </c>
      <c r="AU632" s="31">
        <f t="shared" si="12"/>
        <v>28</v>
      </c>
      <c r="AV632" s="36">
        <f>IFERROR($A$2+AU632,"上周无销量")</f>
        <v>43318</v>
      </c>
    </row>
    <row r="633" spans="1:48">
      <c r="A633" s="21" t="s">
        <v>1352</v>
      </c>
      <c r="B633" t="s">
        <v>1353</v>
      </c>
      <c r="C633" t="s">
        <v>1289</v>
      </c>
      <c r="D633" s="31">
        <v>0</v>
      </c>
      <c r="E633" s="31">
        <v>0</v>
      </c>
      <c r="F633" s="31">
        <v>0</v>
      </c>
      <c r="G633" s="31">
        <v>0</v>
      </c>
      <c r="H633" s="32">
        <v>0</v>
      </c>
      <c r="I633">
        <v>0</v>
      </c>
      <c r="J633" s="33">
        <v>0</v>
      </c>
      <c r="K633" s="33">
        <v>0</v>
      </c>
      <c r="L633" s="33">
        <v>0</v>
      </c>
      <c r="M633">
        <v>0</v>
      </c>
      <c r="N633">
        <v>0</v>
      </c>
      <c r="O633">
        <v>0</v>
      </c>
      <c r="P633" t="s">
        <v>54</v>
      </c>
      <c r="Q633" t="s">
        <v>54</v>
      </c>
      <c r="R633" t="s">
        <v>54</v>
      </c>
      <c r="S633" t="s">
        <v>54</v>
      </c>
      <c r="T633" t="s">
        <v>54</v>
      </c>
      <c r="U633" t="s">
        <v>54</v>
      </c>
      <c r="V633" t="s">
        <v>54</v>
      </c>
      <c r="W633" t="s">
        <v>54</v>
      </c>
      <c r="X633" s="23" t="s">
        <v>54</v>
      </c>
      <c r="Y633" s="23" t="s">
        <v>54</v>
      </c>
      <c r="Z633" s="23" t="s">
        <v>54</v>
      </c>
      <c r="AA633" s="23" t="s">
        <v>54</v>
      </c>
      <c r="AB633" t="s">
        <v>54</v>
      </c>
      <c r="AC633" t="s">
        <v>54</v>
      </c>
      <c r="AD633" t="s">
        <v>54</v>
      </c>
      <c r="AE633" t="s">
        <v>54</v>
      </c>
      <c r="AF633" s="23" t="s">
        <v>54</v>
      </c>
      <c r="AG633" s="23" t="s">
        <v>54</v>
      </c>
      <c r="AH633" s="23" t="s">
        <v>54</v>
      </c>
      <c r="AI633" s="23" t="s">
        <v>54</v>
      </c>
      <c r="AJ633">
        <v>65</v>
      </c>
      <c r="AK633">
        <v>68</v>
      </c>
      <c r="AL633">
        <v>230</v>
      </c>
      <c r="AM633">
        <v>70</v>
      </c>
      <c r="AN633" s="23">
        <v>0</v>
      </c>
      <c r="AO633" s="23">
        <v>0</v>
      </c>
      <c r="AP633" s="23">
        <v>0</v>
      </c>
      <c r="AQ633" s="23">
        <v>0</v>
      </c>
      <c r="AR633" s="35">
        <v>0</v>
      </c>
      <c r="AS633" s="35">
        <v>0</v>
      </c>
      <c r="AT633" s="35">
        <v>0</v>
      </c>
      <c r="AU633" s="31" t="str">
        <f t="shared" si="12"/>
        <v>库存为0</v>
      </c>
      <c r="AV633" s="36" t="str">
        <f>IFERROR($A$2+AU633,"上周无销量")</f>
        <v>上周无销量</v>
      </c>
    </row>
    <row r="634" spans="1:48">
      <c r="A634" s="21" t="s">
        <v>1354</v>
      </c>
      <c r="B634" t="s">
        <v>1295</v>
      </c>
      <c r="C634" t="s">
        <v>1289</v>
      </c>
      <c r="D634" s="31">
        <v>12</v>
      </c>
      <c r="E634" s="31">
        <v>14</v>
      </c>
      <c r="F634" s="31">
        <v>44</v>
      </c>
      <c r="G634" s="31">
        <v>9</v>
      </c>
      <c r="H634" s="32">
        <v>24.99</v>
      </c>
      <c r="I634">
        <v>10</v>
      </c>
      <c r="J634" s="33">
        <v>10</v>
      </c>
      <c r="K634" s="33">
        <v>2</v>
      </c>
      <c r="L634" s="33">
        <v>0</v>
      </c>
      <c r="M634">
        <v>22</v>
      </c>
      <c r="N634">
        <v>0</v>
      </c>
      <c r="O634">
        <v>0</v>
      </c>
      <c r="P634" t="s">
        <v>54</v>
      </c>
      <c r="Q634" t="s">
        <v>54</v>
      </c>
      <c r="R634" t="s">
        <v>54</v>
      </c>
      <c r="S634" t="s">
        <v>54</v>
      </c>
      <c r="T634" t="s">
        <v>54</v>
      </c>
      <c r="U634" t="s">
        <v>54</v>
      </c>
      <c r="V634" t="s">
        <v>54</v>
      </c>
      <c r="W634" t="s">
        <v>54</v>
      </c>
      <c r="X634" s="23" t="s">
        <v>54</v>
      </c>
      <c r="Y634" s="23" t="s">
        <v>54</v>
      </c>
      <c r="Z634" s="23" t="s">
        <v>54</v>
      </c>
      <c r="AA634" s="23" t="s">
        <v>54</v>
      </c>
      <c r="AB634" t="s">
        <v>54</v>
      </c>
      <c r="AC634" t="s">
        <v>54</v>
      </c>
      <c r="AD634" t="s">
        <v>54</v>
      </c>
      <c r="AE634" t="s">
        <v>54</v>
      </c>
      <c r="AF634" s="23" t="s">
        <v>54</v>
      </c>
      <c r="AG634" s="23" t="s">
        <v>54</v>
      </c>
      <c r="AH634" s="23" t="s">
        <v>54</v>
      </c>
      <c r="AI634" s="23" t="s">
        <v>54</v>
      </c>
      <c r="AJ634">
        <v>85</v>
      </c>
      <c r="AK634">
        <v>76</v>
      </c>
      <c r="AL634">
        <v>5</v>
      </c>
      <c r="AM634">
        <v>176</v>
      </c>
      <c r="AN634" s="23">
        <v>0.141176470588235</v>
      </c>
      <c r="AO634" s="23">
        <v>0.184210526315789</v>
      </c>
      <c r="AP634" s="23">
        <v>8.8</v>
      </c>
      <c r="AQ634" s="23">
        <v>0.0511363636363636</v>
      </c>
      <c r="AR634" s="35">
        <v>1.71428571428571</v>
      </c>
      <c r="AS634" s="35">
        <v>102.857142857143</v>
      </c>
      <c r="AT634" s="35">
        <v>-80.8571428571428</v>
      </c>
      <c r="AU634" s="31">
        <f t="shared" si="12"/>
        <v>12</v>
      </c>
      <c r="AV634" s="36">
        <f>IFERROR($A$2+AU634,"上周无销量")</f>
        <v>43302</v>
      </c>
    </row>
    <row r="635" spans="1:48">
      <c r="A635" s="21" t="s">
        <v>1355</v>
      </c>
      <c r="B635" t="s">
        <v>1297</v>
      </c>
      <c r="C635" t="s">
        <v>1289</v>
      </c>
      <c r="D635" s="31">
        <v>22</v>
      </c>
      <c r="E635" s="31">
        <v>28</v>
      </c>
      <c r="F635" s="31">
        <v>125</v>
      </c>
      <c r="G635" s="31">
        <v>40</v>
      </c>
      <c r="H635" s="32">
        <v>18.9899999999999</v>
      </c>
      <c r="I635">
        <v>0</v>
      </c>
      <c r="J635" s="33">
        <v>20</v>
      </c>
      <c r="K635" s="33">
        <v>0</v>
      </c>
      <c r="L635" s="33">
        <v>0</v>
      </c>
      <c r="M635">
        <v>20</v>
      </c>
      <c r="N635">
        <v>1</v>
      </c>
      <c r="O635">
        <v>0</v>
      </c>
      <c r="P635" t="s">
        <v>54</v>
      </c>
      <c r="Q635" t="s">
        <v>54</v>
      </c>
      <c r="R635" t="s">
        <v>54</v>
      </c>
      <c r="S635" t="s">
        <v>54</v>
      </c>
      <c r="T635" t="s">
        <v>54</v>
      </c>
      <c r="U635" t="s">
        <v>54</v>
      </c>
      <c r="V635" t="s">
        <v>54</v>
      </c>
      <c r="W635" t="s">
        <v>54</v>
      </c>
      <c r="X635" s="23" t="s">
        <v>54</v>
      </c>
      <c r="Y635" s="23" t="s">
        <v>54</v>
      </c>
      <c r="Z635" s="23" t="s">
        <v>54</v>
      </c>
      <c r="AA635" s="23" t="s">
        <v>54</v>
      </c>
      <c r="AB635" t="s">
        <v>54</v>
      </c>
      <c r="AC635" t="s">
        <v>54</v>
      </c>
      <c r="AD635" t="s">
        <v>54</v>
      </c>
      <c r="AE635" t="s">
        <v>54</v>
      </c>
      <c r="AF635" s="23" t="s">
        <v>54</v>
      </c>
      <c r="AG635" s="23" t="s">
        <v>54</v>
      </c>
      <c r="AH635" s="23" t="s">
        <v>54</v>
      </c>
      <c r="AI635" s="23" t="s">
        <v>54</v>
      </c>
      <c r="AJ635">
        <v>110</v>
      </c>
      <c r="AK635">
        <v>87</v>
      </c>
      <c r="AL635">
        <v>2284</v>
      </c>
      <c r="AM635">
        <v>114</v>
      </c>
      <c r="AN635" s="23">
        <v>0.2</v>
      </c>
      <c r="AO635" s="23">
        <v>0.32183908045977</v>
      </c>
      <c r="AP635" s="23">
        <v>0.0547285464098074</v>
      </c>
      <c r="AQ635" s="23">
        <v>0.350877192982456</v>
      </c>
      <c r="AR635" s="35">
        <v>3.14285714285714</v>
      </c>
      <c r="AS635" s="35">
        <v>188.571428571429</v>
      </c>
      <c r="AT635" s="35">
        <v>-168.571428571429</v>
      </c>
      <c r="AU635" s="31">
        <f t="shared" si="12"/>
        <v>6</v>
      </c>
      <c r="AV635" s="36">
        <f>IFERROR($A$2+AU635,"上周无销量")</f>
        <v>43296</v>
      </c>
    </row>
    <row r="636" spans="1:48">
      <c r="A636" s="21" t="s">
        <v>1356</v>
      </c>
      <c r="B636" t="s">
        <v>1299</v>
      </c>
      <c r="C636" t="s">
        <v>1289</v>
      </c>
      <c r="D636" s="31">
        <v>40</v>
      </c>
      <c r="E636" s="31">
        <v>25</v>
      </c>
      <c r="F636" s="31">
        <v>92</v>
      </c>
      <c r="G636" s="31">
        <v>17</v>
      </c>
      <c r="H636" s="32">
        <v>13.99</v>
      </c>
      <c r="I636">
        <v>19</v>
      </c>
      <c r="J636" s="33">
        <v>218</v>
      </c>
      <c r="K636" s="33">
        <v>0</v>
      </c>
      <c r="L636" s="33">
        <v>15</v>
      </c>
      <c r="M636">
        <v>252</v>
      </c>
      <c r="N636">
        <v>0</v>
      </c>
      <c r="O636">
        <v>0</v>
      </c>
      <c r="P636">
        <v>49</v>
      </c>
      <c r="Q636">
        <v>678</v>
      </c>
      <c r="R636">
        <v>0</v>
      </c>
      <c r="S636">
        <v>0</v>
      </c>
      <c r="T636">
        <v>1</v>
      </c>
      <c r="U636">
        <v>3</v>
      </c>
      <c r="V636">
        <v>0</v>
      </c>
      <c r="W636">
        <v>0</v>
      </c>
      <c r="X636" s="23">
        <v>0.0204081632653061</v>
      </c>
      <c r="Y636" s="23">
        <v>0.00442477876106195</v>
      </c>
      <c r="Z636" s="23" t="s">
        <v>54</v>
      </c>
      <c r="AA636" s="23" t="s">
        <v>54</v>
      </c>
      <c r="AB636">
        <v>0.69</v>
      </c>
      <c r="AC636">
        <v>2.29</v>
      </c>
      <c r="AD636">
        <v>0</v>
      </c>
      <c r="AE636">
        <v>0</v>
      </c>
      <c r="AF636" s="23">
        <v>0.00123302358827734</v>
      </c>
      <c r="AG636" s="23">
        <v>0.00654753395282345</v>
      </c>
      <c r="AH636" s="23" t="s">
        <v>54</v>
      </c>
      <c r="AI636" s="23" t="s">
        <v>54</v>
      </c>
      <c r="AJ636">
        <v>170</v>
      </c>
      <c r="AK636">
        <v>175</v>
      </c>
      <c r="AL636">
        <v>660</v>
      </c>
      <c r="AM636">
        <v>115</v>
      </c>
      <c r="AN636" s="23">
        <v>0.235294117647059</v>
      </c>
      <c r="AO636" s="23">
        <v>0.142857142857143</v>
      </c>
      <c r="AP636" s="23">
        <v>0.139393939393939</v>
      </c>
      <c r="AQ636" s="23">
        <v>0.147826086956522</v>
      </c>
      <c r="AR636" s="35">
        <v>5.71428571428571</v>
      </c>
      <c r="AS636" s="35">
        <v>342.857142857143</v>
      </c>
      <c r="AT636" s="35">
        <v>-90.8571428571429</v>
      </c>
      <c r="AU636" s="31">
        <f t="shared" si="12"/>
        <v>44</v>
      </c>
      <c r="AV636" s="36">
        <f>IFERROR($A$2+AU636,"上周无销量")</f>
        <v>43334</v>
      </c>
    </row>
    <row r="637" spans="1:48">
      <c r="A637" s="21" t="s">
        <v>1357</v>
      </c>
      <c r="B637" t="s">
        <v>1307</v>
      </c>
      <c r="C637" t="s">
        <v>1289</v>
      </c>
      <c r="D637" s="31">
        <v>4</v>
      </c>
      <c r="E637" s="31">
        <v>2</v>
      </c>
      <c r="F637" s="31">
        <v>49</v>
      </c>
      <c r="G637" s="31">
        <v>2</v>
      </c>
      <c r="H637" s="32">
        <v>24.99</v>
      </c>
      <c r="I637">
        <v>40</v>
      </c>
      <c r="J637" s="33">
        <v>45</v>
      </c>
      <c r="K637" s="33">
        <v>0</v>
      </c>
      <c r="L637" s="33">
        <v>0</v>
      </c>
      <c r="M637">
        <v>85</v>
      </c>
      <c r="N637">
        <v>0</v>
      </c>
      <c r="O637">
        <v>0</v>
      </c>
      <c r="P637" t="s">
        <v>54</v>
      </c>
      <c r="Q637" t="s">
        <v>54</v>
      </c>
      <c r="R637" t="s">
        <v>54</v>
      </c>
      <c r="S637" t="s">
        <v>54</v>
      </c>
      <c r="T637" t="s">
        <v>54</v>
      </c>
      <c r="U637" t="s">
        <v>54</v>
      </c>
      <c r="V637" t="s">
        <v>54</v>
      </c>
      <c r="W637" t="s">
        <v>54</v>
      </c>
      <c r="X637" s="23" t="s">
        <v>54</v>
      </c>
      <c r="Y637" s="23" t="s">
        <v>54</v>
      </c>
      <c r="Z637" s="23" t="s">
        <v>54</v>
      </c>
      <c r="AA637" s="23" t="s">
        <v>54</v>
      </c>
      <c r="AB637" t="s">
        <v>54</v>
      </c>
      <c r="AC637" t="s">
        <v>54</v>
      </c>
      <c r="AD637" t="s">
        <v>54</v>
      </c>
      <c r="AE637" t="s">
        <v>54</v>
      </c>
      <c r="AF637" s="23" t="s">
        <v>54</v>
      </c>
      <c r="AG637" s="23" t="s">
        <v>54</v>
      </c>
      <c r="AH637" s="23" t="s">
        <v>54</v>
      </c>
      <c r="AI637" s="23" t="s">
        <v>54</v>
      </c>
      <c r="AJ637">
        <v>53</v>
      </c>
      <c r="AK637">
        <v>48</v>
      </c>
      <c r="AL637">
        <v>328</v>
      </c>
      <c r="AM637">
        <v>51</v>
      </c>
      <c r="AN637" s="23">
        <v>0.0754716981132075</v>
      </c>
      <c r="AO637" s="23">
        <v>0.0416666666666667</v>
      </c>
      <c r="AP637" s="23">
        <v>0.149390243902439</v>
      </c>
      <c r="AQ637" s="23">
        <v>0.0392156862745098</v>
      </c>
      <c r="AR637" s="35">
        <v>0.571428571428571</v>
      </c>
      <c r="AS637" s="35">
        <v>34.2857142857143</v>
      </c>
      <c r="AT637" s="35">
        <v>50.7142857142857</v>
      </c>
      <c r="AU637" s="31">
        <f t="shared" si="12"/>
        <v>148</v>
      </c>
      <c r="AV637" s="36">
        <f>IFERROR($A$2+AU637,"上周无销量")</f>
        <v>43438</v>
      </c>
    </row>
    <row r="638" spans="1:48">
      <c r="A638" s="21" t="s">
        <v>1358</v>
      </c>
      <c r="B638" t="s">
        <v>1309</v>
      </c>
      <c r="C638" t="s">
        <v>1289</v>
      </c>
      <c r="D638" s="31">
        <v>7</v>
      </c>
      <c r="E638" s="31">
        <v>9</v>
      </c>
      <c r="F638" s="31">
        <v>74</v>
      </c>
      <c r="G638" s="31">
        <v>11</v>
      </c>
      <c r="H638" s="32">
        <v>18.99</v>
      </c>
      <c r="I638">
        <v>71</v>
      </c>
      <c r="J638" s="33">
        <v>10</v>
      </c>
      <c r="K638" s="33">
        <v>0</v>
      </c>
      <c r="L638" s="33">
        <v>1</v>
      </c>
      <c r="M638">
        <v>82</v>
      </c>
      <c r="N638">
        <v>0</v>
      </c>
      <c r="O638">
        <v>0</v>
      </c>
      <c r="P638" t="s">
        <v>54</v>
      </c>
      <c r="Q638" t="s">
        <v>54</v>
      </c>
      <c r="R638" t="s">
        <v>54</v>
      </c>
      <c r="S638" t="s">
        <v>54</v>
      </c>
      <c r="T638" t="s">
        <v>54</v>
      </c>
      <c r="U638" t="s">
        <v>54</v>
      </c>
      <c r="V638" t="s">
        <v>54</v>
      </c>
      <c r="W638" t="s">
        <v>54</v>
      </c>
      <c r="X638" s="23" t="s">
        <v>54</v>
      </c>
      <c r="Y638" s="23" t="s">
        <v>54</v>
      </c>
      <c r="Z638" s="23" t="s">
        <v>54</v>
      </c>
      <c r="AA638" s="23" t="s">
        <v>54</v>
      </c>
      <c r="AB638" t="s">
        <v>54</v>
      </c>
      <c r="AC638" t="s">
        <v>54</v>
      </c>
      <c r="AD638" t="s">
        <v>54</v>
      </c>
      <c r="AE638" t="s">
        <v>54</v>
      </c>
      <c r="AF638" s="23" t="s">
        <v>54</v>
      </c>
      <c r="AG638" s="23" t="s">
        <v>54</v>
      </c>
      <c r="AH638" s="23" t="s">
        <v>54</v>
      </c>
      <c r="AI638" s="23" t="s">
        <v>54</v>
      </c>
      <c r="AJ638">
        <v>78</v>
      </c>
      <c r="AK638">
        <v>57</v>
      </c>
      <c r="AL638">
        <v>396</v>
      </c>
      <c r="AM638">
        <v>81</v>
      </c>
      <c r="AN638" s="23">
        <v>0.0897435897435897</v>
      </c>
      <c r="AO638" s="23">
        <v>0.157894736842105</v>
      </c>
      <c r="AP638" s="23">
        <v>0.186868686868687</v>
      </c>
      <c r="AQ638" s="23">
        <v>0.135802469135802</v>
      </c>
      <c r="AR638" s="35">
        <v>1</v>
      </c>
      <c r="AS638" s="35">
        <v>60</v>
      </c>
      <c r="AT638" s="35">
        <v>22</v>
      </c>
      <c r="AU638" s="31">
        <f t="shared" si="12"/>
        <v>82</v>
      </c>
      <c r="AV638" s="36">
        <f>IFERROR($A$2+AU638,"上周无销量")</f>
        <v>43372</v>
      </c>
    </row>
    <row r="639" spans="1:48">
      <c r="A639" s="21" t="s">
        <v>1359</v>
      </c>
      <c r="B639" t="s">
        <v>1311</v>
      </c>
      <c r="C639" t="s">
        <v>1289</v>
      </c>
      <c r="D639" s="31">
        <v>31</v>
      </c>
      <c r="E639" s="31">
        <v>13</v>
      </c>
      <c r="F639" s="31">
        <v>64</v>
      </c>
      <c r="G639" s="31">
        <v>27</v>
      </c>
      <c r="H639" s="32">
        <v>13.99</v>
      </c>
      <c r="I639">
        <v>166</v>
      </c>
      <c r="J639" s="33">
        <v>5</v>
      </c>
      <c r="K639" s="33">
        <v>0</v>
      </c>
      <c r="L639" s="33">
        <v>1</v>
      </c>
      <c r="M639">
        <v>172</v>
      </c>
      <c r="N639">
        <v>2</v>
      </c>
      <c r="O639">
        <v>0</v>
      </c>
      <c r="P639">
        <v>4230</v>
      </c>
      <c r="Q639">
        <v>1801</v>
      </c>
      <c r="R639">
        <v>0</v>
      </c>
      <c r="S639">
        <v>1362</v>
      </c>
      <c r="T639">
        <v>32</v>
      </c>
      <c r="U639">
        <v>5</v>
      </c>
      <c r="V639">
        <v>0</v>
      </c>
      <c r="W639">
        <v>15</v>
      </c>
      <c r="X639" s="23">
        <v>0.00756501182033097</v>
      </c>
      <c r="Y639" s="23">
        <v>0.00277623542476402</v>
      </c>
      <c r="Z639" s="23" t="s">
        <v>54</v>
      </c>
      <c r="AA639" s="23">
        <v>0.0110132158590308</v>
      </c>
      <c r="AB639">
        <v>18.02</v>
      </c>
      <c r="AC639">
        <v>2.35</v>
      </c>
      <c r="AD639">
        <v>0</v>
      </c>
      <c r="AE639">
        <v>9.39</v>
      </c>
      <c r="AF639" s="23">
        <v>0.0415504161959003</v>
      </c>
      <c r="AG639" s="23">
        <v>0.012921317424534</v>
      </c>
      <c r="AH639" s="23" t="s">
        <v>54</v>
      </c>
      <c r="AI639" s="23">
        <v>0.0248590262886189</v>
      </c>
      <c r="AJ639">
        <v>179</v>
      </c>
      <c r="AK639">
        <v>144</v>
      </c>
      <c r="AL639">
        <v>310</v>
      </c>
      <c r="AM639">
        <v>118</v>
      </c>
      <c r="AN639" s="23">
        <v>0.173184357541899</v>
      </c>
      <c r="AO639" s="23">
        <v>0.0902777777777778</v>
      </c>
      <c r="AP639" s="23">
        <v>0.206451612903226</v>
      </c>
      <c r="AQ639" s="23">
        <v>0.228813559322034</v>
      </c>
      <c r="AR639" s="35">
        <v>4.42857142857143</v>
      </c>
      <c r="AS639" s="35">
        <v>265.714285714286</v>
      </c>
      <c r="AT639" s="35">
        <v>-93.7142857142857</v>
      </c>
      <c r="AU639" s="31">
        <f t="shared" si="12"/>
        <v>38</v>
      </c>
      <c r="AV639" s="36">
        <f>IFERROR($A$2+AU639,"上周无销量")</f>
        <v>43328</v>
      </c>
    </row>
    <row r="640" spans="1:48">
      <c r="A640" s="21" t="s">
        <v>1360</v>
      </c>
      <c r="B640" t="s">
        <v>1319</v>
      </c>
      <c r="C640" t="s">
        <v>1289</v>
      </c>
      <c r="D640" s="31">
        <v>17</v>
      </c>
      <c r="E640" s="31">
        <v>8</v>
      </c>
      <c r="F640" s="31">
        <v>80</v>
      </c>
      <c r="G640" s="31">
        <v>21</v>
      </c>
      <c r="H640" s="32">
        <v>24.9899999999999</v>
      </c>
      <c r="I640">
        <v>48</v>
      </c>
      <c r="J640" s="33">
        <v>0</v>
      </c>
      <c r="K640" s="33">
        <v>20</v>
      </c>
      <c r="L640" s="33">
        <v>0</v>
      </c>
      <c r="M640">
        <v>68</v>
      </c>
      <c r="N640">
        <v>0</v>
      </c>
      <c r="O640">
        <v>0</v>
      </c>
      <c r="P640" t="s">
        <v>54</v>
      </c>
      <c r="Q640" t="s">
        <v>54</v>
      </c>
      <c r="R640" t="s">
        <v>54</v>
      </c>
      <c r="S640" t="s">
        <v>54</v>
      </c>
      <c r="T640" t="s">
        <v>54</v>
      </c>
      <c r="U640" t="s">
        <v>54</v>
      </c>
      <c r="V640" t="s">
        <v>54</v>
      </c>
      <c r="W640" t="s">
        <v>54</v>
      </c>
      <c r="X640" s="23" t="s">
        <v>54</v>
      </c>
      <c r="Y640" s="23" t="s">
        <v>54</v>
      </c>
      <c r="Z640" s="23" t="s">
        <v>54</v>
      </c>
      <c r="AA640" s="23" t="s">
        <v>54</v>
      </c>
      <c r="AB640" t="s">
        <v>54</v>
      </c>
      <c r="AC640" t="s">
        <v>54</v>
      </c>
      <c r="AD640" t="s">
        <v>54</v>
      </c>
      <c r="AE640" t="s">
        <v>54</v>
      </c>
      <c r="AF640" s="23" t="s">
        <v>54</v>
      </c>
      <c r="AG640" s="23" t="s">
        <v>54</v>
      </c>
      <c r="AH640" s="23" t="s">
        <v>54</v>
      </c>
      <c r="AI640" s="23" t="s">
        <v>54</v>
      </c>
      <c r="AJ640">
        <v>126</v>
      </c>
      <c r="AK640">
        <v>122</v>
      </c>
      <c r="AL640">
        <v>525</v>
      </c>
      <c r="AM640">
        <v>151</v>
      </c>
      <c r="AN640" s="23">
        <v>0.134920634920635</v>
      </c>
      <c r="AO640" s="23">
        <v>0.0655737704918033</v>
      </c>
      <c r="AP640" s="23">
        <v>0.152380952380952</v>
      </c>
      <c r="AQ640" s="23">
        <v>0.139072847682119</v>
      </c>
      <c r="AR640" s="35">
        <v>2.42857142857143</v>
      </c>
      <c r="AS640" s="35">
        <v>145.714285714286</v>
      </c>
      <c r="AT640" s="35">
        <v>-77.7142857142857</v>
      </c>
      <c r="AU640" s="31">
        <f t="shared" si="12"/>
        <v>28</v>
      </c>
      <c r="AV640" s="36">
        <f>IFERROR($A$2+AU640,"上周无销量")</f>
        <v>43318</v>
      </c>
    </row>
    <row r="641" spans="1:48">
      <c r="A641" s="21" t="s">
        <v>1361</v>
      </c>
      <c r="B641" t="s">
        <v>1321</v>
      </c>
      <c r="C641" t="s">
        <v>1289</v>
      </c>
      <c r="D641" s="31">
        <v>30</v>
      </c>
      <c r="E641" s="31">
        <v>24</v>
      </c>
      <c r="F641" s="31">
        <v>102</v>
      </c>
      <c r="G641" s="31">
        <v>25</v>
      </c>
      <c r="H641" s="32">
        <v>18.9899999999999</v>
      </c>
      <c r="I641">
        <v>97</v>
      </c>
      <c r="J641" s="33">
        <v>57</v>
      </c>
      <c r="K641" s="33">
        <v>2</v>
      </c>
      <c r="L641" s="33">
        <v>0</v>
      </c>
      <c r="M641">
        <v>156</v>
      </c>
      <c r="N641">
        <v>2</v>
      </c>
      <c r="O641">
        <v>0</v>
      </c>
      <c r="P641" t="s">
        <v>54</v>
      </c>
      <c r="Q641" t="s">
        <v>54</v>
      </c>
      <c r="R641" t="s">
        <v>54</v>
      </c>
      <c r="S641" t="s">
        <v>54</v>
      </c>
      <c r="T641" t="s">
        <v>54</v>
      </c>
      <c r="U641" t="s">
        <v>54</v>
      </c>
      <c r="V641" t="s">
        <v>54</v>
      </c>
      <c r="W641" t="s">
        <v>54</v>
      </c>
      <c r="X641" s="23" t="s">
        <v>54</v>
      </c>
      <c r="Y641" s="23" t="s">
        <v>54</v>
      </c>
      <c r="Z641" s="23" t="s">
        <v>54</v>
      </c>
      <c r="AA641" s="23" t="s">
        <v>54</v>
      </c>
      <c r="AB641" t="s">
        <v>54</v>
      </c>
      <c r="AC641" t="s">
        <v>54</v>
      </c>
      <c r="AD641" t="s">
        <v>54</v>
      </c>
      <c r="AE641" t="s">
        <v>54</v>
      </c>
      <c r="AF641" s="23" t="s">
        <v>54</v>
      </c>
      <c r="AG641" s="23" t="s">
        <v>54</v>
      </c>
      <c r="AH641" s="23" t="s">
        <v>54</v>
      </c>
      <c r="AI641" s="23" t="s">
        <v>54</v>
      </c>
      <c r="AJ641">
        <v>201</v>
      </c>
      <c r="AK641">
        <v>186</v>
      </c>
      <c r="AL641">
        <v>494</v>
      </c>
      <c r="AM641">
        <v>242</v>
      </c>
      <c r="AN641" s="23">
        <v>0.149253731343284</v>
      </c>
      <c r="AO641" s="23">
        <v>0.129032258064516</v>
      </c>
      <c r="AP641" s="23">
        <v>0.206477732793522</v>
      </c>
      <c r="AQ641" s="23">
        <v>0.103305785123967</v>
      </c>
      <c r="AR641" s="35">
        <v>4.28571428571429</v>
      </c>
      <c r="AS641" s="35">
        <v>257.142857142857</v>
      </c>
      <c r="AT641" s="35">
        <v>-101.142857142857</v>
      </c>
      <c r="AU641" s="31">
        <f t="shared" si="12"/>
        <v>36</v>
      </c>
      <c r="AV641" s="36">
        <f>IFERROR($A$2+AU641,"上周无销量")</f>
        <v>43326</v>
      </c>
    </row>
    <row r="642" spans="1:48">
      <c r="A642" s="21" t="s">
        <v>1362</v>
      </c>
      <c r="B642" t="s">
        <v>1323</v>
      </c>
      <c r="C642" t="s">
        <v>1289</v>
      </c>
      <c r="D642" s="31">
        <v>42</v>
      </c>
      <c r="E642" s="31">
        <v>35</v>
      </c>
      <c r="F642" s="31">
        <v>127</v>
      </c>
      <c r="G642" s="31">
        <v>41</v>
      </c>
      <c r="H642" s="32">
        <v>13.9899999999999</v>
      </c>
      <c r="I642">
        <v>20</v>
      </c>
      <c r="J642" s="33">
        <v>228</v>
      </c>
      <c r="K642" s="33">
        <v>0</v>
      </c>
      <c r="L642" s="33">
        <v>41</v>
      </c>
      <c r="M642">
        <v>289</v>
      </c>
      <c r="N642">
        <v>0</v>
      </c>
      <c r="O642">
        <v>0</v>
      </c>
      <c r="P642">
        <v>194803</v>
      </c>
      <c r="Q642">
        <v>124968</v>
      </c>
      <c r="R642">
        <v>153924</v>
      </c>
      <c r="S642">
        <v>93339</v>
      </c>
      <c r="T642">
        <v>1289</v>
      </c>
      <c r="U642">
        <v>710</v>
      </c>
      <c r="V642">
        <v>911</v>
      </c>
      <c r="W642">
        <v>596</v>
      </c>
      <c r="X642" s="23">
        <v>0.00661694121753772</v>
      </c>
      <c r="Y642" s="23">
        <v>0.0056814544523398</v>
      </c>
      <c r="Z642" s="23">
        <v>0.00591850523635041</v>
      </c>
      <c r="AA642" s="23">
        <v>0.0063853266051704</v>
      </c>
      <c r="AB642">
        <v>1088.88</v>
      </c>
      <c r="AC642">
        <v>519.73</v>
      </c>
      <c r="AD642">
        <v>650.69</v>
      </c>
      <c r="AE642">
        <v>433.06</v>
      </c>
      <c r="AF642" s="23">
        <v>1.85316042070868</v>
      </c>
      <c r="AG642" s="23">
        <v>1.06143163484122</v>
      </c>
      <c r="AH642" s="23">
        <v>0.366228971199904</v>
      </c>
      <c r="AI642" s="23">
        <v>0.7549992154675</v>
      </c>
      <c r="AJ642">
        <v>648</v>
      </c>
      <c r="AK642">
        <v>607</v>
      </c>
      <c r="AL642">
        <v>1083</v>
      </c>
      <c r="AM642">
        <v>551</v>
      </c>
      <c r="AN642" s="23">
        <v>0.0648148148148148</v>
      </c>
      <c r="AO642" s="23">
        <v>0.057660626029654</v>
      </c>
      <c r="AP642" s="23">
        <v>0.117266851338874</v>
      </c>
      <c r="AQ642" s="23">
        <v>0.0744101633393829</v>
      </c>
      <c r="AR642" s="35">
        <v>6</v>
      </c>
      <c r="AS642" s="35">
        <v>360</v>
      </c>
      <c r="AT642" s="35">
        <v>-71</v>
      </c>
      <c r="AU642" s="31">
        <f t="shared" si="12"/>
        <v>48</v>
      </c>
      <c r="AV642" s="36">
        <f>IFERROR($A$2+AU642,"上周无销量")</f>
        <v>43338</v>
      </c>
    </row>
    <row r="643" spans="1:48">
      <c r="A643" s="21" t="s">
        <v>1363</v>
      </c>
      <c r="B643" t="s">
        <v>1331</v>
      </c>
      <c r="C643" t="s">
        <v>1289</v>
      </c>
      <c r="D643" s="31">
        <v>32</v>
      </c>
      <c r="E643" s="31">
        <v>15</v>
      </c>
      <c r="F643" s="31">
        <v>68</v>
      </c>
      <c r="G643" s="31">
        <v>22</v>
      </c>
      <c r="H643" s="32">
        <v>24.9899999999999</v>
      </c>
      <c r="I643">
        <v>71</v>
      </c>
      <c r="J643" s="33">
        <v>33</v>
      </c>
      <c r="K643" s="33">
        <v>1</v>
      </c>
      <c r="L643" s="33">
        <v>4</v>
      </c>
      <c r="M643">
        <v>109</v>
      </c>
      <c r="N643">
        <v>0</v>
      </c>
      <c r="O643">
        <v>0</v>
      </c>
      <c r="P643" t="s">
        <v>54</v>
      </c>
      <c r="Q643" t="s">
        <v>54</v>
      </c>
      <c r="R643" t="s">
        <v>54</v>
      </c>
      <c r="S643" t="s">
        <v>54</v>
      </c>
      <c r="T643" t="s">
        <v>54</v>
      </c>
      <c r="U643" t="s">
        <v>54</v>
      </c>
      <c r="V643" t="s">
        <v>54</v>
      </c>
      <c r="W643" t="s">
        <v>54</v>
      </c>
      <c r="X643" s="23" t="s">
        <v>54</v>
      </c>
      <c r="Y643" s="23" t="s">
        <v>54</v>
      </c>
      <c r="Z643" s="23" t="s">
        <v>54</v>
      </c>
      <c r="AA643" s="23" t="s">
        <v>54</v>
      </c>
      <c r="AB643" t="s">
        <v>54</v>
      </c>
      <c r="AC643" t="s">
        <v>54</v>
      </c>
      <c r="AD643" t="s">
        <v>54</v>
      </c>
      <c r="AE643" t="s">
        <v>54</v>
      </c>
      <c r="AF643" s="23" t="s">
        <v>54</v>
      </c>
      <c r="AG643" s="23" t="s">
        <v>54</v>
      </c>
      <c r="AH643" s="23" t="s">
        <v>54</v>
      </c>
      <c r="AI643" s="23" t="s">
        <v>54</v>
      </c>
      <c r="AJ643">
        <v>160</v>
      </c>
      <c r="AK643">
        <v>105</v>
      </c>
      <c r="AL643">
        <v>735</v>
      </c>
      <c r="AM643">
        <v>148</v>
      </c>
      <c r="AN643" s="23">
        <v>0.2</v>
      </c>
      <c r="AO643" s="23">
        <v>0.142857142857143</v>
      </c>
      <c r="AP643" s="23">
        <v>0.0925170068027211</v>
      </c>
      <c r="AQ643" s="23">
        <v>0.148648648648649</v>
      </c>
      <c r="AR643" s="35">
        <v>4.57142857142857</v>
      </c>
      <c r="AS643" s="35">
        <v>274.285714285714</v>
      </c>
      <c r="AT643" s="35">
        <v>-165.285714285714</v>
      </c>
      <c r="AU643" s="31">
        <f t="shared" si="12"/>
        <v>23</v>
      </c>
      <c r="AV643" s="36">
        <f>IFERROR($A$2+AU643,"上周无销量")</f>
        <v>43313</v>
      </c>
    </row>
    <row r="644" spans="1:48">
      <c r="A644" s="21" t="s">
        <v>1364</v>
      </c>
      <c r="B644" t="s">
        <v>1333</v>
      </c>
      <c r="C644" t="s">
        <v>1289</v>
      </c>
      <c r="D644" s="31">
        <v>35</v>
      </c>
      <c r="E644" s="31">
        <v>36</v>
      </c>
      <c r="F644" s="31">
        <v>68</v>
      </c>
      <c r="G644" s="31">
        <v>37</v>
      </c>
      <c r="H644" s="32">
        <v>18.9899999999999</v>
      </c>
      <c r="I644">
        <v>63</v>
      </c>
      <c r="J644" s="33">
        <v>145</v>
      </c>
      <c r="K644" s="33">
        <v>0</v>
      </c>
      <c r="L644" s="33">
        <v>17</v>
      </c>
      <c r="M644">
        <v>225</v>
      </c>
      <c r="N644">
        <v>1</v>
      </c>
      <c r="O644">
        <v>0</v>
      </c>
      <c r="P644">
        <v>82</v>
      </c>
      <c r="Q644">
        <v>0</v>
      </c>
      <c r="R644">
        <v>0</v>
      </c>
      <c r="S644">
        <v>509</v>
      </c>
      <c r="T644">
        <v>2</v>
      </c>
      <c r="U644">
        <v>0</v>
      </c>
      <c r="V644">
        <v>0</v>
      </c>
      <c r="W644">
        <v>6</v>
      </c>
      <c r="X644" s="23">
        <v>0.024390243902439</v>
      </c>
      <c r="Y644" s="23" t="s">
        <v>54</v>
      </c>
      <c r="Z644" s="23" t="s">
        <v>54</v>
      </c>
      <c r="AA644" s="23">
        <v>0.0117878192534381</v>
      </c>
      <c r="AB644">
        <v>0.93</v>
      </c>
      <c r="AC644">
        <v>0</v>
      </c>
      <c r="AD644">
        <v>0</v>
      </c>
      <c r="AE644">
        <v>5.19</v>
      </c>
      <c r="AF644" s="23">
        <v>0.00139923267885354</v>
      </c>
      <c r="AG644" s="23" t="s">
        <v>54</v>
      </c>
      <c r="AH644" s="23" t="s">
        <v>54</v>
      </c>
      <c r="AI644" s="23">
        <v>0.0073865334528842</v>
      </c>
      <c r="AJ644">
        <v>197</v>
      </c>
      <c r="AK644">
        <v>150</v>
      </c>
      <c r="AL644">
        <v>1186</v>
      </c>
      <c r="AM644">
        <v>518</v>
      </c>
      <c r="AN644" s="23">
        <v>0.177664974619289</v>
      </c>
      <c r="AO644" s="23">
        <v>0.24</v>
      </c>
      <c r="AP644" s="23">
        <v>0.0573355817875211</v>
      </c>
      <c r="AQ644" s="23">
        <v>0.0714285714285714</v>
      </c>
      <c r="AR644" s="35">
        <v>5</v>
      </c>
      <c r="AS644" s="35">
        <v>300</v>
      </c>
      <c r="AT644" s="35">
        <v>-75</v>
      </c>
      <c r="AU644" s="31">
        <f t="shared" si="12"/>
        <v>45</v>
      </c>
      <c r="AV644" s="36">
        <f>IFERROR($A$2+AU644,"上周无销量")</f>
        <v>43335</v>
      </c>
    </row>
    <row r="645" spans="1:48">
      <c r="A645" s="21" t="s">
        <v>1365</v>
      </c>
      <c r="B645" t="s">
        <v>1335</v>
      </c>
      <c r="C645" t="s">
        <v>1289</v>
      </c>
      <c r="D645" s="31">
        <v>46</v>
      </c>
      <c r="E645" s="31">
        <v>30</v>
      </c>
      <c r="F645" s="31">
        <v>139</v>
      </c>
      <c r="G645" s="31">
        <v>36</v>
      </c>
      <c r="H645" s="32">
        <v>13.9899999999999</v>
      </c>
      <c r="I645">
        <v>42</v>
      </c>
      <c r="J645" s="33">
        <v>136</v>
      </c>
      <c r="K645" s="33">
        <v>2</v>
      </c>
      <c r="L645" s="33">
        <v>62</v>
      </c>
      <c r="M645">
        <v>242</v>
      </c>
      <c r="N645">
        <v>1</v>
      </c>
      <c r="O645">
        <v>0</v>
      </c>
      <c r="P645">
        <v>25605</v>
      </c>
      <c r="Q645">
        <v>4078</v>
      </c>
      <c r="R645">
        <v>1010</v>
      </c>
      <c r="S645">
        <v>1279</v>
      </c>
      <c r="T645">
        <v>186</v>
      </c>
      <c r="U645">
        <v>33</v>
      </c>
      <c r="V645">
        <v>48</v>
      </c>
      <c r="W645">
        <v>14</v>
      </c>
      <c r="X645" s="23">
        <v>0.00726420620972466</v>
      </c>
      <c r="Y645" s="23">
        <v>0.00809220205983325</v>
      </c>
      <c r="Z645" s="23">
        <v>0.0475247524752475</v>
      </c>
      <c r="AA645" s="23">
        <v>0.0109460516028147</v>
      </c>
      <c r="AB645">
        <v>152.95</v>
      </c>
      <c r="AC645">
        <v>26.4</v>
      </c>
      <c r="AD645">
        <v>27.58</v>
      </c>
      <c r="AE645">
        <v>9.66</v>
      </c>
      <c r="AF645" s="23">
        <v>0.237669764117228</v>
      </c>
      <c r="AG645" s="23">
        <v>0.0629020729092213</v>
      </c>
      <c r="AH645" s="23">
        <v>0.0141827924365298</v>
      </c>
      <c r="AI645" s="23">
        <v>0.0191803669287588</v>
      </c>
      <c r="AJ645">
        <v>245</v>
      </c>
      <c r="AK645">
        <v>175</v>
      </c>
      <c r="AL645">
        <v>1599</v>
      </c>
      <c r="AM645">
        <v>162</v>
      </c>
      <c r="AN645" s="23">
        <v>0.187755102040816</v>
      </c>
      <c r="AO645" s="23">
        <v>0.171428571428571</v>
      </c>
      <c r="AP645" s="23">
        <v>0.0869293308317699</v>
      </c>
      <c r="AQ645" s="23">
        <v>0.222222222222222</v>
      </c>
      <c r="AR645" s="35">
        <v>6.57142857142857</v>
      </c>
      <c r="AS645" s="35">
        <v>394.285714285714</v>
      </c>
      <c r="AT645" s="35">
        <v>-152.285714285714</v>
      </c>
      <c r="AU645" s="31">
        <f t="shared" ref="AU645:AU708" si="13">IF(AR645="","库存为"&amp;M645,IF(AS645=0,"库存为"&amp;M645,INT(M645/AR645)))</f>
        <v>36</v>
      </c>
      <c r="AV645" s="36">
        <f>IFERROR($A$2+AU645,"上周无销量")</f>
        <v>43326</v>
      </c>
    </row>
    <row r="646" spans="1:48">
      <c r="A646" s="21" t="s">
        <v>1366</v>
      </c>
      <c r="B646" t="s">
        <v>1343</v>
      </c>
      <c r="C646" t="s">
        <v>1289</v>
      </c>
      <c r="D646" s="31">
        <v>1</v>
      </c>
      <c r="E646" s="31">
        <v>1</v>
      </c>
      <c r="F646" s="31">
        <v>33</v>
      </c>
      <c r="G646" s="31">
        <v>5</v>
      </c>
      <c r="H646" s="32">
        <v>24.04</v>
      </c>
      <c r="I646">
        <v>49</v>
      </c>
      <c r="J646" s="33">
        <v>0</v>
      </c>
      <c r="K646" s="33">
        <v>0</v>
      </c>
      <c r="L646" s="33">
        <v>0</v>
      </c>
      <c r="M646">
        <v>49</v>
      </c>
      <c r="N646">
        <v>0</v>
      </c>
      <c r="O646">
        <v>0</v>
      </c>
      <c r="P646" t="s">
        <v>54</v>
      </c>
      <c r="Q646" t="s">
        <v>54</v>
      </c>
      <c r="R646" t="s">
        <v>54</v>
      </c>
      <c r="S646" t="s">
        <v>54</v>
      </c>
      <c r="T646" t="s">
        <v>54</v>
      </c>
      <c r="U646" t="s">
        <v>54</v>
      </c>
      <c r="V646" t="s">
        <v>54</v>
      </c>
      <c r="W646" t="s">
        <v>54</v>
      </c>
      <c r="X646" s="23" t="s">
        <v>54</v>
      </c>
      <c r="Y646" s="23" t="s">
        <v>54</v>
      </c>
      <c r="Z646" s="23" t="s">
        <v>54</v>
      </c>
      <c r="AA646" s="23" t="s">
        <v>54</v>
      </c>
      <c r="AB646" t="s">
        <v>54</v>
      </c>
      <c r="AC646" t="s">
        <v>54</v>
      </c>
      <c r="AD646" t="s">
        <v>54</v>
      </c>
      <c r="AE646" t="s">
        <v>54</v>
      </c>
      <c r="AF646" s="23" t="s">
        <v>54</v>
      </c>
      <c r="AG646" s="23" t="s">
        <v>54</v>
      </c>
      <c r="AH646" s="23" t="s">
        <v>54</v>
      </c>
      <c r="AI646" s="23" t="s">
        <v>54</v>
      </c>
      <c r="AJ646">
        <v>31</v>
      </c>
      <c r="AK646">
        <v>33</v>
      </c>
      <c r="AL646">
        <v>363</v>
      </c>
      <c r="AM646">
        <v>36</v>
      </c>
      <c r="AN646" s="23">
        <v>0.032258064516129</v>
      </c>
      <c r="AO646" s="23">
        <v>0.0303030303030303</v>
      </c>
      <c r="AP646" s="23">
        <v>0.0909090909090909</v>
      </c>
      <c r="AQ646" s="23">
        <v>0.138888888888889</v>
      </c>
      <c r="AR646" s="35">
        <v>0.142857142857143</v>
      </c>
      <c r="AS646" s="35">
        <v>8.57142857142857</v>
      </c>
      <c r="AT646" s="35">
        <v>40.4285714285714</v>
      </c>
      <c r="AU646" s="31">
        <f t="shared" si="13"/>
        <v>343</v>
      </c>
      <c r="AV646" s="36">
        <f>IFERROR($A$2+AU646,"上周无销量")</f>
        <v>43633</v>
      </c>
    </row>
    <row r="647" spans="1:48">
      <c r="A647" s="21" t="s">
        <v>1367</v>
      </c>
      <c r="B647" t="s">
        <v>1345</v>
      </c>
      <c r="C647" t="s">
        <v>1289</v>
      </c>
      <c r="D647" s="31">
        <v>2</v>
      </c>
      <c r="E647" s="31">
        <v>1</v>
      </c>
      <c r="F647" s="31">
        <v>38</v>
      </c>
      <c r="G647" s="31">
        <v>1</v>
      </c>
      <c r="H647" s="32">
        <v>18.99</v>
      </c>
      <c r="I647">
        <v>66</v>
      </c>
      <c r="J647" s="33">
        <v>0</v>
      </c>
      <c r="K647" s="33">
        <v>0</v>
      </c>
      <c r="L647" s="33">
        <v>1</v>
      </c>
      <c r="M647">
        <v>67</v>
      </c>
      <c r="N647">
        <v>1</v>
      </c>
      <c r="O647">
        <v>0</v>
      </c>
      <c r="P647" t="s">
        <v>54</v>
      </c>
      <c r="Q647" t="s">
        <v>54</v>
      </c>
      <c r="R647" t="s">
        <v>54</v>
      </c>
      <c r="S647" t="s">
        <v>54</v>
      </c>
      <c r="T647" t="s">
        <v>54</v>
      </c>
      <c r="U647" t="s">
        <v>54</v>
      </c>
      <c r="V647" t="s">
        <v>54</v>
      </c>
      <c r="W647" t="s">
        <v>54</v>
      </c>
      <c r="X647" s="23" t="s">
        <v>54</v>
      </c>
      <c r="Y647" s="23" t="s">
        <v>54</v>
      </c>
      <c r="Z647" s="23" t="s">
        <v>54</v>
      </c>
      <c r="AA647" s="23" t="s">
        <v>54</v>
      </c>
      <c r="AB647" t="s">
        <v>54</v>
      </c>
      <c r="AC647" t="s">
        <v>54</v>
      </c>
      <c r="AD647" t="s">
        <v>54</v>
      </c>
      <c r="AE647" t="s">
        <v>54</v>
      </c>
      <c r="AF647" s="23" t="s">
        <v>54</v>
      </c>
      <c r="AG647" s="23" t="s">
        <v>54</v>
      </c>
      <c r="AH647" s="23" t="s">
        <v>54</v>
      </c>
      <c r="AI647" s="23" t="s">
        <v>54</v>
      </c>
      <c r="AJ647">
        <v>33</v>
      </c>
      <c r="AK647">
        <v>34</v>
      </c>
      <c r="AL647">
        <v>200</v>
      </c>
      <c r="AM647">
        <v>55</v>
      </c>
      <c r="AN647" s="23">
        <v>0.0606060606060606</v>
      </c>
      <c r="AO647" s="23">
        <v>0.0294117647058824</v>
      </c>
      <c r="AP647" s="23">
        <v>0.19</v>
      </c>
      <c r="AQ647" s="23">
        <v>0.0181818181818182</v>
      </c>
      <c r="AR647" s="35">
        <v>0.285714285714286</v>
      </c>
      <c r="AS647" s="35">
        <v>17.1428571428571</v>
      </c>
      <c r="AT647" s="35">
        <v>49.8571428571429</v>
      </c>
      <c r="AU647" s="31">
        <f t="shared" si="13"/>
        <v>234</v>
      </c>
      <c r="AV647" s="36">
        <f>IFERROR($A$2+AU647,"上周无销量")</f>
        <v>43524</v>
      </c>
    </row>
    <row r="648" spans="1:48">
      <c r="A648" s="21" t="s">
        <v>1368</v>
      </c>
      <c r="B648" t="s">
        <v>1347</v>
      </c>
      <c r="C648" t="s">
        <v>1289</v>
      </c>
      <c r="D648" s="31">
        <v>2</v>
      </c>
      <c r="E648" s="31">
        <v>6</v>
      </c>
      <c r="F648" s="31">
        <v>26</v>
      </c>
      <c r="G648" s="31">
        <v>1</v>
      </c>
      <c r="H648" s="32">
        <v>13.99</v>
      </c>
      <c r="I648">
        <v>56</v>
      </c>
      <c r="J648" s="33">
        <v>0</v>
      </c>
      <c r="K648" s="33">
        <v>8</v>
      </c>
      <c r="L648" s="33">
        <v>0</v>
      </c>
      <c r="M648">
        <v>64</v>
      </c>
      <c r="N648">
        <v>0</v>
      </c>
      <c r="O648">
        <v>0</v>
      </c>
      <c r="P648" t="s">
        <v>54</v>
      </c>
      <c r="Q648" t="s">
        <v>54</v>
      </c>
      <c r="R648" t="s">
        <v>54</v>
      </c>
      <c r="S648" t="s">
        <v>54</v>
      </c>
      <c r="T648" t="s">
        <v>54</v>
      </c>
      <c r="U648" t="s">
        <v>54</v>
      </c>
      <c r="V648" t="s">
        <v>54</v>
      </c>
      <c r="W648" t="s">
        <v>54</v>
      </c>
      <c r="X648" s="23" t="s">
        <v>54</v>
      </c>
      <c r="Y648" s="23" t="s">
        <v>54</v>
      </c>
      <c r="Z648" s="23" t="s">
        <v>54</v>
      </c>
      <c r="AA648" s="23" t="s">
        <v>54</v>
      </c>
      <c r="AB648" t="s">
        <v>54</v>
      </c>
      <c r="AC648" t="s">
        <v>54</v>
      </c>
      <c r="AD648" t="s">
        <v>54</v>
      </c>
      <c r="AE648" t="s">
        <v>54</v>
      </c>
      <c r="AF648" s="23" t="s">
        <v>54</v>
      </c>
      <c r="AG648" s="23" t="s">
        <v>54</v>
      </c>
      <c r="AH648" s="23" t="s">
        <v>54</v>
      </c>
      <c r="AI648" s="23" t="s">
        <v>54</v>
      </c>
      <c r="AJ648">
        <v>54</v>
      </c>
      <c r="AK648">
        <v>60</v>
      </c>
      <c r="AL648">
        <v>192</v>
      </c>
      <c r="AM648">
        <v>37</v>
      </c>
      <c r="AN648" s="23">
        <v>0.037037037037037</v>
      </c>
      <c r="AO648" s="23">
        <v>0.1</v>
      </c>
      <c r="AP648" s="23">
        <v>0.135416666666667</v>
      </c>
      <c r="AQ648" s="23">
        <v>0.027027027027027</v>
      </c>
      <c r="AR648" s="35">
        <v>0.285714285714286</v>
      </c>
      <c r="AS648" s="35">
        <v>17.1428571428571</v>
      </c>
      <c r="AT648" s="35">
        <v>46.8571428571429</v>
      </c>
      <c r="AU648" s="31">
        <f t="shared" si="13"/>
        <v>224</v>
      </c>
      <c r="AV648" s="36">
        <f>IFERROR($A$2+AU648,"上周无销量")</f>
        <v>43514</v>
      </c>
    </row>
    <row r="649" spans="1:48">
      <c r="A649" s="21" t="s">
        <v>1369</v>
      </c>
      <c r="B649" t="s">
        <v>1349</v>
      </c>
      <c r="C649" t="s">
        <v>1289</v>
      </c>
      <c r="D649" s="31">
        <v>0</v>
      </c>
      <c r="E649" s="31">
        <v>0</v>
      </c>
      <c r="F649" s="31">
        <v>12</v>
      </c>
      <c r="G649" s="31">
        <v>1</v>
      </c>
      <c r="H649" s="32">
        <v>24.99</v>
      </c>
      <c r="I649">
        <v>80</v>
      </c>
      <c r="J649" s="33">
        <v>0</v>
      </c>
      <c r="K649" s="33">
        <v>0</v>
      </c>
      <c r="L649" s="33">
        <v>0</v>
      </c>
      <c r="M649">
        <v>80</v>
      </c>
      <c r="N649">
        <v>1</v>
      </c>
      <c r="O649">
        <v>0</v>
      </c>
      <c r="P649" t="s">
        <v>54</v>
      </c>
      <c r="Q649" t="s">
        <v>54</v>
      </c>
      <c r="R649" t="s">
        <v>54</v>
      </c>
      <c r="S649" t="s">
        <v>54</v>
      </c>
      <c r="T649" t="s">
        <v>54</v>
      </c>
      <c r="U649" t="s">
        <v>54</v>
      </c>
      <c r="V649" t="s">
        <v>54</v>
      </c>
      <c r="W649" t="s">
        <v>54</v>
      </c>
      <c r="X649" s="23" t="s">
        <v>54</v>
      </c>
      <c r="Y649" s="23" t="s">
        <v>54</v>
      </c>
      <c r="Z649" s="23" t="s">
        <v>54</v>
      </c>
      <c r="AA649" s="23" t="s">
        <v>54</v>
      </c>
      <c r="AB649" t="s">
        <v>54</v>
      </c>
      <c r="AC649" t="s">
        <v>54</v>
      </c>
      <c r="AD649" t="s">
        <v>54</v>
      </c>
      <c r="AE649" t="s">
        <v>54</v>
      </c>
      <c r="AF649" s="23" t="s">
        <v>54</v>
      </c>
      <c r="AG649" s="23" t="s">
        <v>54</v>
      </c>
      <c r="AH649" s="23" t="s">
        <v>54</v>
      </c>
      <c r="AI649" s="23" t="s">
        <v>54</v>
      </c>
      <c r="AJ649">
        <v>28</v>
      </c>
      <c r="AK649">
        <v>25</v>
      </c>
      <c r="AL649">
        <v>136</v>
      </c>
      <c r="AM649">
        <v>33</v>
      </c>
      <c r="AN649" s="23">
        <v>0</v>
      </c>
      <c r="AO649" s="23">
        <v>0</v>
      </c>
      <c r="AP649" s="23">
        <v>0.0882352941176471</v>
      </c>
      <c r="AQ649" s="23">
        <v>0.0303030303030303</v>
      </c>
      <c r="AR649" s="35">
        <v>0</v>
      </c>
      <c r="AS649" s="35">
        <v>0</v>
      </c>
      <c r="AT649" s="35">
        <v>80</v>
      </c>
      <c r="AU649" s="31" t="str">
        <f t="shared" si="13"/>
        <v>库存为80</v>
      </c>
      <c r="AV649" s="36" t="str">
        <f>IFERROR($A$2+AU649,"上周无销量")</f>
        <v>上周无销量</v>
      </c>
    </row>
    <row r="650" spans="1:48">
      <c r="A650" s="21" t="s">
        <v>1370</v>
      </c>
      <c r="B650" t="s">
        <v>1351</v>
      </c>
      <c r="C650" t="s">
        <v>1289</v>
      </c>
      <c r="D650" s="31">
        <v>0</v>
      </c>
      <c r="E650" s="31">
        <v>2</v>
      </c>
      <c r="F650" s="31">
        <v>30</v>
      </c>
      <c r="G650" s="31">
        <v>3</v>
      </c>
      <c r="H650" s="32">
        <v>18.99</v>
      </c>
      <c r="I650">
        <v>84</v>
      </c>
      <c r="J650" s="33">
        <v>0</v>
      </c>
      <c r="K650" s="33">
        <v>0</v>
      </c>
      <c r="L650" s="33">
        <v>0</v>
      </c>
      <c r="M650">
        <v>84</v>
      </c>
      <c r="N650">
        <v>0</v>
      </c>
      <c r="O650">
        <v>0</v>
      </c>
      <c r="P650" t="s">
        <v>54</v>
      </c>
      <c r="Q650" t="s">
        <v>54</v>
      </c>
      <c r="R650" t="s">
        <v>54</v>
      </c>
      <c r="S650" t="s">
        <v>54</v>
      </c>
      <c r="T650" t="s">
        <v>54</v>
      </c>
      <c r="U650" t="s">
        <v>54</v>
      </c>
      <c r="V650" t="s">
        <v>54</v>
      </c>
      <c r="W650" t="s">
        <v>54</v>
      </c>
      <c r="X650" s="23" t="s">
        <v>54</v>
      </c>
      <c r="Y650" s="23" t="s">
        <v>54</v>
      </c>
      <c r="Z650" s="23" t="s">
        <v>54</v>
      </c>
      <c r="AA650" s="23" t="s">
        <v>54</v>
      </c>
      <c r="AB650" t="s">
        <v>54</v>
      </c>
      <c r="AC650" t="s">
        <v>54</v>
      </c>
      <c r="AD650" t="s">
        <v>54</v>
      </c>
      <c r="AE650" t="s">
        <v>54</v>
      </c>
      <c r="AF650" s="23" t="s">
        <v>54</v>
      </c>
      <c r="AG650" s="23" t="s">
        <v>54</v>
      </c>
      <c r="AH650" s="23" t="s">
        <v>54</v>
      </c>
      <c r="AI650" s="23" t="s">
        <v>54</v>
      </c>
      <c r="AJ650">
        <v>35</v>
      </c>
      <c r="AK650">
        <v>34</v>
      </c>
      <c r="AL650">
        <v>162</v>
      </c>
      <c r="AM650">
        <v>54</v>
      </c>
      <c r="AN650" s="23">
        <v>0</v>
      </c>
      <c r="AO650" s="23">
        <v>0.0588235294117647</v>
      </c>
      <c r="AP650" s="23">
        <v>0.185185185185185</v>
      </c>
      <c r="AQ650" s="23">
        <v>0.0555555555555556</v>
      </c>
      <c r="AR650" s="35">
        <v>0</v>
      </c>
      <c r="AS650" s="35">
        <v>0</v>
      </c>
      <c r="AT650" s="35">
        <v>84</v>
      </c>
      <c r="AU650" s="31" t="str">
        <f t="shared" si="13"/>
        <v>库存为84</v>
      </c>
      <c r="AV650" s="36" t="str">
        <f>IFERROR($A$2+AU650,"上周无销量")</f>
        <v>上周无销量</v>
      </c>
    </row>
    <row r="651" spans="1:48">
      <c r="A651" s="21" t="s">
        <v>1371</v>
      </c>
      <c r="B651" t="s">
        <v>1353</v>
      </c>
      <c r="C651" t="s">
        <v>1289</v>
      </c>
      <c r="D651" s="31">
        <v>7</v>
      </c>
      <c r="E651" s="31">
        <v>4</v>
      </c>
      <c r="F651" s="31">
        <v>26</v>
      </c>
      <c r="G651" s="31">
        <v>8</v>
      </c>
      <c r="H651" s="32">
        <v>13.99</v>
      </c>
      <c r="I651">
        <v>148</v>
      </c>
      <c r="J651" s="33">
        <v>0</v>
      </c>
      <c r="K651" s="33">
        <v>0</v>
      </c>
      <c r="L651" s="33">
        <v>0</v>
      </c>
      <c r="M651">
        <v>148</v>
      </c>
      <c r="N651">
        <v>0</v>
      </c>
      <c r="O651">
        <v>0</v>
      </c>
      <c r="P651">
        <v>2139</v>
      </c>
      <c r="Q651">
        <v>4900</v>
      </c>
      <c r="R651">
        <v>0</v>
      </c>
      <c r="S651">
        <v>0</v>
      </c>
      <c r="T651">
        <v>22</v>
      </c>
      <c r="U651">
        <v>23</v>
      </c>
      <c r="V651">
        <v>0</v>
      </c>
      <c r="W651">
        <v>0</v>
      </c>
      <c r="X651" s="23">
        <v>0.0102851799906498</v>
      </c>
      <c r="Y651" s="23">
        <v>0.00469387755102041</v>
      </c>
      <c r="Z651" s="23" t="s">
        <v>54</v>
      </c>
      <c r="AA651" s="23" t="s">
        <v>54</v>
      </c>
      <c r="AB651">
        <v>15.85</v>
      </c>
      <c r="AC651">
        <v>22.42</v>
      </c>
      <c r="AD651">
        <v>0</v>
      </c>
      <c r="AE651">
        <v>0</v>
      </c>
      <c r="AF651" s="23">
        <v>0.161850301235576</v>
      </c>
      <c r="AG651" s="23">
        <v>0.400643316654753</v>
      </c>
      <c r="AH651" s="23" t="s">
        <v>54</v>
      </c>
      <c r="AI651" s="23" t="s">
        <v>54</v>
      </c>
      <c r="AJ651">
        <v>65</v>
      </c>
      <c r="AK651">
        <v>68</v>
      </c>
      <c r="AL651">
        <v>230</v>
      </c>
      <c r="AM651">
        <v>70</v>
      </c>
      <c r="AN651" s="23">
        <v>0.107692307692308</v>
      </c>
      <c r="AO651" s="23">
        <v>0.0588235294117647</v>
      </c>
      <c r="AP651" s="23">
        <v>0.11304347826087</v>
      </c>
      <c r="AQ651" s="23">
        <v>0.114285714285714</v>
      </c>
      <c r="AR651" s="35">
        <v>1</v>
      </c>
      <c r="AS651" s="35">
        <v>60</v>
      </c>
      <c r="AT651" s="35">
        <v>88</v>
      </c>
      <c r="AU651" s="31">
        <f t="shared" si="13"/>
        <v>148</v>
      </c>
      <c r="AV651" s="36">
        <f>IFERROR($A$2+AU651,"上周无销量")</f>
        <v>43438</v>
      </c>
    </row>
    <row r="652" spans="1:48">
      <c r="A652" s="21" t="s">
        <v>1372</v>
      </c>
      <c r="B652" t="s">
        <v>1373</v>
      </c>
      <c r="C652" t="s">
        <v>1374</v>
      </c>
      <c r="D652" s="31">
        <v>0</v>
      </c>
      <c r="E652" s="31">
        <v>0</v>
      </c>
      <c r="F652" s="31">
        <v>0</v>
      </c>
      <c r="G652" s="31">
        <v>0</v>
      </c>
      <c r="H652" s="32">
        <v>0</v>
      </c>
      <c r="I652">
        <v>0</v>
      </c>
      <c r="J652" s="33">
        <v>0</v>
      </c>
      <c r="K652" s="33">
        <v>0</v>
      </c>
      <c r="L652" s="33">
        <v>0</v>
      </c>
      <c r="M652">
        <v>0</v>
      </c>
      <c r="N652">
        <v>0</v>
      </c>
      <c r="O652">
        <v>0</v>
      </c>
      <c r="P652" t="s">
        <v>54</v>
      </c>
      <c r="Q652" t="s">
        <v>54</v>
      </c>
      <c r="R652" t="s">
        <v>54</v>
      </c>
      <c r="S652" t="s">
        <v>54</v>
      </c>
      <c r="T652" t="s">
        <v>54</v>
      </c>
      <c r="U652" t="s">
        <v>54</v>
      </c>
      <c r="V652" t="s">
        <v>54</v>
      </c>
      <c r="W652" t="s">
        <v>54</v>
      </c>
      <c r="X652" s="23" t="s">
        <v>54</v>
      </c>
      <c r="Y652" s="23" t="s">
        <v>54</v>
      </c>
      <c r="Z652" s="23" t="s">
        <v>54</v>
      </c>
      <c r="AA652" s="23" t="s">
        <v>54</v>
      </c>
      <c r="AB652" t="s">
        <v>54</v>
      </c>
      <c r="AC652" t="s">
        <v>54</v>
      </c>
      <c r="AD652" t="s">
        <v>54</v>
      </c>
      <c r="AE652" t="s">
        <v>54</v>
      </c>
      <c r="AF652" s="23" t="s">
        <v>54</v>
      </c>
      <c r="AG652" s="23" t="s">
        <v>54</v>
      </c>
      <c r="AH652" s="23" t="s">
        <v>54</v>
      </c>
      <c r="AI652" s="23" t="s">
        <v>54</v>
      </c>
      <c r="AJ652">
        <v>0</v>
      </c>
      <c r="AK652">
        <v>0</v>
      </c>
      <c r="AL652">
        <v>0</v>
      </c>
      <c r="AM652">
        <v>0</v>
      </c>
      <c r="AN652" s="23" t="s">
        <v>54</v>
      </c>
      <c r="AO652" s="23" t="s">
        <v>54</v>
      </c>
      <c r="AP652" s="23" t="s">
        <v>54</v>
      </c>
      <c r="AQ652" s="23" t="s">
        <v>54</v>
      </c>
      <c r="AR652" s="35">
        <v>0</v>
      </c>
      <c r="AS652" s="35">
        <v>0</v>
      </c>
      <c r="AT652" s="35">
        <v>0</v>
      </c>
      <c r="AU652" s="31" t="str">
        <f t="shared" si="13"/>
        <v>库存为0</v>
      </c>
      <c r="AV652" s="36" t="str">
        <f>IFERROR($A$2+AU652,"上周无销量")</f>
        <v>上周无销量</v>
      </c>
    </row>
    <row r="653" spans="1:48">
      <c r="A653" s="21" t="s">
        <v>1375</v>
      </c>
      <c r="B653" t="s">
        <v>1376</v>
      </c>
      <c r="C653" t="s">
        <v>1374</v>
      </c>
      <c r="D653" s="31">
        <v>0</v>
      </c>
      <c r="E653" s="31">
        <v>0</v>
      </c>
      <c r="F653" s="31">
        <v>0</v>
      </c>
      <c r="G653" s="31">
        <v>0</v>
      </c>
      <c r="H653" s="32">
        <v>0</v>
      </c>
      <c r="I653">
        <v>0</v>
      </c>
      <c r="J653" s="33">
        <v>0</v>
      </c>
      <c r="K653" s="33">
        <v>0</v>
      </c>
      <c r="L653" s="33">
        <v>0</v>
      </c>
      <c r="M653">
        <v>0</v>
      </c>
      <c r="N653">
        <v>0</v>
      </c>
      <c r="O653">
        <v>0</v>
      </c>
      <c r="P653" t="s">
        <v>54</v>
      </c>
      <c r="Q653" t="s">
        <v>54</v>
      </c>
      <c r="R653" t="s">
        <v>54</v>
      </c>
      <c r="S653" t="s">
        <v>54</v>
      </c>
      <c r="T653" t="s">
        <v>54</v>
      </c>
      <c r="U653" t="s">
        <v>54</v>
      </c>
      <c r="V653" t="s">
        <v>54</v>
      </c>
      <c r="W653" t="s">
        <v>54</v>
      </c>
      <c r="X653" s="23" t="s">
        <v>54</v>
      </c>
      <c r="Y653" s="23" t="s">
        <v>54</v>
      </c>
      <c r="Z653" s="23" t="s">
        <v>54</v>
      </c>
      <c r="AA653" s="23" t="s">
        <v>54</v>
      </c>
      <c r="AB653" t="s">
        <v>54</v>
      </c>
      <c r="AC653" t="s">
        <v>54</v>
      </c>
      <c r="AD653" t="s">
        <v>54</v>
      </c>
      <c r="AE653" t="s">
        <v>54</v>
      </c>
      <c r="AF653" s="23" t="s">
        <v>54</v>
      </c>
      <c r="AG653" s="23" t="s">
        <v>54</v>
      </c>
      <c r="AH653" s="23" t="s">
        <v>54</v>
      </c>
      <c r="AI653" s="23" t="s">
        <v>54</v>
      </c>
      <c r="AJ653">
        <v>0</v>
      </c>
      <c r="AK653">
        <v>0</v>
      </c>
      <c r="AL653">
        <v>0</v>
      </c>
      <c r="AM653">
        <v>0</v>
      </c>
      <c r="AN653" s="23" t="s">
        <v>54</v>
      </c>
      <c r="AO653" s="23" t="s">
        <v>54</v>
      </c>
      <c r="AP653" s="23" t="s">
        <v>54</v>
      </c>
      <c r="AQ653" s="23" t="s">
        <v>54</v>
      </c>
      <c r="AR653" s="35">
        <v>0</v>
      </c>
      <c r="AS653" s="35">
        <v>0</v>
      </c>
      <c r="AT653" s="35">
        <v>0</v>
      </c>
      <c r="AU653" s="31" t="str">
        <f t="shared" si="13"/>
        <v>库存为0</v>
      </c>
      <c r="AV653" s="36" t="str">
        <f>IFERROR($A$2+AU653,"上周无销量")</f>
        <v>上周无销量</v>
      </c>
    </row>
    <row r="654" spans="1:48">
      <c r="A654" s="21" t="s">
        <v>1377</v>
      </c>
      <c r="B654" t="s">
        <v>1378</v>
      </c>
      <c r="C654" t="s">
        <v>1374</v>
      </c>
      <c r="D654" s="31">
        <v>0</v>
      </c>
      <c r="E654" s="31">
        <v>0</v>
      </c>
      <c r="F654" s="31">
        <v>0</v>
      </c>
      <c r="G654" s="31">
        <v>0</v>
      </c>
      <c r="H654" s="32">
        <v>0</v>
      </c>
      <c r="I654">
        <v>0</v>
      </c>
      <c r="J654" s="33">
        <v>0</v>
      </c>
      <c r="K654" s="33">
        <v>0</v>
      </c>
      <c r="L654" s="33">
        <v>0</v>
      </c>
      <c r="M654">
        <v>0</v>
      </c>
      <c r="N654">
        <v>0</v>
      </c>
      <c r="O654">
        <v>0</v>
      </c>
      <c r="P654" t="s">
        <v>54</v>
      </c>
      <c r="Q654" t="s">
        <v>54</v>
      </c>
      <c r="R654" t="s">
        <v>54</v>
      </c>
      <c r="S654" t="s">
        <v>54</v>
      </c>
      <c r="T654" t="s">
        <v>54</v>
      </c>
      <c r="U654" t="s">
        <v>54</v>
      </c>
      <c r="V654" t="s">
        <v>54</v>
      </c>
      <c r="W654" t="s">
        <v>54</v>
      </c>
      <c r="X654" s="23" t="s">
        <v>54</v>
      </c>
      <c r="Y654" s="23" t="s">
        <v>54</v>
      </c>
      <c r="Z654" s="23" t="s">
        <v>54</v>
      </c>
      <c r="AA654" s="23" t="s">
        <v>54</v>
      </c>
      <c r="AB654" t="s">
        <v>54</v>
      </c>
      <c r="AC654" t="s">
        <v>54</v>
      </c>
      <c r="AD654" t="s">
        <v>54</v>
      </c>
      <c r="AE654" t="s">
        <v>54</v>
      </c>
      <c r="AF654" s="23" t="s">
        <v>54</v>
      </c>
      <c r="AG654" s="23" t="s">
        <v>54</v>
      </c>
      <c r="AH654" s="23" t="s">
        <v>54</v>
      </c>
      <c r="AI654" s="23" t="s">
        <v>54</v>
      </c>
      <c r="AJ654">
        <v>0</v>
      </c>
      <c r="AK654">
        <v>0</v>
      </c>
      <c r="AL654">
        <v>0</v>
      </c>
      <c r="AM654">
        <v>0</v>
      </c>
      <c r="AN654" s="23" t="s">
        <v>54</v>
      </c>
      <c r="AO654" s="23" t="s">
        <v>54</v>
      </c>
      <c r="AP654" s="23" t="s">
        <v>54</v>
      </c>
      <c r="AQ654" s="23" t="s">
        <v>54</v>
      </c>
      <c r="AR654" s="35">
        <v>0</v>
      </c>
      <c r="AS654" s="35">
        <v>0</v>
      </c>
      <c r="AT654" s="35">
        <v>0</v>
      </c>
      <c r="AU654" s="31" t="str">
        <f t="shared" si="13"/>
        <v>库存为0</v>
      </c>
      <c r="AV654" s="36" t="str">
        <f>IFERROR($A$2+AU654,"上周无销量")</f>
        <v>上周无销量</v>
      </c>
    </row>
    <row r="655" spans="1:48">
      <c r="A655" s="21" t="s">
        <v>1379</v>
      </c>
      <c r="B655" t="s">
        <v>1380</v>
      </c>
      <c r="C655" t="s">
        <v>1381</v>
      </c>
      <c r="D655" s="31">
        <v>0</v>
      </c>
      <c r="E655" s="31">
        <v>1</v>
      </c>
      <c r="F655" s="31">
        <v>2</v>
      </c>
      <c r="G655" s="31">
        <v>0</v>
      </c>
      <c r="H655" s="32">
        <v>9.93</v>
      </c>
      <c r="I655">
        <v>0</v>
      </c>
      <c r="J655" s="33">
        <v>0</v>
      </c>
      <c r="K655" s="33">
        <v>0</v>
      </c>
      <c r="L655" s="33">
        <v>0</v>
      </c>
      <c r="M655">
        <v>0</v>
      </c>
      <c r="N655">
        <v>0</v>
      </c>
      <c r="O655">
        <v>0</v>
      </c>
      <c r="P655" t="s">
        <v>54</v>
      </c>
      <c r="Q655" t="s">
        <v>54</v>
      </c>
      <c r="R655" t="s">
        <v>54</v>
      </c>
      <c r="S655" t="s">
        <v>54</v>
      </c>
      <c r="T655" t="s">
        <v>54</v>
      </c>
      <c r="U655" t="s">
        <v>54</v>
      </c>
      <c r="V655" t="s">
        <v>54</v>
      </c>
      <c r="W655" t="s">
        <v>54</v>
      </c>
      <c r="X655" s="23" t="s">
        <v>54</v>
      </c>
      <c r="Y655" s="23" t="s">
        <v>54</v>
      </c>
      <c r="Z655" s="23" t="s">
        <v>54</v>
      </c>
      <c r="AA655" s="23" t="s">
        <v>54</v>
      </c>
      <c r="AB655" t="s">
        <v>54</v>
      </c>
      <c r="AC655" t="s">
        <v>54</v>
      </c>
      <c r="AD655" t="s">
        <v>54</v>
      </c>
      <c r="AE655" t="s">
        <v>54</v>
      </c>
      <c r="AF655" s="23" t="s">
        <v>54</v>
      </c>
      <c r="AG655" s="23" t="s">
        <v>54</v>
      </c>
      <c r="AH655" s="23" t="s">
        <v>54</v>
      </c>
      <c r="AI655" s="23" t="s">
        <v>54</v>
      </c>
      <c r="AJ655">
        <v>0</v>
      </c>
      <c r="AK655">
        <v>0</v>
      </c>
      <c r="AL655">
        <v>11</v>
      </c>
      <c r="AM655">
        <v>5</v>
      </c>
      <c r="AN655" s="23" t="s">
        <v>54</v>
      </c>
      <c r="AO655" s="23" t="s">
        <v>54</v>
      </c>
      <c r="AP655" s="23">
        <v>0.181818181818182</v>
      </c>
      <c r="AQ655" s="23">
        <v>0</v>
      </c>
      <c r="AR655" s="35">
        <v>0</v>
      </c>
      <c r="AS655" s="35">
        <v>0</v>
      </c>
      <c r="AT655" s="35">
        <v>0</v>
      </c>
      <c r="AU655" s="31" t="str">
        <f t="shared" si="13"/>
        <v>库存为0</v>
      </c>
      <c r="AV655" s="36" t="str">
        <f>IFERROR($A$2+AU655,"上周无销量")</f>
        <v>上周无销量</v>
      </c>
    </row>
    <row r="656" spans="1:48">
      <c r="A656" s="21" t="s">
        <v>1382</v>
      </c>
      <c r="B656" t="s">
        <v>1383</v>
      </c>
      <c r="C656" t="s">
        <v>1381</v>
      </c>
      <c r="D656" s="31">
        <v>1</v>
      </c>
      <c r="E656" s="31">
        <v>0</v>
      </c>
      <c r="F656" s="31">
        <v>0</v>
      </c>
      <c r="G656" s="31">
        <v>3</v>
      </c>
      <c r="H656" s="32">
        <v>9.9225</v>
      </c>
      <c r="I656">
        <v>9</v>
      </c>
      <c r="J656" s="33">
        <v>0</v>
      </c>
      <c r="K656" s="33">
        <v>0</v>
      </c>
      <c r="L656" s="33">
        <v>0</v>
      </c>
      <c r="M656">
        <v>9</v>
      </c>
      <c r="N656">
        <v>0</v>
      </c>
      <c r="O656">
        <v>0</v>
      </c>
      <c r="P656" t="s">
        <v>54</v>
      </c>
      <c r="Q656" t="s">
        <v>54</v>
      </c>
      <c r="R656" t="s">
        <v>54</v>
      </c>
      <c r="S656" t="s">
        <v>54</v>
      </c>
      <c r="T656" t="s">
        <v>54</v>
      </c>
      <c r="U656" t="s">
        <v>54</v>
      </c>
      <c r="V656" t="s">
        <v>54</v>
      </c>
      <c r="W656" t="s">
        <v>54</v>
      </c>
      <c r="X656" s="23" t="s">
        <v>54</v>
      </c>
      <c r="Y656" s="23" t="s">
        <v>54</v>
      </c>
      <c r="Z656" s="23" t="s">
        <v>54</v>
      </c>
      <c r="AA656" s="23" t="s">
        <v>54</v>
      </c>
      <c r="AB656" t="s">
        <v>54</v>
      </c>
      <c r="AC656" t="s">
        <v>54</v>
      </c>
      <c r="AD656" t="s">
        <v>54</v>
      </c>
      <c r="AE656" t="s">
        <v>54</v>
      </c>
      <c r="AF656" s="23" t="s">
        <v>54</v>
      </c>
      <c r="AG656" s="23" t="s">
        <v>54</v>
      </c>
      <c r="AH656" s="23" t="s">
        <v>54</v>
      </c>
      <c r="AI656" s="23" t="s">
        <v>54</v>
      </c>
      <c r="AJ656">
        <v>7</v>
      </c>
      <c r="AK656">
        <v>4</v>
      </c>
      <c r="AL656">
        <v>5</v>
      </c>
      <c r="AM656">
        <v>11</v>
      </c>
      <c r="AN656" s="23">
        <v>0.142857142857143</v>
      </c>
      <c r="AO656" s="23">
        <v>0</v>
      </c>
      <c r="AP656" s="23">
        <v>0</v>
      </c>
      <c r="AQ656" s="23">
        <v>0.272727272727273</v>
      </c>
      <c r="AR656" s="35">
        <v>0.142857142857143</v>
      </c>
      <c r="AS656" s="35">
        <v>8.57142857142857</v>
      </c>
      <c r="AT656" s="35">
        <v>0.428571428571429</v>
      </c>
      <c r="AU656" s="31">
        <f t="shared" si="13"/>
        <v>63</v>
      </c>
      <c r="AV656" s="36">
        <f>IFERROR($A$2+AU656,"上周无销量")</f>
        <v>43353</v>
      </c>
    </row>
    <row r="657" spans="1:48">
      <c r="A657" s="21" t="s">
        <v>1384</v>
      </c>
      <c r="B657" t="s">
        <v>1385</v>
      </c>
      <c r="C657" t="s">
        <v>1381</v>
      </c>
      <c r="D657" s="31">
        <v>0</v>
      </c>
      <c r="E657" s="31">
        <v>0</v>
      </c>
      <c r="F657" s="31">
        <v>1</v>
      </c>
      <c r="G657" s="31">
        <v>2</v>
      </c>
      <c r="H657" s="32">
        <v>9.9</v>
      </c>
      <c r="I657">
        <v>3</v>
      </c>
      <c r="J657" s="33">
        <v>0</v>
      </c>
      <c r="K657" s="33">
        <v>0</v>
      </c>
      <c r="L657" s="33">
        <v>0</v>
      </c>
      <c r="M657">
        <v>3</v>
      </c>
      <c r="N657">
        <v>0</v>
      </c>
      <c r="O657">
        <v>0</v>
      </c>
      <c r="P657" t="s">
        <v>54</v>
      </c>
      <c r="Q657" t="s">
        <v>54</v>
      </c>
      <c r="R657" t="s">
        <v>54</v>
      </c>
      <c r="S657" t="s">
        <v>54</v>
      </c>
      <c r="T657" t="s">
        <v>54</v>
      </c>
      <c r="U657" t="s">
        <v>54</v>
      </c>
      <c r="V657" t="s">
        <v>54</v>
      </c>
      <c r="W657" t="s">
        <v>54</v>
      </c>
      <c r="X657" s="23" t="s">
        <v>54</v>
      </c>
      <c r="Y657" s="23" t="s">
        <v>54</v>
      </c>
      <c r="Z657" s="23" t="s">
        <v>54</v>
      </c>
      <c r="AA657" s="23" t="s">
        <v>54</v>
      </c>
      <c r="AB657" t="s">
        <v>54</v>
      </c>
      <c r="AC657" t="s">
        <v>54</v>
      </c>
      <c r="AD657" t="s">
        <v>54</v>
      </c>
      <c r="AE657" t="s">
        <v>54</v>
      </c>
      <c r="AF657" s="23" t="s">
        <v>54</v>
      </c>
      <c r="AG657" s="23" t="s">
        <v>54</v>
      </c>
      <c r="AH657" s="23" t="s">
        <v>54</v>
      </c>
      <c r="AI657" s="23" t="s">
        <v>54</v>
      </c>
      <c r="AJ657">
        <v>8</v>
      </c>
      <c r="AK657">
        <v>9</v>
      </c>
      <c r="AL657">
        <v>7</v>
      </c>
      <c r="AM657">
        <v>8</v>
      </c>
      <c r="AN657" s="23">
        <v>0</v>
      </c>
      <c r="AO657" s="23">
        <v>0</v>
      </c>
      <c r="AP657" s="23">
        <v>0.142857142857143</v>
      </c>
      <c r="AQ657" s="23">
        <v>0.25</v>
      </c>
      <c r="AR657" s="35">
        <v>0</v>
      </c>
      <c r="AS657" s="35">
        <v>0</v>
      </c>
      <c r="AT657" s="35">
        <v>3</v>
      </c>
      <c r="AU657" s="31" t="str">
        <f t="shared" si="13"/>
        <v>库存为3</v>
      </c>
      <c r="AV657" s="36" t="str">
        <f>IFERROR($A$2+AU657,"上周无销量")</f>
        <v>上周无销量</v>
      </c>
    </row>
    <row r="658" spans="1:48">
      <c r="A658" s="21" t="s">
        <v>1386</v>
      </c>
      <c r="B658" t="s">
        <v>1387</v>
      </c>
      <c r="C658" t="s">
        <v>1381</v>
      </c>
      <c r="D658" s="31">
        <v>1</v>
      </c>
      <c r="E658" s="31">
        <v>0</v>
      </c>
      <c r="F658" s="31">
        <v>0</v>
      </c>
      <c r="G658" s="31">
        <v>0</v>
      </c>
      <c r="H658" s="32">
        <v>9.99</v>
      </c>
      <c r="I658">
        <v>8</v>
      </c>
      <c r="J658" s="33">
        <v>0</v>
      </c>
      <c r="K658" s="33">
        <v>0</v>
      </c>
      <c r="L658" s="33">
        <v>0</v>
      </c>
      <c r="M658">
        <v>8</v>
      </c>
      <c r="N658">
        <v>0</v>
      </c>
      <c r="O658">
        <v>4</v>
      </c>
      <c r="P658" t="s">
        <v>54</v>
      </c>
      <c r="Q658" t="s">
        <v>54</v>
      </c>
      <c r="R658" t="s">
        <v>54</v>
      </c>
      <c r="S658" t="s">
        <v>54</v>
      </c>
      <c r="T658" t="s">
        <v>54</v>
      </c>
      <c r="U658" t="s">
        <v>54</v>
      </c>
      <c r="V658" t="s">
        <v>54</v>
      </c>
      <c r="W658" t="s">
        <v>54</v>
      </c>
      <c r="X658" s="23" t="s">
        <v>54</v>
      </c>
      <c r="Y658" s="23" t="s">
        <v>54</v>
      </c>
      <c r="Z658" s="23" t="s">
        <v>54</v>
      </c>
      <c r="AA658" s="23" t="s">
        <v>54</v>
      </c>
      <c r="AB658" t="s">
        <v>54</v>
      </c>
      <c r="AC658" t="s">
        <v>54</v>
      </c>
      <c r="AD658" t="s">
        <v>54</v>
      </c>
      <c r="AE658" t="s">
        <v>54</v>
      </c>
      <c r="AF658" s="23" t="s">
        <v>54</v>
      </c>
      <c r="AG658" s="23" t="s">
        <v>54</v>
      </c>
      <c r="AH658" s="23" t="s">
        <v>54</v>
      </c>
      <c r="AI658" s="23" t="s">
        <v>54</v>
      </c>
      <c r="AJ658">
        <v>9</v>
      </c>
      <c r="AK658">
        <v>3</v>
      </c>
      <c r="AL658">
        <v>5</v>
      </c>
      <c r="AM658">
        <v>13</v>
      </c>
      <c r="AN658" s="23">
        <v>0.111111111111111</v>
      </c>
      <c r="AO658" s="23">
        <v>0</v>
      </c>
      <c r="AP658" s="23">
        <v>0</v>
      </c>
      <c r="AQ658" s="23">
        <v>0</v>
      </c>
      <c r="AR658" s="35">
        <v>0.142857142857143</v>
      </c>
      <c r="AS658" s="35">
        <v>8.57142857142857</v>
      </c>
      <c r="AT658" s="35">
        <v>-0.571428571428571</v>
      </c>
      <c r="AU658" s="31">
        <f t="shared" si="13"/>
        <v>56</v>
      </c>
      <c r="AV658" s="36">
        <f>IFERROR($A$2+AU658,"上周无销量")</f>
        <v>43346</v>
      </c>
    </row>
    <row r="659" spans="1:48">
      <c r="A659" s="21" t="s">
        <v>1388</v>
      </c>
      <c r="B659" t="s">
        <v>1389</v>
      </c>
      <c r="C659" t="s">
        <v>1381</v>
      </c>
      <c r="D659" s="31">
        <v>0</v>
      </c>
      <c r="E659" s="31">
        <v>0</v>
      </c>
      <c r="F659" s="31">
        <v>0</v>
      </c>
      <c r="G659" s="31">
        <v>0</v>
      </c>
      <c r="H659" s="32">
        <v>0</v>
      </c>
      <c r="I659">
        <v>12</v>
      </c>
      <c r="J659" s="33">
        <v>0</v>
      </c>
      <c r="K659" s="33">
        <v>0</v>
      </c>
      <c r="L659" s="33">
        <v>0</v>
      </c>
      <c r="M659">
        <v>12</v>
      </c>
      <c r="N659">
        <v>0</v>
      </c>
      <c r="O659">
        <v>7</v>
      </c>
      <c r="P659" t="s">
        <v>54</v>
      </c>
      <c r="Q659" t="s">
        <v>54</v>
      </c>
      <c r="R659" t="s">
        <v>54</v>
      </c>
      <c r="S659" t="s">
        <v>54</v>
      </c>
      <c r="T659" t="s">
        <v>54</v>
      </c>
      <c r="U659" t="s">
        <v>54</v>
      </c>
      <c r="V659" t="s">
        <v>54</v>
      </c>
      <c r="W659" t="s">
        <v>54</v>
      </c>
      <c r="X659" s="23" t="s">
        <v>54</v>
      </c>
      <c r="Y659" s="23" t="s">
        <v>54</v>
      </c>
      <c r="Z659" s="23" t="s">
        <v>54</v>
      </c>
      <c r="AA659" s="23" t="s">
        <v>54</v>
      </c>
      <c r="AB659" t="s">
        <v>54</v>
      </c>
      <c r="AC659" t="s">
        <v>54</v>
      </c>
      <c r="AD659" t="s">
        <v>54</v>
      </c>
      <c r="AE659" t="s">
        <v>54</v>
      </c>
      <c r="AF659" s="23" t="s">
        <v>54</v>
      </c>
      <c r="AG659" s="23" t="s">
        <v>54</v>
      </c>
      <c r="AH659" s="23" t="s">
        <v>54</v>
      </c>
      <c r="AI659" s="23" t="s">
        <v>54</v>
      </c>
      <c r="AJ659">
        <v>4</v>
      </c>
      <c r="AK659">
        <v>2</v>
      </c>
      <c r="AL659">
        <v>4</v>
      </c>
      <c r="AM659">
        <v>5</v>
      </c>
      <c r="AN659" s="23">
        <v>0</v>
      </c>
      <c r="AO659" s="23">
        <v>0</v>
      </c>
      <c r="AP659" s="23">
        <v>0</v>
      </c>
      <c r="AQ659" s="23">
        <v>0</v>
      </c>
      <c r="AR659" s="35">
        <v>0</v>
      </c>
      <c r="AS659" s="35">
        <v>0</v>
      </c>
      <c r="AT659" s="35">
        <v>12</v>
      </c>
      <c r="AU659" s="31" t="str">
        <f t="shared" si="13"/>
        <v>库存为12</v>
      </c>
      <c r="AV659" s="36" t="str">
        <f>IFERROR($A$2+AU659,"上周无销量")</f>
        <v>上周无销量</v>
      </c>
    </row>
    <row r="660" spans="1:48">
      <c r="A660" s="21" t="s">
        <v>1390</v>
      </c>
      <c r="B660" t="s">
        <v>1391</v>
      </c>
      <c r="C660" t="s">
        <v>1381</v>
      </c>
      <c r="D660" s="31">
        <v>0</v>
      </c>
      <c r="E660" s="31">
        <v>0</v>
      </c>
      <c r="F660" s="31">
        <v>0</v>
      </c>
      <c r="G660" s="31">
        <v>0</v>
      </c>
      <c r="H660" s="32">
        <v>0</v>
      </c>
      <c r="I660">
        <v>12</v>
      </c>
      <c r="J660" s="33">
        <v>0</v>
      </c>
      <c r="K660" s="33">
        <v>0</v>
      </c>
      <c r="L660" s="33">
        <v>0</v>
      </c>
      <c r="M660">
        <v>12</v>
      </c>
      <c r="N660">
        <v>0</v>
      </c>
      <c r="O660">
        <v>7</v>
      </c>
      <c r="P660" t="s">
        <v>54</v>
      </c>
      <c r="Q660" t="s">
        <v>54</v>
      </c>
      <c r="R660" t="s">
        <v>54</v>
      </c>
      <c r="S660" t="s">
        <v>54</v>
      </c>
      <c r="T660" t="s">
        <v>54</v>
      </c>
      <c r="U660" t="s">
        <v>54</v>
      </c>
      <c r="V660" t="s">
        <v>54</v>
      </c>
      <c r="W660" t="s">
        <v>54</v>
      </c>
      <c r="X660" s="23" t="s">
        <v>54</v>
      </c>
      <c r="Y660" s="23" t="s">
        <v>54</v>
      </c>
      <c r="Z660" s="23" t="s">
        <v>54</v>
      </c>
      <c r="AA660" s="23" t="s">
        <v>54</v>
      </c>
      <c r="AB660" t="s">
        <v>54</v>
      </c>
      <c r="AC660" t="s">
        <v>54</v>
      </c>
      <c r="AD660" t="s">
        <v>54</v>
      </c>
      <c r="AE660" t="s">
        <v>54</v>
      </c>
      <c r="AF660" s="23" t="s">
        <v>54</v>
      </c>
      <c r="AG660" s="23" t="s">
        <v>54</v>
      </c>
      <c r="AH660" s="23" t="s">
        <v>54</v>
      </c>
      <c r="AI660" s="23" t="s">
        <v>54</v>
      </c>
      <c r="AJ660">
        <v>2</v>
      </c>
      <c r="AK660">
        <v>1</v>
      </c>
      <c r="AL660">
        <v>6</v>
      </c>
      <c r="AM660">
        <v>11</v>
      </c>
      <c r="AN660" s="23">
        <v>0</v>
      </c>
      <c r="AO660" s="23">
        <v>0</v>
      </c>
      <c r="AP660" s="23">
        <v>0</v>
      </c>
      <c r="AQ660" s="23">
        <v>0</v>
      </c>
      <c r="AR660" s="35">
        <v>0</v>
      </c>
      <c r="AS660" s="35">
        <v>0</v>
      </c>
      <c r="AT660" s="35">
        <v>12</v>
      </c>
      <c r="AU660" s="31" t="str">
        <f t="shared" si="13"/>
        <v>库存为12</v>
      </c>
      <c r="AV660" s="36" t="str">
        <f>IFERROR($A$2+AU660,"上周无销量")</f>
        <v>上周无销量</v>
      </c>
    </row>
    <row r="661" spans="1:48">
      <c r="A661" s="21" t="s">
        <v>1392</v>
      </c>
      <c r="B661" t="s">
        <v>1393</v>
      </c>
      <c r="C661" t="s">
        <v>1381</v>
      </c>
      <c r="D661" s="31">
        <v>0</v>
      </c>
      <c r="E661" s="31">
        <v>0</v>
      </c>
      <c r="F661" s="31">
        <v>0</v>
      </c>
      <c r="G661" s="31">
        <v>0</v>
      </c>
      <c r="H661" s="32">
        <v>0</v>
      </c>
      <c r="I661">
        <v>10</v>
      </c>
      <c r="J661" s="33">
        <v>0</v>
      </c>
      <c r="K661" s="33">
        <v>0</v>
      </c>
      <c r="L661" s="33">
        <v>0</v>
      </c>
      <c r="M661">
        <v>10</v>
      </c>
      <c r="N661">
        <v>0</v>
      </c>
      <c r="O661">
        <v>5</v>
      </c>
      <c r="P661">
        <v>2808</v>
      </c>
      <c r="Q661">
        <v>2246</v>
      </c>
      <c r="R661">
        <v>239</v>
      </c>
      <c r="S661">
        <v>0</v>
      </c>
      <c r="T661">
        <v>8</v>
      </c>
      <c r="U661">
        <v>11</v>
      </c>
      <c r="V661">
        <v>3</v>
      </c>
      <c r="W661">
        <v>0</v>
      </c>
      <c r="X661" s="23">
        <v>0.00284900284900285</v>
      </c>
      <c r="Y661" s="23">
        <v>0.00489759572573464</v>
      </c>
      <c r="Z661" s="23">
        <v>0.0125523012552301</v>
      </c>
      <c r="AA661" s="23" t="s">
        <v>54</v>
      </c>
      <c r="AB661">
        <v>3.61</v>
      </c>
      <c r="AC661">
        <v>5.84</v>
      </c>
      <c r="AD661">
        <v>0.85</v>
      </c>
      <c r="AE661">
        <v>0</v>
      </c>
      <c r="AF661" s="23">
        <v>0</v>
      </c>
      <c r="AG661" s="23">
        <v>0</v>
      </c>
      <c r="AH661" s="23">
        <v>0</v>
      </c>
      <c r="AI661" s="23" t="s">
        <v>54</v>
      </c>
      <c r="AJ661">
        <v>7</v>
      </c>
      <c r="AK661">
        <v>7</v>
      </c>
      <c r="AL661">
        <v>11</v>
      </c>
      <c r="AM661">
        <v>2</v>
      </c>
      <c r="AN661" s="23">
        <v>0</v>
      </c>
      <c r="AO661" s="23">
        <v>0</v>
      </c>
      <c r="AP661" s="23">
        <v>0</v>
      </c>
      <c r="AQ661" s="23">
        <v>0</v>
      </c>
      <c r="AR661" s="35">
        <v>0</v>
      </c>
      <c r="AS661" s="35">
        <v>0</v>
      </c>
      <c r="AT661" s="35">
        <v>10</v>
      </c>
      <c r="AU661" s="31" t="str">
        <f t="shared" si="13"/>
        <v>库存为10</v>
      </c>
      <c r="AV661" s="36" t="str">
        <f>IFERROR($A$2+AU661,"上周无销量")</f>
        <v>上周无销量</v>
      </c>
    </row>
    <row r="662" spans="1:48">
      <c r="A662" s="21" t="s">
        <v>1394</v>
      </c>
      <c r="B662" t="s">
        <v>1395</v>
      </c>
      <c r="C662" t="s">
        <v>1381</v>
      </c>
      <c r="D662" s="31">
        <v>1</v>
      </c>
      <c r="E662" s="31">
        <v>0</v>
      </c>
      <c r="F662" s="31">
        <v>0</v>
      </c>
      <c r="G662" s="31">
        <v>0</v>
      </c>
      <c r="H662" s="32">
        <v>9.99</v>
      </c>
      <c r="I662">
        <v>9</v>
      </c>
      <c r="J662" s="33">
        <v>0</v>
      </c>
      <c r="K662" s="33">
        <v>0</v>
      </c>
      <c r="L662" s="33">
        <v>0</v>
      </c>
      <c r="M662">
        <v>9</v>
      </c>
      <c r="N662">
        <v>0</v>
      </c>
      <c r="O662">
        <v>0</v>
      </c>
      <c r="P662" t="s">
        <v>54</v>
      </c>
      <c r="Q662" t="s">
        <v>54</v>
      </c>
      <c r="R662" t="s">
        <v>54</v>
      </c>
      <c r="S662" t="s">
        <v>54</v>
      </c>
      <c r="T662" t="s">
        <v>54</v>
      </c>
      <c r="U662" t="s">
        <v>54</v>
      </c>
      <c r="V662" t="s">
        <v>54</v>
      </c>
      <c r="W662" t="s">
        <v>54</v>
      </c>
      <c r="X662" s="23" t="s">
        <v>54</v>
      </c>
      <c r="Y662" s="23" t="s">
        <v>54</v>
      </c>
      <c r="Z662" s="23" t="s">
        <v>54</v>
      </c>
      <c r="AA662" s="23" t="s">
        <v>54</v>
      </c>
      <c r="AB662" t="s">
        <v>54</v>
      </c>
      <c r="AC662" t="s">
        <v>54</v>
      </c>
      <c r="AD662" t="s">
        <v>54</v>
      </c>
      <c r="AE662" t="s">
        <v>54</v>
      </c>
      <c r="AF662" s="23" t="s">
        <v>54</v>
      </c>
      <c r="AG662" s="23" t="s">
        <v>54</v>
      </c>
      <c r="AH662" s="23" t="s">
        <v>54</v>
      </c>
      <c r="AI662" s="23" t="s">
        <v>54</v>
      </c>
      <c r="AJ662">
        <v>4</v>
      </c>
      <c r="AK662">
        <v>3</v>
      </c>
      <c r="AL662">
        <v>4</v>
      </c>
      <c r="AM662">
        <v>5</v>
      </c>
      <c r="AN662" s="23">
        <v>0.25</v>
      </c>
      <c r="AO662" s="23">
        <v>0</v>
      </c>
      <c r="AP662" s="23">
        <v>0</v>
      </c>
      <c r="AQ662" s="23">
        <v>0</v>
      </c>
      <c r="AR662" s="35">
        <v>0.142857142857143</v>
      </c>
      <c r="AS662" s="35">
        <v>8.57142857142857</v>
      </c>
      <c r="AT662" s="35">
        <v>0.428571428571429</v>
      </c>
      <c r="AU662" s="31">
        <f t="shared" si="13"/>
        <v>63</v>
      </c>
      <c r="AV662" s="36">
        <f>IFERROR($A$2+AU662,"上周无销量")</f>
        <v>43353</v>
      </c>
    </row>
    <row r="663" spans="1:48">
      <c r="A663" s="21" t="s">
        <v>1396</v>
      </c>
      <c r="B663" t="s">
        <v>1397</v>
      </c>
      <c r="C663" t="s">
        <v>1381</v>
      </c>
      <c r="D663" s="31">
        <v>2</v>
      </c>
      <c r="E663" s="31">
        <v>0</v>
      </c>
      <c r="F663" s="31">
        <v>1</v>
      </c>
      <c r="G663" s="31">
        <v>1</v>
      </c>
      <c r="H663" s="32">
        <v>9.945</v>
      </c>
      <c r="I663">
        <v>1</v>
      </c>
      <c r="J663" s="33">
        <v>0</v>
      </c>
      <c r="K663" s="33">
        <v>0</v>
      </c>
      <c r="L663" s="33">
        <v>0</v>
      </c>
      <c r="M663">
        <v>1</v>
      </c>
      <c r="N663">
        <v>0</v>
      </c>
      <c r="O663">
        <v>0</v>
      </c>
      <c r="P663" t="s">
        <v>54</v>
      </c>
      <c r="Q663" t="s">
        <v>54</v>
      </c>
      <c r="R663" t="s">
        <v>54</v>
      </c>
      <c r="S663" t="s">
        <v>54</v>
      </c>
      <c r="T663" t="s">
        <v>54</v>
      </c>
      <c r="U663" t="s">
        <v>54</v>
      </c>
      <c r="V663" t="s">
        <v>54</v>
      </c>
      <c r="W663" t="s">
        <v>54</v>
      </c>
      <c r="X663" s="23" t="s">
        <v>54</v>
      </c>
      <c r="Y663" s="23" t="s">
        <v>54</v>
      </c>
      <c r="Z663" s="23" t="s">
        <v>54</v>
      </c>
      <c r="AA663" s="23" t="s">
        <v>54</v>
      </c>
      <c r="AB663" t="s">
        <v>54</v>
      </c>
      <c r="AC663" t="s">
        <v>54</v>
      </c>
      <c r="AD663" t="s">
        <v>54</v>
      </c>
      <c r="AE663" t="s">
        <v>54</v>
      </c>
      <c r="AF663" s="23" t="s">
        <v>54</v>
      </c>
      <c r="AG663" s="23" t="s">
        <v>54</v>
      </c>
      <c r="AH663" s="23" t="s">
        <v>54</v>
      </c>
      <c r="AI663" s="23" t="s">
        <v>54</v>
      </c>
      <c r="AJ663">
        <v>8</v>
      </c>
      <c r="AK663">
        <v>8</v>
      </c>
      <c r="AL663">
        <v>13</v>
      </c>
      <c r="AM663">
        <v>20</v>
      </c>
      <c r="AN663" s="23">
        <v>0.25</v>
      </c>
      <c r="AO663" s="23">
        <v>0</v>
      </c>
      <c r="AP663" s="23">
        <v>0.0769230769230769</v>
      </c>
      <c r="AQ663" s="23">
        <v>0.05</v>
      </c>
      <c r="AR663" s="35">
        <v>0.285714285714286</v>
      </c>
      <c r="AS663" s="35">
        <v>17.1428571428571</v>
      </c>
      <c r="AT663" s="35">
        <v>-16.1428571428571</v>
      </c>
      <c r="AU663" s="31">
        <f t="shared" si="13"/>
        <v>3</v>
      </c>
      <c r="AV663" s="36">
        <f>IFERROR($A$2+AU663,"上周无销量")</f>
        <v>43293</v>
      </c>
    </row>
    <row r="664" spans="1:48">
      <c r="A664" s="21" t="s">
        <v>1398</v>
      </c>
      <c r="B664" t="s">
        <v>1399</v>
      </c>
      <c r="C664" t="s">
        <v>1381</v>
      </c>
      <c r="D664" s="31">
        <v>0</v>
      </c>
      <c r="E664" s="31">
        <v>0</v>
      </c>
      <c r="F664" s="31">
        <v>1</v>
      </c>
      <c r="G664" s="31">
        <v>1</v>
      </c>
      <c r="H664" s="32">
        <v>9.9</v>
      </c>
      <c r="I664">
        <v>1</v>
      </c>
      <c r="J664" s="33">
        <v>0</v>
      </c>
      <c r="K664" s="33">
        <v>0</v>
      </c>
      <c r="L664" s="33">
        <v>0</v>
      </c>
      <c r="M664">
        <v>1</v>
      </c>
      <c r="N664">
        <v>0</v>
      </c>
      <c r="O664">
        <v>0</v>
      </c>
      <c r="P664" t="s">
        <v>54</v>
      </c>
      <c r="Q664" t="s">
        <v>54</v>
      </c>
      <c r="R664" t="s">
        <v>54</v>
      </c>
      <c r="S664" t="s">
        <v>54</v>
      </c>
      <c r="T664" t="s">
        <v>54</v>
      </c>
      <c r="U664" t="s">
        <v>54</v>
      </c>
      <c r="V664" t="s">
        <v>54</v>
      </c>
      <c r="W664" t="s">
        <v>54</v>
      </c>
      <c r="X664" s="23" t="s">
        <v>54</v>
      </c>
      <c r="Y664" s="23" t="s">
        <v>54</v>
      </c>
      <c r="Z664" s="23" t="s">
        <v>54</v>
      </c>
      <c r="AA664" s="23" t="s">
        <v>54</v>
      </c>
      <c r="AB664" t="s">
        <v>54</v>
      </c>
      <c r="AC664" t="s">
        <v>54</v>
      </c>
      <c r="AD664" t="s">
        <v>54</v>
      </c>
      <c r="AE664" t="s">
        <v>54</v>
      </c>
      <c r="AF664" s="23" t="s">
        <v>54</v>
      </c>
      <c r="AG664" s="23" t="s">
        <v>54</v>
      </c>
      <c r="AH664" s="23" t="s">
        <v>54</v>
      </c>
      <c r="AI664" s="23" t="s">
        <v>54</v>
      </c>
      <c r="AJ664">
        <v>10</v>
      </c>
      <c r="AK664">
        <v>4</v>
      </c>
      <c r="AL664">
        <v>11</v>
      </c>
      <c r="AM664">
        <v>8</v>
      </c>
      <c r="AN664" s="23">
        <v>0</v>
      </c>
      <c r="AO664" s="23">
        <v>0</v>
      </c>
      <c r="AP664" s="23">
        <v>0.0909090909090909</v>
      </c>
      <c r="AQ664" s="23">
        <v>0.125</v>
      </c>
      <c r="AR664" s="35">
        <v>0</v>
      </c>
      <c r="AS664" s="35">
        <v>0</v>
      </c>
      <c r="AT664" s="35">
        <v>1</v>
      </c>
      <c r="AU664" s="31" t="str">
        <f t="shared" si="13"/>
        <v>库存为1</v>
      </c>
      <c r="AV664" s="36" t="str">
        <f>IFERROR($A$2+AU664,"上周无销量")</f>
        <v>上周无销量</v>
      </c>
    </row>
    <row r="665" spans="1:48">
      <c r="A665" s="21" t="s">
        <v>1400</v>
      </c>
      <c r="B665" t="s">
        <v>1401</v>
      </c>
      <c r="C665" t="s">
        <v>1381</v>
      </c>
      <c r="D665" s="31">
        <v>0</v>
      </c>
      <c r="E665" s="31">
        <v>0</v>
      </c>
      <c r="F665" s="31">
        <v>0</v>
      </c>
      <c r="G665" s="31">
        <v>1</v>
      </c>
      <c r="H665" s="32">
        <v>9.9</v>
      </c>
      <c r="I665">
        <v>4</v>
      </c>
      <c r="J665" s="33">
        <v>0</v>
      </c>
      <c r="K665" s="33">
        <v>0</v>
      </c>
      <c r="L665" s="33">
        <v>0</v>
      </c>
      <c r="M665">
        <v>4</v>
      </c>
      <c r="N665">
        <v>0</v>
      </c>
      <c r="O665">
        <v>0</v>
      </c>
      <c r="P665" t="s">
        <v>54</v>
      </c>
      <c r="Q665" t="s">
        <v>54</v>
      </c>
      <c r="R665" t="s">
        <v>54</v>
      </c>
      <c r="S665" t="s">
        <v>54</v>
      </c>
      <c r="T665" t="s">
        <v>54</v>
      </c>
      <c r="U665" t="s">
        <v>54</v>
      </c>
      <c r="V665" t="s">
        <v>54</v>
      </c>
      <c r="W665" t="s">
        <v>54</v>
      </c>
      <c r="X665" s="23" t="s">
        <v>54</v>
      </c>
      <c r="Y665" s="23" t="s">
        <v>54</v>
      </c>
      <c r="Z665" s="23" t="s">
        <v>54</v>
      </c>
      <c r="AA665" s="23" t="s">
        <v>54</v>
      </c>
      <c r="AB665" t="s">
        <v>54</v>
      </c>
      <c r="AC665" t="s">
        <v>54</v>
      </c>
      <c r="AD665" t="s">
        <v>54</v>
      </c>
      <c r="AE665" t="s">
        <v>54</v>
      </c>
      <c r="AF665" s="23" t="s">
        <v>54</v>
      </c>
      <c r="AG665" s="23" t="s">
        <v>54</v>
      </c>
      <c r="AH665" s="23" t="s">
        <v>54</v>
      </c>
      <c r="AI665" s="23" t="s">
        <v>54</v>
      </c>
      <c r="AJ665">
        <v>5</v>
      </c>
      <c r="AK665">
        <v>6</v>
      </c>
      <c r="AL665">
        <v>5</v>
      </c>
      <c r="AM665">
        <v>9</v>
      </c>
      <c r="AN665" s="23">
        <v>0</v>
      </c>
      <c r="AO665" s="23">
        <v>0</v>
      </c>
      <c r="AP665" s="23">
        <v>0</v>
      </c>
      <c r="AQ665" s="23">
        <v>0.111111111111111</v>
      </c>
      <c r="AR665" s="35">
        <v>0</v>
      </c>
      <c r="AS665" s="35">
        <v>0</v>
      </c>
      <c r="AT665" s="35">
        <v>4</v>
      </c>
      <c r="AU665" s="31" t="str">
        <f t="shared" si="13"/>
        <v>库存为4</v>
      </c>
      <c r="AV665" s="36" t="str">
        <f>IFERROR($A$2+AU665,"上周无销量")</f>
        <v>上周无销量</v>
      </c>
    </row>
    <row r="666" spans="1:48">
      <c r="A666" s="21" t="s">
        <v>1402</v>
      </c>
      <c r="B666" t="s">
        <v>1403</v>
      </c>
      <c r="C666" t="s">
        <v>1381</v>
      </c>
      <c r="D666" s="31">
        <v>0</v>
      </c>
      <c r="E666" s="31">
        <v>0</v>
      </c>
      <c r="F666" s="31">
        <v>1</v>
      </c>
      <c r="G666" s="31">
        <v>0</v>
      </c>
      <c r="H666" s="32">
        <v>9.9</v>
      </c>
      <c r="I666">
        <v>5</v>
      </c>
      <c r="J666" s="33">
        <v>0</v>
      </c>
      <c r="K666" s="33">
        <v>0</v>
      </c>
      <c r="L666" s="33">
        <v>0</v>
      </c>
      <c r="M666">
        <v>5</v>
      </c>
      <c r="N666">
        <v>0</v>
      </c>
      <c r="O666">
        <v>0</v>
      </c>
      <c r="P666" t="s">
        <v>54</v>
      </c>
      <c r="Q666" t="s">
        <v>54</v>
      </c>
      <c r="R666" t="s">
        <v>54</v>
      </c>
      <c r="S666" t="s">
        <v>54</v>
      </c>
      <c r="T666" t="s">
        <v>54</v>
      </c>
      <c r="U666" t="s">
        <v>54</v>
      </c>
      <c r="V666" t="s">
        <v>54</v>
      </c>
      <c r="W666" t="s">
        <v>54</v>
      </c>
      <c r="X666" s="23" t="s">
        <v>54</v>
      </c>
      <c r="Y666" s="23" t="s">
        <v>54</v>
      </c>
      <c r="Z666" s="23" t="s">
        <v>54</v>
      </c>
      <c r="AA666" s="23" t="s">
        <v>54</v>
      </c>
      <c r="AB666" t="s">
        <v>54</v>
      </c>
      <c r="AC666" t="s">
        <v>54</v>
      </c>
      <c r="AD666" t="s">
        <v>54</v>
      </c>
      <c r="AE666" t="s">
        <v>54</v>
      </c>
      <c r="AF666" s="23" t="s">
        <v>54</v>
      </c>
      <c r="AG666" s="23" t="s">
        <v>54</v>
      </c>
      <c r="AH666" s="23" t="s">
        <v>54</v>
      </c>
      <c r="AI666" s="23" t="s">
        <v>54</v>
      </c>
      <c r="AJ666">
        <v>9</v>
      </c>
      <c r="AK666">
        <v>1</v>
      </c>
      <c r="AL666">
        <v>6</v>
      </c>
      <c r="AM666">
        <v>3</v>
      </c>
      <c r="AN666" s="23">
        <v>0</v>
      </c>
      <c r="AO666" s="23">
        <v>0</v>
      </c>
      <c r="AP666" s="23">
        <v>0.166666666666667</v>
      </c>
      <c r="AQ666" s="23">
        <v>0</v>
      </c>
      <c r="AR666" s="35">
        <v>0</v>
      </c>
      <c r="AS666" s="35">
        <v>0</v>
      </c>
      <c r="AT666" s="35">
        <v>5</v>
      </c>
      <c r="AU666" s="31" t="str">
        <f t="shared" si="13"/>
        <v>库存为5</v>
      </c>
      <c r="AV666" s="36" t="str">
        <f>IFERROR($A$2+AU666,"上周无销量")</f>
        <v>上周无销量</v>
      </c>
    </row>
    <row r="667" spans="1:48">
      <c r="A667" s="21" t="s">
        <v>1404</v>
      </c>
      <c r="B667" t="s">
        <v>1405</v>
      </c>
      <c r="C667" t="s">
        <v>1381</v>
      </c>
      <c r="D667" s="31">
        <v>0</v>
      </c>
      <c r="E667" s="31">
        <v>0</v>
      </c>
      <c r="F667" s="31">
        <v>0</v>
      </c>
      <c r="G667" s="31">
        <v>1</v>
      </c>
      <c r="H667" s="32">
        <v>9.9</v>
      </c>
      <c r="I667">
        <v>5</v>
      </c>
      <c r="J667" s="33">
        <v>0</v>
      </c>
      <c r="K667" s="33">
        <v>0</v>
      </c>
      <c r="L667" s="33">
        <v>0</v>
      </c>
      <c r="M667">
        <v>5</v>
      </c>
      <c r="N667">
        <v>0</v>
      </c>
      <c r="O667">
        <v>0</v>
      </c>
      <c r="P667" t="s">
        <v>54</v>
      </c>
      <c r="Q667" t="s">
        <v>54</v>
      </c>
      <c r="R667" t="s">
        <v>54</v>
      </c>
      <c r="S667" t="s">
        <v>54</v>
      </c>
      <c r="T667" t="s">
        <v>54</v>
      </c>
      <c r="U667" t="s">
        <v>54</v>
      </c>
      <c r="V667" t="s">
        <v>54</v>
      </c>
      <c r="W667" t="s">
        <v>54</v>
      </c>
      <c r="X667" s="23" t="s">
        <v>54</v>
      </c>
      <c r="Y667" s="23" t="s">
        <v>54</v>
      </c>
      <c r="Z667" s="23" t="s">
        <v>54</v>
      </c>
      <c r="AA667" s="23" t="s">
        <v>54</v>
      </c>
      <c r="AB667" t="s">
        <v>54</v>
      </c>
      <c r="AC667" t="s">
        <v>54</v>
      </c>
      <c r="AD667" t="s">
        <v>54</v>
      </c>
      <c r="AE667" t="s">
        <v>54</v>
      </c>
      <c r="AF667" s="23" t="s">
        <v>54</v>
      </c>
      <c r="AG667" s="23" t="s">
        <v>54</v>
      </c>
      <c r="AH667" s="23" t="s">
        <v>54</v>
      </c>
      <c r="AI667" s="23" t="s">
        <v>54</v>
      </c>
      <c r="AJ667">
        <v>3</v>
      </c>
      <c r="AK667">
        <v>8</v>
      </c>
      <c r="AL667">
        <v>8</v>
      </c>
      <c r="AM667">
        <v>5</v>
      </c>
      <c r="AN667" s="23">
        <v>0</v>
      </c>
      <c r="AO667" s="23">
        <v>0</v>
      </c>
      <c r="AP667" s="23">
        <v>0</v>
      </c>
      <c r="AQ667" s="23">
        <v>0.2</v>
      </c>
      <c r="AR667" s="35">
        <v>0</v>
      </c>
      <c r="AS667" s="35">
        <v>0</v>
      </c>
      <c r="AT667" s="35">
        <v>5</v>
      </c>
      <c r="AU667" s="31" t="str">
        <f t="shared" si="13"/>
        <v>库存为5</v>
      </c>
      <c r="AV667" s="36" t="str">
        <f>IFERROR($A$2+AU667,"上周无销量")</f>
        <v>上周无销量</v>
      </c>
    </row>
    <row r="668" spans="1:48">
      <c r="A668" s="21" t="s">
        <v>1406</v>
      </c>
      <c r="B668" t="s">
        <v>1407</v>
      </c>
      <c r="C668" t="s">
        <v>1381</v>
      </c>
      <c r="D668" s="31">
        <v>0</v>
      </c>
      <c r="E668" s="31">
        <v>1</v>
      </c>
      <c r="F668" s="31">
        <v>1</v>
      </c>
      <c r="G668" s="31">
        <v>1</v>
      </c>
      <c r="H668" s="32">
        <v>9.93</v>
      </c>
      <c r="I668">
        <v>0</v>
      </c>
      <c r="J668" s="33">
        <v>0</v>
      </c>
      <c r="K668" s="33">
        <v>0</v>
      </c>
      <c r="L668" s="33">
        <v>0</v>
      </c>
      <c r="M668">
        <v>0</v>
      </c>
      <c r="N668">
        <v>0</v>
      </c>
      <c r="O668">
        <v>0</v>
      </c>
      <c r="P668">
        <v>0</v>
      </c>
      <c r="Q668">
        <v>0</v>
      </c>
      <c r="R668">
        <v>5419</v>
      </c>
      <c r="S668">
        <v>4628</v>
      </c>
      <c r="T668">
        <v>0</v>
      </c>
      <c r="U668">
        <v>0</v>
      </c>
      <c r="V668">
        <v>22</v>
      </c>
      <c r="W668">
        <v>25</v>
      </c>
      <c r="X668" s="23" t="s">
        <v>54</v>
      </c>
      <c r="Y668" s="23" t="s">
        <v>54</v>
      </c>
      <c r="Z668" s="23">
        <v>0.00405978962908286</v>
      </c>
      <c r="AA668" s="23">
        <v>0.0054019014693172</v>
      </c>
      <c r="AB668">
        <v>0</v>
      </c>
      <c r="AC668">
        <v>0</v>
      </c>
      <c r="AD668">
        <v>10.64</v>
      </c>
      <c r="AE668">
        <v>12.16</v>
      </c>
      <c r="AF668" s="23" t="s">
        <v>54</v>
      </c>
      <c r="AG668" s="23" t="s">
        <v>54</v>
      </c>
      <c r="AH668" s="23">
        <v>1.07150050352467</v>
      </c>
      <c r="AI668" s="23">
        <v>1.2245720040282</v>
      </c>
      <c r="AJ668">
        <v>0</v>
      </c>
      <c r="AK668">
        <v>0</v>
      </c>
      <c r="AL668">
        <v>11</v>
      </c>
      <c r="AM668">
        <v>21</v>
      </c>
      <c r="AN668" s="23" t="s">
        <v>54</v>
      </c>
      <c r="AO668" s="23" t="s">
        <v>54</v>
      </c>
      <c r="AP668" s="23">
        <v>0.0909090909090909</v>
      </c>
      <c r="AQ668" s="23">
        <v>0.0476190476190476</v>
      </c>
      <c r="AR668" s="35">
        <v>0</v>
      </c>
      <c r="AS668" s="35">
        <v>0</v>
      </c>
      <c r="AT668" s="35">
        <v>0</v>
      </c>
      <c r="AU668" s="31" t="str">
        <f t="shared" si="13"/>
        <v>库存为0</v>
      </c>
      <c r="AV668" s="36" t="str">
        <f>IFERROR($A$2+AU668,"上周无销量")</f>
        <v>上周无销量</v>
      </c>
    </row>
    <row r="669" spans="1:48">
      <c r="A669" s="21" t="s">
        <v>1408</v>
      </c>
      <c r="B669" t="s">
        <v>1409</v>
      </c>
      <c r="C669" t="s">
        <v>1381</v>
      </c>
      <c r="D669" s="31">
        <v>3</v>
      </c>
      <c r="E669" s="31">
        <v>0</v>
      </c>
      <c r="F669" s="31">
        <v>0</v>
      </c>
      <c r="G669" s="31">
        <v>1</v>
      </c>
      <c r="H669" s="32">
        <v>9.9675</v>
      </c>
      <c r="I669">
        <v>0</v>
      </c>
      <c r="J669" s="33">
        <v>0</v>
      </c>
      <c r="K669" s="33">
        <v>0</v>
      </c>
      <c r="L669" s="33">
        <v>0</v>
      </c>
      <c r="M669">
        <v>0</v>
      </c>
      <c r="N669">
        <v>0</v>
      </c>
      <c r="O669">
        <v>0</v>
      </c>
      <c r="P669" t="s">
        <v>54</v>
      </c>
      <c r="Q669" t="s">
        <v>54</v>
      </c>
      <c r="R669" t="s">
        <v>54</v>
      </c>
      <c r="S669" t="s">
        <v>54</v>
      </c>
      <c r="T669" t="s">
        <v>54</v>
      </c>
      <c r="U669" t="s">
        <v>54</v>
      </c>
      <c r="V669" t="s">
        <v>54</v>
      </c>
      <c r="W669" t="s">
        <v>54</v>
      </c>
      <c r="X669" s="23" t="s">
        <v>54</v>
      </c>
      <c r="Y669" s="23" t="s">
        <v>54</v>
      </c>
      <c r="Z669" s="23" t="s">
        <v>54</v>
      </c>
      <c r="AA669" s="23" t="s">
        <v>54</v>
      </c>
      <c r="AB669" t="s">
        <v>54</v>
      </c>
      <c r="AC669" t="s">
        <v>54</v>
      </c>
      <c r="AD669" t="s">
        <v>54</v>
      </c>
      <c r="AE669" t="s">
        <v>54</v>
      </c>
      <c r="AF669" s="23" t="s">
        <v>54</v>
      </c>
      <c r="AG669" s="23" t="s">
        <v>54</v>
      </c>
      <c r="AH669" s="23" t="s">
        <v>54</v>
      </c>
      <c r="AI669" s="23" t="s">
        <v>54</v>
      </c>
      <c r="AJ669">
        <v>2</v>
      </c>
      <c r="AK669">
        <v>1</v>
      </c>
      <c r="AL669">
        <v>4</v>
      </c>
      <c r="AM669">
        <v>4</v>
      </c>
      <c r="AN669" s="23">
        <v>1.5</v>
      </c>
      <c r="AO669" s="23">
        <v>0</v>
      </c>
      <c r="AP669" s="23">
        <v>0</v>
      </c>
      <c r="AQ669" s="23">
        <v>0.25</v>
      </c>
      <c r="AR669" s="35">
        <v>0.428571428571429</v>
      </c>
      <c r="AS669" s="35">
        <v>25.7142857142857</v>
      </c>
      <c r="AT669" s="35">
        <v>-25.7142857142857</v>
      </c>
      <c r="AU669" s="31">
        <f t="shared" si="13"/>
        <v>0</v>
      </c>
      <c r="AV669" s="36">
        <f>IFERROR($A$2+AU669,"上周无销量")</f>
        <v>43290</v>
      </c>
    </row>
    <row r="670" spans="1:48">
      <c r="A670" s="21" t="s">
        <v>1410</v>
      </c>
      <c r="B670" t="s">
        <v>1411</v>
      </c>
      <c r="C670" t="s">
        <v>1381</v>
      </c>
      <c r="D670" s="31">
        <v>0</v>
      </c>
      <c r="E670" s="31">
        <v>0</v>
      </c>
      <c r="F670" s="31">
        <v>0</v>
      </c>
      <c r="G670" s="31">
        <v>2</v>
      </c>
      <c r="H670" s="32">
        <v>9.9</v>
      </c>
      <c r="I670">
        <v>3</v>
      </c>
      <c r="J670" s="33">
        <v>0</v>
      </c>
      <c r="K670" s="33">
        <v>0</v>
      </c>
      <c r="L670" s="33">
        <v>0</v>
      </c>
      <c r="M670">
        <v>3</v>
      </c>
      <c r="N670">
        <v>0</v>
      </c>
      <c r="O670">
        <v>0</v>
      </c>
      <c r="P670" t="s">
        <v>54</v>
      </c>
      <c r="Q670" t="s">
        <v>54</v>
      </c>
      <c r="R670" t="s">
        <v>54</v>
      </c>
      <c r="S670" t="s">
        <v>54</v>
      </c>
      <c r="T670" t="s">
        <v>54</v>
      </c>
      <c r="U670" t="s">
        <v>54</v>
      </c>
      <c r="V670" t="s">
        <v>54</v>
      </c>
      <c r="W670" t="s">
        <v>54</v>
      </c>
      <c r="X670" s="23" t="s">
        <v>54</v>
      </c>
      <c r="Y670" s="23" t="s">
        <v>54</v>
      </c>
      <c r="Z670" s="23" t="s">
        <v>54</v>
      </c>
      <c r="AA670" s="23" t="s">
        <v>54</v>
      </c>
      <c r="AB670" t="s">
        <v>54</v>
      </c>
      <c r="AC670" t="s">
        <v>54</v>
      </c>
      <c r="AD670" t="s">
        <v>54</v>
      </c>
      <c r="AE670" t="s">
        <v>54</v>
      </c>
      <c r="AF670" s="23" t="s">
        <v>54</v>
      </c>
      <c r="AG670" s="23" t="s">
        <v>54</v>
      </c>
      <c r="AH670" s="23" t="s">
        <v>54</v>
      </c>
      <c r="AI670" s="23" t="s">
        <v>54</v>
      </c>
      <c r="AJ670">
        <v>5</v>
      </c>
      <c r="AK670">
        <v>2</v>
      </c>
      <c r="AL670">
        <v>2</v>
      </c>
      <c r="AM670">
        <v>3</v>
      </c>
      <c r="AN670" s="23">
        <v>0</v>
      </c>
      <c r="AO670" s="23">
        <v>0</v>
      </c>
      <c r="AP670" s="23">
        <v>0</v>
      </c>
      <c r="AQ670" s="23">
        <v>0.666666666666667</v>
      </c>
      <c r="AR670" s="35">
        <v>0</v>
      </c>
      <c r="AS670" s="35">
        <v>0</v>
      </c>
      <c r="AT670" s="35">
        <v>3</v>
      </c>
      <c r="AU670" s="31" t="str">
        <f t="shared" si="13"/>
        <v>库存为3</v>
      </c>
      <c r="AV670" s="36" t="str">
        <f>IFERROR($A$2+AU670,"上周无销量")</f>
        <v>上周无销量</v>
      </c>
    </row>
    <row r="671" spans="1:48">
      <c r="A671" s="21" t="s">
        <v>1412</v>
      </c>
      <c r="B671" t="s">
        <v>1413</v>
      </c>
      <c r="C671" t="s">
        <v>1414</v>
      </c>
      <c r="D671" s="31">
        <v>0</v>
      </c>
      <c r="E671" s="31">
        <v>0</v>
      </c>
      <c r="F671" s="31">
        <v>0</v>
      </c>
      <c r="G671" s="31">
        <v>0</v>
      </c>
      <c r="H671" s="32">
        <v>0</v>
      </c>
      <c r="I671">
        <v>4</v>
      </c>
      <c r="J671" s="33">
        <v>0</v>
      </c>
      <c r="K671" s="33">
        <v>0</v>
      </c>
      <c r="L671" s="33">
        <v>0</v>
      </c>
      <c r="M671">
        <v>4</v>
      </c>
      <c r="N671">
        <v>0</v>
      </c>
      <c r="O671">
        <v>4</v>
      </c>
      <c r="P671" t="s">
        <v>54</v>
      </c>
      <c r="Q671" t="s">
        <v>54</v>
      </c>
      <c r="R671" t="s">
        <v>54</v>
      </c>
      <c r="S671" t="s">
        <v>54</v>
      </c>
      <c r="T671" t="s">
        <v>54</v>
      </c>
      <c r="U671" t="s">
        <v>54</v>
      </c>
      <c r="V671" t="s">
        <v>54</v>
      </c>
      <c r="W671" t="s">
        <v>54</v>
      </c>
      <c r="X671" s="23" t="s">
        <v>54</v>
      </c>
      <c r="Y671" s="23" t="s">
        <v>54</v>
      </c>
      <c r="Z671" s="23" t="s">
        <v>54</v>
      </c>
      <c r="AA671" s="23" t="s">
        <v>54</v>
      </c>
      <c r="AB671" t="s">
        <v>54</v>
      </c>
      <c r="AC671" t="s">
        <v>54</v>
      </c>
      <c r="AD671" t="s">
        <v>54</v>
      </c>
      <c r="AE671" t="s">
        <v>54</v>
      </c>
      <c r="AF671" s="23" t="s">
        <v>54</v>
      </c>
      <c r="AG671" s="23" t="s">
        <v>54</v>
      </c>
      <c r="AH671" s="23" t="s">
        <v>54</v>
      </c>
      <c r="AI671" s="23" t="s">
        <v>54</v>
      </c>
      <c r="AJ671">
        <v>0</v>
      </c>
      <c r="AK671">
        <v>3</v>
      </c>
      <c r="AL671">
        <v>2</v>
      </c>
      <c r="AM671">
        <v>1</v>
      </c>
      <c r="AN671" s="23" t="s">
        <v>54</v>
      </c>
      <c r="AO671" s="23">
        <v>0</v>
      </c>
      <c r="AP671" s="23">
        <v>0</v>
      </c>
      <c r="AQ671" s="23">
        <v>0</v>
      </c>
      <c r="AR671" s="35">
        <v>0</v>
      </c>
      <c r="AS671" s="35">
        <v>0</v>
      </c>
      <c r="AT671" s="35">
        <v>4</v>
      </c>
      <c r="AU671" s="31" t="str">
        <f t="shared" si="13"/>
        <v>库存为4</v>
      </c>
      <c r="AV671" s="36" t="str">
        <f>IFERROR($A$2+AU671,"上周无销量")</f>
        <v>上周无销量</v>
      </c>
    </row>
    <row r="672" spans="1:48">
      <c r="A672" s="21" t="s">
        <v>1415</v>
      </c>
      <c r="B672" t="s">
        <v>1416</v>
      </c>
      <c r="C672" t="s">
        <v>1414</v>
      </c>
      <c r="D672" s="31">
        <v>0</v>
      </c>
      <c r="E672" s="31">
        <v>0</v>
      </c>
      <c r="F672" s="31">
        <v>0</v>
      </c>
      <c r="G672" s="31">
        <v>0</v>
      </c>
      <c r="H672" s="32">
        <v>0</v>
      </c>
      <c r="I672">
        <v>4</v>
      </c>
      <c r="J672" s="33">
        <v>0</v>
      </c>
      <c r="K672" s="33">
        <v>0</v>
      </c>
      <c r="L672" s="33">
        <v>0</v>
      </c>
      <c r="M672">
        <v>4</v>
      </c>
      <c r="N672">
        <v>0</v>
      </c>
      <c r="O672">
        <v>4</v>
      </c>
      <c r="P672" t="s">
        <v>54</v>
      </c>
      <c r="Q672" t="s">
        <v>54</v>
      </c>
      <c r="R672" t="s">
        <v>54</v>
      </c>
      <c r="S672" t="s">
        <v>54</v>
      </c>
      <c r="T672" t="s">
        <v>54</v>
      </c>
      <c r="U672" t="s">
        <v>54</v>
      </c>
      <c r="V672" t="s">
        <v>54</v>
      </c>
      <c r="W672" t="s">
        <v>54</v>
      </c>
      <c r="X672" s="23" t="s">
        <v>54</v>
      </c>
      <c r="Y672" s="23" t="s">
        <v>54</v>
      </c>
      <c r="Z672" s="23" t="s">
        <v>54</v>
      </c>
      <c r="AA672" s="23" t="s">
        <v>54</v>
      </c>
      <c r="AB672" t="s">
        <v>54</v>
      </c>
      <c r="AC672" t="s">
        <v>54</v>
      </c>
      <c r="AD672" t="s">
        <v>54</v>
      </c>
      <c r="AE672" t="s">
        <v>54</v>
      </c>
      <c r="AF672" s="23" t="s">
        <v>54</v>
      </c>
      <c r="AG672" s="23" t="s">
        <v>54</v>
      </c>
      <c r="AH672" s="23" t="s">
        <v>54</v>
      </c>
      <c r="AI672" s="23" t="s">
        <v>54</v>
      </c>
      <c r="AJ672">
        <v>1</v>
      </c>
      <c r="AK672">
        <v>2</v>
      </c>
      <c r="AL672">
        <v>2</v>
      </c>
      <c r="AM672">
        <v>2</v>
      </c>
      <c r="AN672" s="23">
        <v>0</v>
      </c>
      <c r="AO672" s="23">
        <v>0</v>
      </c>
      <c r="AP672" s="23">
        <v>0</v>
      </c>
      <c r="AQ672" s="23">
        <v>0</v>
      </c>
      <c r="AR672" s="35">
        <v>0</v>
      </c>
      <c r="AS672" s="35">
        <v>0</v>
      </c>
      <c r="AT672" s="35">
        <v>4</v>
      </c>
      <c r="AU672" s="31" t="str">
        <f t="shared" si="13"/>
        <v>库存为4</v>
      </c>
      <c r="AV672" s="36" t="str">
        <f>IFERROR($A$2+AU672,"上周无销量")</f>
        <v>上周无销量</v>
      </c>
    </row>
    <row r="673" spans="1:48">
      <c r="A673" s="21" t="s">
        <v>1417</v>
      </c>
      <c r="B673" t="s">
        <v>1418</v>
      </c>
      <c r="C673" t="s">
        <v>1414</v>
      </c>
      <c r="D673" s="31">
        <v>0</v>
      </c>
      <c r="E673" s="31">
        <v>0</v>
      </c>
      <c r="F673" s="31">
        <v>0</v>
      </c>
      <c r="G673" s="31">
        <v>0</v>
      </c>
      <c r="H673" s="32">
        <v>0</v>
      </c>
      <c r="I673">
        <v>4</v>
      </c>
      <c r="J673" s="33">
        <v>0</v>
      </c>
      <c r="K673" s="33">
        <v>0</v>
      </c>
      <c r="L673" s="33">
        <v>0</v>
      </c>
      <c r="M673">
        <v>4</v>
      </c>
      <c r="N673">
        <v>0</v>
      </c>
      <c r="O673">
        <v>4</v>
      </c>
      <c r="P673" t="s">
        <v>54</v>
      </c>
      <c r="Q673" t="s">
        <v>54</v>
      </c>
      <c r="R673" t="s">
        <v>54</v>
      </c>
      <c r="S673" t="s">
        <v>54</v>
      </c>
      <c r="T673" t="s">
        <v>54</v>
      </c>
      <c r="U673" t="s">
        <v>54</v>
      </c>
      <c r="V673" t="s">
        <v>54</v>
      </c>
      <c r="W673" t="s">
        <v>54</v>
      </c>
      <c r="X673" s="23" t="s">
        <v>54</v>
      </c>
      <c r="Y673" s="23" t="s">
        <v>54</v>
      </c>
      <c r="Z673" s="23" t="s">
        <v>54</v>
      </c>
      <c r="AA673" s="23" t="s">
        <v>54</v>
      </c>
      <c r="AB673" t="s">
        <v>54</v>
      </c>
      <c r="AC673" t="s">
        <v>54</v>
      </c>
      <c r="AD673" t="s">
        <v>54</v>
      </c>
      <c r="AE673" t="s">
        <v>54</v>
      </c>
      <c r="AF673" s="23" t="s">
        <v>54</v>
      </c>
      <c r="AG673" s="23" t="s">
        <v>54</v>
      </c>
      <c r="AH673" s="23" t="s">
        <v>54</v>
      </c>
      <c r="AI673" s="23" t="s">
        <v>54</v>
      </c>
      <c r="AJ673">
        <v>0</v>
      </c>
      <c r="AK673">
        <v>3</v>
      </c>
      <c r="AL673">
        <v>2</v>
      </c>
      <c r="AM673">
        <v>2</v>
      </c>
      <c r="AN673" s="23" t="s">
        <v>54</v>
      </c>
      <c r="AO673" s="23">
        <v>0</v>
      </c>
      <c r="AP673" s="23">
        <v>0</v>
      </c>
      <c r="AQ673" s="23">
        <v>0</v>
      </c>
      <c r="AR673" s="35">
        <v>0</v>
      </c>
      <c r="AS673" s="35">
        <v>0</v>
      </c>
      <c r="AT673" s="35">
        <v>4</v>
      </c>
      <c r="AU673" s="31" t="str">
        <f t="shared" si="13"/>
        <v>库存为4</v>
      </c>
      <c r="AV673" s="36" t="str">
        <f>IFERROR($A$2+AU673,"上周无销量")</f>
        <v>上周无销量</v>
      </c>
    </row>
    <row r="674" spans="1:48">
      <c r="A674" s="21" t="s">
        <v>1419</v>
      </c>
      <c r="B674" t="s">
        <v>1420</v>
      </c>
      <c r="C674" t="s">
        <v>1414</v>
      </c>
      <c r="D674" s="31">
        <v>0</v>
      </c>
      <c r="E674" s="31">
        <v>0</v>
      </c>
      <c r="F674" s="31">
        <v>0</v>
      </c>
      <c r="G674" s="31">
        <v>0</v>
      </c>
      <c r="H674" s="32">
        <v>0</v>
      </c>
      <c r="I674">
        <v>4</v>
      </c>
      <c r="J674" s="33">
        <v>0</v>
      </c>
      <c r="K674" s="33">
        <v>0</v>
      </c>
      <c r="L674" s="33">
        <v>0</v>
      </c>
      <c r="M674">
        <v>4</v>
      </c>
      <c r="N674">
        <v>0</v>
      </c>
      <c r="O674">
        <v>4</v>
      </c>
      <c r="P674" t="s">
        <v>54</v>
      </c>
      <c r="Q674" t="s">
        <v>54</v>
      </c>
      <c r="R674" t="s">
        <v>54</v>
      </c>
      <c r="S674" t="s">
        <v>54</v>
      </c>
      <c r="T674" t="s">
        <v>54</v>
      </c>
      <c r="U674" t="s">
        <v>54</v>
      </c>
      <c r="V674" t="s">
        <v>54</v>
      </c>
      <c r="W674" t="s">
        <v>54</v>
      </c>
      <c r="X674" s="23" t="s">
        <v>54</v>
      </c>
      <c r="Y674" s="23" t="s">
        <v>54</v>
      </c>
      <c r="Z674" s="23" t="s">
        <v>54</v>
      </c>
      <c r="AA674" s="23" t="s">
        <v>54</v>
      </c>
      <c r="AB674" t="s">
        <v>54</v>
      </c>
      <c r="AC674" t="s">
        <v>54</v>
      </c>
      <c r="AD674" t="s">
        <v>54</v>
      </c>
      <c r="AE674" t="s">
        <v>54</v>
      </c>
      <c r="AF674" s="23" t="s">
        <v>54</v>
      </c>
      <c r="AG674" s="23" t="s">
        <v>54</v>
      </c>
      <c r="AH674" s="23" t="s">
        <v>54</v>
      </c>
      <c r="AI674" s="23" t="s">
        <v>54</v>
      </c>
      <c r="AJ674">
        <v>0</v>
      </c>
      <c r="AK674">
        <v>4</v>
      </c>
      <c r="AL674">
        <v>2</v>
      </c>
      <c r="AM674">
        <v>3</v>
      </c>
      <c r="AN674" s="23" t="s">
        <v>54</v>
      </c>
      <c r="AO674" s="23">
        <v>0</v>
      </c>
      <c r="AP674" s="23">
        <v>0</v>
      </c>
      <c r="AQ674" s="23">
        <v>0</v>
      </c>
      <c r="AR674" s="35">
        <v>0</v>
      </c>
      <c r="AS674" s="35">
        <v>0</v>
      </c>
      <c r="AT674" s="35">
        <v>4</v>
      </c>
      <c r="AU674" s="31" t="str">
        <f t="shared" si="13"/>
        <v>库存为4</v>
      </c>
      <c r="AV674" s="36" t="str">
        <f>IFERROR($A$2+AU674,"上周无销量")</f>
        <v>上周无销量</v>
      </c>
    </row>
    <row r="675" spans="1:48">
      <c r="A675" s="21" t="s">
        <v>1421</v>
      </c>
      <c r="B675" t="s">
        <v>1422</v>
      </c>
      <c r="C675" t="s">
        <v>1414</v>
      </c>
      <c r="D675" s="31">
        <v>0</v>
      </c>
      <c r="E675" s="31">
        <v>0</v>
      </c>
      <c r="F675" s="31">
        <v>0</v>
      </c>
      <c r="G675" s="31">
        <v>0</v>
      </c>
      <c r="H675" s="32">
        <v>0</v>
      </c>
      <c r="I675">
        <v>4</v>
      </c>
      <c r="J675" s="33">
        <v>0</v>
      </c>
      <c r="K675" s="33">
        <v>0</v>
      </c>
      <c r="L675" s="33">
        <v>0</v>
      </c>
      <c r="M675">
        <v>4</v>
      </c>
      <c r="N675">
        <v>0</v>
      </c>
      <c r="O675">
        <v>4</v>
      </c>
      <c r="P675" t="s">
        <v>54</v>
      </c>
      <c r="Q675" t="s">
        <v>54</v>
      </c>
      <c r="R675" t="s">
        <v>54</v>
      </c>
      <c r="S675" t="s">
        <v>54</v>
      </c>
      <c r="T675" t="s">
        <v>54</v>
      </c>
      <c r="U675" t="s">
        <v>54</v>
      </c>
      <c r="V675" t="s">
        <v>54</v>
      </c>
      <c r="W675" t="s">
        <v>54</v>
      </c>
      <c r="X675" s="23" t="s">
        <v>54</v>
      </c>
      <c r="Y675" s="23" t="s">
        <v>54</v>
      </c>
      <c r="Z675" s="23" t="s">
        <v>54</v>
      </c>
      <c r="AA675" s="23" t="s">
        <v>54</v>
      </c>
      <c r="AB675" t="s">
        <v>54</v>
      </c>
      <c r="AC675" t="s">
        <v>54</v>
      </c>
      <c r="AD675" t="s">
        <v>54</v>
      </c>
      <c r="AE675" t="s">
        <v>54</v>
      </c>
      <c r="AF675" s="23" t="s">
        <v>54</v>
      </c>
      <c r="AG675" s="23" t="s">
        <v>54</v>
      </c>
      <c r="AH675" s="23" t="s">
        <v>54</v>
      </c>
      <c r="AI675" s="23" t="s">
        <v>54</v>
      </c>
      <c r="AJ675">
        <v>1</v>
      </c>
      <c r="AK675">
        <v>1</v>
      </c>
      <c r="AL675">
        <v>2</v>
      </c>
      <c r="AM675">
        <v>0</v>
      </c>
      <c r="AN675" s="23">
        <v>0</v>
      </c>
      <c r="AO675" s="23">
        <v>0</v>
      </c>
      <c r="AP675" s="23">
        <v>0</v>
      </c>
      <c r="AQ675" s="23" t="s">
        <v>54</v>
      </c>
      <c r="AR675" s="35">
        <v>0</v>
      </c>
      <c r="AS675" s="35">
        <v>0</v>
      </c>
      <c r="AT675" s="35">
        <v>4</v>
      </c>
      <c r="AU675" s="31" t="str">
        <f t="shared" si="13"/>
        <v>库存为4</v>
      </c>
      <c r="AV675" s="36" t="str">
        <f>IFERROR($A$2+AU675,"上周无销量")</f>
        <v>上周无销量</v>
      </c>
    </row>
    <row r="676" spans="1:48">
      <c r="A676" s="21" t="s">
        <v>1423</v>
      </c>
      <c r="B676" t="s">
        <v>1424</v>
      </c>
      <c r="C676" t="s">
        <v>1414</v>
      </c>
      <c r="D676" s="31">
        <v>0</v>
      </c>
      <c r="E676" s="31">
        <v>0</v>
      </c>
      <c r="F676" s="31">
        <v>0</v>
      </c>
      <c r="G676" s="31">
        <v>0</v>
      </c>
      <c r="H676" s="32">
        <v>0</v>
      </c>
      <c r="I676">
        <v>4</v>
      </c>
      <c r="J676" s="33">
        <v>0</v>
      </c>
      <c r="K676" s="33">
        <v>0</v>
      </c>
      <c r="L676" s="33">
        <v>0</v>
      </c>
      <c r="M676">
        <v>4</v>
      </c>
      <c r="N676">
        <v>0</v>
      </c>
      <c r="O676">
        <v>4</v>
      </c>
      <c r="P676" t="s">
        <v>54</v>
      </c>
      <c r="Q676" t="s">
        <v>54</v>
      </c>
      <c r="R676" t="s">
        <v>54</v>
      </c>
      <c r="S676" t="s">
        <v>54</v>
      </c>
      <c r="T676" t="s">
        <v>54</v>
      </c>
      <c r="U676" t="s">
        <v>54</v>
      </c>
      <c r="V676" t="s">
        <v>54</v>
      </c>
      <c r="W676" t="s">
        <v>54</v>
      </c>
      <c r="X676" s="23" t="s">
        <v>54</v>
      </c>
      <c r="Y676" s="23" t="s">
        <v>54</v>
      </c>
      <c r="Z676" s="23" t="s">
        <v>54</v>
      </c>
      <c r="AA676" s="23" t="s">
        <v>54</v>
      </c>
      <c r="AB676" t="s">
        <v>54</v>
      </c>
      <c r="AC676" t="s">
        <v>54</v>
      </c>
      <c r="AD676" t="s">
        <v>54</v>
      </c>
      <c r="AE676" t="s">
        <v>54</v>
      </c>
      <c r="AF676" s="23" t="s">
        <v>54</v>
      </c>
      <c r="AG676" s="23" t="s">
        <v>54</v>
      </c>
      <c r="AH676" s="23" t="s">
        <v>54</v>
      </c>
      <c r="AI676" s="23" t="s">
        <v>54</v>
      </c>
      <c r="AJ676">
        <v>1</v>
      </c>
      <c r="AK676">
        <v>2</v>
      </c>
      <c r="AL676">
        <v>3</v>
      </c>
      <c r="AM676">
        <v>1</v>
      </c>
      <c r="AN676" s="23">
        <v>0</v>
      </c>
      <c r="AO676" s="23">
        <v>0</v>
      </c>
      <c r="AP676" s="23">
        <v>0</v>
      </c>
      <c r="AQ676" s="23">
        <v>0</v>
      </c>
      <c r="AR676" s="35">
        <v>0</v>
      </c>
      <c r="AS676" s="35">
        <v>0</v>
      </c>
      <c r="AT676" s="35">
        <v>4</v>
      </c>
      <c r="AU676" s="31" t="str">
        <f t="shared" si="13"/>
        <v>库存为4</v>
      </c>
      <c r="AV676" s="36" t="str">
        <f>IFERROR($A$2+AU676,"上周无销量")</f>
        <v>上周无销量</v>
      </c>
    </row>
    <row r="677" spans="1:48">
      <c r="A677" s="21" t="s">
        <v>1425</v>
      </c>
      <c r="B677" t="s">
        <v>1426</v>
      </c>
      <c r="C677" t="s">
        <v>1414</v>
      </c>
      <c r="D677" s="31">
        <v>0</v>
      </c>
      <c r="E677" s="31">
        <v>0</v>
      </c>
      <c r="F677" s="31">
        <v>0</v>
      </c>
      <c r="G677" s="31">
        <v>0</v>
      </c>
      <c r="H677" s="32">
        <v>0</v>
      </c>
      <c r="I677">
        <v>4</v>
      </c>
      <c r="J677" s="33">
        <v>0</v>
      </c>
      <c r="K677" s="33">
        <v>0</v>
      </c>
      <c r="L677" s="33">
        <v>0</v>
      </c>
      <c r="M677">
        <v>4</v>
      </c>
      <c r="N677">
        <v>0</v>
      </c>
      <c r="O677">
        <v>4</v>
      </c>
      <c r="P677" t="s">
        <v>54</v>
      </c>
      <c r="Q677" t="s">
        <v>54</v>
      </c>
      <c r="R677" t="s">
        <v>54</v>
      </c>
      <c r="S677" t="s">
        <v>54</v>
      </c>
      <c r="T677" t="s">
        <v>54</v>
      </c>
      <c r="U677" t="s">
        <v>54</v>
      </c>
      <c r="V677" t="s">
        <v>54</v>
      </c>
      <c r="W677" t="s">
        <v>54</v>
      </c>
      <c r="X677" s="23" t="s">
        <v>54</v>
      </c>
      <c r="Y677" s="23" t="s">
        <v>54</v>
      </c>
      <c r="Z677" s="23" t="s">
        <v>54</v>
      </c>
      <c r="AA677" s="23" t="s">
        <v>54</v>
      </c>
      <c r="AB677" t="s">
        <v>54</v>
      </c>
      <c r="AC677" t="s">
        <v>54</v>
      </c>
      <c r="AD677" t="s">
        <v>54</v>
      </c>
      <c r="AE677" t="s">
        <v>54</v>
      </c>
      <c r="AF677" s="23" t="s">
        <v>54</v>
      </c>
      <c r="AG677" s="23" t="s">
        <v>54</v>
      </c>
      <c r="AH677" s="23" t="s">
        <v>54</v>
      </c>
      <c r="AI677" s="23" t="s">
        <v>54</v>
      </c>
      <c r="AJ677">
        <v>1</v>
      </c>
      <c r="AK677">
        <v>2</v>
      </c>
      <c r="AL677">
        <v>2</v>
      </c>
      <c r="AM677">
        <v>1</v>
      </c>
      <c r="AN677" s="23">
        <v>0</v>
      </c>
      <c r="AO677" s="23">
        <v>0</v>
      </c>
      <c r="AP677" s="23">
        <v>0</v>
      </c>
      <c r="AQ677" s="23">
        <v>0</v>
      </c>
      <c r="AR677" s="35">
        <v>0</v>
      </c>
      <c r="AS677" s="35">
        <v>0</v>
      </c>
      <c r="AT677" s="35">
        <v>4</v>
      </c>
      <c r="AU677" s="31" t="str">
        <f t="shared" si="13"/>
        <v>库存为4</v>
      </c>
      <c r="AV677" s="36" t="str">
        <f>IFERROR($A$2+AU677,"上周无销量")</f>
        <v>上周无销量</v>
      </c>
    </row>
    <row r="678" spans="1:48">
      <c r="A678" s="21" t="s">
        <v>1427</v>
      </c>
      <c r="B678" t="s">
        <v>1428</v>
      </c>
      <c r="C678" t="s">
        <v>1414</v>
      </c>
      <c r="D678" s="31">
        <v>0</v>
      </c>
      <c r="E678" s="31">
        <v>0</v>
      </c>
      <c r="F678" s="31">
        <v>0</v>
      </c>
      <c r="G678" s="31">
        <v>0</v>
      </c>
      <c r="H678" s="32">
        <v>0</v>
      </c>
      <c r="I678">
        <v>4</v>
      </c>
      <c r="J678" s="33">
        <v>0</v>
      </c>
      <c r="K678" s="33">
        <v>0</v>
      </c>
      <c r="L678" s="33">
        <v>0</v>
      </c>
      <c r="M678">
        <v>4</v>
      </c>
      <c r="N678">
        <v>0</v>
      </c>
      <c r="O678">
        <v>4</v>
      </c>
      <c r="P678" t="s">
        <v>54</v>
      </c>
      <c r="Q678" t="s">
        <v>54</v>
      </c>
      <c r="R678" t="s">
        <v>54</v>
      </c>
      <c r="S678" t="s">
        <v>54</v>
      </c>
      <c r="T678" t="s">
        <v>54</v>
      </c>
      <c r="U678" t="s">
        <v>54</v>
      </c>
      <c r="V678" t="s">
        <v>54</v>
      </c>
      <c r="W678" t="s">
        <v>54</v>
      </c>
      <c r="X678" s="23" t="s">
        <v>54</v>
      </c>
      <c r="Y678" s="23" t="s">
        <v>54</v>
      </c>
      <c r="Z678" s="23" t="s">
        <v>54</v>
      </c>
      <c r="AA678" s="23" t="s">
        <v>54</v>
      </c>
      <c r="AB678" t="s">
        <v>54</v>
      </c>
      <c r="AC678" t="s">
        <v>54</v>
      </c>
      <c r="AD678" t="s">
        <v>54</v>
      </c>
      <c r="AE678" t="s">
        <v>54</v>
      </c>
      <c r="AF678" s="23" t="s">
        <v>54</v>
      </c>
      <c r="AG678" s="23" t="s">
        <v>54</v>
      </c>
      <c r="AH678" s="23" t="s">
        <v>54</v>
      </c>
      <c r="AI678" s="23" t="s">
        <v>54</v>
      </c>
      <c r="AJ678">
        <v>2</v>
      </c>
      <c r="AK678">
        <v>1</v>
      </c>
      <c r="AL678">
        <v>3</v>
      </c>
      <c r="AM678">
        <v>0</v>
      </c>
      <c r="AN678" s="23">
        <v>0</v>
      </c>
      <c r="AO678" s="23">
        <v>0</v>
      </c>
      <c r="AP678" s="23">
        <v>0</v>
      </c>
      <c r="AQ678" s="23" t="s">
        <v>54</v>
      </c>
      <c r="AR678" s="35">
        <v>0</v>
      </c>
      <c r="AS678" s="35">
        <v>0</v>
      </c>
      <c r="AT678" s="35">
        <v>4</v>
      </c>
      <c r="AU678" s="31" t="str">
        <f t="shared" si="13"/>
        <v>库存为4</v>
      </c>
      <c r="AV678" s="36" t="str">
        <f>IFERROR($A$2+AU678,"上周无销量")</f>
        <v>上周无销量</v>
      </c>
    </row>
    <row r="679" spans="1:48">
      <c r="A679" s="21" t="s">
        <v>1429</v>
      </c>
      <c r="B679" t="s">
        <v>1430</v>
      </c>
      <c r="C679" t="s">
        <v>1414</v>
      </c>
      <c r="D679" s="31">
        <v>0</v>
      </c>
      <c r="E679" s="31">
        <v>0</v>
      </c>
      <c r="F679" s="31">
        <v>0</v>
      </c>
      <c r="G679" s="31">
        <v>0</v>
      </c>
      <c r="H679" s="32">
        <v>0</v>
      </c>
      <c r="I679">
        <v>4</v>
      </c>
      <c r="J679" s="33">
        <v>0</v>
      </c>
      <c r="K679" s="33">
        <v>0</v>
      </c>
      <c r="L679" s="33">
        <v>0</v>
      </c>
      <c r="M679">
        <v>4</v>
      </c>
      <c r="N679">
        <v>0</v>
      </c>
      <c r="O679">
        <v>4</v>
      </c>
      <c r="P679" t="s">
        <v>54</v>
      </c>
      <c r="Q679" t="s">
        <v>54</v>
      </c>
      <c r="R679" t="s">
        <v>54</v>
      </c>
      <c r="S679" t="s">
        <v>54</v>
      </c>
      <c r="T679" t="s">
        <v>54</v>
      </c>
      <c r="U679" t="s">
        <v>54</v>
      </c>
      <c r="V679" t="s">
        <v>54</v>
      </c>
      <c r="W679" t="s">
        <v>54</v>
      </c>
      <c r="X679" s="23" t="s">
        <v>54</v>
      </c>
      <c r="Y679" s="23" t="s">
        <v>54</v>
      </c>
      <c r="Z679" s="23" t="s">
        <v>54</v>
      </c>
      <c r="AA679" s="23" t="s">
        <v>54</v>
      </c>
      <c r="AB679" t="s">
        <v>54</v>
      </c>
      <c r="AC679" t="s">
        <v>54</v>
      </c>
      <c r="AD679" t="s">
        <v>54</v>
      </c>
      <c r="AE679" t="s">
        <v>54</v>
      </c>
      <c r="AF679" s="23" t="s">
        <v>54</v>
      </c>
      <c r="AG679" s="23" t="s">
        <v>54</v>
      </c>
      <c r="AH679" s="23" t="s">
        <v>54</v>
      </c>
      <c r="AI679" s="23" t="s">
        <v>54</v>
      </c>
      <c r="AJ679">
        <v>2</v>
      </c>
      <c r="AK679">
        <v>2</v>
      </c>
      <c r="AL679">
        <v>1</v>
      </c>
      <c r="AM679">
        <v>0</v>
      </c>
      <c r="AN679" s="23">
        <v>0</v>
      </c>
      <c r="AO679" s="23">
        <v>0</v>
      </c>
      <c r="AP679" s="23">
        <v>0</v>
      </c>
      <c r="AQ679" s="23" t="s">
        <v>54</v>
      </c>
      <c r="AR679" s="35">
        <v>0</v>
      </c>
      <c r="AS679" s="35">
        <v>0</v>
      </c>
      <c r="AT679" s="35">
        <v>4</v>
      </c>
      <c r="AU679" s="31" t="str">
        <f t="shared" si="13"/>
        <v>库存为4</v>
      </c>
      <c r="AV679" s="36" t="str">
        <f>IFERROR($A$2+AU679,"上周无销量")</f>
        <v>上周无销量</v>
      </c>
    </row>
    <row r="680" spans="1:48">
      <c r="A680" s="21" t="s">
        <v>1431</v>
      </c>
      <c r="B680" t="s">
        <v>1432</v>
      </c>
      <c r="C680" t="s">
        <v>1414</v>
      </c>
      <c r="D680" s="31">
        <v>0</v>
      </c>
      <c r="E680" s="31">
        <v>0</v>
      </c>
      <c r="F680" s="31">
        <v>0</v>
      </c>
      <c r="G680" s="31">
        <v>0</v>
      </c>
      <c r="H680" s="32">
        <v>0</v>
      </c>
      <c r="I680">
        <v>4</v>
      </c>
      <c r="J680" s="33">
        <v>0</v>
      </c>
      <c r="K680" s="33">
        <v>0</v>
      </c>
      <c r="L680" s="33">
        <v>0</v>
      </c>
      <c r="M680">
        <v>4</v>
      </c>
      <c r="N680">
        <v>0</v>
      </c>
      <c r="O680">
        <v>4</v>
      </c>
      <c r="P680" t="s">
        <v>54</v>
      </c>
      <c r="Q680" t="s">
        <v>54</v>
      </c>
      <c r="R680" t="s">
        <v>54</v>
      </c>
      <c r="S680" t="s">
        <v>54</v>
      </c>
      <c r="T680" t="s">
        <v>54</v>
      </c>
      <c r="U680" t="s">
        <v>54</v>
      </c>
      <c r="V680" t="s">
        <v>54</v>
      </c>
      <c r="W680" t="s">
        <v>54</v>
      </c>
      <c r="X680" s="23" t="s">
        <v>54</v>
      </c>
      <c r="Y680" s="23" t="s">
        <v>54</v>
      </c>
      <c r="Z680" s="23" t="s">
        <v>54</v>
      </c>
      <c r="AA680" s="23" t="s">
        <v>54</v>
      </c>
      <c r="AB680" t="s">
        <v>54</v>
      </c>
      <c r="AC680" t="s">
        <v>54</v>
      </c>
      <c r="AD680" t="s">
        <v>54</v>
      </c>
      <c r="AE680" t="s">
        <v>54</v>
      </c>
      <c r="AF680" s="23" t="s">
        <v>54</v>
      </c>
      <c r="AG680" s="23" t="s">
        <v>54</v>
      </c>
      <c r="AH680" s="23" t="s">
        <v>54</v>
      </c>
      <c r="AI680" s="23" t="s">
        <v>54</v>
      </c>
      <c r="AJ680">
        <v>3</v>
      </c>
      <c r="AK680">
        <v>4</v>
      </c>
      <c r="AL680">
        <v>2</v>
      </c>
      <c r="AM680">
        <v>2</v>
      </c>
      <c r="AN680" s="23">
        <v>0</v>
      </c>
      <c r="AO680" s="23">
        <v>0</v>
      </c>
      <c r="AP680" s="23">
        <v>0</v>
      </c>
      <c r="AQ680" s="23">
        <v>0</v>
      </c>
      <c r="AR680" s="35">
        <v>0</v>
      </c>
      <c r="AS680" s="35">
        <v>0</v>
      </c>
      <c r="AT680" s="35">
        <v>4</v>
      </c>
      <c r="AU680" s="31" t="str">
        <f t="shared" si="13"/>
        <v>库存为4</v>
      </c>
      <c r="AV680" s="36" t="str">
        <f>IFERROR($A$2+AU680,"上周无销量")</f>
        <v>上周无销量</v>
      </c>
    </row>
    <row r="681" spans="1:48">
      <c r="A681" s="21" t="s">
        <v>1433</v>
      </c>
      <c r="B681" t="s">
        <v>1434</v>
      </c>
      <c r="C681" t="s">
        <v>1414</v>
      </c>
      <c r="D681" s="31">
        <v>0</v>
      </c>
      <c r="E681" s="31">
        <v>0</v>
      </c>
      <c r="F681" s="31">
        <v>0</v>
      </c>
      <c r="G681" s="31">
        <v>0</v>
      </c>
      <c r="H681" s="32">
        <v>0</v>
      </c>
      <c r="I681">
        <v>4</v>
      </c>
      <c r="J681" s="33">
        <v>0</v>
      </c>
      <c r="K681" s="33">
        <v>0</v>
      </c>
      <c r="L681" s="33">
        <v>0</v>
      </c>
      <c r="M681">
        <v>4</v>
      </c>
      <c r="N681">
        <v>0</v>
      </c>
      <c r="O681">
        <v>4</v>
      </c>
      <c r="P681" t="s">
        <v>54</v>
      </c>
      <c r="Q681" t="s">
        <v>54</v>
      </c>
      <c r="R681" t="s">
        <v>54</v>
      </c>
      <c r="S681" t="s">
        <v>54</v>
      </c>
      <c r="T681" t="s">
        <v>54</v>
      </c>
      <c r="U681" t="s">
        <v>54</v>
      </c>
      <c r="V681" t="s">
        <v>54</v>
      </c>
      <c r="W681" t="s">
        <v>54</v>
      </c>
      <c r="X681" s="23" t="s">
        <v>54</v>
      </c>
      <c r="Y681" s="23" t="s">
        <v>54</v>
      </c>
      <c r="Z681" s="23" t="s">
        <v>54</v>
      </c>
      <c r="AA681" s="23" t="s">
        <v>54</v>
      </c>
      <c r="AB681" t="s">
        <v>54</v>
      </c>
      <c r="AC681" t="s">
        <v>54</v>
      </c>
      <c r="AD681" t="s">
        <v>54</v>
      </c>
      <c r="AE681" t="s">
        <v>54</v>
      </c>
      <c r="AF681" s="23" t="s">
        <v>54</v>
      </c>
      <c r="AG681" s="23" t="s">
        <v>54</v>
      </c>
      <c r="AH681" s="23" t="s">
        <v>54</v>
      </c>
      <c r="AI681" s="23" t="s">
        <v>54</v>
      </c>
      <c r="AJ681">
        <v>1</v>
      </c>
      <c r="AK681">
        <v>1</v>
      </c>
      <c r="AL681">
        <v>2</v>
      </c>
      <c r="AM681">
        <v>1</v>
      </c>
      <c r="AN681" s="23">
        <v>0</v>
      </c>
      <c r="AO681" s="23">
        <v>0</v>
      </c>
      <c r="AP681" s="23">
        <v>0</v>
      </c>
      <c r="AQ681" s="23">
        <v>0</v>
      </c>
      <c r="AR681" s="35">
        <v>0</v>
      </c>
      <c r="AS681" s="35">
        <v>0</v>
      </c>
      <c r="AT681" s="35">
        <v>4</v>
      </c>
      <c r="AU681" s="31" t="str">
        <f t="shared" si="13"/>
        <v>库存为4</v>
      </c>
      <c r="AV681" s="36" t="str">
        <f>IFERROR($A$2+AU681,"上周无销量")</f>
        <v>上周无销量</v>
      </c>
    </row>
    <row r="682" spans="1:48">
      <c r="A682" s="21" t="s">
        <v>1435</v>
      </c>
      <c r="B682" t="s">
        <v>1436</v>
      </c>
      <c r="C682" t="s">
        <v>1414</v>
      </c>
      <c r="D682" s="31">
        <v>0</v>
      </c>
      <c r="E682" s="31">
        <v>0</v>
      </c>
      <c r="F682" s="31">
        <v>0</v>
      </c>
      <c r="G682" s="31">
        <v>0</v>
      </c>
      <c r="H682" s="32">
        <v>0</v>
      </c>
      <c r="I682">
        <v>4</v>
      </c>
      <c r="J682" s="33">
        <v>0</v>
      </c>
      <c r="K682" s="33">
        <v>0</v>
      </c>
      <c r="L682" s="33">
        <v>0</v>
      </c>
      <c r="M682">
        <v>4</v>
      </c>
      <c r="N682">
        <v>0</v>
      </c>
      <c r="O682">
        <v>4</v>
      </c>
      <c r="P682" t="s">
        <v>54</v>
      </c>
      <c r="Q682" t="s">
        <v>54</v>
      </c>
      <c r="R682" t="s">
        <v>54</v>
      </c>
      <c r="S682" t="s">
        <v>54</v>
      </c>
      <c r="T682" t="s">
        <v>54</v>
      </c>
      <c r="U682" t="s">
        <v>54</v>
      </c>
      <c r="V682" t="s">
        <v>54</v>
      </c>
      <c r="W682" t="s">
        <v>54</v>
      </c>
      <c r="X682" s="23" t="s">
        <v>54</v>
      </c>
      <c r="Y682" s="23" t="s">
        <v>54</v>
      </c>
      <c r="Z682" s="23" t="s">
        <v>54</v>
      </c>
      <c r="AA682" s="23" t="s">
        <v>54</v>
      </c>
      <c r="AB682" t="s">
        <v>54</v>
      </c>
      <c r="AC682" t="s">
        <v>54</v>
      </c>
      <c r="AD682" t="s">
        <v>54</v>
      </c>
      <c r="AE682" t="s">
        <v>54</v>
      </c>
      <c r="AF682" s="23" t="s">
        <v>54</v>
      </c>
      <c r="AG682" s="23" t="s">
        <v>54</v>
      </c>
      <c r="AH682" s="23" t="s">
        <v>54</v>
      </c>
      <c r="AI682" s="23" t="s">
        <v>54</v>
      </c>
      <c r="AJ682">
        <v>0</v>
      </c>
      <c r="AK682">
        <v>0</v>
      </c>
      <c r="AL682">
        <v>1</v>
      </c>
      <c r="AM682">
        <v>0</v>
      </c>
      <c r="AN682" s="23" t="s">
        <v>54</v>
      </c>
      <c r="AO682" s="23" t="s">
        <v>54</v>
      </c>
      <c r="AP682" s="23">
        <v>0</v>
      </c>
      <c r="AQ682" s="23" t="s">
        <v>54</v>
      </c>
      <c r="AR682" s="35">
        <v>0</v>
      </c>
      <c r="AS682" s="35">
        <v>0</v>
      </c>
      <c r="AT682" s="35">
        <v>4</v>
      </c>
      <c r="AU682" s="31" t="str">
        <f t="shared" si="13"/>
        <v>库存为4</v>
      </c>
      <c r="AV682" s="36" t="str">
        <f>IFERROR($A$2+AU682,"上周无销量")</f>
        <v>上周无销量</v>
      </c>
    </row>
    <row r="683" spans="1:48">
      <c r="A683" s="21" t="s">
        <v>1437</v>
      </c>
      <c r="B683" t="s">
        <v>1438</v>
      </c>
      <c r="C683" t="s">
        <v>1414</v>
      </c>
      <c r="D683" s="31">
        <v>0</v>
      </c>
      <c r="E683" s="31">
        <v>0</v>
      </c>
      <c r="F683" s="31">
        <v>0</v>
      </c>
      <c r="G683" s="31">
        <v>0</v>
      </c>
      <c r="H683" s="32">
        <v>0</v>
      </c>
      <c r="I683">
        <v>4</v>
      </c>
      <c r="J683" s="33">
        <v>0</v>
      </c>
      <c r="K683" s="33">
        <v>0</v>
      </c>
      <c r="L683" s="33">
        <v>0</v>
      </c>
      <c r="M683">
        <v>4</v>
      </c>
      <c r="N683">
        <v>0</v>
      </c>
      <c r="O683">
        <v>4</v>
      </c>
      <c r="P683" t="s">
        <v>54</v>
      </c>
      <c r="Q683" t="s">
        <v>54</v>
      </c>
      <c r="R683" t="s">
        <v>54</v>
      </c>
      <c r="S683" t="s">
        <v>54</v>
      </c>
      <c r="T683" t="s">
        <v>54</v>
      </c>
      <c r="U683" t="s">
        <v>54</v>
      </c>
      <c r="V683" t="s">
        <v>54</v>
      </c>
      <c r="W683" t="s">
        <v>54</v>
      </c>
      <c r="X683" s="23" t="s">
        <v>54</v>
      </c>
      <c r="Y683" s="23" t="s">
        <v>54</v>
      </c>
      <c r="Z683" s="23" t="s">
        <v>54</v>
      </c>
      <c r="AA683" s="23" t="s">
        <v>54</v>
      </c>
      <c r="AB683" t="s">
        <v>54</v>
      </c>
      <c r="AC683" t="s">
        <v>54</v>
      </c>
      <c r="AD683" t="s">
        <v>54</v>
      </c>
      <c r="AE683" t="s">
        <v>54</v>
      </c>
      <c r="AF683" s="23" t="s">
        <v>54</v>
      </c>
      <c r="AG683" s="23" t="s">
        <v>54</v>
      </c>
      <c r="AH683" s="23" t="s">
        <v>54</v>
      </c>
      <c r="AI683" s="23" t="s">
        <v>54</v>
      </c>
      <c r="AJ683">
        <v>1</v>
      </c>
      <c r="AK683">
        <v>3</v>
      </c>
      <c r="AL683">
        <v>2</v>
      </c>
      <c r="AM683">
        <v>0</v>
      </c>
      <c r="AN683" s="23">
        <v>0</v>
      </c>
      <c r="AO683" s="23">
        <v>0</v>
      </c>
      <c r="AP683" s="23">
        <v>0</v>
      </c>
      <c r="AQ683" s="23" t="s">
        <v>54</v>
      </c>
      <c r="AR683" s="35">
        <v>0</v>
      </c>
      <c r="AS683" s="35">
        <v>0</v>
      </c>
      <c r="AT683" s="35">
        <v>4</v>
      </c>
      <c r="AU683" s="31" t="str">
        <f t="shared" si="13"/>
        <v>库存为4</v>
      </c>
      <c r="AV683" s="36" t="str">
        <f>IFERROR($A$2+AU683,"上周无销量")</f>
        <v>上周无销量</v>
      </c>
    </row>
    <row r="684" spans="1:48">
      <c r="A684" s="21" t="s">
        <v>1439</v>
      </c>
      <c r="B684" t="s">
        <v>1440</v>
      </c>
      <c r="C684" t="s">
        <v>1414</v>
      </c>
      <c r="D684" s="31">
        <v>0</v>
      </c>
      <c r="E684" s="31">
        <v>0</v>
      </c>
      <c r="F684" s="31">
        <v>0</v>
      </c>
      <c r="G684" s="31">
        <v>0</v>
      </c>
      <c r="H684" s="32">
        <v>0</v>
      </c>
      <c r="I684">
        <v>4</v>
      </c>
      <c r="J684" s="33">
        <v>0</v>
      </c>
      <c r="K684" s="33">
        <v>0</v>
      </c>
      <c r="L684" s="33">
        <v>0</v>
      </c>
      <c r="M684">
        <v>4</v>
      </c>
      <c r="N684">
        <v>0</v>
      </c>
      <c r="O684">
        <v>4</v>
      </c>
      <c r="P684" t="s">
        <v>54</v>
      </c>
      <c r="Q684" t="s">
        <v>54</v>
      </c>
      <c r="R684" t="s">
        <v>54</v>
      </c>
      <c r="S684" t="s">
        <v>54</v>
      </c>
      <c r="T684" t="s">
        <v>54</v>
      </c>
      <c r="U684" t="s">
        <v>54</v>
      </c>
      <c r="V684" t="s">
        <v>54</v>
      </c>
      <c r="W684" t="s">
        <v>54</v>
      </c>
      <c r="X684" s="23" t="s">
        <v>54</v>
      </c>
      <c r="Y684" s="23" t="s">
        <v>54</v>
      </c>
      <c r="Z684" s="23" t="s">
        <v>54</v>
      </c>
      <c r="AA684" s="23" t="s">
        <v>54</v>
      </c>
      <c r="AB684" t="s">
        <v>54</v>
      </c>
      <c r="AC684" t="s">
        <v>54</v>
      </c>
      <c r="AD684" t="s">
        <v>54</v>
      </c>
      <c r="AE684" t="s">
        <v>54</v>
      </c>
      <c r="AF684" s="23" t="s">
        <v>54</v>
      </c>
      <c r="AG684" s="23" t="s">
        <v>54</v>
      </c>
      <c r="AH684" s="23" t="s">
        <v>54</v>
      </c>
      <c r="AI684" s="23" t="s">
        <v>54</v>
      </c>
      <c r="AJ684">
        <v>1</v>
      </c>
      <c r="AK684">
        <v>2</v>
      </c>
      <c r="AL684">
        <v>2</v>
      </c>
      <c r="AM684">
        <v>1</v>
      </c>
      <c r="AN684" s="23">
        <v>0</v>
      </c>
      <c r="AO684" s="23">
        <v>0</v>
      </c>
      <c r="AP684" s="23">
        <v>0</v>
      </c>
      <c r="AQ684" s="23">
        <v>0</v>
      </c>
      <c r="AR684" s="35">
        <v>0</v>
      </c>
      <c r="AS684" s="35">
        <v>0</v>
      </c>
      <c r="AT684" s="35">
        <v>4</v>
      </c>
      <c r="AU684" s="31" t="str">
        <f t="shared" si="13"/>
        <v>库存为4</v>
      </c>
      <c r="AV684" s="36" t="str">
        <f>IFERROR($A$2+AU684,"上周无销量")</f>
        <v>上周无销量</v>
      </c>
    </row>
    <row r="685" spans="1:48">
      <c r="A685" s="21" t="s">
        <v>1441</v>
      </c>
      <c r="B685" t="s">
        <v>1442</v>
      </c>
      <c r="C685" t="s">
        <v>1414</v>
      </c>
      <c r="D685" s="31">
        <v>0</v>
      </c>
      <c r="E685" s="31">
        <v>0</v>
      </c>
      <c r="F685" s="31">
        <v>0</v>
      </c>
      <c r="G685" s="31">
        <v>0</v>
      </c>
      <c r="H685" s="32">
        <v>0</v>
      </c>
      <c r="I685">
        <v>4</v>
      </c>
      <c r="J685" s="33">
        <v>0</v>
      </c>
      <c r="K685" s="33">
        <v>0</v>
      </c>
      <c r="L685" s="33">
        <v>0</v>
      </c>
      <c r="M685">
        <v>4</v>
      </c>
      <c r="N685">
        <v>0</v>
      </c>
      <c r="O685">
        <v>4</v>
      </c>
      <c r="P685" t="s">
        <v>54</v>
      </c>
      <c r="Q685" t="s">
        <v>54</v>
      </c>
      <c r="R685" t="s">
        <v>54</v>
      </c>
      <c r="S685" t="s">
        <v>54</v>
      </c>
      <c r="T685" t="s">
        <v>54</v>
      </c>
      <c r="U685" t="s">
        <v>54</v>
      </c>
      <c r="V685" t="s">
        <v>54</v>
      </c>
      <c r="W685" t="s">
        <v>54</v>
      </c>
      <c r="X685" s="23" t="s">
        <v>54</v>
      </c>
      <c r="Y685" s="23" t="s">
        <v>54</v>
      </c>
      <c r="Z685" s="23" t="s">
        <v>54</v>
      </c>
      <c r="AA685" s="23" t="s">
        <v>54</v>
      </c>
      <c r="AB685" t="s">
        <v>54</v>
      </c>
      <c r="AC685" t="s">
        <v>54</v>
      </c>
      <c r="AD685" t="s">
        <v>54</v>
      </c>
      <c r="AE685" t="s">
        <v>54</v>
      </c>
      <c r="AF685" s="23" t="s">
        <v>54</v>
      </c>
      <c r="AG685" s="23" t="s">
        <v>54</v>
      </c>
      <c r="AH685" s="23" t="s">
        <v>54</v>
      </c>
      <c r="AI685" s="23" t="s">
        <v>54</v>
      </c>
      <c r="AJ685">
        <v>0</v>
      </c>
      <c r="AK685">
        <v>2</v>
      </c>
      <c r="AL685">
        <v>2</v>
      </c>
      <c r="AM685">
        <v>2</v>
      </c>
      <c r="AN685" s="23" t="s">
        <v>54</v>
      </c>
      <c r="AO685" s="23">
        <v>0</v>
      </c>
      <c r="AP685" s="23">
        <v>0</v>
      </c>
      <c r="AQ685" s="23">
        <v>0</v>
      </c>
      <c r="AR685" s="35">
        <v>0</v>
      </c>
      <c r="AS685" s="35">
        <v>0</v>
      </c>
      <c r="AT685" s="35">
        <v>4</v>
      </c>
      <c r="AU685" s="31" t="str">
        <f t="shared" si="13"/>
        <v>库存为4</v>
      </c>
      <c r="AV685" s="36" t="str">
        <f>IFERROR($A$2+AU685,"上周无销量")</f>
        <v>上周无销量</v>
      </c>
    </row>
    <row r="686" spans="1:48">
      <c r="A686" s="21" t="s">
        <v>1443</v>
      </c>
      <c r="B686" t="s">
        <v>1444</v>
      </c>
      <c r="C686" t="s">
        <v>1414</v>
      </c>
      <c r="D686" s="31">
        <v>0</v>
      </c>
      <c r="E686" s="31">
        <v>0</v>
      </c>
      <c r="F686" s="31">
        <v>0</v>
      </c>
      <c r="G686" s="31">
        <v>0</v>
      </c>
      <c r="H686" s="32">
        <v>0</v>
      </c>
      <c r="I686">
        <v>4</v>
      </c>
      <c r="J686" s="33">
        <v>0</v>
      </c>
      <c r="K686" s="33">
        <v>0</v>
      </c>
      <c r="L686" s="33">
        <v>0</v>
      </c>
      <c r="M686">
        <v>4</v>
      </c>
      <c r="N686">
        <v>0</v>
      </c>
      <c r="O686">
        <v>4</v>
      </c>
      <c r="P686" t="s">
        <v>54</v>
      </c>
      <c r="Q686" t="s">
        <v>54</v>
      </c>
      <c r="R686" t="s">
        <v>54</v>
      </c>
      <c r="S686" t="s">
        <v>54</v>
      </c>
      <c r="T686" t="s">
        <v>54</v>
      </c>
      <c r="U686" t="s">
        <v>54</v>
      </c>
      <c r="V686" t="s">
        <v>54</v>
      </c>
      <c r="W686" t="s">
        <v>54</v>
      </c>
      <c r="X686" s="23" t="s">
        <v>54</v>
      </c>
      <c r="Y686" s="23" t="s">
        <v>54</v>
      </c>
      <c r="Z686" s="23" t="s">
        <v>54</v>
      </c>
      <c r="AA686" s="23" t="s">
        <v>54</v>
      </c>
      <c r="AB686" t="s">
        <v>54</v>
      </c>
      <c r="AC686" t="s">
        <v>54</v>
      </c>
      <c r="AD686" t="s">
        <v>54</v>
      </c>
      <c r="AE686" t="s">
        <v>54</v>
      </c>
      <c r="AF686" s="23" t="s">
        <v>54</v>
      </c>
      <c r="AG686" s="23" t="s">
        <v>54</v>
      </c>
      <c r="AH686" s="23" t="s">
        <v>54</v>
      </c>
      <c r="AI686" s="23" t="s">
        <v>54</v>
      </c>
      <c r="AJ686">
        <v>1</v>
      </c>
      <c r="AK686">
        <v>2</v>
      </c>
      <c r="AL686">
        <v>2</v>
      </c>
      <c r="AM686">
        <v>0</v>
      </c>
      <c r="AN686" s="23">
        <v>0</v>
      </c>
      <c r="AO686" s="23">
        <v>0</v>
      </c>
      <c r="AP686" s="23">
        <v>0</v>
      </c>
      <c r="AQ686" s="23" t="s">
        <v>54</v>
      </c>
      <c r="AR686" s="35">
        <v>0</v>
      </c>
      <c r="AS686" s="35">
        <v>0</v>
      </c>
      <c r="AT686" s="35">
        <v>4</v>
      </c>
      <c r="AU686" s="31" t="str">
        <f t="shared" si="13"/>
        <v>库存为4</v>
      </c>
      <c r="AV686" s="36" t="str">
        <f>IFERROR($A$2+AU686,"上周无销量")</f>
        <v>上周无销量</v>
      </c>
    </row>
    <row r="687" spans="1:48">
      <c r="A687" s="21" t="s">
        <v>1445</v>
      </c>
      <c r="B687" t="s">
        <v>1446</v>
      </c>
      <c r="C687" t="s">
        <v>1414</v>
      </c>
      <c r="D687" s="31">
        <v>0</v>
      </c>
      <c r="E687" s="31">
        <v>0</v>
      </c>
      <c r="F687" s="31">
        <v>0</v>
      </c>
      <c r="G687" s="31">
        <v>0</v>
      </c>
      <c r="H687" s="32">
        <v>0</v>
      </c>
      <c r="I687">
        <v>4</v>
      </c>
      <c r="J687" s="33">
        <v>0</v>
      </c>
      <c r="K687" s="33">
        <v>0</v>
      </c>
      <c r="L687" s="33">
        <v>0</v>
      </c>
      <c r="M687">
        <v>4</v>
      </c>
      <c r="N687">
        <v>0</v>
      </c>
      <c r="O687">
        <v>4</v>
      </c>
      <c r="P687" t="s">
        <v>54</v>
      </c>
      <c r="Q687" t="s">
        <v>54</v>
      </c>
      <c r="R687" t="s">
        <v>54</v>
      </c>
      <c r="S687" t="s">
        <v>54</v>
      </c>
      <c r="T687" t="s">
        <v>54</v>
      </c>
      <c r="U687" t="s">
        <v>54</v>
      </c>
      <c r="V687" t="s">
        <v>54</v>
      </c>
      <c r="W687" t="s">
        <v>54</v>
      </c>
      <c r="X687" s="23" t="s">
        <v>54</v>
      </c>
      <c r="Y687" s="23" t="s">
        <v>54</v>
      </c>
      <c r="Z687" s="23" t="s">
        <v>54</v>
      </c>
      <c r="AA687" s="23" t="s">
        <v>54</v>
      </c>
      <c r="AB687" t="s">
        <v>54</v>
      </c>
      <c r="AC687" t="s">
        <v>54</v>
      </c>
      <c r="AD687" t="s">
        <v>54</v>
      </c>
      <c r="AE687" t="s">
        <v>54</v>
      </c>
      <c r="AF687" s="23" t="s">
        <v>54</v>
      </c>
      <c r="AG687" s="23" t="s">
        <v>54</v>
      </c>
      <c r="AH687" s="23" t="s">
        <v>54</v>
      </c>
      <c r="AI687" s="23" t="s">
        <v>54</v>
      </c>
      <c r="AJ687">
        <v>1</v>
      </c>
      <c r="AK687">
        <v>1</v>
      </c>
      <c r="AL687">
        <v>4</v>
      </c>
      <c r="AM687">
        <v>0</v>
      </c>
      <c r="AN687" s="23">
        <v>0</v>
      </c>
      <c r="AO687" s="23">
        <v>0</v>
      </c>
      <c r="AP687" s="23">
        <v>0</v>
      </c>
      <c r="AQ687" s="23" t="s">
        <v>54</v>
      </c>
      <c r="AR687" s="35">
        <v>0</v>
      </c>
      <c r="AS687" s="35">
        <v>0</v>
      </c>
      <c r="AT687" s="35">
        <v>4</v>
      </c>
      <c r="AU687" s="31" t="str">
        <f t="shared" si="13"/>
        <v>库存为4</v>
      </c>
      <c r="AV687" s="36" t="str">
        <f>IFERROR($A$2+AU687,"上周无销量")</f>
        <v>上周无销量</v>
      </c>
    </row>
    <row r="688" spans="1:48">
      <c r="A688" s="21" t="s">
        <v>1447</v>
      </c>
      <c r="B688" t="s">
        <v>1448</v>
      </c>
      <c r="C688" t="s">
        <v>1414</v>
      </c>
      <c r="D688" s="31">
        <v>0</v>
      </c>
      <c r="E688" s="31">
        <v>0</v>
      </c>
      <c r="F688" s="31">
        <v>0</v>
      </c>
      <c r="G688" s="31">
        <v>0</v>
      </c>
      <c r="H688" s="32">
        <v>0</v>
      </c>
      <c r="I688">
        <v>4</v>
      </c>
      <c r="J688" s="33">
        <v>0</v>
      </c>
      <c r="K688" s="33">
        <v>0</v>
      </c>
      <c r="L688" s="33">
        <v>0</v>
      </c>
      <c r="M688">
        <v>4</v>
      </c>
      <c r="N688">
        <v>0</v>
      </c>
      <c r="O688">
        <v>4</v>
      </c>
      <c r="P688" t="s">
        <v>54</v>
      </c>
      <c r="Q688" t="s">
        <v>54</v>
      </c>
      <c r="R688" t="s">
        <v>54</v>
      </c>
      <c r="S688" t="s">
        <v>54</v>
      </c>
      <c r="T688" t="s">
        <v>54</v>
      </c>
      <c r="U688" t="s">
        <v>54</v>
      </c>
      <c r="V688" t="s">
        <v>54</v>
      </c>
      <c r="W688" t="s">
        <v>54</v>
      </c>
      <c r="X688" s="23" t="s">
        <v>54</v>
      </c>
      <c r="Y688" s="23" t="s">
        <v>54</v>
      </c>
      <c r="Z688" s="23" t="s">
        <v>54</v>
      </c>
      <c r="AA688" s="23" t="s">
        <v>54</v>
      </c>
      <c r="AB688" t="s">
        <v>54</v>
      </c>
      <c r="AC688" t="s">
        <v>54</v>
      </c>
      <c r="AD688" t="s">
        <v>54</v>
      </c>
      <c r="AE688" t="s">
        <v>54</v>
      </c>
      <c r="AF688" s="23" t="s">
        <v>54</v>
      </c>
      <c r="AG688" s="23" t="s">
        <v>54</v>
      </c>
      <c r="AH688" s="23" t="s">
        <v>54</v>
      </c>
      <c r="AI688" s="23" t="s">
        <v>54</v>
      </c>
      <c r="AJ688">
        <v>0</v>
      </c>
      <c r="AK688">
        <v>3</v>
      </c>
      <c r="AL688">
        <v>2</v>
      </c>
      <c r="AM688">
        <v>1</v>
      </c>
      <c r="AN688" s="23" t="s">
        <v>54</v>
      </c>
      <c r="AO688" s="23">
        <v>0</v>
      </c>
      <c r="AP688" s="23">
        <v>0</v>
      </c>
      <c r="AQ688" s="23">
        <v>0</v>
      </c>
      <c r="AR688" s="35">
        <v>0</v>
      </c>
      <c r="AS688" s="35">
        <v>0</v>
      </c>
      <c r="AT688" s="35">
        <v>4</v>
      </c>
      <c r="AU688" s="31" t="str">
        <f t="shared" si="13"/>
        <v>库存为4</v>
      </c>
      <c r="AV688" s="36" t="str">
        <f>IFERROR($A$2+AU688,"上周无销量")</f>
        <v>上周无销量</v>
      </c>
    </row>
    <row r="689" spans="1:48">
      <c r="A689" s="21" t="s">
        <v>1449</v>
      </c>
      <c r="B689" t="s">
        <v>1450</v>
      </c>
      <c r="C689" t="s">
        <v>1414</v>
      </c>
      <c r="D689" s="31">
        <v>0</v>
      </c>
      <c r="E689" s="31">
        <v>0</v>
      </c>
      <c r="F689" s="31">
        <v>0</v>
      </c>
      <c r="G689" s="31">
        <v>0</v>
      </c>
      <c r="H689" s="32">
        <v>0</v>
      </c>
      <c r="I689">
        <v>4</v>
      </c>
      <c r="J689" s="33">
        <v>0</v>
      </c>
      <c r="K689" s="33">
        <v>0</v>
      </c>
      <c r="L689" s="33">
        <v>0</v>
      </c>
      <c r="M689">
        <v>4</v>
      </c>
      <c r="N689">
        <v>0</v>
      </c>
      <c r="O689">
        <v>4</v>
      </c>
      <c r="P689" t="s">
        <v>54</v>
      </c>
      <c r="Q689" t="s">
        <v>54</v>
      </c>
      <c r="R689" t="s">
        <v>54</v>
      </c>
      <c r="S689" t="s">
        <v>54</v>
      </c>
      <c r="T689" t="s">
        <v>54</v>
      </c>
      <c r="U689" t="s">
        <v>54</v>
      </c>
      <c r="V689" t="s">
        <v>54</v>
      </c>
      <c r="W689" t="s">
        <v>54</v>
      </c>
      <c r="X689" s="23" t="s">
        <v>54</v>
      </c>
      <c r="Y689" s="23" t="s">
        <v>54</v>
      </c>
      <c r="Z689" s="23" t="s">
        <v>54</v>
      </c>
      <c r="AA689" s="23" t="s">
        <v>54</v>
      </c>
      <c r="AB689" t="s">
        <v>54</v>
      </c>
      <c r="AC689" t="s">
        <v>54</v>
      </c>
      <c r="AD689" t="s">
        <v>54</v>
      </c>
      <c r="AE689" t="s">
        <v>54</v>
      </c>
      <c r="AF689" s="23" t="s">
        <v>54</v>
      </c>
      <c r="AG689" s="23" t="s">
        <v>54</v>
      </c>
      <c r="AH689" s="23" t="s">
        <v>54</v>
      </c>
      <c r="AI689" s="23" t="s">
        <v>54</v>
      </c>
      <c r="AJ689">
        <v>0</v>
      </c>
      <c r="AK689">
        <v>2</v>
      </c>
      <c r="AL689">
        <v>3</v>
      </c>
      <c r="AM689">
        <v>2</v>
      </c>
      <c r="AN689" s="23" t="s">
        <v>54</v>
      </c>
      <c r="AO689" s="23">
        <v>0</v>
      </c>
      <c r="AP689" s="23">
        <v>0</v>
      </c>
      <c r="AQ689" s="23">
        <v>0</v>
      </c>
      <c r="AR689" s="35">
        <v>0</v>
      </c>
      <c r="AS689" s="35">
        <v>0</v>
      </c>
      <c r="AT689" s="35">
        <v>4</v>
      </c>
      <c r="AU689" s="31" t="str">
        <f t="shared" si="13"/>
        <v>库存为4</v>
      </c>
      <c r="AV689" s="36" t="str">
        <f>IFERROR($A$2+AU689,"上周无销量")</f>
        <v>上周无销量</v>
      </c>
    </row>
    <row r="690" spans="1:48">
      <c r="A690" s="21" t="s">
        <v>1451</v>
      </c>
      <c r="B690" t="s">
        <v>1452</v>
      </c>
      <c r="C690" t="s">
        <v>1414</v>
      </c>
      <c r="D690" s="31">
        <v>0</v>
      </c>
      <c r="E690" s="31">
        <v>0</v>
      </c>
      <c r="F690" s="31">
        <v>0</v>
      </c>
      <c r="G690" s="31">
        <v>0</v>
      </c>
      <c r="H690" s="32">
        <v>0</v>
      </c>
      <c r="I690">
        <v>4</v>
      </c>
      <c r="J690" s="33">
        <v>0</v>
      </c>
      <c r="K690" s="33">
        <v>0</v>
      </c>
      <c r="L690" s="33">
        <v>0</v>
      </c>
      <c r="M690">
        <v>4</v>
      </c>
      <c r="N690">
        <v>0</v>
      </c>
      <c r="O690">
        <v>4</v>
      </c>
      <c r="P690" t="s">
        <v>54</v>
      </c>
      <c r="Q690" t="s">
        <v>54</v>
      </c>
      <c r="R690" t="s">
        <v>54</v>
      </c>
      <c r="S690" t="s">
        <v>54</v>
      </c>
      <c r="T690" t="s">
        <v>54</v>
      </c>
      <c r="U690" t="s">
        <v>54</v>
      </c>
      <c r="V690" t="s">
        <v>54</v>
      </c>
      <c r="W690" t="s">
        <v>54</v>
      </c>
      <c r="X690" s="23" t="s">
        <v>54</v>
      </c>
      <c r="Y690" s="23" t="s">
        <v>54</v>
      </c>
      <c r="Z690" s="23" t="s">
        <v>54</v>
      </c>
      <c r="AA690" s="23" t="s">
        <v>54</v>
      </c>
      <c r="AB690" t="s">
        <v>54</v>
      </c>
      <c r="AC690" t="s">
        <v>54</v>
      </c>
      <c r="AD690" t="s">
        <v>54</v>
      </c>
      <c r="AE690" t="s">
        <v>54</v>
      </c>
      <c r="AF690" s="23" t="s">
        <v>54</v>
      </c>
      <c r="AG690" s="23" t="s">
        <v>54</v>
      </c>
      <c r="AH690" s="23" t="s">
        <v>54</v>
      </c>
      <c r="AI690" s="23" t="s">
        <v>54</v>
      </c>
      <c r="AJ690">
        <v>1</v>
      </c>
      <c r="AK690">
        <v>3</v>
      </c>
      <c r="AL690">
        <v>3</v>
      </c>
      <c r="AM690">
        <v>1</v>
      </c>
      <c r="AN690" s="23">
        <v>0</v>
      </c>
      <c r="AO690" s="23">
        <v>0</v>
      </c>
      <c r="AP690" s="23">
        <v>0</v>
      </c>
      <c r="AQ690" s="23">
        <v>0</v>
      </c>
      <c r="AR690" s="35">
        <v>0</v>
      </c>
      <c r="AS690" s="35">
        <v>0</v>
      </c>
      <c r="AT690" s="35">
        <v>4</v>
      </c>
      <c r="AU690" s="31" t="str">
        <f t="shared" si="13"/>
        <v>库存为4</v>
      </c>
      <c r="AV690" s="36" t="str">
        <f>IFERROR($A$2+AU690,"上周无销量")</f>
        <v>上周无销量</v>
      </c>
    </row>
    <row r="691" spans="1:48">
      <c r="A691" s="21" t="s">
        <v>1453</v>
      </c>
      <c r="B691" t="s">
        <v>1454</v>
      </c>
      <c r="C691" t="s">
        <v>1414</v>
      </c>
      <c r="D691" s="31">
        <v>0</v>
      </c>
      <c r="E691" s="31">
        <v>0</v>
      </c>
      <c r="F691" s="31">
        <v>1</v>
      </c>
      <c r="G691" s="31">
        <v>0</v>
      </c>
      <c r="H691" s="32">
        <v>9.5</v>
      </c>
      <c r="I691">
        <v>1</v>
      </c>
      <c r="J691" s="33">
        <v>0</v>
      </c>
      <c r="K691" s="33">
        <v>0</v>
      </c>
      <c r="L691" s="33">
        <v>0</v>
      </c>
      <c r="M691">
        <v>1</v>
      </c>
      <c r="N691">
        <v>0</v>
      </c>
      <c r="O691">
        <v>1</v>
      </c>
      <c r="P691" t="s">
        <v>54</v>
      </c>
      <c r="Q691" t="s">
        <v>54</v>
      </c>
      <c r="R691" t="s">
        <v>54</v>
      </c>
      <c r="S691" t="s">
        <v>54</v>
      </c>
      <c r="T691" t="s">
        <v>54</v>
      </c>
      <c r="U691" t="s">
        <v>54</v>
      </c>
      <c r="V691" t="s">
        <v>54</v>
      </c>
      <c r="W691" t="s">
        <v>54</v>
      </c>
      <c r="X691" s="23" t="s">
        <v>54</v>
      </c>
      <c r="Y691" s="23" t="s">
        <v>54</v>
      </c>
      <c r="Z691" s="23" t="s">
        <v>54</v>
      </c>
      <c r="AA691" s="23" t="s">
        <v>54</v>
      </c>
      <c r="AB691" t="s">
        <v>54</v>
      </c>
      <c r="AC691" t="s">
        <v>54</v>
      </c>
      <c r="AD691" t="s">
        <v>54</v>
      </c>
      <c r="AE691" t="s">
        <v>54</v>
      </c>
      <c r="AF691" s="23" t="s">
        <v>54</v>
      </c>
      <c r="AG691" s="23" t="s">
        <v>54</v>
      </c>
      <c r="AH691" s="23" t="s">
        <v>54</v>
      </c>
      <c r="AI691" s="23" t="s">
        <v>54</v>
      </c>
      <c r="AJ691">
        <v>4</v>
      </c>
      <c r="AK691">
        <v>0</v>
      </c>
      <c r="AL691">
        <v>4</v>
      </c>
      <c r="AM691">
        <v>1</v>
      </c>
      <c r="AN691" s="23">
        <v>0</v>
      </c>
      <c r="AO691" s="23" t="s">
        <v>54</v>
      </c>
      <c r="AP691" s="23">
        <v>0.25</v>
      </c>
      <c r="AQ691" s="23">
        <v>0</v>
      </c>
      <c r="AR691" s="35">
        <v>0</v>
      </c>
      <c r="AS691" s="35">
        <v>0</v>
      </c>
      <c r="AT691" s="35">
        <v>1</v>
      </c>
      <c r="AU691" s="31" t="str">
        <f t="shared" si="13"/>
        <v>库存为1</v>
      </c>
      <c r="AV691" s="36" t="str">
        <f>IFERROR($A$2+AU691,"上周无销量")</f>
        <v>上周无销量</v>
      </c>
    </row>
    <row r="692" spans="1:48">
      <c r="A692" s="21" t="s">
        <v>1455</v>
      </c>
      <c r="B692" t="s">
        <v>1456</v>
      </c>
      <c r="C692" t="s">
        <v>1414</v>
      </c>
      <c r="D692" s="31">
        <v>0</v>
      </c>
      <c r="E692" s="31">
        <v>0</v>
      </c>
      <c r="F692" s="31">
        <v>0</v>
      </c>
      <c r="G692" s="31">
        <v>0</v>
      </c>
      <c r="H692" s="32">
        <v>0</v>
      </c>
      <c r="I692">
        <v>2</v>
      </c>
      <c r="J692" s="33">
        <v>0</v>
      </c>
      <c r="K692" s="33">
        <v>0</v>
      </c>
      <c r="L692" s="33">
        <v>0</v>
      </c>
      <c r="M692">
        <v>2</v>
      </c>
      <c r="N692">
        <v>0</v>
      </c>
      <c r="O692">
        <v>2</v>
      </c>
      <c r="P692" t="s">
        <v>54</v>
      </c>
      <c r="Q692" t="s">
        <v>54</v>
      </c>
      <c r="R692" t="s">
        <v>54</v>
      </c>
      <c r="S692" t="s">
        <v>54</v>
      </c>
      <c r="T692" t="s">
        <v>54</v>
      </c>
      <c r="U692" t="s">
        <v>54</v>
      </c>
      <c r="V692" t="s">
        <v>54</v>
      </c>
      <c r="W692" t="s">
        <v>54</v>
      </c>
      <c r="X692" s="23" t="s">
        <v>54</v>
      </c>
      <c r="Y692" s="23" t="s">
        <v>54</v>
      </c>
      <c r="Z692" s="23" t="s">
        <v>54</v>
      </c>
      <c r="AA692" s="23" t="s">
        <v>54</v>
      </c>
      <c r="AB692" t="s">
        <v>54</v>
      </c>
      <c r="AC692" t="s">
        <v>54</v>
      </c>
      <c r="AD692" t="s">
        <v>54</v>
      </c>
      <c r="AE692" t="s">
        <v>54</v>
      </c>
      <c r="AF692" s="23" t="s">
        <v>54</v>
      </c>
      <c r="AG692" s="23" t="s">
        <v>54</v>
      </c>
      <c r="AH692" s="23" t="s">
        <v>54</v>
      </c>
      <c r="AI692" s="23" t="s">
        <v>54</v>
      </c>
      <c r="AJ692">
        <v>2</v>
      </c>
      <c r="AK692">
        <v>2</v>
      </c>
      <c r="AL692">
        <v>1</v>
      </c>
      <c r="AM692">
        <v>2</v>
      </c>
      <c r="AN692" s="23">
        <v>0</v>
      </c>
      <c r="AO692" s="23">
        <v>0</v>
      </c>
      <c r="AP692" s="23">
        <v>0</v>
      </c>
      <c r="AQ692" s="23">
        <v>0</v>
      </c>
      <c r="AR692" s="35">
        <v>0</v>
      </c>
      <c r="AS692" s="35">
        <v>0</v>
      </c>
      <c r="AT692" s="35">
        <v>2</v>
      </c>
      <c r="AU692" s="31" t="str">
        <f t="shared" si="13"/>
        <v>库存为2</v>
      </c>
      <c r="AV692" s="36" t="str">
        <f>IFERROR($A$2+AU692,"上周无销量")</f>
        <v>上周无销量</v>
      </c>
    </row>
    <row r="693" spans="1:48">
      <c r="A693" s="21" t="s">
        <v>1457</v>
      </c>
      <c r="B693" t="s">
        <v>1458</v>
      </c>
      <c r="C693" t="s">
        <v>1414</v>
      </c>
      <c r="D693" s="31">
        <v>0</v>
      </c>
      <c r="E693" s="31">
        <v>0</v>
      </c>
      <c r="F693" s="31">
        <v>0</v>
      </c>
      <c r="G693" s="31">
        <v>0</v>
      </c>
      <c r="H693" s="32">
        <v>0</v>
      </c>
      <c r="I693">
        <v>3</v>
      </c>
      <c r="J693" s="33">
        <v>0</v>
      </c>
      <c r="K693" s="33">
        <v>0</v>
      </c>
      <c r="L693" s="33">
        <v>0</v>
      </c>
      <c r="M693">
        <v>3</v>
      </c>
      <c r="N693">
        <v>0</v>
      </c>
      <c r="O693">
        <v>3</v>
      </c>
      <c r="P693" t="s">
        <v>54</v>
      </c>
      <c r="Q693" t="s">
        <v>54</v>
      </c>
      <c r="R693" t="s">
        <v>54</v>
      </c>
      <c r="S693" t="s">
        <v>54</v>
      </c>
      <c r="T693" t="s">
        <v>54</v>
      </c>
      <c r="U693" t="s">
        <v>54</v>
      </c>
      <c r="V693" t="s">
        <v>54</v>
      </c>
      <c r="W693" t="s">
        <v>54</v>
      </c>
      <c r="X693" s="23" t="s">
        <v>54</v>
      </c>
      <c r="Y693" s="23" t="s">
        <v>54</v>
      </c>
      <c r="Z693" s="23" t="s">
        <v>54</v>
      </c>
      <c r="AA693" s="23" t="s">
        <v>54</v>
      </c>
      <c r="AB693" t="s">
        <v>54</v>
      </c>
      <c r="AC693" t="s">
        <v>54</v>
      </c>
      <c r="AD693" t="s">
        <v>54</v>
      </c>
      <c r="AE693" t="s">
        <v>54</v>
      </c>
      <c r="AF693" s="23" t="s">
        <v>54</v>
      </c>
      <c r="AG693" s="23" t="s">
        <v>54</v>
      </c>
      <c r="AH693" s="23" t="s">
        <v>54</v>
      </c>
      <c r="AI693" s="23" t="s">
        <v>54</v>
      </c>
      <c r="AJ693">
        <v>2</v>
      </c>
      <c r="AK693">
        <v>0</v>
      </c>
      <c r="AL693">
        <v>2</v>
      </c>
      <c r="AM693">
        <v>4</v>
      </c>
      <c r="AN693" s="23">
        <v>0</v>
      </c>
      <c r="AO693" s="23" t="s">
        <v>54</v>
      </c>
      <c r="AP693" s="23">
        <v>0</v>
      </c>
      <c r="AQ693" s="23">
        <v>0</v>
      </c>
      <c r="AR693" s="35">
        <v>0</v>
      </c>
      <c r="AS693" s="35">
        <v>0</v>
      </c>
      <c r="AT693" s="35">
        <v>3</v>
      </c>
      <c r="AU693" s="31" t="str">
        <f t="shared" si="13"/>
        <v>库存为3</v>
      </c>
      <c r="AV693" s="36" t="str">
        <f>IFERROR($A$2+AU693,"上周无销量")</f>
        <v>上周无销量</v>
      </c>
    </row>
    <row r="694" spans="1:48">
      <c r="A694" s="21" t="s">
        <v>1459</v>
      </c>
      <c r="B694" t="s">
        <v>1460</v>
      </c>
      <c r="C694" t="s">
        <v>1414</v>
      </c>
      <c r="D694" s="31">
        <v>0</v>
      </c>
      <c r="E694" s="31">
        <v>0</v>
      </c>
      <c r="F694" s="31">
        <v>0</v>
      </c>
      <c r="G694" s="31">
        <v>0</v>
      </c>
      <c r="H694" s="32">
        <v>0</v>
      </c>
      <c r="I694">
        <v>1</v>
      </c>
      <c r="J694" s="33">
        <v>0</v>
      </c>
      <c r="K694" s="33">
        <v>0</v>
      </c>
      <c r="L694" s="33">
        <v>0</v>
      </c>
      <c r="M694">
        <v>1</v>
      </c>
      <c r="N694">
        <v>0</v>
      </c>
      <c r="O694">
        <v>1</v>
      </c>
      <c r="P694">
        <v>285</v>
      </c>
      <c r="Q694">
        <v>59</v>
      </c>
      <c r="R694">
        <v>0</v>
      </c>
      <c r="S694">
        <v>0</v>
      </c>
      <c r="T694">
        <v>0</v>
      </c>
      <c r="U694">
        <v>0</v>
      </c>
      <c r="V694">
        <v>0</v>
      </c>
      <c r="W694">
        <v>0</v>
      </c>
      <c r="X694" s="23">
        <v>0</v>
      </c>
      <c r="Y694" s="23">
        <v>0</v>
      </c>
      <c r="Z694" s="23" t="s">
        <v>54</v>
      </c>
      <c r="AA694" s="23" t="s">
        <v>54</v>
      </c>
      <c r="AB694">
        <v>0</v>
      </c>
      <c r="AC694">
        <v>0</v>
      </c>
      <c r="AD694">
        <v>0</v>
      </c>
      <c r="AE694">
        <v>0</v>
      </c>
      <c r="AF694" s="23" t="s">
        <v>54</v>
      </c>
      <c r="AG694" s="23" t="s">
        <v>54</v>
      </c>
      <c r="AH694" s="23" t="s">
        <v>54</v>
      </c>
      <c r="AI694" s="23" t="s">
        <v>54</v>
      </c>
      <c r="AJ694">
        <v>0</v>
      </c>
      <c r="AK694">
        <v>2</v>
      </c>
      <c r="AL694">
        <v>2</v>
      </c>
      <c r="AM694">
        <v>0</v>
      </c>
      <c r="AN694" s="23" t="s">
        <v>54</v>
      </c>
      <c r="AO694" s="23">
        <v>0</v>
      </c>
      <c r="AP694" s="23">
        <v>0</v>
      </c>
      <c r="AQ694" s="23" t="s">
        <v>54</v>
      </c>
      <c r="AR694" s="35">
        <v>0</v>
      </c>
      <c r="AS694" s="35">
        <v>0</v>
      </c>
      <c r="AT694" s="35">
        <v>1</v>
      </c>
      <c r="AU694" s="31" t="str">
        <f t="shared" si="13"/>
        <v>库存为1</v>
      </c>
      <c r="AV694" s="36" t="str">
        <f>IFERROR($A$2+AU694,"上周无销量")</f>
        <v>上周无销量</v>
      </c>
    </row>
    <row r="695" spans="1:48">
      <c r="A695" s="21" t="s">
        <v>1461</v>
      </c>
      <c r="B695" t="s">
        <v>1462</v>
      </c>
      <c r="C695" t="s">
        <v>1414</v>
      </c>
      <c r="D695" s="31">
        <v>0</v>
      </c>
      <c r="E695" s="31">
        <v>0</v>
      </c>
      <c r="F695" s="31">
        <v>0</v>
      </c>
      <c r="G695" s="31">
        <v>0</v>
      </c>
      <c r="H695" s="32">
        <v>0</v>
      </c>
      <c r="I695">
        <v>4</v>
      </c>
      <c r="J695" s="33">
        <v>0</v>
      </c>
      <c r="K695" s="33">
        <v>0</v>
      </c>
      <c r="L695" s="33">
        <v>0</v>
      </c>
      <c r="M695">
        <v>4</v>
      </c>
      <c r="N695">
        <v>0</v>
      </c>
      <c r="O695">
        <v>4</v>
      </c>
      <c r="P695" t="s">
        <v>54</v>
      </c>
      <c r="Q695" t="s">
        <v>54</v>
      </c>
      <c r="R695" t="s">
        <v>54</v>
      </c>
      <c r="S695" t="s">
        <v>54</v>
      </c>
      <c r="T695" t="s">
        <v>54</v>
      </c>
      <c r="U695" t="s">
        <v>54</v>
      </c>
      <c r="V695" t="s">
        <v>54</v>
      </c>
      <c r="W695" t="s">
        <v>54</v>
      </c>
      <c r="X695" s="23" t="s">
        <v>54</v>
      </c>
      <c r="Y695" s="23" t="s">
        <v>54</v>
      </c>
      <c r="Z695" s="23" t="s">
        <v>54</v>
      </c>
      <c r="AA695" s="23" t="s">
        <v>54</v>
      </c>
      <c r="AB695" t="s">
        <v>54</v>
      </c>
      <c r="AC695" t="s">
        <v>54</v>
      </c>
      <c r="AD695" t="s">
        <v>54</v>
      </c>
      <c r="AE695" t="s">
        <v>54</v>
      </c>
      <c r="AF695" s="23" t="s">
        <v>54</v>
      </c>
      <c r="AG695" s="23" t="s">
        <v>54</v>
      </c>
      <c r="AH695" s="23" t="s">
        <v>54</v>
      </c>
      <c r="AI695" s="23" t="s">
        <v>54</v>
      </c>
      <c r="AJ695">
        <v>3</v>
      </c>
      <c r="AK695">
        <v>1</v>
      </c>
      <c r="AL695">
        <v>2</v>
      </c>
      <c r="AM695">
        <v>1</v>
      </c>
      <c r="AN695" s="23">
        <v>0</v>
      </c>
      <c r="AO695" s="23">
        <v>0</v>
      </c>
      <c r="AP695" s="23">
        <v>0</v>
      </c>
      <c r="AQ695" s="23">
        <v>0</v>
      </c>
      <c r="AR695" s="35">
        <v>0</v>
      </c>
      <c r="AS695" s="35">
        <v>0</v>
      </c>
      <c r="AT695" s="35">
        <v>4</v>
      </c>
      <c r="AU695" s="31" t="str">
        <f t="shared" si="13"/>
        <v>库存为4</v>
      </c>
      <c r="AV695" s="36" t="str">
        <f>IFERROR($A$2+AU695,"上周无销量")</f>
        <v>上周无销量</v>
      </c>
    </row>
    <row r="696" spans="1:48">
      <c r="A696" s="21" t="s">
        <v>1463</v>
      </c>
      <c r="B696" t="s">
        <v>1464</v>
      </c>
      <c r="C696" t="s">
        <v>1414</v>
      </c>
      <c r="D696" s="31">
        <v>0</v>
      </c>
      <c r="E696" s="31">
        <v>0</v>
      </c>
      <c r="F696" s="31">
        <v>0</v>
      </c>
      <c r="G696" s="31">
        <v>0</v>
      </c>
      <c r="H696" s="32">
        <v>0</v>
      </c>
      <c r="I696">
        <v>4</v>
      </c>
      <c r="J696" s="33">
        <v>0</v>
      </c>
      <c r="K696" s="33">
        <v>0</v>
      </c>
      <c r="L696" s="33">
        <v>0</v>
      </c>
      <c r="M696">
        <v>4</v>
      </c>
      <c r="N696">
        <v>0</v>
      </c>
      <c r="O696">
        <v>4</v>
      </c>
      <c r="P696" t="s">
        <v>54</v>
      </c>
      <c r="Q696" t="s">
        <v>54</v>
      </c>
      <c r="R696" t="s">
        <v>54</v>
      </c>
      <c r="S696" t="s">
        <v>54</v>
      </c>
      <c r="T696" t="s">
        <v>54</v>
      </c>
      <c r="U696" t="s">
        <v>54</v>
      </c>
      <c r="V696" t="s">
        <v>54</v>
      </c>
      <c r="W696" t="s">
        <v>54</v>
      </c>
      <c r="X696" s="23" t="s">
        <v>54</v>
      </c>
      <c r="Y696" s="23" t="s">
        <v>54</v>
      </c>
      <c r="Z696" s="23" t="s">
        <v>54</v>
      </c>
      <c r="AA696" s="23" t="s">
        <v>54</v>
      </c>
      <c r="AB696" t="s">
        <v>54</v>
      </c>
      <c r="AC696" t="s">
        <v>54</v>
      </c>
      <c r="AD696" t="s">
        <v>54</v>
      </c>
      <c r="AE696" t="s">
        <v>54</v>
      </c>
      <c r="AF696" s="23" t="s">
        <v>54</v>
      </c>
      <c r="AG696" s="23" t="s">
        <v>54</v>
      </c>
      <c r="AH696" s="23" t="s">
        <v>54</v>
      </c>
      <c r="AI696" s="23" t="s">
        <v>54</v>
      </c>
      <c r="AJ696">
        <v>2</v>
      </c>
      <c r="AK696">
        <v>2</v>
      </c>
      <c r="AL696">
        <v>2</v>
      </c>
      <c r="AM696">
        <v>3</v>
      </c>
      <c r="AN696" s="23">
        <v>0</v>
      </c>
      <c r="AO696" s="23">
        <v>0</v>
      </c>
      <c r="AP696" s="23">
        <v>0</v>
      </c>
      <c r="AQ696" s="23">
        <v>0</v>
      </c>
      <c r="AR696" s="35">
        <v>0</v>
      </c>
      <c r="AS696" s="35">
        <v>0</v>
      </c>
      <c r="AT696" s="35">
        <v>4</v>
      </c>
      <c r="AU696" s="31" t="str">
        <f t="shared" si="13"/>
        <v>库存为4</v>
      </c>
      <c r="AV696" s="36" t="str">
        <f>IFERROR($A$2+AU696,"上周无销量")</f>
        <v>上周无销量</v>
      </c>
    </row>
    <row r="697" spans="1:48">
      <c r="A697" s="21" t="s">
        <v>1465</v>
      </c>
      <c r="B697" t="s">
        <v>1466</v>
      </c>
      <c r="C697" t="s">
        <v>1414</v>
      </c>
      <c r="D697" s="31">
        <v>0</v>
      </c>
      <c r="E697" s="31">
        <v>0</v>
      </c>
      <c r="F697" s="31">
        <v>0</v>
      </c>
      <c r="G697" s="31">
        <v>0</v>
      </c>
      <c r="H697" s="32">
        <v>0</v>
      </c>
      <c r="I697">
        <v>4</v>
      </c>
      <c r="J697" s="33">
        <v>0</v>
      </c>
      <c r="K697" s="33">
        <v>0</v>
      </c>
      <c r="L697" s="33">
        <v>0</v>
      </c>
      <c r="M697">
        <v>4</v>
      </c>
      <c r="N697">
        <v>0</v>
      </c>
      <c r="O697">
        <v>4</v>
      </c>
      <c r="P697" t="s">
        <v>54</v>
      </c>
      <c r="Q697" t="s">
        <v>54</v>
      </c>
      <c r="R697" t="s">
        <v>54</v>
      </c>
      <c r="S697" t="s">
        <v>54</v>
      </c>
      <c r="T697" t="s">
        <v>54</v>
      </c>
      <c r="U697" t="s">
        <v>54</v>
      </c>
      <c r="V697" t="s">
        <v>54</v>
      </c>
      <c r="W697" t="s">
        <v>54</v>
      </c>
      <c r="X697" s="23" t="s">
        <v>54</v>
      </c>
      <c r="Y697" s="23" t="s">
        <v>54</v>
      </c>
      <c r="Z697" s="23" t="s">
        <v>54</v>
      </c>
      <c r="AA697" s="23" t="s">
        <v>54</v>
      </c>
      <c r="AB697" t="s">
        <v>54</v>
      </c>
      <c r="AC697" t="s">
        <v>54</v>
      </c>
      <c r="AD697" t="s">
        <v>54</v>
      </c>
      <c r="AE697" t="s">
        <v>54</v>
      </c>
      <c r="AF697" s="23" t="s">
        <v>54</v>
      </c>
      <c r="AG697" s="23" t="s">
        <v>54</v>
      </c>
      <c r="AH697" s="23" t="s">
        <v>54</v>
      </c>
      <c r="AI697" s="23" t="s">
        <v>54</v>
      </c>
      <c r="AJ697">
        <v>2</v>
      </c>
      <c r="AK697">
        <v>3</v>
      </c>
      <c r="AL697">
        <v>1</v>
      </c>
      <c r="AM697">
        <v>1</v>
      </c>
      <c r="AN697" s="23">
        <v>0</v>
      </c>
      <c r="AO697" s="23">
        <v>0</v>
      </c>
      <c r="AP697" s="23">
        <v>0</v>
      </c>
      <c r="AQ697" s="23">
        <v>0</v>
      </c>
      <c r="AR697" s="35">
        <v>0</v>
      </c>
      <c r="AS697" s="35">
        <v>0</v>
      </c>
      <c r="AT697" s="35">
        <v>4</v>
      </c>
      <c r="AU697" s="31" t="str">
        <f t="shared" si="13"/>
        <v>库存为4</v>
      </c>
      <c r="AV697" s="36" t="str">
        <f>IFERROR($A$2+AU697,"上周无销量")</f>
        <v>上周无销量</v>
      </c>
    </row>
    <row r="698" spans="1:48">
      <c r="A698" s="21" t="s">
        <v>1467</v>
      </c>
      <c r="B698" t="s">
        <v>1468</v>
      </c>
      <c r="C698" t="s">
        <v>1414</v>
      </c>
      <c r="D698" s="31">
        <v>0</v>
      </c>
      <c r="E698" s="31">
        <v>0</v>
      </c>
      <c r="F698" s="31">
        <v>0</v>
      </c>
      <c r="G698" s="31">
        <v>0</v>
      </c>
      <c r="H698" s="32">
        <v>0</v>
      </c>
      <c r="I698">
        <v>3</v>
      </c>
      <c r="J698" s="33">
        <v>0</v>
      </c>
      <c r="K698" s="33">
        <v>0</v>
      </c>
      <c r="L698" s="33">
        <v>0</v>
      </c>
      <c r="M698">
        <v>3</v>
      </c>
      <c r="N698">
        <v>0</v>
      </c>
      <c r="O698">
        <v>3</v>
      </c>
      <c r="P698" t="s">
        <v>54</v>
      </c>
      <c r="Q698" t="s">
        <v>54</v>
      </c>
      <c r="R698" t="s">
        <v>54</v>
      </c>
      <c r="S698" t="s">
        <v>54</v>
      </c>
      <c r="T698" t="s">
        <v>54</v>
      </c>
      <c r="U698" t="s">
        <v>54</v>
      </c>
      <c r="V698" t="s">
        <v>54</v>
      </c>
      <c r="W698" t="s">
        <v>54</v>
      </c>
      <c r="X698" s="23" t="s">
        <v>54</v>
      </c>
      <c r="Y698" s="23" t="s">
        <v>54</v>
      </c>
      <c r="Z698" s="23" t="s">
        <v>54</v>
      </c>
      <c r="AA698" s="23" t="s">
        <v>54</v>
      </c>
      <c r="AB698" t="s">
        <v>54</v>
      </c>
      <c r="AC698" t="s">
        <v>54</v>
      </c>
      <c r="AD698" t="s">
        <v>54</v>
      </c>
      <c r="AE698" t="s">
        <v>54</v>
      </c>
      <c r="AF698" s="23" t="s">
        <v>54</v>
      </c>
      <c r="AG698" s="23" t="s">
        <v>54</v>
      </c>
      <c r="AH698" s="23" t="s">
        <v>54</v>
      </c>
      <c r="AI698" s="23" t="s">
        <v>54</v>
      </c>
      <c r="AJ698">
        <v>1</v>
      </c>
      <c r="AK698">
        <v>1</v>
      </c>
      <c r="AL698">
        <v>2</v>
      </c>
      <c r="AM698">
        <v>0</v>
      </c>
      <c r="AN698" s="23">
        <v>0</v>
      </c>
      <c r="AO698" s="23">
        <v>0</v>
      </c>
      <c r="AP698" s="23">
        <v>0</v>
      </c>
      <c r="AQ698" s="23" t="s">
        <v>54</v>
      </c>
      <c r="AR698" s="35">
        <v>0</v>
      </c>
      <c r="AS698" s="35">
        <v>0</v>
      </c>
      <c r="AT698" s="35">
        <v>3</v>
      </c>
      <c r="AU698" s="31" t="str">
        <f t="shared" si="13"/>
        <v>库存为3</v>
      </c>
      <c r="AV698" s="36" t="str">
        <f>IFERROR($A$2+AU698,"上周无销量")</f>
        <v>上周无销量</v>
      </c>
    </row>
    <row r="699" spans="1:48">
      <c r="A699" s="21" t="s">
        <v>1469</v>
      </c>
      <c r="B699" t="s">
        <v>1470</v>
      </c>
      <c r="C699" t="s">
        <v>1414</v>
      </c>
      <c r="D699" s="31">
        <v>0</v>
      </c>
      <c r="E699" s="31">
        <v>0</v>
      </c>
      <c r="F699" s="31">
        <v>0</v>
      </c>
      <c r="G699" s="31">
        <v>0</v>
      </c>
      <c r="H699" s="32">
        <v>0</v>
      </c>
      <c r="I699">
        <v>4</v>
      </c>
      <c r="J699" s="33">
        <v>0</v>
      </c>
      <c r="K699" s="33">
        <v>0</v>
      </c>
      <c r="L699" s="33">
        <v>0</v>
      </c>
      <c r="M699">
        <v>4</v>
      </c>
      <c r="N699">
        <v>0</v>
      </c>
      <c r="O699">
        <v>4</v>
      </c>
      <c r="P699" t="s">
        <v>54</v>
      </c>
      <c r="Q699" t="s">
        <v>54</v>
      </c>
      <c r="R699" t="s">
        <v>54</v>
      </c>
      <c r="S699" t="s">
        <v>54</v>
      </c>
      <c r="T699" t="s">
        <v>54</v>
      </c>
      <c r="U699" t="s">
        <v>54</v>
      </c>
      <c r="V699" t="s">
        <v>54</v>
      </c>
      <c r="W699" t="s">
        <v>54</v>
      </c>
      <c r="X699" s="23" t="s">
        <v>54</v>
      </c>
      <c r="Y699" s="23" t="s">
        <v>54</v>
      </c>
      <c r="Z699" s="23" t="s">
        <v>54</v>
      </c>
      <c r="AA699" s="23" t="s">
        <v>54</v>
      </c>
      <c r="AB699" t="s">
        <v>54</v>
      </c>
      <c r="AC699" t="s">
        <v>54</v>
      </c>
      <c r="AD699" t="s">
        <v>54</v>
      </c>
      <c r="AE699" t="s">
        <v>54</v>
      </c>
      <c r="AF699" s="23" t="s">
        <v>54</v>
      </c>
      <c r="AG699" s="23" t="s">
        <v>54</v>
      </c>
      <c r="AH699" s="23" t="s">
        <v>54</v>
      </c>
      <c r="AI699" s="23" t="s">
        <v>54</v>
      </c>
      <c r="AJ699">
        <v>2</v>
      </c>
      <c r="AK699">
        <v>2</v>
      </c>
      <c r="AL699">
        <v>2</v>
      </c>
      <c r="AM699">
        <v>1</v>
      </c>
      <c r="AN699" s="23">
        <v>0</v>
      </c>
      <c r="AO699" s="23">
        <v>0</v>
      </c>
      <c r="AP699" s="23">
        <v>0</v>
      </c>
      <c r="AQ699" s="23">
        <v>0</v>
      </c>
      <c r="AR699" s="35">
        <v>0</v>
      </c>
      <c r="AS699" s="35">
        <v>0</v>
      </c>
      <c r="AT699" s="35">
        <v>4</v>
      </c>
      <c r="AU699" s="31" t="str">
        <f t="shared" si="13"/>
        <v>库存为4</v>
      </c>
      <c r="AV699" s="36" t="str">
        <f>IFERROR($A$2+AU699,"上周无销量")</f>
        <v>上周无销量</v>
      </c>
    </row>
    <row r="700" spans="1:48">
      <c r="A700" s="21" t="s">
        <v>1471</v>
      </c>
      <c r="B700" t="s">
        <v>1472</v>
      </c>
      <c r="C700" t="s">
        <v>1414</v>
      </c>
      <c r="D700" s="31">
        <v>0</v>
      </c>
      <c r="E700" s="31">
        <v>0</v>
      </c>
      <c r="F700" s="31">
        <v>0</v>
      </c>
      <c r="G700" s="31">
        <v>0</v>
      </c>
      <c r="H700" s="32">
        <v>0</v>
      </c>
      <c r="I700">
        <v>4</v>
      </c>
      <c r="J700" s="33">
        <v>0</v>
      </c>
      <c r="K700" s="33">
        <v>0</v>
      </c>
      <c r="L700" s="33">
        <v>0</v>
      </c>
      <c r="M700">
        <v>4</v>
      </c>
      <c r="N700">
        <v>0</v>
      </c>
      <c r="O700">
        <v>4</v>
      </c>
      <c r="P700" t="s">
        <v>54</v>
      </c>
      <c r="Q700" t="s">
        <v>54</v>
      </c>
      <c r="R700" t="s">
        <v>54</v>
      </c>
      <c r="S700" t="s">
        <v>54</v>
      </c>
      <c r="T700" t="s">
        <v>54</v>
      </c>
      <c r="U700" t="s">
        <v>54</v>
      </c>
      <c r="V700" t="s">
        <v>54</v>
      </c>
      <c r="W700" t="s">
        <v>54</v>
      </c>
      <c r="X700" s="23" t="s">
        <v>54</v>
      </c>
      <c r="Y700" s="23" t="s">
        <v>54</v>
      </c>
      <c r="Z700" s="23" t="s">
        <v>54</v>
      </c>
      <c r="AA700" s="23" t="s">
        <v>54</v>
      </c>
      <c r="AB700" t="s">
        <v>54</v>
      </c>
      <c r="AC700" t="s">
        <v>54</v>
      </c>
      <c r="AD700" t="s">
        <v>54</v>
      </c>
      <c r="AE700" t="s">
        <v>54</v>
      </c>
      <c r="AF700" s="23" t="s">
        <v>54</v>
      </c>
      <c r="AG700" s="23" t="s">
        <v>54</v>
      </c>
      <c r="AH700" s="23" t="s">
        <v>54</v>
      </c>
      <c r="AI700" s="23" t="s">
        <v>54</v>
      </c>
      <c r="AJ700">
        <v>0</v>
      </c>
      <c r="AK700">
        <v>1</v>
      </c>
      <c r="AL700">
        <v>2</v>
      </c>
      <c r="AM700">
        <v>0</v>
      </c>
      <c r="AN700" s="23" t="s">
        <v>54</v>
      </c>
      <c r="AO700" s="23">
        <v>0</v>
      </c>
      <c r="AP700" s="23">
        <v>0</v>
      </c>
      <c r="AQ700" s="23" t="s">
        <v>54</v>
      </c>
      <c r="AR700" s="35">
        <v>0</v>
      </c>
      <c r="AS700" s="35">
        <v>0</v>
      </c>
      <c r="AT700" s="35">
        <v>4</v>
      </c>
      <c r="AU700" s="31" t="str">
        <f t="shared" si="13"/>
        <v>库存为4</v>
      </c>
      <c r="AV700" s="36" t="str">
        <f>IFERROR($A$2+AU700,"上周无销量")</f>
        <v>上周无销量</v>
      </c>
    </row>
    <row r="701" spans="1:48">
      <c r="A701" s="21" t="s">
        <v>1473</v>
      </c>
      <c r="B701" t="s">
        <v>1474</v>
      </c>
      <c r="C701" t="s">
        <v>1414</v>
      </c>
      <c r="D701" s="31">
        <v>0</v>
      </c>
      <c r="E701" s="31">
        <v>0</v>
      </c>
      <c r="F701" s="31">
        <v>0</v>
      </c>
      <c r="G701" s="31">
        <v>0</v>
      </c>
      <c r="H701" s="32">
        <v>0</v>
      </c>
      <c r="I701">
        <v>4</v>
      </c>
      <c r="J701" s="33">
        <v>0</v>
      </c>
      <c r="K701" s="33">
        <v>0</v>
      </c>
      <c r="L701" s="33">
        <v>0</v>
      </c>
      <c r="M701">
        <v>4</v>
      </c>
      <c r="N701">
        <v>0</v>
      </c>
      <c r="O701">
        <v>4</v>
      </c>
      <c r="P701" t="s">
        <v>54</v>
      </c>
      <c r="Q701" t="s">
        <v>54</v>
      </c>
      <c r="R701" t="s">
        <v>54</v>
      </c>
      <c r="S701" t="s">
        <v>54</v>
      </c>
      <c r="T701" t="s">
        <v>54</v>
      </c>
      <c r="U701" t="s">
        <v>54</v>
      </c>
      <c r="V701" t="s">
        <v>54</v>
      </c>
      <c r="W701" t="s">
        <v>54</v>
      </c>
      <c r="X701" s="23" t="s">
        <v>54</v>
      </c>
      <c r="Y701" s="23" t="s">
        <v>54</v>
      </c>
      <c r="Z701" s="23" t="s">
        <v>54</v>
      </c>
      <c r="AA701" s="23" t="s">
        <v>54</v>
      </c>
      <c r="AB701" t="s">
        <v>54</v>
      </c>
      <c r="AC701" t="s">
        <v>54</v>
      </c>
      <c r="AD701" t="s">
        <v>54</v>
      </c>
      <c r="AE701" t="s">
        <v>54</v>
      </c>
      <c r="AF701" s="23" t="s">
        <v>54</v>
      </c>
      <c r="AG701" s="23" t="s">
        <v>54</v>
      </c>
      <c r="AH701" s="23" t="s">
        <v>54</v>
      </c>
      <c r="AI701" s="23" t="s">
        <v>54</v>
      </c>
      <c r="AJ701">
        <v>0</v>
      </c>
      <c r="AK701">
        <v>2</v>
      </c>
      <c r="AL701">
        <v>2</v>
      </c>
      <c r="AM701">
        <v>2</v>
      </c>
      <c r="AN701" s="23" t="s">
        <v>54</v>
      </c>
      <c r="AO701" s="23">
        <v>0</v>
      </c>
      <c r="AP701" s="23">
        <v>0</v>
      </c>
      <c r="AQ701" s="23">
        <v>0</v>
      </c>
      <c r="AR701" s="35">
        <v>0</v>
      </c>
      <c r="AS701" s="35">
        <v>0</v>
      </c>
      <c r="AT701" s="35">
        <v>4</v>
      </c>
      <c r="AU701" s="31" t="str">
        <f t="shared" si="13"/>
        <v>库存为4</v>
      </c>
      <c r="AV701" s="36" t="str">
        <f>IFERROR($A$2+AU701,"上周无销量")</f>
        <v>上周无销量</v>
      </c>
    </row>
    <row r="702" spans="1:48">
      <c r="A702" s="21" t="s">
        <v>1475</v>
      </c>
      <c r="B702" t="s">
        <v>1476</v>
      </c>
      <c r="C702" t="s">
        <v>1414</v>
      </c>
      <c r="D702" s="31">
        <v>0</v>
      </c>
      <c r="E702" s="31">
        <v>0</v>
      </c>
      <c r="F702" s="31">
        <v>0</v>
      </c>
      <c r="G702" s="31">
        <v>0</v>
      </c>
      <c r="H702" s="32">
        <v>0</v>
      </c>
      <c r="I702">
        <v>4</v>
      </c>
      <c r="J702" s="33">
        <v>0</v>
      </c>
      <c r="K702" s="33">
        <v>0</v>
      </c>
      <c r="L702" s="33">
        <v>0</v>
      </c>
      <c r="M702">
        <v>4</v>
      </c>
      <c r="N702">
        <v>0</v>
      </c>
      <c r="O702">
        <v>4</v>
      </c>
      <c r="P702" t="s">
        <v>54</v>
      </c>
      <c r="Q702" t="s">
        <v>54</v>
      </c>
      <c r="R702" t="s">
        <v>54</v>
      </c>
      <c r="S702" t="s">
        <v>54</v>
      </c>
      <c r="T702" t="s">
        <v>54</v>
      </c>
      <c r="U702" t="s">
        <v>54</v>
      </c>
      <c r="V702" t="s">
        <v>54</v>
      </c>
      <c r="W702" t="s">
        <v>54</v>
      </c>
      <c r="X702" s="23" t="s">
        <v>54</v>
      </c>
      <c r="Y702" s="23" t="s">
        <v>54</v>
      </c>
      <c r="Z702" s="23" t="s">
        <v>54</v>
      </c>
      <c r="AA702" s="23" t="s">
        <v>54</v>
      </c>
      <c r="AB702" t="s">
        <v>54</v>
      </c>
      <c r="AC702" t="s">
        <v>54</v>
      </c>
      <c r="AD702" t="s">
        <v>54</v>
      </c>
      <c r="AE702" t="s">
        <v>54</v>
      </c>
      <c r="AF702" s="23" t="s">
        <v>54</v>
      </c>
      <c r="AG702" s="23" t="s">
        <v>54</v>
      </c>
      <c r="AH702" s="23" t="s">
        <v>54</v>
      </c>
      <c r="AI702" s="23" t="s">
        <v>54</v>
      </c>
      <c r="AJ702">
        <v>2</v>
      </c>
      <c r="AK702">
        <v>3</v>
      </c>
      <c r="AL702">
        <v>3</v>
      </c>
      <c r="AM702">
        <v>1</v>
      </c>
      <c r="AN702" s="23">
        <v>0</v>
      </c>
      <c r="AO702" s="23">
        <v>0</v>
      </c>
      <c r="AP702" s="23">
        <v>0</v>
      </c>
      <c r="AQ702" s="23">
        <v>0</v>
      </c>
      <c r="AR702" s="35">
        <v>0</v>
      </c>
      <c r="AS702" s="35">
        <v>0</v>
      </c>
      <c r="AT702" s="35">
        <v>4</v>
      </c>
      <c r="AU702" s="31" t="str">
        <f t="shared" si="13"/>
        <v>库存为4</v>
      </c>
      <c r="AV702" s="36" t="str">
        <f>IFERROR($A$2+AU702,"上周无销量")</f>
        <v>上周无销量</v>
      </c>
    </row>
    <row r="703" spans="1:48">
      <c r="A703" s="21" t="s">
        <v>1477</v>
      </c>
      <c r="B703" t="s">
        <v>1478</v>
      </c>
      <c r="C703" t="s">
        <v>1414</v>
      </c>
      <c r="D703" s="31">
        <v>0</v>
      </c>
      <c r="E703" s="31">
        <v>0</v>
      </c>
      <c r="F703" s="31">
        <v>0</v>
      </c>
      <c r="G703" s="31">
        <v>0</v>
      </c>
      <c r="H703" s="32">
        <v>0</v>
      </c>
      <c r="I703">
        <v>4</v>
      </c>
      <c r="J703" s="33">
        <v>0</v>
      </c>
      <c r="K703" s="33">
        <v>0</v>
      </c>
      <c r="L703" s="33">
        <v>0</v>
      </c>
      <c r="M703">
        <v>4</v>
      </c>
      <c r="N703">
        <v>0</v>
      </c>
      <c r="O703">
        <v>4</v>
      </c>
      <c r="P703" t="s">
        <v>54</v>
      </c>
      <c r="Q703" t="s">
        <v>54</v>
      </c>
      <c r="R703" t="s">
        <v>54</v>
      </c>
      <c r="S703" t="s">
        <v>54</v>
      </c>
      <c r="T703" t="s">
        <v>54</v>
      </c>
      <c r="U703" t="s">
        <v>54</v>
      </c>
      <c r="V703" t="s">
        <v>54</v>
      </c>
      <c r="W703" t="s">
        <v>54</v>
      </c>
      <c r="X703" s="23" t="s">
        <v>54</v>
      </c>
      <c r="Y703" s="23" t="s">
        <v>54</v>
      </c>
      <c r="Z703" s="23" t="s">
        <v>54</v>
      </c>
      <c r="AA703" s="23" t="s">
        <v>54</v>
      </c>
      <c r="AB703" t="s">
        <v>54</v>
      </c>
      <c r="AC703" t="s">
        <v>54</v>
      </c>
      <c r="AD703" t="s">
        <v>54</v>
      </c>
      <c r="AE703" t="s">
        <v>54</v>
      </c>
      <c r="AF703" s="23" t="s">
        <v>54</v>
      </c>
      <c r="AG703" s="23" t="s">
        <v>54</v>
      </c>
      <c r="AH703" s="23" t="s">
        <v>54</v>
      </c>
      <c r="AI703" s="23" t="s">
        <v>54</v>
      </c>
      <c r="AJ703">
        <v>1</v>
      </c>
      <c r="AK703">
        <v>3</v>
      </c>
      <c r="AL703">
        <v>1</v>
      </c>
      <c r="AM703">
        <v>2</v>
      </c>
      <c r="AN703" s="23">
        <v>0</v>
      </c>
      <c r="AO703" s="23">
        <v>0</v>
      </c>
      <c r="AP703" s="23">
        <v>0</v>
      </c>
      <c r="AQ703" s="23">
        <v>0</v>
      </c>
      <c r="AR703" s="35">
        <v>0</v>
      </c>
      <c r="AS703" s="35">
        <v>0</v>
      </c>
      <c r="AT703" s="35">
        <v>4</v>
      </c>
      <c r="AU703" s="31" t="str">
        <f t="shared" si="13"/>
        <v>库存为4</v>
      </c>
      <c r="AV703" s="36" t="str">
        <f>IFERROR($A$2+AU703,"上周无销量")</f>
        <v>上周无销量</v>
      </c>
    </row>
    <row r="704" spans="1:48">
      <c r="A704" s="21" t="s">
        <v>1479</v>
      </c>
      <c r="B704" t="s">
        <v>1480</v>
      </c>
      <c r="C704" t="s">
        <v>1414</v>
      </c>
      <c r="D704" s="31">
        <v>0</v>
      </c>
      <c r="E704" s="31">
        <v>0</v>
      </c>
      <c r="F704" s="31">
        <v>0</v>
      </c>
      <c r="G704" s="31">
        <v>0</v>
      </c>
      <c r="H704" s="32">
        <v>0</v>
      </c>
      <c r="I704">
        <v>4</v>
      </c>
      <c r="J704" s="33">
        <v>0</v>
      </c>
      <c r="K704" s="33">
        <v>0</v>
      </c>
      <c r="L704" s="33">
        <v>0</v>
      </c>
      <c r="M704">
        <v>4</v>
      </c>
      <c r="N704">
        <v>0</v>
      </c>
      <c r="O704">
        <v>4</v>
      </c>
      <c r="P704" t="s">
        <v>54</v>
      </c>
      <c r="Q704" t="s">
        <v>54</v>
      </c>
      <c r="R704" t="s">
        <v>54</v>
      </c>
      <c r="S704" t="s">
        <v>54</v>
      </c>
      <c r="T704" t="s">
        <v>54</v>
      </c>
      <c r="U704" t="s">
        <v>54</v>
      </c>
      <c r="V704" t="s">
        <v>54</v>
      </c>
      <c r="W704" t="s">
        <v>54</v>
      </c>
      <c r="X704" s="23" t="s">
        <v>54</v>
      </c>
      <c r="Y704" s="23" t="s">
        <v>54</v>
      </c>
      <c r="Z704" s="23" t="s">
        <v>54</v>
      </c>
      <c r="AA704" s="23" t="s">
        <v>54</v>
      </c>
      <c r="AB704" t="s">
        <v>54</v>
      </c>
      <c r="AC704" t="s">
        <v>54</v>
      </c>
      <c r="AD704" t="s">
        <v>54</v>
      </c>
      <c r="AE704" t="s">
        <v>54</v>
      </c>
      <c r="AF704" s="23" t="s">
        <v>54</v>
      </c>
      <c r="AG704" s="23" t="s">
        <v>54</v>
      </c>
      <c r="AH704" s="23" t="s">
        <v>54</v>
      </c>
      <c r="AI704" s="23" t="s">
        <v>54</v>
      </c>
      <c r="AJ704">
        <v>2</v>
      </c>
      <c r="AK704">
        <v>3</v>
      </c>
      <c r="AL704">
        <v>0</v>
      </c>
      <c r="AM704">
        <v>1</v>
      </c>
      <c r="AN704" s="23">
        <v>0</v>
      </c>
      <c r="AO704" s="23">
        <v>0</v>
      </c>
      <c r="AP704" s="23" t="s">
        <v>54</v>
      </c>
      <c r="AQ704" s="23">
        <v>0</v>
      </c>
      <c r="AR704" s="35">
        <v>0</v>
      </c>
      <c r="AS704" s="35">
        <v>0</v>
      </c>
      <c r="AT704" s="35">
        <v>4</v>
      </c>
      <c r="AU704" s="31" t="str">
        <f t="shared" si="13"/>
        <v>库存为4</v>
      </c>
      <c r="AV704" s="36" t="str">
        <f>IFERROR($A$2+AU704,"上周无销量")</f>
        <v>上周无销量</v>
      </c>
    </row>
    <row r="705" spans="1:48">
      <c r="A705" s="21" t="s">
        <v>1481</v>
      </c>
      <c r="B705" t="s">
        <v>1482</v>
      </c>
      <c r="C705" t="s">
        <v>1414</v>
      </c>
      <c r="D705" s="31">
        <v>0</v>
      </c>
      <c r="E705" s="31">
        <v>0</v>
      </c>
      <c r="F705" s="31">
        <v>0</v>
      </c>
      <c r="G705" s="31">
        <v>0</v>
      </c>
      <c r="H705" s="32">
        <v>0</v>
      </c>
      <c r="I705">
        <v>4</v>
      </c>
      <c r="J705" s="33">
        <v>0</v>
      </c>
      <c r="K705" s="33">
        <v>0</v>
      </c>
      <c r="L705" s="33">
        <v>0</v>
      </c>
      <c r="M705">
        <v>4</v>
      </c>
      <c r="N705">
        <v>0</v>
      </c>
      <c r="O705">
        <v>4</v>
      </c>
      <c r="P705" t="s">
        <v>54</v>
      </c>
      <c r="Q705" t="s">
        <v>54</v>
      </c>
      <c r="R705" t="s">
        <v>54</v>
      </c>
      <c r="S705" t="s">
        <v>54</v>
      </c>
      <c r="T705" t="s">
        <v>54</v>
      </c>
      <c r="U705" t="s">
        <v>54</v>
      </c>
      <c r="V705" t="s">
        <v>54</v>
      </c>
      <c r="W705" t="s">
        <v>54</v>
      </c>
      <c r="X705" s="23" t="s">
        <v>54</v>
      </c>
      <c r="Y705" s="23" t="s">
        <v>54</v>
      </c>
      <c r="Z705" s="23" t="s">
        <v>54</v>
      </c>
      <c r="AA705" s="23" t="s">
        <v>54</v>
      </c>
      <c r="AB705" t="s">
        <v>54</v>
      </c>
      <c r="AC705" t="s">
        <v>54</v>
      </c>
      <c r="AD705" t="s">
        <v>54</v>
      </c>
      <c r="AE705" t="s">
        <v>54</v>
      </c>
      <c r="AF705" s="23" t="s">
        <v>54</v>
      </c>
      <c r="AG705" s="23" t="s">
        <v>54</v>
      </c>
      <c r="AH705" s="23" t="s">
        <v>54</v>
      </c>
      <c r="AI705" s="23" t="s">
        <v>54</v>
      </c>
      <c r="AJ705">
        <v>2</v>
      </c>
      <c r="AK705">
        <v>4</v>
      </c>
      <c r="AL705">
        <v>1</v>
      </c>
      <c r="AM705">
        <v>1</v>
      </c>
      <c r="AN705" s="23">
        <v>0</v>
      </c>
      <c r="AO705" s="23">
        <v>0</v>
      </c>
      <c r="AP705" s="23">
        <v>0</v>
      </c>
      <c r="AQ705" s="23">
        <v>0</v>
      </c>
      <c r="AR705" s="35">
        <v>0</v>
      </c>
      <c r="AS705" s="35">
        <v>0</v>
      </c>
      <c r="AT705" s="35">
        <v>4</v>
      </c>
      <c r="AU705" s="31" t="str">
        <f t="shared" si="13"/>
        <v>库存为4</v>
      </c>
      <c r="AV705" s="36" t="str">
        <f>IFERROR($A$2+AU705,"上周无销量")</f>
        <v>上周无销量</v>
      </c>
    </row>
    <row r="706" spans="1:48">
      <c r="A706" s="21" t="s">
        <v>1483</v>
      </c>
      <c r="B706" t="s">
        <v>1484</v>
      </c>
      <c r="C706" t="s">
        <v>1414</v>
      </c>
      <c r="D706" s="31">
        <v>0</v>
      </c>
      <c r="E706" s="31">
        <v>0</v>
      </c>
      <c r="F706" s="31">
        <v>0</v>
      </c>
      <c r="G706" s="31">
        <v>0</v>
      </c>
      <c r="H706" s="32">
        <v>0</v>
      </c>
      <c r="I706">
        <v>3</v>
      </c>
      <c r="J706" s="33">
        <v>0</v>
      </c>
      <c r="K706" s="33">
        <v>0</v>
      </c>
      <c r="L706" s="33">
        <v>0</v>
      </c>
      <c r="M706">
        <v>3</v>
      </c>
      <c r="N706">
        <v>0</v>
      </c>
      <c r="O706">
        <v>3</v>
      </c>
      <c r="P706" t="s">
        <v>54</v>
      </c>
      <c r="Q706" t="s">
        <v>54</v>
      </c>
      <c r="R706" t="s">
        <v>54</v>
      </c>
      <c r="S706" t="s">
        <v>54</v>
      </c>
      <c r="T706" t="s">
        <v>54</v>
      </c>
      <c r="U706" t="s">
        <v>54</v>
      </c>
      <c r="V706" t="s">
        <v>54</v>
      </c>
      <c r="W706" t="s">
        <v>54</v>
      </c>
      <c r="X706" s="23" t="s">
        <v>54</v>
      </c>
      <c r="Y706" s="23" t="s">
        <v>54</v>
      </c>
      <c r="Z706" s="23" t="s">
        <v>54</v>
      </c>
      <c r="AA706" s="23" t="s">
        <v>54</v>
      </c>
      <c r="AB706" t="s">
        <v>54</v>
      </c>
      <c r="AC706" t="s">
        <v>54</v>
      </c>
      <c r="AD706" t="s">
        <v>54</v>
      </c>
      <c r="AE706" t="s">
        <v>54</v>
      </c>
      <c r="AF706" s="23" t="s">
        <v>54</v>
      </c>
      <c r="AG706" s="23" t="s">
        <v>54</v>
      </c>
      <c r="AH706" s="23" t="s">
        <v>54</v>
      </c>
      <c r="AI706" s="23" t="s">
        <v>54</v>
      </c>
      <c r="AJ706">
        <v>2</v>
      </c>
      <c r="AK706">
        <v>1</v>
      </c>
      <c r="AL706">
        <v>2</v>
      </c>
      <c r="AM706">
        <v>1</v>
      </c>
      <c r="AN706" s="23">
        <v>0</v>
      </c>
      <c r="AO706" s="23">
        <v>0</v>
      </c>
      <c r="AP706" s="23">
        <v>0</v>
      </c>
      <c r="AQ706" s="23">
        <v>0</v>
      </c>
      <c r="AR706" s="35">
        <v>0</v>
      </c>
      <c r="AS706" s="35">
        <v>0</v>
      </c>
      <c r="AT706" s="35">
        <v>3</v>
      </c>
      <c r="AU706" s="31" t="str">
        <f t="shared" si="13"/>
        <v>库存为3</v>
      </c>
      <c r="AV706" s="36" t="str">
        <f>IFERROR($A$2+AU706,"上周无销量")</f>
        <v>上周无销量</v>
      </c>
    </row>
    <row r="707" spans="1:48">
      <c r="A707" s="21" t="s">
        <v>1485</v>
      </c>
      <c r="B707" t="s">
        <v>1486</v>
      </c>
      <c r="C707" t="s">
        <v>1487</v>
      </c>
      <c r="D707" s="31">
        <v>0</v>
      </c>
      <c r="E707" s="31">
        <v>0</v>
      </c>
      <c r="F707" s="31">
        <v>2</v>
      </c>
      <c r="G707" s="31">
        <v>0</v>
      </c>
      <c r="H707" s="32">
        <v>10</v>
      </c>
      <c r="I707">
        <v>0</v>
      </c>
      <c r="J707" s="33">
        <v>0</v>
      </c>
      <c r="K707" s="33">
        <v>0</v>
      </c>
      <c r="L707" s="33">
        <v>0</v>
      </c>
      <c r="M707">
        <v>0</v>
      </c>
      <c r="N707">
        <v>0</v>
      </c>
      <c r="O707">
        <v>0</v>
      </c>
      <c r="P707" t="s">
        <v>54</v>
      </c>
      <c r="Q707" t="s">
        <v>54</v>
      </c>
      <c r="R707" t="s">
        <v>54</v>
      </c>
      <c r="S707" t="s">
        <v>54</v>
      </c>
      <c r="T707" t="s">
        <v>54</v>
      </c>
      <c r="U707" t="s">
        <v>54</v>
      </c>
      <c r="V707" t="s">
        <v>54</v>
      </c>
      <c r="W707" t="s">
        <v>54</v>
      </c>
      <c r="X707" s="23" t="s">
        <v>54</v>
      </c>
      <c r="Y707" s="23" t="s">
        <v>54</v>
      </c>
      <c r="Z707" s="23" t="s">
        <v>54</v>
      </c>
      <c r="AA707" s="23" t="s">
        <v>54</v>
      </c>
      <c r="AB707" t="s">
        <v>54</v>
      </c>
      <c r="AC707" t="s">
        <v>54</v>
      </c>
      <c r="AD707" t="s">
        <v>54</v>
      </c>
      <c r="AE707" t="s">
        <v>54</v>
      </c>
      <c r="AF707" s="23" t="s">
        <v>54</v>
      </c>
      <c r="AG707" s="23" t="s">
        <v>54</v>
      </c>
      <c r="AH707" s="23" t="s">
        <v>54</v>
      </c>
      <c r="AI707" s="23" t="s">
        <v>54</v>
      </c>
      <c r="AJ707">
        <v>0</v>
      </c>
      <c r="AK707">
        <v>0</v>
      </c>
      <c r="AL707">
        <v>2</v>
      </c>
      <c r="AM707">
        <v>1</v>
      </c>
      <c r="AN707" s="23" t="s">
        <v>54</v>
      </c>
      <c r="AO707" s="23" t="s">
        <v>54</v>
      </c>
      <c r="AP707" s="23">
        <v>1</v>
      </c>
      <c r="AQ707" s="23">
        <v>0</v>
      </c>
      <c r="AR707" s="35">
        <v>0</v>
      </c>
      <c r="AS707" s="35">
        <v>0</v>
      </c>
      <c r="AT707" s="35">
        <v>0</v>
      </c>
      <c r="AU707" s="31" t="str">
        <f t="shared" si="13"/>
        <v>库存为0</v>
      </c>
      <c r="AV707" s="36" t="str">
        <f>IFERROR($A$2+AU707,"上周无销量")</f>
        <v>上周无销量</v>
      </c>
    </row>
    <row r="708" spans="1:48">
      <c r="A708" s="21" t="s">
        <v>1488</v>
      </c>
      <c r="B708" t="s">
        <v>1489</v>
      </c>
      <c r="C708" t="s">
        <v>1487</v>
      </c>
      <c r="D708" s="31">
        <v>0</v>
      </c>
      <c r="E708" s="31">
        <v>0</v>
      </c>
      <c r="F708" s="31">
        <v>0</v>
      </c>
      <c r="G708" s="31">
        <v>0</v>
      </c>
      <c r="H708" s="32">
        <v>0</v>
      </c>
      <c r="I708">
        <v>10</v>
      </c>
      <c r="J708" s="33">
        <v>0</v>
      </c>
      <c r="K708" s="33">
        <v>0</v>
      </c>
      <c r="L708" s="33">
        <v>0</v>
      </c>
      <c r="M708">
        <v>10</v>
      </c>
      <c r="N708">
        <v>0</v>
      </c>
      <c r="O708">
        <v>10</v>
      </c>
      <c r="P708">
        <v>252</v>
      </c>
      <c r="Q708">
        <v>151</v>
      </c>
      <c r="R708">
        <v>86</v>
      </c>
      <c r="S708">
        <v>79</v>
      </c>
      <c r="T708">
        <v>3</v>
      </c>
      <c r="U708">
        <v>2</v>
      </c>
      <c r="V708">
        <v>1</v>
      </c>
      <c r="W708">
        <v>2</v>
      </c>
      <c r="X708" s="23">
        <v>0.0119047619047619</v>
      </c>
      <c r="Y708" s="23">
        <v>0.0132450331125828</v>
      </c>
      <c r="Z708" s="23">
        <v>0.0116279069767442</v>
      </c>
      <c r="AA708" s="23">
        <v>0.0253164556962025</v>
      </c>
      <c r="AB708">
        <v>1.24</v>
      </c>
      <c r="AC708">
        <v>0.37</v>
      </c>
      <c r="AD708">
        <v>0.09</v>
      </c>
      <c r="AE708">
        <v>0.17</v>
      </c>
      <c r="AF708" s="23">
        <v>0</v>
      </c>
      <c r="AG708" s="23">
        <v>0</v>
      </c>
      <c r="AH708" s="23">
        <v>0</v>
      </c>
      <c r="AI708" s="23">
        <v>0</v>
      </c>
      <c r="AJ708">
        <v>12</v>
      </c>
      <c r="AK708">
        <v>3</v>
      </c>
      <c r="AL708">
        <v>3</v>
      </c>
      <c r="AM708">
        <v>1</v>
      </c>
      <c r="AN708" s="23">
        <v>0</v>
      </c>
      <c r="AO708" s="23">
        <v>0</v>
      </c>
      <c r="AP708" s="23">
        <v>0</v>
      </c>
      <c r="AQ708" s="23">
        <v>0</v>
      </c>
      <c r="AR708" s="35">
        <v>0</v>
      </c>
      <c r="AS708" s="35">
        <v>0</v>
      </c>
      <c r="AT708" s="35">
        <v>10</v>
      </c>
      <c r="AU708" s="31" t="str">
        <f t="shared" si="13"/>
        <v>库存为10</v>
      </c>
      <c r="AV708" s="36" t="str">
        <f>IFERROR($A$2+AU708,"上周无销量")</f>
        <v>上周无销量</v>
      </c>
    </row>
    <row r="709" spans="1:48">
      <c r="A709" s="21" t="s">
        <v>1490</v>
      </c>
      <c r="B709" t="s">
        <v>1491</v>
      </c>
      <c r="C709" t="s">
        <v>1487</v>
      </c>
      <c r="D709" s="31">
        <v>0</v>
      </c>
      <c r="E709" s="31">
        <v>0</v>
      </c>
      <c r="F709" s="31">
        <v>0</v>
      </c>
      <c r="G709" s="31">
        <v>0</v>
      </c>
      <c r="H709" s="32">
        <v>0</v>
      </c>
      <c r="I709">
        <v>7</v>
      </c>
      <c r="J709" s="33">
        <v>0</v>
      </c>
      <c r="K709" s="33">
        <v>0</v>
      </c>
      <c r="L709" s="33">
        <v>0</v>
      </c>
      <c r="M709">
        <v>7</v>
      </c>
      <c r="N709">
        <v>0</v>
      </c>
      <c r="O709">
        <v>7</v>
      </c>
      <c r="P709" t="s">
        <v>54</v>
      </c>
      <c r="Q709" t="s">
        <v>54</v>
      </c>
      <c r="R709" t="s">
        <v>54</v>
      </c>
      <c r="S709" t="s">
        <v>54</v>
      </c>
      <c r="T709" t="s">
        <v>54</v>
      </c>
      <c r="U709" t="s">
        <v>54</v>
      </c>
      <c r="V709" t="s">
        <v>54</v>
      </c>
      <c r="W709" t="s">
        <v>54</v>
      </c>
      <c r="X709" s="23" t="s">
        <v>54</v>
      </c>
      <c r="Y709" s="23" t="s">
        <v>54</v>
      </c>
      <c r="Z709" s="23" t="s">
        <v>54</v>
      </c>
      <c r="AA709" s="23" t="s">
        <v>54</v>
      </c>
      <c r="AB709" t="s">
        <v>54</v>
      </c>
      <c r="AC709" t="s">
        <v>54</v>
      </c>
      <c r="AD709" t="s">
        <v>54</v>
      </c>
      <c r="AE709" t="s">
        <v>54</v>
      </c>
      <c r="AF709" s="23" t="s">
        <v>54</v>
      </c>
      <c r="AG709" s="23" t="s">
        <v>54</v>
      </c>
      <c r="AH709" s="23" t="s">
        <v>54</v>
      </c>
      <c r="AI709" s="23" t="s">
        <v>54</v>
      </c>
      <c r="AJ709">
        <v>5</v>
      </c>
      <c r="AK709">
        <v>2</v>
      </c>
      <c r="AL709">
        <v>4</v>
      </c>
      <c r="AM709">
        <v>3</v>
      </c>
      <c r="AN709" s="23">
        <v>0</v>
      </c>
      <c r="AO709" s="23">
        <v>0</v>
      </c>
      <c r="AP709" s="23">
        <v>0</v>
      </c>
      <c r="AQ709" s="23">
        <v>0</v>
      </c>
      <c r="AR709" s="35">
        <v>0</v>
      </c>
      <c r="AS709" s="35">
        <v>0</v>
      </c>
      <c r="AT709" s="35">
        <v>7</v>
      </c>
      <c r="AU709" s="31" t="str">
        <f>IF(AR709="","库存为"&amp;M709,IF(AS709=0,"库存为"&amp;M709,INT(M709/AR709)))</f>
        <v>库存为7</v>
      </c>
      <c r="AV709" s="36" t="str">
        <f>IFERROR($A$2+AU709,"上周无销量")</f>
        <v>上周无销量</v>
      </c>
    </row>
    <row r="710" spans="1:48">
      <c r="A710" s="21"/>
      <c r="D710" s="31"/>
      <c r="E710" s="31"/>
      <c r="F710" s="31"/>
      <c r="G710" s="31"/>
      <c r="H710" s="32"/>
      <c r="J710" s="33"/>
      <c r="K710" s="33"/>
      <c r="L710" s="33"/>
      <c r="X710" s="23"/>
      <c r="Y710" s="23"/>
      <c r="Z710" s="23"/>
      <c r="AA710" s="23"/>
      <c r="AF710" s="23"/>
      <c r="AG710" s="23"/>
      <c r="AH710" s="23"/>
      <c r="AI710" s="23"/>
      <c r="AN710" s="23"/>
      <c r="AO710" s="23"/>
      <c r="AP710" s="23"/>
      <c r="AQ710" s="23"/>
      <c r="AR710" s="35"/>
      <c r="AS710" s="35"/>
      <c r="AT710" s="35"/>
      <c r="AU710" s="31"/>
      <c r="AV710" s="36"/>
    </row>
    <row r="711" spans="1:48">
      <c r="A711" s="21"/>
      <c r="D711" s="31"/>
      <c r="E711" s="31"/>
      <c r="F711" s="31"/>
      <c r="G711" s="31"/>
      <c r="H711" s="32"/>
      <c r="J711" s="33"/>
      <c r="K711" s="33"/>
      <c r="L711" s="33"/>
      <c r="X711" s="23"/>
      <c r="Y711" s="23"/>
      <c r="Z711" s="23"/>
      <c r="AA711" s="23"/>
      <c r="AF711" s="23"/>
      <c r="AG711" s="23"/>
      <c r="AH711" s="23"/>
      <c r="AI711" s="23"/>
      <c r="AN711" s="23"/>
      <c r="AO711" s="23"/>
      <c r="AP711" s="23"/>
      <c r="AQ711" s="23"/>
      <c r="AR711" s="35"/>
      <c r="AS711" s="35"/>
      <c r="AT711" s="35"/>
      <c r="AU711" s="31"/>
      <c r="AV711" s="36"/>
    </row>
    <row r="712" spans="1:48">
      <c r="A712" s="21"/>
      <c r="D712" s="31"/>
      <c r="E712" s="31"/>
      <c r="F712" s="31"/>
      <c r="G712" s="31"/>
      <c r="H712" s="32"/>
      <c r="J712" s="33"/>
      <c r="K712" s="33"/>
      <c r="L712" s="33"/>
      <c r="X712" s="23"/>
      <c r="Y712" s="23"/>
      <c r="Z712" s="23"/>
      <c r="AA712" s="23"/>
      <c r="AF712" s="23"/>
      <c r="AG712" s="23"/>
      <c r="AH712" s="23"/>
      <c r="AI712" s="23"/>
      <c r="AN712" s="23"/>
      <c r="AO712" s="23"/>
      <c r="AP712" s="23"/>
      <c r="AQ712" s="23"/>
      <c r="AR712" s="35"/>
      <c r="AS712" s="35"/>
      <c r="AT712" s="35"/>
      <c r="AU712" s="31"/>
      <c r="AV712" s="36"/>
    </row>
    <row r="713" spans="1:48">
      <c r="A713" s="21"/>
      <c r="D713" s="31"/>
      <c r="E713" s="31"/>
      <c r="F713" s="31"/>
      <c r="G713" s="31"/>
      <c r="H713" s="32"/>
      <c r="J713" s="33"/>
      <c r="K713" s="33"/>
      <c r="L713" s="33"/>
      <c r="X713" s="23"/>
      <c r="Y713" s="23"/>
      <c r="Z713" s="23"/>
      <c r="AA713" s="23"/>
      <c r="AF713" s="23"/>
      <c r="AG713" s="23"/>
      <c r="AH713" s="23"/>
      <c r="AI713" s="23"/>
      <c r="AN713" s="23"/>
      <c r="AO713" s="23"/>
      <c r="AP713" s="23"/>
      <c r="AQ713" s="23"/>
      <c r="AR713" s="35"/>
      <c r="AS713" s="35"/>
      <c r="AT713" s="35"/>
      <c r="AU713" s="31"/>
      <c r="AV713" s="36"/>
    </row>
    <row r="714" spans="1:48">
      <c r="A714" s="21"/>
      <c r="D714" s="31"/>
      <c r="E714" s="31"/>
      <c r="F714" s="31"/>
      <c r="G714" s="31"/>
      <c r="H714" s="32"/>
      <c r="J714" s="33"/>
      <c r="K714" s="33"/>
      <c r="L714" s="33"/>
      <c r="X714" s="23"/>
      <c r="Y714" s="23"/>
      <c r="Z714" s="23"/>
      <c r="AA714" s="23"/>
      <c r="AF714" s="23"/>
      <c r="AG714" s="23"/>
      <c r="AH714" s="23"/>
      <c r="AI714" s="23"/>
      <c r="AN714" s="23"/>
      <c r="AO714" s="23"/>
      <c r="AP714" s="23"/>
      <c r="AQ714" s="23"/>
      <c r="AR714" s="35"/>
      <c r="AS714" s="35"/>
      <c r="AT714" s="35"/>
      <c r="AU714" s="31"/>
      <c r="AV714" s="36"/>
    </row>
    <row r="715" spans="1:48">
      <c r="A715" s="21"/>
      <c r="D715" s="31"/>
      <c r="E715" s="31"/>
      <c r="F715" s="31"/>
      <c r="G715" s="31"/>
      <c r="H715" s="32"/>
      <c r="J715" s="33"/>
      <c r="K715" s="33"/>
      <c r="L715" s="33"/>
      <c r="X715" s="23"/>
      <c r="Y715" s="23"/>
      <c r="Z715" s="23"/>
      <c r="AA715" s="23"/>
      <c r="AF715" s="23"/>
      <c r="AG715" s="23"/>
      <c r="AH715" s="23"/>
      <c r="AI715" s="23"/>
      <c r="AN715" s="23"/>
      <c r="AO715" s="23"/>
      <c r="AP715" s="23"/>
      <c r="AQ715" s="23"/>
      <c r="AR715" s="35"/>
      <c r="AS715" s="35"/>
      <c r="AT715" s="35"/>
      <c r="AU715" s="31"/>
      <c r="AV715" s="36"/>
    </row>
    <row r="716" spans="1:48">
      <c r="A716" s="21"/>
      <c r="D716" s="31"/>
      <c r="E716" s="31"/>
      <c r="F716" s="31"/>
      <c r="G716" s="31"/>
      <c r="H716" s="32"/>
      <c r="J716" s="33"/>
      <c r="K716" s="33"/>
      <c r="L716" s="33"/>
      <c r="X716" s="23"/>
      <c r="Y716" s="23"/>
      <c r="Z716" s="23"/>
      <c r="AA716" s="23"/>
      <c r="AF716" s="23"/>
      <c r="AG716" s="23"/>
      <c r="AH716" s="23"/>
      <c r="AI716" s="23"/>
      <c r="AN716" s="23"/>
      <c r="AO716" s="23"/>
      <c r="AP716" s="23"/>
      <c r="AQ716" s="23"/>
      <c r="AR716" s="35"/>
      <c r="AS716" s="35"/>
      <c r="AT716" s="35"/>
      <c r="AU716" s="31"/>
      <c r="AV716" s="36"/>
    </row>
    <row r="717" spans="1:48">
      <c r="A717" s="21"/>
      <c r="D717" s="31"/>
      <c r="E717" s="31"/>
      <c r="F717" s="31"/>
      <c r="G717" s="31"/>
      <c r="H717" s="32"/>
      <c r="J717" s="33"/>
      <c r="K717" s="33"/>
      <c r="L717" s="33"/>
      <c r="X717" s="23"/>
      <c r="Y717" s="23"/>
      <c r="Z717" s="23"/>
      <c r="AA717" s="23"/>
      <c r="AF717" s="23"/>
      <c r="AG717" s="23"/>
      <c r="AH717" s="23"/>
      <c r="AI717" s="23"/>
      <c r="AN717" s="23"/>
      <c r="AO717" s="23"/>
      <c r="AP717" s="23"/>
      <c r="AQ717" s="23"/>
      <c r="AR717" s="35"/>
      <c r="AS717" s="35"/>
      <c r="AT717" s="35"/>
      <c r="AU717" s="31"/>
      <c r="AV717" s="36"/>
    </row>
    <row r="718" spans="1:48">
      <c r="A718" s="21"/>
      <c r="D718" s="31"/>
      <c r="E718" s="31"/>
      <c r="F718" s="31"/>
      <c r="G718" s="31"/>
      <c r="H718" s="32"/>
      <c r="J718" s="33"/>
      <c r="K718" s="33"/>
      <c r="L718" s="33"/>
      <c r="X718" s="23"/>
      <c r="Y718" s="23"/>
      <c r="Z718" s="23"/>
      <c r="AA718" s="23"/>
      <c r="AF718" s="23"/>
      <c r="AG718" s="23"/>
      <c r="AH718" s="23"/>
      <c r="AI718" s="23"/>
      <c r="AN718" s="23"/>
      <c r="AO718" s="23"/>
      <c r="AP718" s="23"/>
      <c r="AQ718" s="23"/>
      <c r="AR718" s="35"/>
      <c r="AS718" s="35"/>
      <c r="AT718" s="35"/>
      <c r="AU718" s="31"/>
      <c r="AV718" s="36"/>
    </row>
    <row r="719" spans="1:48">
      <c r="A719" s="21"/>
      <c r="D719" s="31"/>
      <c r="E719" s="31"/>
      <c r="F719" s="31"/>
      <c r="G719" s="31"/>
      <c r="H719" s="32"/>
      <c r="J719" s="33"/>
      <c r="K719" s="33"/>
      <c r="L719" s="33"/>
      <c r="X719" s="23"/>
      <c r="Y719" s="23"/>
      <c r="Z719" s="23"/>
      <c r="AA719" s="23"/>
      <c r="AF719" s="23"/>
      <c r="AG719" s="23"/>
      <c r="AH719" s="23"/>
      <c r="AI719" s="23"/>
      <c r="AN719" s="23"/>
      <c r="AO719" s="23"/>
      <c r="AP719" s="23"/>
      <c r="AQ719" s="23"/>
      <c r="AR719" s="35"/>
      <c r="AS719" s="35"/>
      <c r="AT719" s="35"/>
      <c r="AU719" s="31"/>
      <c r="AV719" s="36"/>
    </row>
    <row r="720" spans="1:48">
      <c r="A720" s="21"/>
      <c r="D720" s="31"/>
      <c r="E720" s="31"/>
      <c r="F720" s="31"/>
      <c r="G720" s="31"/>
      <c r="H720" s="32"/>
      <c r="J720" s="33"/>
      <c r="K720" s="33"/>
      <c r="L720" s="33"/>
      <c r="X720" s="23"/>
      <c r="Y720" s="23"/>
      <c r="Z720" s="23"/>
      <c r="AA720" s="23"/>
      <c r="AF720" s="23"/>
      <c r="AG720" s="23"/>
      <c r="AH720" s="23"/>
      <c r="AI720" s="23"/>
      <c r="AN720" s="23"/>
      <c r="AO720" s="23"/>
      <c r="AP720" s="23"/>
      <c r="AQ720" s="23"/>
      <c r="AR720" s="35"/>
      <c r="AS720" s="35"/>
      <c r="AT720" s="35"/>
      <c r="AU720" s="31"/>
      <c r="AV720" s="36"/>
    </row>
    <row r="721" spans="1:48">
      <c r="A721" s="21"/>
      <c r="D721" s="31"/>
      <c r="E721" s="31"/>
      <c r="F721" s="31"/>
      <c r="G721" s="31"/>
      <c r="H721" s="32"/>
      <c r="J721" s="33"/>
      <c r="K721" s="33"/>
      <c r="L721" s="33"/>
      <c r="X721" s="23"/>
      <c r="Y721" s="23"/>
      <c r="Z721" s="23"/>
      <c r="AA721" s="23"/>
      <c r="AF721" s="23"/>
      <c r="AG721" s="23"/>
      <c r="AH721" s="23"/>
      <c r="AI721" s="23"/>
      <c r="AN721" s="23"/>
      <c r="AO721" s="23"/>
      <c r="AP721" s="23"/>
      <c r="AQ721" s="23"/>
      <c r="AR721" s="35"/>
      <c r="AS721" s="35"/>
      <c r="AT721" s="35"/>
      <c r="AU721" s="31"/>
      <c r="AV721" s="36"/>
    </row>
    <row r="722" spans="1:48">
      <c r="A722" s="21"/>
      <c r="D722" s="31"/>
      <c r="E722" s="31"/>
      <c r="F722" s="31"/>
      <c r="G722" s="31"/>
      <c r="H722" s="32"/>
      <c r="J722" s="33"/>
      <c r="K722" s="33"/>
      <c r="L722" s="33"/>
      <c r="X722" s="23"/>
      <c r="Y722" s="23"/>
      <c r="Z722" s="23"/>
      <c r="AA722" s="23"/>
      <c r="AF722" s="23"/>
      <c r="AG722" s="23"/>
      <c r="AH722" s="23"/>
      <c r="AI722" s="23"/>
      <c r="AN722" s="23"/>
      <c r="AO722" s="23"/>
      <c r="AP722" s="23"/>
      <c r="AQ722" s="23"/>
      <c r="AR722" s="35"/>
      <c r="AS722" s="35"/>
      <c r="AT722" s="35"/>
      <c r="AU722" s="31"/>
      <c r="AV722" s="36"/>
    </row>
    <row r="723" spans="1:48">
      <c r="A723" s="21"/>
      <c r="D723" s="31"/>
      <c r="E723" s="31"/>
      <c r="F723" s="31"/>
      <c r="G723" s="31"/>
      <c r="H723" s="32"/>
      <c r="J723" s="33"/>
      <c r="K723" s="33"/>
      <c r="L723" s="33"/>
      <c r="X723" s="23"/>
      <c r="Y723" s="23"/>
      <c r="Z723" s="23"/>
      <c r="AA723" s="23"/>
      <c r="AF723" s="23"/>
      <c r="AG723" s="23"/>
      <c r="AH723" s="23"/>
      <c r="AI723" s="23"/>
      <c r="AN723" s="23"/>
      <c r="AO723" s="23"/>
      <c r="AP723" s="23"/>
      <c r="AQ723" s="23"/>
      <c r="AR723" s="35"/>
      <c r="AS723" s="35"/>
      <c r="AT723" s="35"/>
      <c r="AU723" s="31"/>
      <c r="AV723" s="36"/>
    </row>
    <row r="724" spans="1:48">
      <c r="A724" s="21"/>
      <c r="D724" s="31"/>
      <c r="E724" s="31"/>
      <c r="F724" s="31"/>
      <c r="G724" s="31"/>
      <c r="H724" s="32"/>
      <c r="J724" s="33"/>
      <c r="K724" s="33"/>
      <c r="L724" s="33"/>
      <c r="X724" s="23"/>
      <c r="Y724" s="23"/>
      <c r="Z724" s="23"/>
      <c r="AA724" s="23"/>
      <c r="AF724" s="23"/>
      <c r="AG724" s="23"/>
      <c r="AH724" s="23"/>
      <c r="AI724" s="23"/>
      <c r="AN724" s="23"/>
      <c r="AO724" s="23"/>
      <c r="AP724" s="23"/>
      <c r="AQ724" s="23"/>
      <c r="AR724" s="35"/>
      <c r="AS724" s="35"/>
      <c r="AT724" s="35"/>
      <c r="AU724" s="31"/>
      <c r="AV724" s="36"/>
    </row>
    <row r="725" spans="1:48">
      <c r="A725" s="21"/>
      <c r="D725" s="31"/>
      <c r="E725" s="31"/>
      <c r="F725" s="31"/>
      <c r="G725" s="31"/>
      <c r="H725" s="32"/>
      <c r="J725" s="33"/>
      <c r="K725" s="33"/>
      <c r="L725" s="33"/>
      <c r="X725" s="23"/>
      <c r="Y725" s="23"/>
      <c r="Z725" s="23"/>
      <c r="AA725" s="23"/>
      <c r="AF725" s="23"/>
      <c r="AG725" s="23"/>
      <c r="AH725" s="23"/>
      <c r="AI725" s="23"/>
      <c r="AN725" s="23"/>
      <c r="AO725" s="23"/>
      <c r="AP725" s="23"/>
      <c r="AQ725" s="23"/>
      <c r="AR725" s="35"/>
      <c r="AS725" s="35"/>
      <c r="AT725" s="35"/>
      <c r="AU725" s="31"/>
      <c r="AV725" s="36"/>
    </row>
    <row r="726" spans="1:48">
      <c r="A726" s="21"/>
      <c r="D726" s="31"/>
      <c r="E726" s="31"/>
      <c r="F726" s="31"/>
      <c r="G726" s="31"/>
      <c r="H726" s="32"/>
      <c r="J726" s="33"/>
      <c r="K726" s="33"/>
      <c r="L726" s="33"/>
      <c r="X726" s="23"/>
      <c r="Y726" s="23"/>
      <c r="Z726" s="23"/>
      <c r="AA726" s="23"/>
      <c r="AF726" s="23"/>
      <c r="AG726" s="23"/>
      <c r="AH726" s="23"/>
      <c r="AI726" s="23"/>
      <c r="AN726" s="23"/>
      <c r="AO726" s="23"/>
      <c r="AP726" s="23"/>
      <c r="AQ726" s="23"/>
      <c r="AR726" s="35"/>
      <c r="AS726" s="35"/>
      <c r="AT726" s="35"/>
      <c r="AU726" s="31"/>
      <c r="AV726" s="36"/>
    </row>
    <row r="727" spans="1:48">
      <c r="A727" s="21"/>
      <c r="D727" s="31"/>
      <c r="E727" s="31"/>
      <c r="F727" s="31"/>
      <c r="G727" s="31"/>
      <c r="H727" s="32"/>
      <c r="J727" s="33"/>
      <c r="K727" s="33"/>
      <c r="L727" s="33"/>
      <c r="X727" s="23"/>
      <c r="Y727" s="23"/>
      <c r="Z727" s="23"/>
      <c r="AA727" s="23"/>
      <c r="AF727" s="23"/>
      <c r="AG727" s="23"/>
      <c r="AH727" s="23"/>
      <c r="AI727" s="23"/>
      <c r="AN727" s="23"/>
      <c r="AO727" s="23"/>
      <c r="AP727" s="23"/>
      <c r="AQ727" s="23"/>
      <c r="AR727" s="35"/>
      <c r="AS727" s="35"/>
      <c r="AT727" s="35"/>
      <c r="AU727" s="31"/>
      <c r="AV727" s="36"/>
    </row>
    <row r="728" spans="1:48">
      <c r="A728" s="21"/>
      <c r="D728" s="31"/>
      <c r="E728" s="31"/>
      <c r="F728" s="31"/>
      <c r="G728" s="31"/>
      <c r="H728" s="32"/>
      <c r="J728" s="33"/>
      <c r="K728" s="33"/>
      <c r="L728" s="33"/>
      <c r="X728" s="23"/>
      <c r="Y728" s="23"/>
      <c r="Z728" s="23"/>
      <c r="AA728" s="23"/>
      <c r="AF728" s="23"/>
      <c r="AG728" s="23"/>
      <c r="AH728" s="23"/>
      <c r="AI728" s="23"/>
      <c r="AN728" s="23"/>
      <c r="AO728" s="23"/>
      <c r="AP728" s="23"/>
      <c r="AQ728" s="23"/>
      <c r="AR728" s="35"/>
      <c r="AS728" s="35"/>
      <c r="AT728" s="35"/>
      <c r="AU728" s="31"/>
      <c r="AV728" s="36"/>
    </row>
    <row r="729" spans="1:48">
      <c r="A729" s="21"/>
      <c r="D729" s="31"/>
      <c r="E729" s="31"/>
      <c r="F729" s="31"/>
      <c r="G729" s="31"/>
      <c r="H729" s="32"/>
      <c r="J729" s="33"/>
      <c r="K729" s="33"/>
      <c r="L729" s="33"/>
      <c r="X729" s="23"/>
      <c r="Y729" s="23"/>
      <c r="Z729" s="23"/>
      <c r="AA729" s="23"/>
      <c r="AF729" s="23"/>
      <c r="AG729" s="23"/>
      <c r="AH729" s="23"/>
      <c r="AI729" s="23"/>
      <c r="AN729" s="23"/>
      <c r="AO729" s="23"/>
      <c r="AP729" s="23"/>
      <c r="AQ729" s="23"/>
      <c r="AR729" s="35"/>
      <c r="AS729" s="35"/>
      <c r="AT729" s="35"/>
      <c r="AU729" s="31"/>
      <c r="AV729" s="36"/>
    </row>
    <row r="730" spans="1:48">
      <c r="A730" s="21"/>
      <c r="D730" s="31"/>
      <c r="E730" s="31"/>
      <c r="F730" s="31"/>
      <c r="G730" s="31"/>
      <c r="H730" s="32"/>
      <c r="J730" s="33"/>
      <c r="K730" s="33"/>
      <c r="L730" s="33"/>
      <c r="X730" s="23"/>
      <c r="Y730" s="23"/>
      <c r="Z730" s="23"/>
      <c r="AA730" s="23"/>
      <c r="AF730" s="23"/>
      <c r="AG730" s="23"/>
      <c r="AH730" s="23"/>
      <c r="AI730" s="23"/>
      <c r="AN730" s="23"/>
      <c r="AO730" s="23"/>
      <c r="AP730" s="23"/>
      <c r="AQ730" s="23"/>
      <c r="AR730" s="35"/>
      <c r="AS730" s="35"/>
      <c r="AT730" s="35"/>
      <c r="AU730" s="31"/>
      <c r="AV730" s="36"/>
    </row>
    <row r="731" spans="1:48">
      <c r="A731" s="21"/>
      <c r="D731" s="31"/>
      <c r="E731" s="31"/>
      <c r="F731" s="31"/>
      <c r="G731" s="31"/>
      <c r="H731" s="32"/>
      <c r="J731" s="33"/>
      <c r="K731" s="33"/>
      <c r="L731" s="33"/>
      <c r="X731" s="23"/>
      <c r="Y731" s="23"/>
      <c r="Z731" s="23"/>
      <c r="AA731" s="23"/>
      <c r="AF731" s="23"/>
      <c r="AG731" s="23"/>
      <c r="AH731" s="23"/>
      <c r="AI731" s="23"/>
      <c r="AN731" s="23"/>
      <c r="AO731" s="23"/>
      <c r="AP731" s="23"/>
      <c r="AQ731" s="23"/>
      <c r="AR731" s="35"/>
      <c r="AS731" s="35"/>
      <c r="AT731" s="35"/>
      <c r="AU731" s="31"/>
      <c r="AV731" s="36"/>
    </row>
    <row r="732" spans="1:48">
      <c r="A732" s="21"/>
      <c r="D732" s="31"/>
      <c r="E732" s="31"/>
      <c r="F732" s="31"/>
      <c r="G732" s="31"/>
      <c r="H732" s="32"/>
      <c r="J732" s="33"/>
      <c r="K732" s="33"/>
      <c r="L732" s="33"/>
      <c r="X732" s="23"/>
      <c r="Y732" s="23"/>
      <c r="Z732" s="23"/>
      <c r="AA732" s="23"/>
      <c r="AF732" s="23"/>
      <c r="AG732" s="23"/>
      <c r="AH732" s="23"/>
      <c r="AI732" s="23"/>
      <c r="AN732" s="23"/>
      <c r="AO732" s="23"/>
      <c r="AP732" s="23"/>
      <c r="AQ732" s="23"/>
      <c r="AR732" s="35"/>
      <c r="AS732" s="35"/>
      <c r="AT732" s="35"/>
      <c r="AU732" s="31"/>
      <c r="AV732" s="36"/>
    </row>
    <row r="733" spans="1:48">
      <c r="A733" s="21"/>
      <c r="D733" s="31"/>
      <c r="E733" s="31"/>
      <c r="F733" s="31"/>
      <c r="G733" s="31"/>
      <c r="H733" s="32"/>
      <c r="J733" s="33"/>
      <c r="K733" s="33"/>
      <c r="L733" s="33"/>
      <c r="X733" s="23"/>
      <c r="Y733" s="23"/>
      <c r="Z733" s="23"/>
      <c r="AA733" s="23"/>
      <c r="AF733" s="23"/>
      <c r="AG733" s="23"/>
      <c r="AH733" s="23"/>
      <c r="AI733" s="23"/>
      <c r="AN733" s="23"/>
      <c r="AO733" s="23"/>
      <c r="AP733" s="23"/>
      <c r="AQ733" s="23"/>
      <c r="AR733" s="35"/>
      <c r="AS733" s="35"/>
      <c r="AT733" s="35"/>
      <c r="AU733" s="31"/>
      <c r="AV733" s="36"/>
    </row>
    <row r="734" spans="1:48">
      <c r="A734" s="21"/>
      <c r="D734" s="31"/>
      <c r="E734" s="31"/>
      <c r="F734" s="31"/>
      <c r="G734" s="31"/>
      <c r="H734" s="32"/>
      <c r="J734" s="33"/>
      <c r="K734" s="33"/>
      <c r="L734" s="33"/>
      <c r="X734" s="23"/>
      <c r="Y734" s="23"/>
      <c r="Z734" s="23"/>
      <c r="AA734" s="23"/>
      <c r="AF734" s="23"/>
      <c r="AG734" s="23"/>
      <c r="AH734" s="23"/>
      <c r="AI734" s="23"/>
      <c r="AN734" s="23"/>
      <c r="AO734" s="23"/>
      <c r="AP734" s="23"/>
      <c r="AQ734" s="23"/>
      <c r="AR734" s="35"/>
      <c r="AS734" s="35"/>
      <c r="AT734" s="35"/>
      <c r="AU734" s="31"/>
      <c r="AV734" s="36"/>
    </row>
    <row r="735" spans="1:48">
      <c r="A735" s="21"/>
      <c r="D735" s="31"/>
      <c r="E735" s="31"/>
      <c r="F735" s="31"/>
      <c r="G735" s="31"/>
      <c r="H735" s="32"/>
      <c r="J735" s="33"/>
      <c r="K735" s="33"/>
      <c r="L735" s="33"/>
      <c r="X735" s="23"/>
      <c r="Y735" s="23"/>
      <c r="Z735" s="23"/>
      <c r="AA735" s="23"/>
      <c r="AF735" s="23"/>
      <c r="AG735" s="23"/>
      <c r="AH735" s="23"/>
      <c r="AI735" s="23"/>
      <c r="AN735" s="23"/>
      <c r="AO735" s="23"/>
      <c r="AP735" s="23"/>
      <c r="AQ735" s="23"/>
      <c r="AR735" s="35"/>
      <c r="AS735" s="35"/>
      <c r="AT735" s="35"/>
      <c r="AU735" s="31"/>
      <c r="AV735" s="36"/>
    </row>
    <row r="736" spans="1:48">
      <c r="A736" s="21"/>
      <c r="D736" s="31"/>
      <c r="E736" s="31"/>
      <c r="F736" s="31"/>
      <c r="G736" s="31"/>
      <c r="H736" s="32"/>
      <c r="J736" s="33"/>
      <c r="K736" s="33"/>
      <c r="L736" s="33"/>
      <c r="X736" s="23"/>
      <c r="Y736" s="23"/>
      <c r="Z736" s="23"/>
      <c r="AA736" s="23"/>
      <c r="AF736" s="23"/>
      <c r="AG736" s="23"/>
      <c r="AH736" s="23"/>
      <c r="AI736" s="23"/>
      <c r="AN736" s="23"/>
      <c r="AO736" s="23"/>
      <c r="AP736" s="23"/>
      <c r="AQ736" s="23"/>
      <c r="AR736" s="35"/>
      <c r="AS736" s="35"/>
      <c r="AT736" s="35"/>
      <c r="AU736" s="31"/>
      <c r="AV736" s="36"/>
    </row>
    <row r="737" spans="1:48">
      <c r="A737" s="21"/>
      <c r="D737" s="31"/>
      <c r="E737" s="31"/>
      <c r="F737" s="31"/>
      <c r="G737" s="31"/>
      <c r="H737" s="32"/>
      <c r="J737" s="33"/>
      <c r="K737" s="33"/>
      <c r="L737" s="33"/>
      <c r="X737" s="23"/>
      <c r="Y737" s="23"/>
      <c r="Z737" s="23"/>
      <c r="AA737" s="23"/>
      <c r="AF737" s="23"/>
      <c r="AG737" s="23"/>
      <c r="AH737" s="23"/>
      <c r="AI737" s="23"/>
      <c r="AN737" s="23"/>
      <c r="AO737" s="23"/>
      <c r="AP737" s="23"/>
      <c r="AQ737" s="23"/>
      <c r="AR737" s="35"/>
      <c r="AS737" s="35"/>
      <c r="AT737" s="35"/>
      <c r="AU737" s="31"/>
      <c r="AV737" s="36"/>
    </row>
    <row r="738" spans="1:48">
      <c r="A738" s="21"/>
      <c r="D738" s="31"/>
      <c r="E738" s="31"/>
      <c r="F738" s="31"/>
      <c r="G738" s="31"/>
      <c r="H738" s="32"/>
      <c r="J738" s="33"/>
      <c r="K738" s="33"/>
      <c r="L738" s="33"/>
      <c r="X738" s="23"/>
      <c r="Y738" s="23"/>
      <c r="Z738" s="23"/>
      <c r="AA738" s="23"/>
      <c r="AF738" s="23"/>
      <c r="AG738" s="23"/>
      <c r="AH738" s="23"/>
      <c r="AI738" s="23"/>
      <c r="AN738" s="23"/>
      <c r="AO738" s="23"/>
      <c r="AP738" s="23"/>
      <c r="AQ738" s="23"/>
      <c r="AR738" s="35"/>
      <c r="AS738" s="35"/>
      <c r="AT738" s="35"/>
      <c r="AU738" s="31"/>
      <c r="AV738" s="36"/>
    </row>
    <row r="739" spans="1:48">
      <c r="A739" s="21"/>
      <c r="D739" s="31"/>
      <c r="E739" s="31"/>
      <c r="F739" s="31"/>
      <c r="G739" s="31"/>
      <c r="H739" s="32"/>
      <c r="J739" s="33"/>
      <c r="K739" s="33"/>
      <c r="L739" s="33"/>
      <c r="X739" s="23"/>
      <c r="Y739" s="23"/>
      <c r="Z739" s="23"/>
      <c r="AA739" s="23"/>
      <c r="AF739" s="23"/>
      <c r="AG739" s="23"/>
      <c r="AH739" s="23"/>
      <c r="AI739" s="23"/>
      <c r="AN739" s="23"/>
      <c r="AO739" s="23"/>
      <c r="AP739" s="23"/>
      <c r="AQ739" s="23"/>
      <c r="AR739" s="35"/>
      <c r="AS739" s="35"/>
      <c r="AT739" s="35"/>
      <c r="AU739" s="31"/>
      <c r="AV739" s="36"/>
    </row>
    <row r="740" spans="1:48">
      <c r="A740" s="21"/>
      <c r="D740" s="31"/>
      <c r="E740" s="31"/>
      <c r="F740" s="31"/>
      <c r="G740" s="31"/>
      <c r="H740" s="32"/>
      <c r="J740" s="33"/>
      <c r="K740" s="33"/>
      <c r="L740" s="33"/>
      <c r="X740" s="23"/>
      <c r="Y740" s="23"/>
      <c r="Z740" s="23"/>
      <c r="AA740" s="23"/>
      <c r="AF740" s="23"/>
      <c r="AG740" s="23"/>
      <c r="AH740" s="23"/>
      <c r="AI740" s="23"/>
      <c r="AN740" s="23"/>
      <c r="AO740" s="23"/>
      <c r="AP740" s="23"/>
      <c r="AQ740" s="23"/>
      <c r="AR740" s="35"/>
      <c r="AS740" s="35"/>
      <c r="AT740" s="35"/>
      <c r="AU740" s="31"/>
      <c r="AV740" s="36"/>
    </row>
    <row r="741" spans="1:48">
      <c r="A741" s="21"/>
      <c r="D741" s="31"/>
      <c r="E741" s="31"/>
      <c r="F741" s="31"/>
      <c r="G741" s="31"/>
      <c r="H741" s="32"/>
      <c r="J741" s="33"/>
      <c r="K741" s="33"/>
      <c r="L741" s="33"/>
      <c r="X741" s="23"/>
      <c r="Y741" s="23"/>
      <c r="Z741" s="23"/>
      <c r="AA741" s="23"/>
      <c r="AF741" s="23"/>
      <c r="AG741" s="23"/>
      <c r="AH741" s="23"/>
      <c r="AI741" s="23"/>
      <c r="AN741" s="23"/>
      <c r="AO741" s="23"/>
      <c r="AP741" s="23"/>
      <c r="AQ741" s="23"/>
      <c r="AR741" s="35"/>
      <c r="AS741" s="35"/>
      <c r="AT741" s="35"/>
      <c r="AU741" s="31"/>
      <c r="AV741" s="36"/>
    </row>
    <row r="742" spans="1:48">
      <c r="A742" s="21"/>
      <c r="D742" s="31"/>
      <c r="E742" s="31"/>
      <c r="F742" s="31"/>
      <c r="G742" s="31"/>
      <c r="H742" s="32"/>
      <c r="J742" s="33"/>
      <c r="K742" s="33"/>
      <c r="L742" s="33"/>
      <c r="X742" s="23"/>
      <c r="Y742" s="23"/>
      <c r="Z742" s="23"/>
      <c r="AA742" s="23"/>
      <c r="AF742" s="23"/>
      <c r="AG742" s="23"/>
      <c r="AH742" s="23"/>
      <c r="AI742" s="23"/>
      <c r="AN742" s="23"/>
      <c r="AO742" s="23"/>
      <c r="AP742" s="23"/>
      <c r="AQ742" s="23"/>
      <c r="AR742" s="35"/>
      <c r="AS742" s="35"/>
      <c r="AT742" s="35"/>
      <c r="AU742" s="31"/>
      <c r="AV742" s="36"/>
    </row>
    <row r="743" spans="1:48">
      <c r="A743" s="21"/>
      <c r="D743" s="31"/>
      <c r="E743" s="31"/>
      <c r="F743" s="31"/>
      <c r="G743" s="31"/>
      <c r="H743" s="32"/>
      <c r="J743" s="33"/>
      <c r="K743" s="33"/>
      <c r="L743" s="33"/>
      <c r="X743" s="23"/>
      <c r="Y743" s="23"/>
      <c r="Z743" s="23"/>
      <c r="AA743" s="23"/>
      <c r="AF743" s="23"/>
      <c r="AG743" s="23"/>
      <c r="AH743" s="23"/>
      <c r="AI743" s="23"/>
      <c r="AN743" s="23"/>
      <c r="AO743" s="23"/>
      <c r="AP743" s="23"/>
      <c r="AQ743" s="23"/>
      <c r="AR743" s="35"/>
      <c r="AS743" s="35"/>
      <c r="AT743" s="35"/>
      <c r="AU743" s="31"/>
      <c r="AV743" s="36"/>
    </row>
    <row r="744" spans="1:48">
      <c r="A744" s="21"/>
      <c r="D744" s="31"/>
      <c r="E744" s="31"/>
      <c r="F744" s="31"/>
      <c r="G744" s="31"/>
      <c r="H744" s="32"/>
      <c r="J744" s="33"/>
      <c r="K744" s="33"/>
      <c r="L744" s="33"/>
      <c r="X744" s="23"/>
      <c r="Y744" s="23"/>
      <c r="Z744" s="23"/>
      <c r="AA744" s="23"/>
      <c r="AF744" s="23"/>
      <c r="AG744" s="23"/>
      <c r="AH744" s="23"/>
      <c r="AI744" s="23"/>
      <c r="AN744" s="23"/>
      <c r="AO744" s="23"/>
      <c r="AP744" s="23"/>
      <c r="AQ744" s="23"/>
      <c r="AR744" s="35"/>
      <c r="AS744" s="35"/>
      <c r="AT744" s="35"/>
      <c r="AU744" s="31"/>
      <c r="AV744" s="36"/>
    </row>
    <row r="745" spans="1:48">
      <c r="A745" s="21"/>
      <c r="D745" s="31"/>
      <c r="E745" s="31"/>
      <c r="F745" s="31"/>
      <c r="G745" s="31"/>
      <c r="H745" s="32"/>
      <c r="J745" s="33"/>
      <c r="K745" s="33"/>
      <c r="L745" s="33"/>
      <c r="X745" s="23"/>
      <c r="Y745" s="23"/>
      <c r="Z745" s="23"/>
      <c r="AA745" s="23"/>
      <c r="AF745" s="23"/>
      <c r="AG745" s="23"/>
      <c r="AH745" s="23"/>
      <c r="AI745" s="23"/>
      <c r="AN745" s="23"/>
      <c r="AO745" s="23"/>
      <c r="AP745" s="23"/>
      <c r="AQ745" s="23"/>
      <c r="AR745" s="35"/>
      <c r="AS745" s="35"/>
      <c r="AT745" s="35"/>
      <c r="AU745" s="31"/>
      <c r="AV745" s="36"/>
    </row>
    <row r="746" spans="1:48">
      <c r="A746" s="21"/>
      <c r="D746" s="31"/>
      <c r="E746" s="31"/>
      <c r="F746" s="31"/>
      <c r="G746" s="31"/>
      <c r="H746" s="32"/>
      <c r="J746" s="33"/>
      <c r="K746" s="33"/>
      <c r="L746" s="33"/>
      <c r="X746" s="23"/>
      <c r="Y746" s="23"/>
      <c r="Z746" s="23"/>
      <c r="AA746" s="23"/>
      <c r="AF746" s="23"/>
      <c r="AG746" s="23"/>
      <c r="AH746" s="23"/>
      <c r="AI746" s="23"/>
      <c r="AN746" s="23"/>
      <c r="AO746" s="23"/>
      <c r="AP746" s="23"/>
      <c r="AQ746" s="23"/>
      <c r="AR746" s="35"/>
      <c r="AS746" s="35"/>
      <c r="AT746" s="35"/>
      <c r="AU746" s="31"/>
      <c r="AV746" s="36"/>
    </row>
    <row r="747" spans="1:48">
      <c r="A747" s="21"/>
      <c r="D747" s="31"/>
      <c r="E747" s="31"/>
      <c r="F747" s="31"/>
      <c r="G747" s="31"/>
      <c r="H747" s="32"/>
      <c r="J747" s="33"/>
      <c r="K747" s="33"/>
      <c r="L747" s="33"/>
      <c r="X747" s="23"/>
      <c r="Y747" s="23"/>
      <c r="Z747" s="23"/>
      <c r="AA747" s="23"/>
      <c r="AF747" s="23"/>
      <c r="AG747" s="23"/>
      <c r="AH747" s="23"/>
      <c r="AI747" s="23"/>
      <c r="AN747" s="23"/>
      <c r="AO747" s="23"/>
      <c r="AP747" s="23"/>
      <c r="AQ747" s="23"/>
      <c r="AR747" s="35"/>
      <c r="AS747" s="35"/>
      <c r="AT747" s="35"/>
      <c r="AU747" s="31"/>
      <c r="AV747" s="36"/>
    </row>
    <row r="748" spans="1:48">
      <c r="A748" s="21"/>
      <c r="D748" s="31"/>
      <c r="E748" s="31"/>
      <c r="F748" s="31"/>
      <c r="G748" s="31"/>
      <c r="H748" s="32"/>
      <c r="J748" s="33"/>
      <c r="K748" s="33"/>
      <c r="L748" s="33"/>
      <c r="X748" s="23"/>
      <c r="Y748" s="23"/>
      <c r="Z748" s="23"/>
      <c r="AA748" s="23"/>
      <c r="AF748" s="23"/>
      <c r="AG748" s="23"/>
      <c r="AH748" s="23"/>
      <c r="AI748" s="23"/>
      <c r="AN748" s="23"/>
      <c r="AO748" s="23"/>
      <c r="AP748" s="23"/>
      <c r="AQ748" s="23"/>
      <c r="AR748" s="35"/>
      <c r="AS748" s="35"/>
      <c r="AT748" s="35"/>
      <c r="AU748" s="31"/>
      <c r="AV748" s="36"/>
    </row>
    <row r="749" spans="1:48">
      <c r="A749" s="21"/>
      <c r="D749" s="31"/>
      <c r="E749" s="31"/>
      <c r="F749" s="31"/>
      <c r="G749" s="31"/>
      <c r="H749" s="32"/>
      <c r="J749" s="33"/>
      <c r="K749" s="33"/>
      <c r="L749" s="33"/>
      <c r="X749" s="23"/>
      <c r="Y749" s="23"/>
      <c r="Z749" s="23"/>
      <c r="AA749" s="23"/>
      <c r="AF749" s="23"/>
      <c r="AG749" s="23"/>
      <c r="AH749" s="23"/>
      <c r="AI749" s="23"/>
      <c r="AN749" s="23"/>
      <c r="AO749" s="23"/>
      <c r="AP749" s="23"/>
      <c r="AQ749" s="23"/>
      <c r="AR749" s="35"/>
      <c r="AS749" s="35"/>
      <c r="AT749" s="35"/>
      <c r="AU749" s="31"/>
      <c r="AV749" s="36"/>
    </row>
    <row r="750" spans="1:48">
      <c r="A750" s="21"/>
      <c r="D750" s="31"/>
      <c r="E750" s="31"/>
      <c r="F750" s="31"/>
      <c r="G750" s="31"/>
      <c r="H750" s="32"/>
      <c r="J750" s="33"/>
      <c r="K750" s="33"/>
      <c r="L750" s="33"/>
      <c r="X750" s="23"/>
      <c r="Y750" s="23"/>
      <c r="Z750" s="23"/>
      <c r="AA750" s="23"/>
      <c r="AF750" s="23"/>
      <c r="AG750" s="23"/>
      <c r="AH750" s="23"/>
      <c r="AI750" s="23"/>
      <c r="AN750" s="23"/>
      <c r="AO750" s="23"/>
      <c r="AP750" s="23"/>
      <c r="AQ750" s="23"/>
      <c r="AR750" s="35"/>
      <c r="AS750" s="35"/>
      <c r="AT750" s="35"/>
      <c r="AU750" s="31"/>
      <c r="AV750" s="36"/>
    </row>
    <row r="751" spans="1:48">
      <c r="A751" s="21"/>
      <c r="D751" s="31"/>
      <c r="E751" s="31"/>
      <c r="F751" s="31"/>
      <c r="G751" s="31"/>
      <c r="H751" s="32"/>
      <c r="J751" s="33"/>
      <c r="K751" s="33"/>
      <c r="L751" s="33"/>
      <c r="X751" s="23"/>
      <c r="Y751" s="23"/>
      <c r="Z751" s="23"/>
      <c r="AA751" s="23"/>
      <c r="AF751" s="23"/>
      <c r="AG751" s="23"/>
      <c r="AH751" s="23"/>
      <c r="AI751" s="23"/>
      <c r="AN751" s="23"/>
      <c r="AO751" s="23"/>
      <c r="AP751" s="23"/>
      <c r="AQ751" s="23"/>
      <c r="AR751" s="35"/>
      <c r="AS751" s="35"/>
      <c r="AT751" s="35"/>
      <c r="AU751" s="31"/>
      <c r="AV751" s="36"/>
    </row>
    <row r="752" spans="1:48">
      <c r="A752" s="21"/>
      <c r="D752" s="31"/>
      <c r="E752" s="31"/>
      <c r="F752" s="31"/>
      <c r="G752" s="31"/>
      <c r="H752" s="32"/>
      <c r="J752" s="33"/>
      <c r="K752" s="33"/>
      <c r="L752" s="33"/>
      <c r="X752" s="23"/>
      <c r="Y752" s="23"/>
      <c r="Z752" s="23"/>
      <c r="AA752" s="23"/>
      <c r="AF752" s="23"/>
      <c r="AG752" s="23"/>
      <c r="AH752" s="23"/>
      <c r="AI752" s="23"/>
      <c r="AN752" s="23"/>
      <c r="AO752" s="23"/>
      <c r="AP752" s="23"/>
      <c r="AQ752" s="23"/>
      <c r="AR752" s="35"/>
      <c r="AS752" s="35"/>
      <c r="AT752" s="35"/>
      <c r="AU752" s="31"/>
      <c r="AV752" s="36"/>
    </row>
    <row r="753" spans="1:48">
      <c r="A753" s="21"/>
      <c r="D753" s="31"/>
      <c r="E753" s="31"/>
      <c r="F753" s="31"/>
      <c r="G753" s="31"/>
      <c r="H753" s="32"/>
      <c r="J753" s="33"/>
      <c r="K753" s="33"/>
      <c r="L753" s="33"/>
      <c r="X753" s="23"/>
      <c r="Y753" s="23"/>
      <c r="Z753" s="23"/>
      <c r="AA753" s="23"/>
      <c r="AF753" s="23"/>
      <c r="AG753" s="23"/>
      <c r="AH753" s="23"/>
      <c r="AI753" s="23"/>
      <c r="AN753" s="23"/>
      <c r="AO753" s="23"/>
      <c r="AP753" s="23"/>
      <c r="AQ753" s="23"/>
      <c r="AR753" s="35"/>
      <c r="AS753" s="35"/>
      <c r="AT753" s="35"/>
      <c r="AU753" s="31"/>
      <c r="AV753" s="36"/>
    </row>
    <row r="754" spans="1:48">
      <c r="A754" s="21"/>
      <c r="D754" s="31"/>
      <c r="E754" s="31"/>
      <c r="F754" s="31"/>
      <c r="G754" s="31"/>
      <c r="H754" s="32"/>
      <c r="J754" s="33"/>
      <c r="K754" s="33"/>
      <c r="L754" s="33"/>
      <c r="X754" s="23"/>
      <c r="Y754" s="23"/>
      <c r="Z754" s="23"/>
      <c r="AA754" s="23"/>
      <c r="AF754" s="23"/>
      <c r="AG754" s="23"/>
      <c r="AH754" s="23"/>
      <c r="AI754" s="23"/>
      <c r="AN754" s="23"/>
      <c r="AO754" s="23"/>
      <c r="AP754" s="23"/>
      <c r="AQ754" s="23"/>
      <c r="AR754" s="35"/>
      <c r="AS754" s="35"/>
      <c r="AT754" s="35"/>
      <c r="AU754" s="31"/>
      <c r="AV754" s="36"/>
    </row>
    <row r="755" spans="1:48">
      <c r="A755" s="21"/>
      <c r="D755" s="31"/>
      <c r="E755" s="31"/>
      <c r="F755" s="31"/>
      <c r="G755" s="31"/>
      <c r="H755" s="32"/>
      <c r="J755" s="33"/>
      <c r="K755" s="33"/>
      <c r="L755" s="33"/>
      <c r="X755" s="23"/>
      <c r="Y755" s="23"/>
      <c r="Z755" s="23"/>
      <c r="AA755" s="23"/>
      <c r="AF755" s="23"/>
      <c r="AG755" s="23"/>
      <c r="AH755" s="23"/>
      <c r="AI755" s="23"/>
      <c r="AN755" s="23"/>
      <c r="AO755" s="23"/>
      <c r="AP755" s="23"/>
      <c r="AQ755" s="23"/>
      <c r="AR755" s="35"/>
      <c r="AS755" s="35"/>
      <c r="AT755" s="35"/>
      <c r="AU755" s="31"/>
      <c r="AV755" s="36"/>
    </row>
    <row r="756" spans="1:48">
      <c r="A756" s="21"/>
      <c r="D756" s="31"/>
      <c r="E756" s="31"/>
      <c r="F756" s="31"/>
      <c r="G756" s="31"/>
      <c r="H756" s="32"/>
      <c r="J756" s="33"/>
      <c r="K756" s="33"/>
      <c r="L756" s="33"/>
      <c r="X756" s="23"/>
      <c r="Y756" s="23"/>
      <c r="Z756" s="23"/>
      <c r="AA756" s="23"/>
      <c r="AF756" s="23"/>
      <c r="AG756" s="23"/>
      <c r="AH756" s="23"/>
      <c r="AI756" s="23"/>
      <c r="AN756" s="23"/>
      <c r="AO756" s="23"/>
      <c r="AP756" s="23"/>
      <c r="AQ756" s="23"/>
      <c r="AR756" s="35"/>
      <c r="AS756" s="35"/>
      <c r="AT756" s="35"/>
      <c r="AU756" s="31"/>
      <c r="AV756" s="36"/>
    </row>
    <row r="757" spans="1:48">
      <c r="A757" s="21"/>
      <c r="D757" s="31"/>
      <c r="E757" s="31"/>
      <c r="F757" s="31"/>
      <c r="G757" s="31"/>
      <c r="H757" s="32"/>
      <c r="J757" s="33"/>
      <c r="K757" s="33"/>
      <c r="L757" s="33"/>
      <c r="X757" s="23"/>
      <c r="Y757" s="23"/>
      <c r="Z757" s="23"/>
      <c r="AA757" s="23"/>
      <c r="AF757" s="23"/>
      <c r="AG757" s="23"/>
      <c r="AH757" s="23"/>
      <c r="AI757" s="23"/>
      <c r="AN757" s="23"/>
      <c r="AO757" s="23"/>
      <c r="AP757" s="23"/>
      <c r="AQ757" s="23"/>
      <c r="AR757" s="35"/>
      <c r="AS757" s="35"/>
      <c r="AT757" s="35"/>
      <c r="AU757" s="31"/>
      <c r="AV757" s="36"/>
    </row>
    <row r="758" spans="1:48">
      <c r="A758" s="21"/>
      <c r="D758" s="31"/>
      <c r="E758" s="31"/>
      <c r="F758" s="31"/>
      <c r="G758" s="31"/>
      <c r="H758" s="32"/>
      <c r="J758" s="33"/>
      <c r="K758" s="33"/>
      <c r="L758" s="33"/>
      <c r="X758" s="23"/>
      <c r="Y758" s="23"/>
      <c r="Z758" s="23"/>
      <c r="AA758" s="23"/>
      <c r="AF758" s="23"/>
      <c r="AG758" s="23"/>
      <c r="AH758" s="23"/>
      <c r="AI758" s="23"/>
      <c r="AN758" s="23"/>
      <c r="AO758" s="23"/>
      <c r="AP758" s="23"/>
      <c r="AQ758" s="23"/>
      <c r="AR758" s="35"/>
      <c r="AS758" s="35"/>
      <c r="AT758" s="35"/>
      <c r="AU758" s="31"/>
      <c r="AV758" s="36"/>
    </row>
    <row r="759" spans="1:48">
      <c r="A759" s="21"/>
      <c r="D759" s="31"/>
      <c r="E759" s="31"/>
      <c r="F759" s="31"/>
      <c r="G759" s="31"/>
      <c r="H759" s="32"/>
      <c r="J759" s="33"/>
      <c r="K759" s="33"/>
      <c r="L759" s="33"/>
      <c r="X759" s="23"/>
      <c r="Y759" s="23"/>
      <c r="Z759" s="23"/>
      <c r="AA759" s="23"/>
      <c r="AF759" s="23"/>
      <c r="AG759" s="23"/>
      <c r="AH759" s="23"/>
      <c r="AI759" s="23"/>
      <c r="AN759" s="23"/>
      <c r="AO759" s="23"/>
      <c r="AP759" s="23"/>
      <c r="AQ759" s="23"/>
      <c r="AR759" s="35"/>
      <c r="AS759" s="35"/>
      <c r="AT759" s="35"/>
      <c r="AU759" s="31"/>
      <c r="AV759" s="36"/>
    </row>
    <row r="760" spans="1:48">
      <c r="A760" s="21"/>
      <c r="D760" s="31"/>
      <c r="E760" s="31"/>
      <c r="F760" s="31"/>
      <c r="G760" s="31"/>
      <c r="H760" s="32"/>
      <c r="J760" s="33"/>
      <c r="K760" s="33"/>
      <c r="L760" s="33"/>
      <c r="X760" s="23"/>
      <c r="Y760" s="23"/>
      <c r="Z760" s="23"/>
      <c r="AA760" s="23"/>
      <c r="AF760" s="23"/>
      <c r="AG760" s="23"/>
      <c r="AH760" s="23"/>
      <c r="AI760" s="23"/>
      <c r="AN760" s="23"/>
      <c r="AO760" s="23"/>
      <c r="AP760" s="23"/>
      <c r="AQ760" s="23"/>
      <c r="AR760" s="35"/>
      <c r="AS760" s="35"/>
      <c r="AT760" s="35"/>
      <c r="AU760" s="31"/>
      <c r="AV760" s="36"/>
    </row>
    <row r="761" spans="1:48">
      <c r="A761" s="21"/>
      <c r="D761" s="31"/>
      <c r="E761" s="31"/>
      <c r="F761" s="31"/>
      <c r="G761" s="31"/>
      <c r="H761" s="32"/>
      <c r="J761" s="33"/>
      <c r="K761" s="33"/>
      <c r="L761" s="33"/>
      <c r="X761" s="23"/>
      <c r="Y761" s="23"/>
      <c r="Z761" s="23"/>
      <c r="AA761" s="23"/>
      <c r="AF761" s="23"/>
      <c r="AG761" s="23"/>
      <c r="AH761" s="23"/>
      <c r="AI761" s="23"/>
      <c r="AN761" s="23"/>
      <c r="AO761" s="23"/>
      <c r="AP761" s="23"/>
      <c r="AQ761" s="23"/>
      <c r="AR761" s="35"/>
      <c r="AS761" s="35"/>
      <c r="AT761" s="35"/>
      <c r="AU761" s="31"/>
      <c r="AV761" s="36"/>
    </row>
    <row r="762" spans="1:48">
      <c r="A762" s="21"/>
      <c r="D762" s="31"/>
      <c r="E762" s="31"/>
      <c r="F762" s="31"/>
      <c r="G762" s="31"/>
      <c r="H762" s="32"/>
      <c r="J762" s="33"/>
      <c r="K762" s="33"/>
      <c r="L762" s="33"/>
      <c r="X762" s="23"/>
      <c r="Y762" s="23"/>
      <c r="Z762" s="23"/>
      <c r="AA762" s="23"/>
      <c r="AF762" s="23"/>
      <c r="AG762" s="23"/>
      <c r="AH762" s="23"/>
      <c r="AI762" s="23"/>
      <c r="AN762" s="23"/>
      <c r="AO762" s="23"/>
      <c r="AP762" s="23"/>
      <c r="AQ762" s="23"/>
      <c r="AR762" s="35"/>
      <c r="AS762" s="35"/>
      <c r="AT762" s="35"/>
      <c r="AU762" s="31"/>
      <c r="AV762" s="36"/>
    </row>
    <row r="763" spans="1:48">
      <c r="A763" s="21"/>
      <c r="D763" s="31"/>
      <c r="E763" s="31"/>
      <c r="F763" s="31"/>
      <c r="G763" s="31"/>
      <c r="H763" s="32"/>
      <c r="J763" s="33"/>
      <c r="K763" s="33"/>
      <c r="L763" s="33"/>
      <c r="X763" s="23"/>
      <c r="Y763" s="23"/>
      <c r="Z763" s="23"/>
      <c r="AA763" s="23"/>
      <c r="AF763" s="23"/>
      <c r="AG763" s="23"/>
      <c r="AH763" s="23"/>
      <c r="AI763" s="23"/>
      <c r="AN763" s="23"/>
      <c r="AO763" s="23"/>
      <c r="AP763" s="23"/>
      <c r="AQ763" s="23"/>
      <c r="AR763" s="35"/>
      <c r="AS763" s="35"/>
      <c r="AT763" s="35"/>
      <c r="AU763" s="31"/>
      <c r="AV763" s="36"/>
    </row>
    <row r="764" spans="1:48">
      <c r="A764" s="21"/>
      <c r="D764" s="31"/>
      <c r="E764" s="31"/>
      <c r="F764" s="31"/>
      <c r="G764" s="31"/>
      <c r="H764" s="32"/>
      <c r="J764" s="33"/>
      <c r="K764" s="33"/>
      <c r="L764" s="33"/>
      <c r="X764" s="23"/>
      <c r="Y764" s="23"/>
      <c r="Z764" s="23"/>
      <c r="AA764" s="23"/>
      <c r="AF764" s="23"/>
      <c r="AG764" s="23"/>
      <c r="AH764" s="23"/>
      <c r="AI764" s="23"/>
      <c r="AN764" s="23"/>
      <c r="AO764" s="23"/>
      <c r="AP764" s="23"/>
      <c r="AQ764" s="23"/>
      <c r="AR764" s="35"/>
      <c r="AS764" s="35"/>
      <c r="AT764" s="35"/>
      <c r="AU764" s="31"/>
      <c r="AV764" s="36"/>
    </row>
    <row r="765" spans="1:48">
      <c r="A765" s="21"/>
      <c r="D765" s="31"/>
      <c r="E765" s="31"/>
      <c r="F765" s="31"/>
      <c r="G765" s="31"/>
      <c r="H765" s="32"/>
      <c r="J765" s="33"/>
      <c r="K765" s="33"/>
      <c r="L765" s="33"/>
      <c r="X765" s="23"/>
      <c r="Y765" s="23"/>
      <c r="Z765" s="23"/>
      <c r="AA765" s="23"/>
      <c r="AF765" s="23"/>
      <c r="AG765" s="23"/>
      <c r="AH765" s="23"/>
      <c r="AI765" s="23"/>
      <c r="AN765" s="23"/>
      <c r="AO765" s="23"/>
      <c r="AP765" s="23"/>
      <c r="AQ765" s="23"/>
      <c r="AR765" s="35"/>
      <c r="AS765" s="35"/>
      <c r="AT765" s="35"/>
      <c r="AU765" s="31"/>
      <c r="AV765" s="36"/>
    </row>
    <row r="766" spans="1:48">
      <c r="A766" s="21"/>
      <c r="D766" s="31"/>
      <c r="E766" s="31"/>
      <c r="F766" s="31"/>
      <c r="G766" s="31"/>
      <c r="H766" s="32"/>
      <c r="J766" s="33"/>
      <c r="K766" s="33"/>
      <c r="L766" s="33"/>
      <c r="X766" s="23"/>
      <c r="Y766" s="23"/>
      <c r="Z766" s="23"/>
      <c r="AA766" s="23"/>
      <c r="AF766" s="23"/>
      <c r="AG766" s="23"/>
      <c r="AH766" s="23"/>
      <c r="AI766" s="23"/>
      <c r="AN766" s="23"/>
      <c r="AO766" s="23"/>
      <c r="AP766" s="23"/>
      <c r="AQ766" s="23"/>
      <c r="AR766" s="35"/>
      <c r="AS766" s="35"/>
      <c r="AT766" s="35"/>
      <c r="AU766" s="31"/>
      <c r="AV766" s="36"/>
    </row>
    <row r="767" spans="1:48">
      <c r="A767" s="21"/>
      <c r="D767" s="31"/>
      <c r="E767" s="31"/>
      <c r="F767" s="31"/>
      <c r="G767" s="31"/>
      <c r="H767" s="32"/>
      <c r="J767" s="33"/>
      <c r="K767" s="33"/>
      <c r="L767" s="33"/>
      <c r="X767" s="23"/>
      <c r="Y767" s="23"/>
      <c r="Z767" s="23"/>
      <c r="AA767" s="23"/>
      <c r="AF767" s="23"/>
      <c r="AG767" s="23"/>
      <c r="AH767" s="23"/>
      <c r="AI767" s="23"/>
      <c r="AN767" s="23"/>
      <c r="AO767" s="23"/>
      <c r="AP767" s="23"/>
      <c r="AQ767" s="23"/>
      <c r="AR767" s="35"/>
      <c r="AS767" s="35"/>
      <c r="AT767" s="35"/>
      <c r="AU767" s="31"/>
      <c r="AV767" s="36"/>
    </row>
    <row r="768" spans="1:48">
      <c r="A768" s="21"/>
      <c r="D768" s="31"/>
      <c r="E768" s="31"/>
      <c r="F768" s="31"/>
      <c r="G768" s="31"/>
      <c r="H768" s="32"/>
      <c r="J768" s="33"/>
      <c r="K768" s="33"/>
      <c r="L768" s="33"/>
      <c r="X768" s="23"/>
      <c r="Y768" s="23"/>
      <c r="Z768" s="23"/>
      <c r="AA768" s="23"/>
      <c r="AF768" s="23"/>
      <c r="AG768" s="23"/>
      <c r="AH768" s="23"/>
      <c r="AI768" s="23"/>
      <c r="AN768" s="23"/>
      <c r="AO768" s="23"/>
      <c r="AP768" s="23"/>
      <c r="AQ768" s="23"/>
      <c r="AR768" s="35"/>
      <c r="AS768" s="35"/>
      <c r="AT768" s="35"/>
      <c r="AU768" s="31"/>
      <c r="AV768" s="36"/>
    </row>
    <row r="769" spans="1:48">
      <c r="A769" s="21"/>
      <c r="D769" s="31"/>
      <c r="E769" s="31"/>
      <c r="F769" s="31"/>
      <c r="G769" s="31"/>
      <c r="H769" s="32"/>
      <c r="J769" s="33"/>
      <c r="K769" s="33"/>
      <c r="L769" s="33"/>
      <c r="X769" s="23"/>
      <c r="Y769" s="23"/>
      <c r="Z769" s="23"/>
      <c r="AA769" s="23"/>
      <c r="AF769" s="23"/>
      <c r="AG769" s="23"/>
      <c r="AH769" s="23"/>
      <c r="AI769" s="23"/>
      <c r="AN769" s="23"/>
      <c r="AO769" s="23"/>
      <c r="AP769" s="23"/>
      <c r="AQ769" s="23"/>
      <c r="AR769" s="35"/>
      <c r="AS769" s="35"/>
      <c r="AT769" s="35"/>
      <c r="AU769" s="31"/>
      <c r="AV769" s="36"/>
    </row>
    <row r="770" spans="1:48">
      <c r="A770" s="21"/>
      <c r="D770" s="31"/>
      <c r="E770" s="31"/>
      <c r="F770" s="31"/>
      <c r="G770" s="31"/>
      <c r="H770" s="32"/>
      <c r="J770" s="33"/>
      <c r="K770" s="33"/>
      <c r="L770" s="33"/>
      <c r="X770" s="23"/>
      <c r="Y770" s="23"/>
      <c r="Z770" s="23"/>
      <c r="AA770" s="23"/>
      <c r="AF770" s="23"/>
      <c r="AG770" s="23"/>
      <c r="AH770" s="23"/>
      <c r="AI770" s="23"/>
      <c r="AN770" s="23"/>
      <c r="AO770" s="23"/>
      <c r="AP770" s="23"/>
      <c r="AQ770" s="23"/>
      <c r="AR770" s="35"/>
      <c r="AS770" s="35"/>
      <c r="AT770" s="35"/>
      <c r="AU770" s="31"/>
      <c r="AV770" s="36"/>
    </row>
    <row r="771" spans="1:48">
      <c r="A771" s="21"/>
      <c r="D771" s="31"/>
      <c r="E771" s="31"/>
      <c r="F771" s="31"/>
      <c r="G771" s="31"/>
      <c r="H771" s="32"/>
      <c r="J771" s="33"/>
      <c r="K771" s="33"/>
      <c r="L771" s="33"/>
      <c r="X771" s="23"/>
      <c r="Y771" s="23"/>
      <c r="Z771" s="23"/>
      <c r="AA771" s="23"/>
      <c r="AF771" s="23"/>
      <c r="AG771" s="23"/>
      <c r="AH771" s="23"/>
      <c r="AI771" s="23"/>
      <c r="AN771" s="23"/>
      <c r="AO771" s="23"/>
      <c r="AP771" s="23"/>
      <c r="AQ771" s="23"/>
      <c r="AR771" s="35"/>
      <c r="AS771" s="35"/>
      <c r="AT771" s="35"/>
      <c r="AU771" s="31"/>
      <c r="AV771" s="36"/>
    </row>
    <row r="772" spans="1:48">
      <c r="A772" s="21"/>
      <c r="D772" s="31"/>
      <c r="E772" s="31"/>
      <c r="F772" s="31"/>
      <c r="G772" s="31"/>
      <c r="H772" s="32"/>
      <c r="J772" s="33"/>
      <c r="K772" s="33"/>
      <c r="L772" s="33"/>
      <c r="X772" s="23"/>
      <c r="Y772" s="23"/>
      <c r="Z772" s="23"/>
      <c r="AA772" s="23"/>
      <c r="AF772" s="23"/>
      <c r="AG772" s="23"/>
      <c r="AH772" s="23"/>
      <c r="AI772" s="23"/>
      <c r="AN772" s="23"/>
      <c r="AO772" s="23"/>
      <c r="AP772" s="23"/>
      <c r="AQ772" s="23"/>
      <c r="AR772" s="35"/>
      <c r="AS772" s="35"/>
      <c r="AT772" s="35"/>
      <c r="AU772" s="31"/>
      <c r="AV772" s="36"/>
    </row>
    <row r="773" spans="1:48">
      <c r="A773" s="21"/>
      <c r="D773" s="31"/>
      <c r="E773" s="31"/>
      <c r="F773" s="31"/>
      <c r="G773" s="31"/>
      <c r="H773" s="32"/>
      <c r="J773" s="33"/>
      <c r="K773" s="33"/>
      <c r="L773" s="33"/>
      <c r="X773" s="23"/>
      <c r="Y773" s="23"/>
      <c r="Z773" s="23"/>
      <c r="AA773" s="23"/>
      <c r="AF773" s="23"/>
      <c r="AG773" s="23"/>
      <c r="AH773" s="23"/>
      <c r="AI773" s="23"/>
      <c r="AN773" s="23"/>
      <c r="AO773" s="23"/>
      <c r="AP773" s="23"/>
      <c r="AQ773" s="23"/>
      <c r="AR773" s="35"/>
      <c r="AS773" s="35"/>
      <c r="AT773" s="35"/>
      <c r="AU773" s="31"/>
      <c r="AV773" s="36"/>
    </row>
    <row r="774" spans="1:48">
      <c r="A774" s="21"/>
      <c r="D774" s="31"/>
      <c r="E774" s="31"/>
      <c r="F774" s="31"/>
      <c r="G774" s="31"/>
      <c r="H774" s="32"/>
      <c r="J774" s="33"/>
      <c r="K774" s="33"/>
      <c r="L774" s="33"/>
      <c r="X774" s="23"/>
      <c r="Y774" s="23"/>
      <c r="Z774" s="23"/>
      <c r="AA774" s="23"/>
      <c r="AF774" s="23"/>
      <c r="AG774" s="23"/>
      <c r="AH774" s="23"/>
      <c r="AI774" s="23"/>
      <c r="AN774" s="23"/>
      <c r="AO774" s="23"/>
      <c r="AP774" s="23"/>
      <c r="AQ774" s="23"/>
      <c r="AR774" s="35"/>
      <c r="AS774" s="35"/>
      <c r="AT774" s="35"/>
      <c r="AU774" s="31"/>
      <c r="AV774" s="36"/>
    </row>
    <row r="775" spans="1:48">
      <c r="A775" s="21"/>
      <c r="D775" s="31"/>
      <c r="E775" s="31"/>
      <c r="F775" s="31"/>
      <c r="G775" s="31"/>
      <c r="H775" s="32"/>
      <c r="J775" s="33"/>
      <c r="K775" s="33"/>
      <c r="L775" s="33"/>
      <c r="X775" s="23"/>
      <c r="Y775" s="23"/>
      <c r="Z775" s="23"/>
      <c r="AA775" s="23"/>
      <c r="AF775" s="23"/>
      <c r="AG775" s="23"/>
      <c r="AH775" s="23"/>
      <c r="AI775" s="23"/>
      <c r="AN775" s="23"/>
      <c r="AO775" s="23"/>
      <c r="AP775" s="23"/>
      <c r="AQ775" s="23"/>
      <c r="AR775" s="35"/>
      <c r="AS775" s="35"/>
      <c r="AT775" s="35"/>
      <c r="AU775" s="31"/>
      <c r="AV775" s="36"/>
    </row>
    <row r="776" spans="1:48">
      <c r="A776" s="21"/>
      <c r="D776" s="31"/>
      <c r="E776" s="31"/>
      <c r="F776" s="31"/>
      <c r="G776" s="31"/>
      <c r="H776" s="32"/>
      <c r="J776" s="33"/>
      <c r="K776" s="33"/>
      <c r="L776" s="33"/>
      <c r="X776" s="23"/>
      <c r="Y776" s="23"/>
      <c r="Z776" s="23"/>
      <c r="AA776" s="23"/>
      <c r="AF776" s="23"/>
      <c r="AG776" s="23"/>
      <c r="AH776" s="23"/>
      <c r="AI776" s="23"/>
      <c r="AN776" s="23"/>
      <c r="AO776" s="23"/>
      <c r="AP776" s="23"/>
      <c r="AQ776" s="23"/>
      <c r="AR776" s="35"/>
      <c r="AS776" s="35"/>
      <c r="AT776" s="35"/>
      <c r="AU776" s="31"/>
      <c r="AV776" s="36"/>
    </row>
    <row r="777" spans="1:48">
      <c r="A777" s="21"/>
      <c r="D777" s="31"/>
      <c r="E777" s="31"/>
      <c r="F777" s="31"/>
      <c r="G777" s="31"/>
      <c r="H777" s="32"/>
      <c r="J777" s="33"/>
      <c r="K777" s="33"/>
      <c r="L777" s="33"/>
      <c r="X777" s="23"/>
      <c r="Y777" s="23"/>
      <c r="Z777" s="23"/>
      <c r="AA777" s="23"/>
      <c r="AF777" s="23"/>
      <c r="AG777" s="23"/>
      <c r="AH777" s="23"/>
      <c r="AI777" s="23"/>
      <c r="AN777" s="23"/>
      <c r="AO777" s="23"/>
      <c r="AP777" s="23"/>
      <c r="AQ777" s="23"/>
      <c r="AR777" s="35"/>
      <c r="AS777" s="35"/>
      <c r="AT777" s="35"/>
      <c r="AU777" s="31"/>
      <c r="AV777" s="36"/>
    </row>
    <row r="778" spans="1:48">
      <c r="A778" s="21"/>
      <c r="D778" s="31"/>
      <c r="E778" s="31"/>
      <c r="F778" s="31"/>
      <c r="G778" s="31"/>
      <c r="H778" s="32"/>
      <c r="J778" s="33"/>
      <c r="K778" s="33"/>
      <c r="L778" s="33"/>
      <c r="X778" s="23"/>
      <c r="Y778" s="23"/>
      <c r="Z778" s="23"/>
      <c r="AA778" s="23"/>
      <c r="AF778" s="23"/>
      <c r="AG778" s="23"/>
      <c r="AH778" s="23"/>
      <c r="AI778" s="23"/>
      <c r="AN778" s="23"/>
      <c r="AO778" s="23"/>
      <c r="AP778" s="23"/>
      <c r="AQ778" s="23"/>
      <c r="AR778" s="35"/>
      <c r="AS778" s="35"/>
      <c r="AT778" s="35"/>
      <c r="AU778" s="31"/>
      <c r="AV778" s="36"/>
    </row>
    <row r="779" spans="1:48">
      <c r="A779" s="21"/>
      <c r="D779" s="31"/>
      <c r="E779" s="31"/>
      <c r="F779" s="31"/>
      <c r="G779" s="31"/>
      <c r="H779" s="32"/>
      <c r="J779" s="33"/>
      <c r="K779" s="33"/>
      <c r="L779" s="33"/>
      <c r="X779" s="23"/>
      <c r="Y779" s="23"/>
      <c r="Z779" s="23"/>
      <c r="AA779" s="23"/>
      <c r="AF779" s="23"/>
      <c r="AG779" s="23"/>
      <c r="AH779" s="23"/>
      <c r="AI779" s="23"/>
      <c r="AN779" s="23"/>
      <c r="AO779" s="23"/>
      <c r="AP779" s="23"/>
      <c r="AQ779" s="23"/>
      <c r="AR779" s="35"/>
      <c r="AS779" s="35"/>
      <c r="AT779" s="35"/>
      <c r="AU779" s="31"/>
      <c r="AV779" s="36"/>
    </row>
    <row r="780" spans="1:48">
      <c r="A780" s="21"/>
      <c r="D780" s="31"/>
      <c r="E780" s="31"/>
      <c r="F780" s="31"/>
      <c r="G780" s="31"/>
      <c r="H780" s="32"/>
      <c r="J780" s="33"/>
      <c r="K780" s="33"/>
      <c r="L780" s="33"/>
      <c r="X780" s="23"/>
      <c r="Y780" s="23"/>
      <c r="Z780" s="23"/>
      <c r="AA780" s="23"/>
      <c r="AF780" s="23"/>
      <c r="AG780" s="23"/>
      <c r="AH780" s="23"/>
      <c r="AI780" s="23"/>
      <c r="AN780" s="23"/>
      <c r="AO780" s="23"/>
      <c r="AP780" s="23"/>
      <c r="AQ780" s="23"/>
      <c r="AR780" s="35"/>
      <c r="AS780" s="35"/>
      <c r="AT780" s="35"/>
      <c r="AU780" s="31"/>
      <c r="AV780" s="36"/>
    </row>
    <row r="781" spans="1:48">
      <c r="A781" s="21"/>
      <c r="D781" s="31"/>
      <c r="E781" s="31"/>
      <c r="F781" s="31"/>
      <c r="G781" s="31"/>
      <c r="H781" s="32"/>
      <c r="J781" s="33"/>
      <c r="K781" s="33"/>
      <c r="L781" s="33"/>
      <c r="X781" s="23"/>
      <c r="Y781" s="23"/>
      <c r="Z781" s="23"/>
      <c r="AA781" s="23"/>
      <c r="AF781" s="23"/>
      <c r="AG781" s="23"/>
      <c r="AH781" s="23"/>
      <c r="AI781" s="23"/>
      <c r="AN781" s="23"/>
      <c r="AO781" s="23"/>
      <c r="AP781" s="23"/>
      <c r="AQ781" s="23"/>
      <c r="AR781" s="35"/>
      <c r="AS781" s="35"/>
      <c r="AT781" s="35"/>
      <c r="AU781" s="31"/>
      <c r="AV781" s="36"/>
    </row>
    <row r="782" spans="1:48">
      <c r="A782" s="21"/>
      <c r="D782" s="31"/>
      <c r="E782" s="31"/>
      <c r="F782" s="31"/>
      <c r="G782" s="31"/>
      <c r="H782" s="32"/>
      <c r="J782" s="33"/>
      <c r="K782" s="33"/>
      <c r="L782" s="33"/>
      <c r="X782" s="23"/>
      <c r="Y782" s="23"/>
      <c r="Z782" s="23"/>
      <c r="AA782" s="23"/>
      <c r="AF782" s="23"/>
      <c r="AG782" s="23"/>
      <c r="AH782" s="23"/>
      <c r="AI782" s="23"/>
      <c r="AN782" s="23"/>
      <c r="AO782" s="23"/>
      <c r="AP782" s="23"/>
      <c r="AQ782" s="23"/>
      <c r="AR782" s="35"/>
      <c r="AS782" s="35"/>
      <c r="AT782" s="35"/>
      <c r="AU782" s="31"/>
      <c r="AV782" s="36"/>
    </row>
    <row r="783" spans="1:48">
      <c r="A783" s="21"/>
      <c r="D783" s="31"/>
      <c r="E783" s="31"/>
      <c r="F783" s="31"/>
      <c r="G783" s="31"/>
      <c r="H783" s="32"/>
      <c r="J783" s="33"/>
      <c r="K783" s="33"/>
      <c r="L783" s="33"/>
      <c r="X783" s="23"/>
      <c r="Y783" s="23"/>
      <c r="Z783" s="23"/>
      <c r="AA783" s="23"/>
      <c r="AF783" s="23"/>
      <c r="AG783" s="23"/>
      <c r="AH783" s="23"/>
      <c r="AI783" s="23"/>
      <c r="AN783" s="23"/>
      <c r="AO783" s="23"/>
      <c r="AP783" s="23"/>
      <c r="AQ783" s="23"/>
      <c r="AR783" s="35"/>
      <c r="AS783" s="35"/>
      <c r="AT783" s="35"/>
      <c r="AU783" s="31"/>
      <c r="AV783" s="36"/>
    </row>
    <row r="784" spans="1:48">
      <c r="A784" s="21"/>
      <c r="D784" s="31"/>
      <c r="E784" s="31"/>
      <c r="F784" s="31"/>
      <c r="G784" s="31"/>
      <c r="H784" s="32"/>
      <c r="J784" s="33"/>
      <c r="K784" s="33"/>
      <c r="L784" s="33"/>
      <c r="X784" s="23"/>
      <c r="Y784" s="23"/>
      <c r="Z784" s="23"/>
      <c r="AA784" s="23"/>
      <c r="AF784" s="23"/>
      <c r="AG784" s="23"/>
      <c r="AH784" s="23"/>
      <c r="AI784" s="23"/>
      <c r="AN784" s="23"/>
      <c r="AO784" s="23"/>
      <c r="AP784" s="23"/>
      <c r="AQ784" s="23"/>
      <c r="AR784" s="35"/>
      <c r="AS784" s="35"/>
      <c r="AT784" s="35"/>
      <c r="AU784" s="31"/>
      <c r="AV784" s="36"/>
    </row>
    <row r="785" spans="1:48">
      <c r="A785" s="21"/>
      <c r="D785" s="31"/>
      <c r="E785" s="31"/>
      <c r="F785" s="31"/>
      <c r="G785" s="31"/>
      <c r="H785" s="32"/>
      <c r="J785" s="33"/>
      <c r="K785" s="33"/>
      <c r="L785" s="33"/>
      <c r="X785" s="23"/>
      <c r="Y785" s="23"/>
      <c r="Z785" s="23"/>
      <c r="AA785" s="23"/>
      <c r="AF785" s="23"/>
      <c r="AG785" s="23"/>
      <c r="AH785" s="23"/>
      <c r="AI785" s="23"/>
      <c r="AN785" s="23"/>
      <c r="AO785" s="23"/>
      <c r="AP785" s="23"/>
      <c r="AQ785" s="23"/>
      <c r="AR785" s="35"/>
      <c r="AS785" s="35"/>
      <c r="AT785" s="35"/>
      <c r="AU785" s="31"/>
      <c r="AV785" s="36"/>
    </row>
    <row r="786" spans="1:48">
      <c r="A786" s="21"/>
      <c r="D786" s="31"/>
      <c r="E786" s="31"/>
      <c r="F786" s="31"/>
      <c r="G786" s="31"/>
      <c r="H786" s="32"/>
      <c r="J786" s="33"/>
      <c r="K786" s="33"/>
      <c r="L786" s="33"/>
      <c r="X786" s="23"/>
      <c r="Y786" s="23"/>
      <c r="Z786" s="23"/>
      <c r="AA786" s="23"/>
      <c r="AF786" s="23"/>
      <c r="AG786" s="23"/>
      <c r="AH786" s="23"/>
      <c r="AI786" s="23"/>
      <c r="AN786" s="23"/>
      <c r="AO786" s="23"/>
      <c r="AP786" s="23"/>
      <c r="AQ786" s="23"/>
      <c r="AR786" s="35"/>
      <c r="AS786" s="35"/>
      <c r="AT786" s="35"/>
      <c r="AU786" s="31"/>
      <c r="AV786" s="36"/>
    </row>
    <row r="787" spans="1:48">
      <c r="A787" s="21"/>
      <c r="D787" s="31"/>
      <c r="E787" s="31"/>
      <c r="F787" s="31"/>
      <c r="G787" s="31"/>
      <c r="H787" s="32"/>
      <c r="J787" s="33"/>
      <c r="K787" s="33"/>
      <c r="L787" s="33"/>
      <c r="X787" s="23"/>
      <c r="Y787" s="23"/>
      <c r="Z787" s="23"/>
      <c r="AA787" s="23"/>
      <c r="AF787" s="23"/>
      <c r="AG787" s="23"/>
      <c r="AH787" s="23"/>
      <c r="AI787" s="23"/>
      <c r="AN787" s="23"/>
      <c r="AO787" s="23"/>
      <c r="AP787" s="23"/>
      <c r="AQ787" s="23"/>
      <c r="AR787" s="35"/>
      <c r="AS787" s="35"/>
      <c r="AT787" s="35"/>
      <c r="AU787" s="31"/>
      <c r="AV787" s="36"/>
    </row>
    <row r="788" spans="1:48">
      <c r="A788" s="21"/>
      <c r="D788" s="31"/>
      <c r="E788" s="31"/>
      <c r="F788" s="31"/>
      <c r="G788" s="31"/>
      <c r="H788" s="32"/>
      <c r="J788" s="33"/>
      <c r="K788" s="33"/>
      <c r="L788" s="33"/>
      <c r="X788" s="23"/>
      <c r="Y788" s="23"/>
      <c r="Z788" s="23"/>
      <c r="AA788" s="23"/>
      <c r="AF788" s="23"/>
      <c r="AG788" s="23"/>
      <c r="AH788" s="23"/>
      <c r="AI788" s="23"/>
      <c r="AN788" s="23"/>
      <c r="AO788" s="23"/>
      <c r="AP788" s="23"/>
      <c r="AQ788" s="23"/>
      <c r="AR788" s="35"/>
      <c r="AS788" s="35"/>
      <c r="AT788" s="35"/>
      <c r="AU788" s="31"/>
      <c r="AV788" s="36"/>
    </row>
    <row r="789" spans="1:48">
      <c r="A789" s="21"/>
      <c r="D789" s="31"/>
      <c r="E789" s="31"/>
      <c r="F789" s="31"/>
      <c r="G789" s="31"/>
      <c r="H789" s="32"/>
      <c r="J789" s="33"/>
      <c r="K789" s="33"/>
      <c r="L789" s="33"/>
      <c r="X789" s="23"/>
      <c r="Y789" s="23"/>
      <c r="Z789" s="23"/>
      <c r="AA789" s="23"/>
      <c r="AF789" s="23"/>
      <c r="AG789" s="23"/>
      <c r="AH789" s="23"/>
      <c r="AI789" s="23"/>
      <c r="AN789" s="23"/>
      <c r="AO789" s="23"/>
      <c r="AP789" s="23"/>
      <c r="AQ789" s="23"/>
      <c r="AR789" s="35"/>
      <c r="AS789" s="35"/>
      <c r="AT789" s="35"/>
      <c r="AU789" s="31"/>
      <c r="AV789" s="36"/>
    </row>
    <row r="790" spans="1:48">
      <c r="A790" s="21"/>
      <c r="D790" s="31"/>
      <c r="E790" s="31"/>
      <c r="F790" s="31"/>
      <c r="G790" s="31"/>
      <c r="H790" s="32"/>
      <c r="J790" s="33"/>
      <c r="K790" s="33"/>
      <c r="L790" s="33"/>
      <c r="X790" s="23"/>
      <c r="Y790" s="23"/>
      <c r="Z790" s="23"/>
      <c r="AA790" s="23"/>
      <c r="AF790" s="23"/>
      <c r="AG790" s="23"/>
      <c r="AH790" s="23"/>
      <c r="AI790" s="23"/>
      <c r="AN790" s="23"/>
      <c r="AO790" s="23"/>
      <c r="AP790" s="23"/>
      <c r="AQ790" s="23"/>
      <c r="AR790" s="35"/>
      <c r="AS790" s="35"/>
      <c r="AT790" s="35"/>
      <c r="AU790" s="31"/>
      <c r="AV790" s="36"/>
    </row>
    <row r="791" spans="1:48">
      <c r="A791" s="21"/>
      <c r="D791" s="31"/>
      <c r="E791" s="31"/>
      <c r="F791" s="31"/>
      <c r="G791" s="31"/>
      <c r="H791" s="32"/>
      <c r="J791" s="33"/>
      <c r="K791" s="33"/>
      <c r="L791" s="33"/>
      <c r="X791" s="23"/>
      <c r="Y791" s="23"/>
      <c r="Z791" s="23"/>
      <c r="AA791" s="23"/>
      <c r="AF791" s="23"/>
      <c r="AG791" s="23"/>
      <c r="AH791" s="23"/>
      <c r="AI791" s="23"/>
      <c r="AN791" s="23"/>
      <c r="AO791" s="23"/>
      <c r="AP791" s="23"/>
      <c r="AQ791" s="23"/>
      <c r="AR791" s="35"/>
      <c r="AS791" s="35"/>
      <c r="AT791" s="35"/>
      <c r="AU791" s="31"/>
      <c r="AV791" s="36"/>
    </row>
    <row r="792" spans="1:48">
      <c r="A792" s="21"/>
      <c r="D792" s="31"/>
      <c r="E792" s="31"/>
      <c r="F792" s="31"/>
      <c r="G792" s="31"/>
      <c r="H792" s="32"/>
      <c r="J792" s="33"/>
      <c r="K792" s="33"/>
      <c r="L792" s="33"/>
      <c r="X792" s="23"/>
      <c r="Y792" s="23"/>
      <c r="Z792" s="23"/>
      <c r="AA792" s="23"/>
      <c r="AF792" s="23"/>
      <c r="AG792" s="23"/>
      <c r="AH792" s="23"/>
      <c r="AI792" s="23"/>
      <c r="AN792" s="23"/>
      <c r="AO792" s="23"/>
      <c r="AP792" s="23"/>
      <c r="AQ792" s="23"/>
      <c r="AR792" s="35"/>
      <c r="AS792" s="35"/>
      <c r="AT792" s="35"/>
      <c r="AU792" s="31"/>
      <c r="AV792" s="36"/>
    </row>
    <row r="793" spans="1:48">
      <c r="A793" s="21"/>
      <c r="D793" s="31"/>
      <c r="E793" s="31"/>
      <c r="F793" s="31"/>
      <c r="G793" s="31"/>
      <c r="H793" s="32"/>
      <c r="J793" s="33"/>
      <c r="K793" s="33"/>
      <c r="L793" s="33"/>
      <c r="X793" s="23"/>
      <c r="Y793" s="23"/>
      <c r="Z793" s="23"/>
      <c r="AA793" s="23"/>
      <c r="AF793" s="23"/>
      <c r="AG793" s="23"/>
      <c r="AH793" s="23"/>
      <c r="AI793" s="23"/>
      <c r="AN793" s="23"/>
      <c r="AO793" s="23"/>
      <c r="AP793" s="23"/>
      <c r="AQ793" s="23"/>
      <c r="AR793" s="35"/>
      <c r="AS793" s="35"/>
      <c r="AT793" s="35"/>
      <c r="AU793" s="31"/>
      <c r="AV793" s="36"/>
    </row>
    <row r="794" spans="1:48">
      <c r="A794" s="21"/>
      <c r="D794" s="31"/>
      <c r="E794" s="31"/>
      <c r="F794" s="31"/>
      <c r="G794" s="31"/>
      <c r="H794" s="32"/>
      <c r="J794" s="33"/>
      <c r="K794" s="33"/>
      <c r="L794" s="33"/>
      <c r="X794" s="23"/>
      <c r="Y794" s="23"/>
      <c r="Z794" s="23"/>
      <c r="AA794" s="23"/>
      <c r="AF794" s="23"/>
      <c r="AG794" s="23"/>
      <c r="AH794" s="23"/>
      <c r="AI794" s="23"/>
      <c r="AN794" s="23"/>
      <c r="AO794" s="23"/>
      <c r="AP794" s="23"/>
      <c r="AQ794" s="23"/>
      <c r="AR794" s="35"/>
      <c r="AS794" s="35"/>
      <c r="AT794" s="35"/>
      <c r="AU794" s="31"/>
      <c r="AV794" s="36"/>
    </row>
    <row r="795" spans="1:48">
      <c r="A795" s="21"/>
      <c r="D795" s="31"/>
      <c r="E795" s="31"/>
      <c r="F795" s="31"/>
      <c r="G795" s="31"/>
      <c r="H795" s="32"/>
      <c r="J795" s="33"/>
      <c r="K795" s="33"/>
      <c r="L795" s="33"/>
      <c r="X795" s="23"/>
      <c r="Y795" s="23"/>
      <c r="Z795" s="23"/>
      <c r="AA795" s="23"/>
      <c r="AF795" s="23"/>
      <c r="AG795" s="23"/>
      <c r="AH795" s="23"/>
      <c r="AI795" s="23"/>
      <c r="AN795" s="23"/>
      <c r="AO795" s="23"/>
      <c r="AP795" s="23"/>
      <c r="AQ795" s="23"/>
      <c r="AR795" s="35"/>
      <c r="AS795" s="35"/>
      <c r="AT795" s="35"/>
      <c r="AU795" s="31"/>
      <c r="AV795" s="36"/>
    </row>
    <row r="796" spans="1:48">
      <c r="A796" s="21"/>
      <c r="D796" s="31"/>
      <c r="E796" s="31"/>
      <c r="F796" s="31"/>
      <c r="G796" s="31"/>
      <c r="H796" s="32"/>
      <c r="J796" s="33"/>
      <c r="K796" s="33"/>
      <c r="L796" s="33"/>
      <c r="X796" s="23"/>
      <c r="Y796" s="23"/>
      <c r="Z796" s="23"/>
      <c r="AA796" s="23"/>
      <c r="AF796" s="23"/>
      <c r="AG796" s="23"/>
      <c r="AH796" s="23"/>
      <c r="AI796" s="23"/>
      <c r="AN796" s="23"/>
      <c r="AO796" s="23"/>
      <c r="AP796" s="23"/>
      <c r="AQ796" s="23"/>
      <c r="AR796" s="35"/>
      <c r="AS796" s="35"/>
      <c r="AT796" s="35"/>
      <c r="AU796" s="31"/>
      <c r="AV796" s="36"/>
    </row>
    <row r="797" spans="1:48">
      <c r="A797" s="21"/>
      <c r="D797" s="31"/>
      <c r="E797" s="31"/>
      <c r="F797" s="31"/>
      <c r="G797" s="31"/>
      <c r="H797" s="32"/>
      <c r="J797" s="33"/>
      <c r="K797" s="33"/>
      <c r="L797" s="33"/>
      <c r="X797" s="23"/>
      <c r="Y797" s="23"/>
      <c r="Z797" s="23"/>
      <c r="AA797" s="23"/>
      <c r="AF797" s="23"/>
      <c r="AG797" s="23"/>
      <c r="AH797" s="23"/>
      <c r="AI797" s="23"/>
      <c r="AN797" s="23"/>
      <c r="AO797" s="23"/>
      <c r="AP797" s="23"/>
      <c r="AQ797" s="23"/>
      <c r="AR797" s="35"/>
      <c r="AS797" s="35"/>
      <c r="AT797" s="35"/>
      <c r="AU797" s="31"/>
      <c r="AV797" s="36"/>
    </row>
    <row r="798" spans="1:48">
      <c r="A798" s="21"/>
      <c r="D798" s="31"/>
      <c r="E798" s="31"/>
      <c r="F798" s="31"/>
      <c r="G798" s="31"/>
      <c r="H798" s="32"/>
      <c r="J798" s="33"/>
      <c r="K798" s="33"/>
      <c r="L798" s="33"/>
      <c r="X798" s="23"/>
      <c r="Y798" s="23"/>
      <c r="Z798" s="23"/>
      <c r="AA798" s="23"/>
      <c r="AF798" s="23"/>
      <c r="AG798" s="23"/>
      <c r="AH798" s="23"/>
      <c r="AI798" s="23"/>
      <c r="AN798" s="23"/>
      <c r="AO798" s="23"/>
      <c r="AP798" s="23"/>
      <c r="AQ798" s="23"/>
      <c r="AR798" s="35"/>
      <c r="AS798" s="35"/>
      <c r="AT798" s="35"/>
      <c r="AU798" s="31"/>
      <c r="AV798" s="36"/>
    </row>
    <row r="799" spans="1:48">
      <c r="A799" s="21"/>
      <c r="D799" s="31"/>
      <c r="E799" s="31"/>
      <c r="F799" s="31"/>
      <c r="G799" s="31"/>
      <c r="H799" s="32"/>
      <c r="J799" s="33"/>
      <c r="K799" s="33"/>
      <c r="L799" s="33"/>
      <c r="X799" s="23"/>
      <c r="Y799" s="23"/>
      <c r="Z799" s="23"/>
      <c r="AA799" s="23"/>
      <c r="AF799" s="23"/>
      <c r="AG799" s="23"/>
      <c r="AH799" s="23"/>
      <c r="AI799" s="23"/>
      <c r="AN799" s="23"/>
      <c r="AO799" s="23"/>
      <c r="AP799" s="23"/>
      <c r="AQ799" s="23"/>
      <c r="AR799" s="35"/>
      <c r="AS799" s="35"/>
      <c r="AT799" s="35"/>
      <c r="AU799" s="31"/>
      <c r="AV799" s="36"/>
    </row>
    <row r="800" spans="1:48">
      <c r="A800" s="21"/>
      <c r="D800" s="31"/>
      <c r="E800" s="31"/>
      <c r="F800" s="31"/>
      <c r="G800" s="31"/>
      <c r="H800" s="32"/>
      <c r="J800" s="33"/>
      <c r="K800" s="33"/>
      <c r="L800" s="33"/>
      <c r="X800" s="23"/>
      <c r="Y800" s="23"/>
      <c r="Z800" s="23"/>
      <c r="AA800" s="23"/>
      <c r="AF800" s="23"/>
      <c r="AG800" s="23"/>
      <c r="AH800" s="23"/>
      <c r="AI800" s="23"/>
      <c r="AN800" s="23"/>
      <c r="AO800" s="23"/>
      <c r="AP800" s="23"/>
      <c r="AQ800" s="23"/>
      <c r="AR800" s="35"/>
      <c r="AS800" s="35"/>
      <c r="AT800" s="35"/>
      <c r="AU800" s="31"/>
      <c r="AV800" s="36"/>
    </row>
    <row r="801" spans="1:48">
      <c r="A801" s="21"/>
      <c r="D801" s="31"/>
      <c r="E801" s="31"/>
      <c r="F801" s="31"/>
      <c r="G801" s="31"/>
      <c r="H801" s="32"/>
      <c r="J801" s="33"/>
      <c r="K801" s="33"/>
      <c r="L801" s="33"/>
      <c r="X801" s="23"/>
      <c r="Y801" s="23"/>
      <c r="Z801" s="23"/>
      <c r="AA801" s="23"/>
      <c r="AF801" s="23"/>
      <c r="AG801" s="23"/>
      <c r="AH801" s="23"/>
      <c r="AI801" s="23"/>
      <c r="AN801" s="23"/>
      <c r="AO801" s="23"/>
      <c r="AP801" s="23"/>
      <c r="AQ801" s="23"/>
      <c r="AR801" s="35"/>
      <c r="AS801" s="35"/>
      <c r="AT801" s="35"/>
      <c r="AU801" s="31"/>
      <c r="AV801" s="36"/>
    </row>
    <row r="802" spans="1:48">
      <c r="A802" s="21"/>
      <c r="D802" s="31"/>
      <c r="E802" s="31"/>
      <c r="F802" s="31"/>
      <c r="G802" s="31"/>
      <c r="H802" s="32"/>
      <c r="J802" s="33"/>
      <c r="K802" s="33"/>
      <c r="L802" s="33"/>
      <c r="X802" s="23"/>
      <c r="Y802" s="23"/>
      <c r="Z802" s="23"/>
      <c r="AA802" s="23"/>
      <c r="AF802" s="23"/>
      <c r="AG802" s="23"/>
      <c r="AH802" s="23"/>
      <c r="AI802" s="23"/>
      <c r="AN802" s="23"/>
      <c r="AO802" s="23"/>
      <c r="AP802" s="23"/>
      <c r="AQ802" s="23"/>
      <c r="AR802" s="35"/>
      <c r="AS802" s="35"/>
      <c r="AT802" s="35"/>
      <c r="AU802" s="31"/>
      <c r="AV802" s="36"/>
    </row>
    <row r="803" spans="1:48">
      <c r="A803" s="21"/>
      <c r="D803" s="31"/>
      <c r="E803" s="31"/>
      <c r="F803" s="31"/>
      <c r="G803" s="31"/>
      <c r="H803" s="32"/>
      <c r="J803" s="33"/>
      <c r="K803" s="33"/>
      <c r="L803" s="33"/>
      <c r="X803" s="23"/>
      <c r="Y803" s="23"/>
      <c r="Z803" s="23"/>
      <c r="AA803" s="23"/>
      <c r="AF803" s="23"/>
      <c r="AG803" s="23"/>
      <c r="AH803" s="23"/>
      <c r="AI803" s="23"/>
      <c r="AN803" s="23"/>
      <c r="AO803" s="23"/>
      <c r="AP803" s="23"/>
      <c r="AQ803" s="23"/>
      <c r="AR803" s="35"/>
      <c r="AS803" s="35"/>
      <c r="AT803" s="35"/>
      <c r="AU803" s="31"/>
      <c r="AV803" s="36"/>
    </row>
    <row r="804" spans="1:48">
      <c r="A804" s="21"/>
      <c r="D804" s="31"/>
      <c r="E804" s="31"/>
      <c r="F804" s="31"/>
      <c r="G804" s="31"/>
      <c r="H804" s="32"/>
      <c r="J804" s="33"/>
      <c r="K804" s="33"/>
      <c r="L804" s="33"/>
      <c r="X804" s="23"/>
      <c r="Y804" s="23"/>
      <c r="Z804" s="23"/>
      <c r="AA804" s="23"/>
      <c r="AF804" s="23"/>
      <c r="AG804" s="23"/>
      <c r="AH804" s="23"/>
      <c r="AI804" s="23"/>
      <c r="AN804" s="23"/>
      <c r="AO804" s="23"/>
      <c r="AP804" s="23"/>
      <c r="AQ804" s="23"/>
      <c r="AR804" s="35"/>
      <c r="AS804" s="35"/>
      <c r="AT804" s="35"/>
      <c r="AU804" s="31"/>
      <c r="AV804" s="36"/>
    </row>
    <row r="805" spans="1:48">
      <c r="A805" s="21"/>
      <c r="D805" s="31"/>
      <c r="E805" s="31"/>
      <c r="F805" s="31"/>
      <c r="G805" s="31"/>
      <c r="H805" s="32"/>
      <c r="J805" s="33"/>
      <c r="K805" s="33"/>
      <c r="L805" s="33"/>
      <c r="X805" s="23"/>
      <c r="Y805" s="23"/>
      <c r="Z805" s="23"/>
      <c r="AA805" s="23"/>
      <c r="AF805" s="23"/>
      <c r="AG805" s="23"/>
      <c r="AH805" s="23"/>
      <c r="AI805" s="23"/>
      <c r="AN805" s="23"/>
      <c r="AO805" s="23"/>
      <c r="AP805" s="23"/>
      <c r="AQ805" s="23"/>
      <c r="AR805" s="35"/>
      <c r="AS805" s="35"/>
      <c r="AT805" s="35"/>
      <c r="AU805" s="31"/>
      <c r="AV805" s="36"/>
    </row>
    <row r="806" spans="1:48">
      <c r="A806" s="21"/>
      <c r="D806" s="31"/>
      <c r="E806" s="31"/>
      <c r="F806" s="31"/>
      <c r="G806" s="31"/>
      <c r="H806" s="32"/>
      <c r="J806" s="33"/>
      <c r="K806" s="33"/>
      <c r="L806" s="33"/>
      <c r="X806" s="23"/>
      <c r="Y806" s="23"/>
      <c r="Z806" s="23"/>
      <c r="AA806" s="23"/>
      <c r="AF806" s="23"/>
      <c r="AG806" s="23"/>
      <c r="AH806" s="23"/>
      <c r="AI806" s="23"/>
      <c r="AN806" s="23"/>
      <c r="AO806" s="23"/>
      <c r="AP806" s="23"/>
      <c r="AQ806" s="23"/>
      <c r="AR806" s="35"/>
      <c r="AS806" s="35"/>
      <c r="AT806" s="35"/>
      <c r="AU806" s="31"/>
      <c r="AV806" s="36"/>
    </row>
    <row r="807" spans="1:48">
      <c r="A807" s="21"/>
      <c r="D807" s="31"/>
      <c r="E807" s="31"/>
      <c r="F807" s="31"/>
      <c r="G807" s="31"/>
      <c r="H807" s="32"/>
      <c r="J807" s="33"/>
      <c r="K807" s="33"/>
      <c r="L807" s="33"/>
      <c r="X807" s="23"/>
      <c r="Y807" s="23"/>
      <c r="Z807" s="23"/>
      <c r="AA807" s="23"/>
      <c r="AF807" s="23"/>
      <c r="AG807" s="23"/>
      <c r="AH807" s="23"/>
      <c r="AI807" s="23"/>
      <c r="AN807" s="23"/>
      <c r="AO807" s="23"/>
      <c r="AP807" s="23"/>
      <c r="AQ807" s="23"/>
      <c r="AR807" s="35"/>
      <c r="AS807" s="35"/>
      <c r="AT807" s="35"/>
      <c r="AU807" s="31"/>
      <c r="AV807" s="36"/>
    </row>
    <row r="808" spans="1:48">
      <c r="A808" s="21"/>
      <c r="D808" s="31"/>
      <c r="E808" s="31"/>
      <c r="F808" s="31"/>
      <c r="G808" s="31"/>
      <c r="H808" s="32"/>
      <c r="J808" s="33"/>
      <c r="K808" s="33"/>
      <c r="L808" s="33"/>
      <c r="X808" s="23"/>
      <c r="Y808" s="23"/>
      <c r="Z808" s="23"/>
      <c r="AA808" s="23"/>
      <c r="AF808" s="23"/>
      <c r="AG808" s="23"/>
      <c r="AH808" s="23"/>
      <c r="AI808" s="23"/>
      <c r="AN808" s="23"/>
      <c r="AO808" s="23"/>
      <c r="AP808" s="23"/>
      <c r="AQ808" s="23"/>
      <c r="AR808" s="35"/>
      <c r="AS808" s="35"/>
      <c r="AT808" s="35"/>
      <c r="AU808" s="31"/>
      <c r="AV808" s="36"/>
    </row>
    <row r="809" spans="1:48">
      <c r="A809" s="21"/>
      <c r="D809" s="31"/>
      <c r="E809" s="31"/>
      <c r="F809" s="31"/>
      <c r="G809" s="31"/>
      <c r="H809" s="32"/>
      <c r="J809" s="33"/>
      <c r="K809" s="33"/>
      <c r="L809" s="33"/>
      <c r="X809" s="23"/>
      <c r="Y809" s="23"/>
      <c r="Z809" s="23"/>
      <c r="AA809" s="23"/>
      <c r="AF809" s="23"/>
      <c r="AG809" s="23"/>
      <c r="AH809" s="23"/>
      <c r="AI809" s="23"/>
      <c r="AN809" s="23"/>
      <c r="AO809" s="23"/>
      <c r="AP809" s="23"/>
      <c r="AQ809" s="23"/>
      <c r="AR809" s="35"/>
      <c r="AS809" s="35"/>
      <c r="AT809" s="35"/>
      <c r="AU809" s="31"/>
      <c r="AV809" s="36"/>
    </row>
    <row r="810" spans="1:48">
      <c r="A810" s="21"/>
      <c r="D810" s="31"/>
      <c r="E810" s="31"/>
      <c r="F810" s="31"/>
      <c r="G810" s="31"/>
      <c r="H810" s="32"/>
      <c r="J810" s="33"/>
      <c r="K810" s="33"/>
      <c r="L810" s="33"/>
      <c r="X810" s="23"/>
      <c r="Y810" s="23"/>
      <c r="Z810" s="23"/>
      <c r="AA810" s="23"/>
      <c r="AF810" s="23"/>
      <c r="AG810" s="23"/>
      <c r="AH810" s="23"/>
      <c r="AI810" s="23"/>
      <c r="AN810" s="23"/>
      <c r="AO810" s="23"/>
      <c r="AP810" s="23"/>
      <c r="AQ810" s="23"/>
      <c r="AR810" s="35"/>
      <c r="AS810" s="35"/>
      <c r="AT810" s="35"/>
      <c r="AU810" s="31"/>
      <c r="AV810" s="36"/>
    </row>
    <row r="811" spans="1:48">
      <c r="A811" s="21"/>
      <c r="D811" s="31"/>
      <c r="E811" s="31"/>
      <c r="F811" s="31"/>
      <c r="G811" s="31"/>
      <c r="H811" s="32"/>
      <c r="J811" s="33"/>
      <c r="K811" s="33"/>
      <c r="L811" s="33"/>
      <c r="X811" s="23"/>
      <c r="Y811" s="23"/>
      <c r="Z811" s="23"/>
      <c r="AA811" s="23"/>
      <c r="AF811" s="23"/>
      <c r="AG811" s="23"/>
      <c r="AH811" s="23"/>
      <c r="AI811" s="23"/>
      <c r="AN811" s="23"/>
      <c r="AO811" s="23"/>
      <c r="AP811" s="23"/>
      <c r="AQ811" s="23"/>
      <c r="AR811" s="35"/>
      <c r="AS811" s="35"/>
      <c r="AT811" s="35"/>
      <c r="AU811" s="31"/>
      <c r="AV811" s="36"/>
    </row>
    <row r="812" spans="1:48">
      <c r="A812" s="21"/>
      <c r="D812" s="31"/>
      <c r="E812" s="31"/>
      <c r="F812" s="31"/>
      <c r="G812" s="31"/>
      <c r="H812" s="32"/>
      <c r="J812" s="33"/>
      <c r="K812" s="33"/>
      <c r="L812" s="33"/>
      <c r="X812" s="23"/>
      <c r="Y812" s="23"/>
      <c r="Z812" s="23"/>
      <c r="AA812" s="23"/>
      <c r="AF812" s="23"/>
      <c r="AG812" s="23"/>
      <c r="AH812" s="23"/>
      <c r="AI812" s="23"/>
      <c r="AN812" s="23"/>
      <c r="AO812" s="23"/>
      <c r="AP812" s="23"/>
      <c r="AQ812" s="23"/>
      <c r="AR812" s="35"/>
      <c r="AS812" s="35"/>
      <c r="AT812" s="35"/>
      <c r="AU812" s="31"/>
      <c r="AV812" s="36"/>
    </row>
    <row r="813" spans="1:48">
      <c r="A813" s="21"/>
      <c r="D813" s="31"/>
      <c r="E813" s="31"/>
      <c r="F813" s="31"/>
      <c r="G813" s="31"/>
      <c r="H813" s="32"/>
      <c r="J813" s="33"/>
      <c r="K813" s="33"/>
      <c r="L813" s="33"/>
      <c r="X813" s="23"/>
      <c r="Y813" s="23"/>
      <c r="Z813" s="23"/>
      <c r="AA813" s="23"/>
      <c r="AF813" s="23"/>
      <c r="AG813" s="23"/>
      <c r="AH813" s="23"/>
      <c r="AI813" s="23"/>
      <c r="AN813" s="23"/>
      <c r="AO813" s="23"/>
      <c r="AP813" s="23"/>
      <c r="AQ813" s="23"/>
      <c r="AR813" s="35"/>
      <c r="AS813" s="35"/>
      <c r="AT813" s="35"/>
      <c r="AU813" s="31"/>
      <c r="AV813" s="36"/>
    </row>
    <row r="814" spans="1:48">
      <c r="A814" s="21"/>
      <c r="D814" s="31"/>
      <c r="E814" s="31"/>
      <c r="F814" s="31"/>
      <c r="G814" s="31"/>
      <c r="H814" s="32"/>
      <c r="J814" s="33"/>
      <c r="K814" s="33"/>
      <c r="L814" s="33"/>
      <c r="X814" s="23"/>
      <c r="Y814" s="23"/>
      <c r="Z814" s="23"/>
      <c r="AA814" s="23"/>
      <c r="AF814" s="23"/>
      <c r="AG814" s="23"/>
      <c r="AH814" s="23"/>
      <c r="AI814" s="23"/>
      <c r="AN814" s="23"/>
      <c r="AO814" s="23"/>
      <c r="AP814" s="23"/>
      <c r="AQ814" s="23"/>
      <c r="AR814" s="35"/>
      <c r="AS814" s="35"/>
      <c r="AT814" s="35"/>
      <c r="AU814" s="31"/>
      <c r="AV814" s="36"/>
    </row>
    <row r="815" spans="1:48">
      <c r="A815" s="21"/>
      <c r="D815" s="31"/>
      <c r="E815" s="31"/>
      <c r="F815" s="31"/>
      <c r="G815" s="31"/>
      <c r="H815" s="32"/>
      <c r="J815" s="33"/>
      <c r="K815" s="33"/>
      <c r="L815" s="33"/>
      <c r="X815" s="23"/>
      <c r="Y815" s="23"/>
      <c r="Z815" s="23"/>
      <c r="AA815" s="23"/>
      <c r="AF815" s="23"/>
      <c r="AG815" s="23"/>
      <c r="AH815" s="23"/>
      <c r="AI815" s="23"/>
      <c r="AN815" s="23"/>
      <c r="AO815" s="23"/>
      <c r="AP815" s="23"/>
      <c r="AQ815" s="23"/>
      <c r="AR815" s="35"/>
      <c r="AS815" s="35"/>
      <c r="AT815" s="35"/>
      <c r="AU815" s="31"/>
      <c r="AV815" s="36"/>
    </row>
    <row r="816" spans="1:48">
      <c r="A816" s="21"/>
      <c r="D816" s="31"/>
      <c r="E816" s="31"/>
      <c r="F816" s="31"/>
      <c r="G816" s="31"/>
      <c r="H816" s="32"/>
      <c r="J816" s="33"/>
      <c r="K816" s="33"/>
      <c r="L816" s="33"/>
      <c r="X816" s="23"/>
      <c r="Y816" s="23"/>
      <c r="Z816" s="23"/>
      <c r="AA816" s="23"/>
      <c r="AF816" s="23"/>
      <c r="AG816" s="23"/>
      <c r="AH816" s="23"/>
      <c r="AI816" s="23"/>
      <c r="AN816" s="23"/>
      <c r="AO816" s="23"/>
      <c r="AP816" s="23"/>
      <c r="AQ816" s="23"/>
      <c r="AR816" s="35"/>
      <c r="AS816" s="35"/>
      <c r="AT816" s="35"/>
      <c r="AU816" s="31"/>
      <c r="AV816" s="36"/>
    </row>
    <row r="817" spans="1:48">
      <c r="A817" s="21"/>
      <c r="D817" s="31"/>
      <c r="E817" s="31"/>
      <c r="F817" s="31"/>
      <c r="G817" s="31"/>
      <c r="H817" s="32"/>
      <c r="J817" s="33"/>
      <c r="K817" s="33"/>
      <c r="L817" s="33"/>
      <c r="X817" s="23"/>
      <c r="Y817" s="23"/>
      <c r="Z817" s="23"/>
      <c r="AA817" s="23"/>
      <c r="AF817" s="23"/>
      <c r="AG817" s="23"/>
      <c r="AH817" s="23"/>
      <c r="AI817" s="23"/>
      <c r="AN817" s="23"/>
      <c r="AO817" s="23"/>
      <c r="AP817" s="23"/>
      <c r="AQ817" s="23"/>
      <c r="AR817" s="35"/>
      <c r="AS817" s="35"/>
      <c r="AT817" s="35"/>
      <c r="AU817" s="31"/>
      <c r="AV817" s="36"/>
    </row>
    <row r="818" spans="1:48">
      <c r="A818" s="21"/>
      <c r="D818" s="31"/>
      <c r="E818" s="31"/>
      <c r="F818" s="31"/>
      <c r="G818" s="31"/>
      <c r="H818" s="32"/>
      <c r="J818" s="33"/>
      <c r="K818" s="33"/>
      <c r="L818" s="33"/>
      <c r="X818" s="23"/>
      <c r="Y818" s="23"/>
      <c r="Z818" s="23"/>
      <c r="AA818" s="23"/>
      <c r="AF818" s="23"/>
      <c r="AG818" s="23"/>
      <c r="AH818" s="23"/>
      <c r="AI818" s="23"/>
      <c r="AN818" s="23"/>
      <c r="AO818" s="23"/>
      <c r="AP818" s="23"/>
      <c r="AQ818" s="23"/>
      <c r="AR818" s="35"/>
      <c r="AS818" s="35"/>
      <c r="AT818" s="35"/>
      <c r="AU818" s="31"/>
      <c r="AV818" s="36"/>
    </row>
    <row r="819" spans="1:48">
      <c r="A819" s="21"/>
      <c r="D819" s="31"/>
      <c r="E819" s="31"/>
      <c r="F819" s="31"/>
      <c r="G819" s="31"/>
      <c r="H819" s="32"/>
      <c r="J819" s="33"/>
      <c r="K819" s="33"/>
      <c r="L819" s="33"/>
      <c r="X819" s="23"/>
      <c r="Y819" s="23"/>
      <c r="Z819" s="23"/>
      <c r="AA819" s="23"/>
      <c r="AF819" s="23"/>
      <c r="AG819" s="23"/>
      <c r="AH819" s="23"/>
      <c r="AI819" s="23"/>
      <c r="AN819" s="23"/>
      <c r="AO819" s="23"/>
      <c r="AP819" s="23"/>
      <c r="AQ819" s="23"/>
      <c r="AR819" s="35"/>
      <c r="AS819" s="35"/>
      <c r="AT819" s="35"/>
      <c r="AU819" s="31"/>
      <c r="AV819" s="36"/>
    </row>
    <row r="820" spans="1:48">
      <c r="A820" s="21"/>
      <c r="D820" s="31"/>
      <c r="E820" s="31"/>
      <c r="F820" s="31"/>
      <c r="G820" s="31"/>
      <c r="H820" s="32"/>
      <c r="J820" s="33"/>
      <c r="K820" s="33"/>
      <c r="L820" s="33"/>
      <c r="X820" s="23"/>
      <c r="Y820" s="23"/>
      <c r="Z820" s="23"/>
      <c r="AA820" s="23"/>
      <c r="AF820" s="23"/>
      <c r="AG820" s="23"/>
      <c r="AH820" s="23"/>
      <c r="AI820" s="23"/>
      <c r="AN820" s="23"/>
      <c r="AO820" s="23"/>
      <c r="AP820" s="23"/>
      <c r="AQ820" s="23"/>
      <c r="AR820" s="35"/>
      <c r="AS820" s="35"/>
      <c r="AT820" s="35"/>
      <c r="AU820" s="31"/>
      <c r="AV820" s="36"/>
    </row>
    <row r="821" spans="1:48">
      <c r="A821" s="21"/>
      <c r="D821" s="31"/>
      <c r="E821" s="31"/>
      <c r="F821" s="31"/>
      <c r="G821" s="31"/>
      <c r="H821" s="32"/>
      <c r="J821" s="33"/>
      <c r="K821" s="33"/>
      <c r="L821" s="33"/>
      <c r="X821" s="23"/>
      <c r="Y821" s="23"/>
      <c r="Z821" s="23"/>
      <c r="AA821" s="23"/>
      <c r="AF821" s="23"/>
      <c r="AG821" s="23"/>
      <c r="AH821" s="23"/>
      <c r="AI821" s="23"/>
      <c r="AN821" s="23"/>
      <c r="AO821" s="23"/>
      <c r="AP821" s="23"/>
      <c r="AQ821" s="23"/>
      <c r="AR821" s="35"/>
      <c r="AS821" s="35"/>
      <c r="AT821" s="35"/>
      <c r="AU821" s="31"/>
      <c r="AV821" s="36"/>
    </row>
    <row r="822" spans="1:48">
      <c r="A822" s="21"/>
      <c r="D822" s="31"/>
      <c r="E822" s="31"/>
      <c r="F822" s="31"/>
      <c r="G822" s="31"/>
      <c r="H822" s="32"/>
      <c r="J822" s="33"/>
      <c r="K822" s="33"/>
      <c r="L822" s="33"/>
      <c r="X822" s="23"/>
      <c r="Y822" s="23"/>
      <c r="Z822" s="23"/>
      <c r="AA822" s="23"/>
      <c r="AF822" s="23"/>
      <c r="AG822" s="23"/>
      <c r="AH822" s="23"/>
      <c r="AI822" s="23"/>
      <c r="AN822" s="23"/>
      <c r="AO822" s="23"/>
      <c r="AP822" s="23"/>
      <c r="AQ822" s="23"/>
      <c r="AR822" s="35"/>
      <c r="AS822" s="35"/>
      <c r="AT822" s="35"/>
      <c r="AU822" s="31"/>
      <c r="AV822" s="36"/>
    </row>
    <row r="823" spans="1:48">
      <c r="A823" s="21"/>
      <c r="D823" s="31"/>
      <c r="E823" s="31"/>
      <c r="F823" s="31"/>
      <c r="G823" s="31"/>
      <c r="H823" s="32"/>
      <c r="J823" s="33"/>
      <c r="K823" s="33"/>
      <c r="L823" s="33"/>
      <c r="X823" s="23"/>
      <c r="Y823" s="23"/>
      <c r="Z823" s="23"/>
      <c r="AA823" s="23"/>
      <c r="AF823" s="23"/>
      <c r="AG823" s="23"/>
      <c r="AH823" s="23"/>
      <c r="AI823" s="23"/>
      <c r="AN823" s="23"/>
      <c r="AO823" s="23"/>
      <c r="AP823" s="23"/>
      <c r="AQ823" s="23"/>
      <c r="AR823" s="35"/>
      <c r="AS823" s="35"/>
      <c r="AT823" s="35"/>
      <c r="AU823" s="31"/>
      <c r="AV823" s="36"/>
    </row>
    <row r="824" spans="1:48">
      <c r="A824" s="21"/>
      <c r="D824" s="31"/>
      <c r="E824" s="31"/>
      <c r="F824" s="31"/>
      <c r="G824" s="31"/>
      <c r="H824" s="32"/>
      <c r="J824" s="33"/>
      <c r="K824" s="33"/>
      <c r="L824" s="33"/>
      <c r="X824" s="23"/>
      <c r="Y824" s="23"/>
      <c r="Z824" s="23"/>
      <c r="AA824" s="23"/>
      <c r="AF824" s="23"/>
      <c r="AG824" s="23"/>
      <c r="AH824" s="23"/>
      <c r="AI824" s="23"/>
      <c r="AN824" s="23"/>
      <c r="AO824" s="23"/>
      <c r="AP824" s="23"/>
      <c r="AQ824" s="23"/>
      <c r="AR824" s="35"/>
      <c r="AS824" s="35"/>
      <c r="AT824" s="35"/>
      <c r="AU824" s="31"/>
      <c r="AV824" s="36"/>
    </row>
    <row r="825" spans="1:48">
      <c r="A825" s="21"/>
      <c r="D825" s="31"/>
      <c r="E825" s="31"/>
      <c r="F825" s="31"/>
      <c r="G825" s="31"/>
      <c r="H825" s="32"/>
      <c r="J825" s="33"/>
      <c r="K825" s="33"/>
      <c r="L825" s="33"/>
      <c r="X825" s="23"/>
      <c r="Y825" s="23"/>
      <c r="Z825" s="23"/>
      <c r="AA825" s="23"/>
      <c r="AF825" s="23"/>
      <c r="AG825" s="23"/>
      <c r="AH825" s="23"/>
      <c r="AI825" s="23"/>
      <c r="AN825" s="23"/>
      <c r="AO825" s="23"/>
      <c r="AP825" s="23"/>
      <c r="AQ825" s="23"/>
      <c r="AR825" s="35"/>
      <c r="AS825" s="35"/>
      <c r="AT825" s="35"/>
      <c r="AU825" s="31"/>
      <c r="AV825" s="36"/>
    </row>
    <row r="826" spans="1:48">
      <c r="A826" s="21"/>
      <c r="D826" s="31"/>
      <c r="E826" s="31"/>
      <c r="F826" s="31"/>
      <c r="G826" s="31"/>
      <c r="H826" s="32"/>
      <c r="J826" s="33"/>
      <c r="K826" s="33"/>
      <c r="L826" s="33"/>
      <c r="X826" s="23"/>
      <c r="Y826" s="23"/>
      <c r="Z826" s="23"/>
      <c r="AA826" s="23"/>
      <c r="AF826" s="23"/>
      <c r="AG826" s="23"/>
      <c r="AH826" s="23"/>
      <c r="AI826" s="23"/>
      <c r="AN826" s="23"/>
      <c r="AO826" s="23"/>
      <c r="AP826" s="23"/>
      <c r="AQ826" s="23"/>
      <c r="AR826" s="35"/>
      <c r="AS826" s="35"/>
      <c r="AT826" s="35"/>
      <c r="AU826" s="31"/>
      <c r="AV826" s="36"/>
    </row>
    <row r="827" spans="1:48">
      <c r="A827" s="21"/>
      <c r="D827" s="31"/>
      <c r="E827" s="31"/>
      <c r="F827" s="31"/>
      <c r="G827" s="31"/>
      <c r="H827" s="32"/>
      <c r="J827" s="33"/>
      <c r="K827" s="33"/>
      <c r="L827" s="33"/>
      <c r="X827" s="23"/>
      <c r="Y827" s="23"/>
      <c r="Z827" s="23"/>
      <c r="AA827" s="23"/>
      <c r="AF827" s="23"/>
      <c r="AG827" s="23"/>
      <c r="AH827" s="23"/>
      <c r="AI827" s="23"/>
      <c r="AN827" s="23"/>
      <c r="AO827" s="23"/>
      <c r="AP827" s="23"/>
      <c r="AQ827" s="23"/>
      <c r="AR827" s="35"/>
      <c r="AS827" s="35"/>
      <c r="AT827" s="35"/>
      <c r="AU827" s="31"/>
      <c r="AV827" s="36"/>
    </row>
    <row r="828" spans="1:48">
      <c r="A828" s="21"/>
      <c r="D828" s="31"/>
      <c r="E828" s="31"/>
      <c r="F828" s="31"/>
      <c r="G828" s="31"/>
      <c r="H828" s="32"/>
      <c r="J828" s="33"/>
      <c r="K828" s="33"/>
      <c r="L828" s="33"/>
      <c r="X828" s="23"/>
      <c r="Y828" s="23"/>
      <c r="Z828" s="23"/>
      <c r="AA828" s="23"/>
      <c r="AF828" s="23"/>
      <c r="AG828" s="23"/>
      <c r="AH828" s="23"/>
      <c r="AI828" s="23"/>
      <c r="AN828" s="23"/>
      <c r="AO828" s="23"/>
      <c r="AP828" s="23"/>
      <c r="AQ828" s="23"/>
      <c r="AR828" s="35"/>
      <c r="AS828" s="35"/>
      <c r="AT828" s="35"/>
      <c r="AU828" s="31"/>
      <c r="AV828" s="36"/>
    </row>
    <row r="829" spans="1:48">
      <c r="A829" s="21"/>
      <c r="D829" s="31"/>
      <c r="E829" s="31"/>
      <c r="F829" s="31"/>
      <c r="G829" s="31"/>
      <c r="H829" s="32"/>
      <c r="J829" s="33"/>
      <c r="K829" s="33"/>
      <c r="L829" s="33"/>
      <c r="X829" s="23"/>
      <c r="Y829" s="23"/>
      <c r="Z829" s="23"/>
      <c r="AA829" s="23"/>
      <c r="AF829" s="23"/>
      <c r="AG829" s="23"/>
      <c r="AH829" s="23"/>
      <c r="AI829" s="23"/>
      <c r="AN829" s="23"/>
      <c r="AO829" s="23"/>
      <c r="AP829" s="23"/>
      <c r="AQ829" s="23"/>
      <c r="AR829" s="35"/>
      <c r="AS829" s="35"/>
      <c r="AT829" s="35"/>
      <c r="AU829" s="31"/>
      <c r="AV829" s="36"/>
    </row>
    <row r="830" spans="1:48">
      <c r="A830" s="21"/>
      <c r="D830" s="31"/>
      <c r="E830" s="31"/>
      <c r="F830" s="31"/>
      <c r="G830" s="31"/>
      <c r="H830" s="32"/>
      <c r="J830" s="33"/>
      <c r="K830" s="33"/>
      <c r="L830" s="33"/>
      <c r="X830" s="23"/>
      <c r="Y830" s="23"/>
      <c r="Z830" s="23"/>
      <c r="AA830" s="23"/>
      <c r="AF830" s="23"/>
      <c r="AG830" s="23"/>
      <c r="AH830" s="23"/>
      <c r="AI830" s="23"/>
      <c r="AN830" s="23"/>
      <c r="AO830" s="23"/>
      <c r="AP830" s="23"/>
      <c r="AQ830" s="23"/>
      <c r="AR830" s="35"/>
      <c r="AS830" s="35"/>
      <c r="AT830" s="35"/>
      <c r="AU830" s="31"/>
      <c r="AV830" s="36"/>
    </row>
    <row r="831" spans="1:48">
      <c r="A831" s="21"/>
      <c r="D831" s="31"/>
      <c r="E831" s="31"/>
      <c r="F831" s="31"/>
      <c r="G831" s="31"/>
      <c r="H831" s="32"/>
      <c r="J831" s="33"/>
      <c r="K831" s="33"/>
      <c r="L831" s="33"/>
      <c r="X831" s="23"/>
      <c r="Y831" s="23"/>
      <c r="Z831" s="23"/>
      <c r="AA831" s="23"/>
      <c r="AF831" s="23"/>
      <c r="AG831" s="23"/>
      <c r="AH831" s="23"/>
      <c r="AI831" s="23"/>
      <c r="AN831" s="23"/>
      <c r="AO831" s="23"/>
      <c r="AP831" s="23"/>
      <c r="AQ831" s="23"/>
      <c r="AR831" s="35"/>
      <c r="AS831" s="35"/>
      <c r="AT831" s="35"/>
      <c r="AU831" s="31"/>
      <c r="AV831" s="36"/>
    </row>
    <row r="832" spans="1:48">
      <c r="A832" s="21"/>
      <c r="D832" s="31"/>
      <c r="E832" s="31"/>
      <c r="F832" s="31"/>
      <c r="G832" s="31"/>
      <c r="H832" s="32"/>
      <c r="J832" s="33"/>
      <c r="K832" s="33"/>
      <c r="L832" s="33"/>
      <c r="X832" s="23"/>
      <c r="Y832" s="23"/>
      <c r="Z832" s="23"/>
      <c r="AA832" s="23"/>
      <c r="AF832" s="23"/>
      <c r="AG832" s="23"/>
      <c r="AH832" s="23"/>
      <c r="AI832" s="23"/>
      <c r="AN832" s="23"/>
      <c r="AO832" s="23"/>
      <c r="AP832" s="23"/>
      <c r="AQ832" s="23"/>
      <c r="AR832" s="35"/>
      <c r="AS832" s="35"/>
      <c r="AT832" s="35"/>
      <c r="AU832" s="31"/>
      <c r="AV832" s="36"/>
    </row>
    <row r="833" spans="1:48">
      <c r="A833" s="21"/>
      <c r="D833" s="31"/>
      <c r="E833" s="31"/>
      <c r="F833" s="31"/>
      <c r="G833" s="31"/>
      <c r="H833" s="32"/>
      <c r="J833" s="33"/>
      <c r="K833" s="33"/>
      <c r="L833" s="33"/>
      <c r="X833" s="23"/>
      <c r="Y833" s="23"/>
      <c r="Z833" s="23"/>
      <c r="AA833" s="23"/>
      <c r="AF833" s="23"/>
      <c r="AG833" s="23"/>
      <c r="AH833" s="23"/>
      <c r="AI833" s="23"/>
      <c r="AN833" s="23"/>
      <c r="AO833" s="23"/>
      <c r="AP833" s="23"/>
      <c r="AQ833" s="23"/>
      <c r="AR833" s="35"/>
      <c r="AS833" s="35"/>
      <c r="AT833" s="35"/>
      <c r="AU833" s="31"/>
      <c r="AV833" s="36"/>
    </row>
    <row r="834" spans="1:48">
      <c r="A834" s="21"/>
      <c r="D834" s="31"/>
      <c r="E834" s="31"/>
      <c r="F834" s="31"/>
      <c r="G834" s="31"/>
      <c r="H834" s="32"/>
      <c r="J834" s="33"/>
      <c r="K834" s="33"/>
      <c r="L834" s="33"/>
      <c r="X834" s="23"/>
      <c r="Y834" s="23"/>
      <c r="Z834" s="23"/>
      <c r="AA834" s="23"/>
      <c r="AF834" s="23"/>
      <c r="AG834" s="23"/>
      <c r="AH834" s="23"/>
      <c r="AI834" s="23"/>
      <c r="AN834" s="23"/>
      <c r="AO834" s="23"/>
      <c r="AP834" s="23"/>
      <c r="AQ834" s="23"/>
      <c r="AR834" s="35"/>
      <c r="AS834" s="35"/>
      <c r="AT834" s="35"/>
      <c r="AU834" s="31"/>
      <c r="AV834" s="36"/>
    </row>
    <row r="835" spans="1:48">
      <c r="A835" s="21"/>
      <c r="D835" s="31"/>
      <c r="E835" s="31"/>
      <c r="F835" s="31"/>
      <c r="G835" s="31"/>
      <c r="H835" s="32"/>
      <c r="J835" s="33"/>
      <c r="K835" s="33"/>
      <c r="L835" s="33"/>
      <c r="X835" s="23"/>
      <c r="Y835" s="23"/>
      <c r="Z835" s="23"/>
      <c r="AA835" s="23"/>
      <c r="AF835" s="23"/>
      <c r="AG835" s="23"/>
      <c r="AH835" s="23"/>
      <c r="AI835" s="23"/>
      <c r="AN835" s="23"/>
      <c r="AO835" s="23"/>
      <c r="AP835" s="23"/>
      <c r="AQ835" s="23"/>
      <c r="AR835" s="35"/>
      <c r="AS835" s="35"/>
      <c r="AT835" s="35"/>
      <c r="AU835" s="31"/>
      <c r="AV835" s="36"/>
    </row>
    <row r="836" spans="1:48">
      <c r="A836" s="21"/>
      <c r="D836" s="31"/>
      <c r="E836" s="31"/>
      <c r="F836" s="31"/>
      <c r="G836" s="31"/>
      <c r="H836" s="32"/>
      <c r="J836" s="33"/>
      <c r="K836" s="33"/>
      <c r="L836" s="33"/>
      <c r="X836" s="23"/>
      <c r="Y836" s="23"/>
      <c r="Z836" s="23"/>
      <c r="AA836" s="23"/>
      <c r="AF836" s="23"/>
      <c r="AG836" s="23"/>
      <c r="AH836" s="23"/>
      <c r="AI836" s="23"/>
      <c r="AN836" s="23"/>
      <c r="AO836" s="23"/>
      <c r="AP836" s="23"/>
      <c r="AQ836" s="23"/>
      <c r="AR836" s="35"/>
      <c r="AS836" s="35"/>
      <c r="AT836" s="35"/>
      <c r="AU836" s="31"/>
      <c r="AV836" s="36"/>
    </row>
    <row r="837" spans="1:48">
      <c r="A837" s="21"/>
      <c r="D837" s="31"/>
      <c r="E837" s="31"/>
      <c r="F837" s="31"/>
      <c r="G837" s="31"/>
      <c r="H837" s="32"/>
      <c r="J837" s="33"/>
      <c r="K837" s="33"/>
      <c r="L837" s="33"/>
      <c r="X837" s="23"/>
      <c r="Y837" s="23"/>
      <c r="Z837" s="23"/>
      <c r="AA837" s="23"/>
      <c r="AF837" s="23"/>
      <c r="AG837" s="23"/>
      <c r="AH837" s="23"/>
      <c r="AI837" s="23"/>
      <c r="AN837" s="23"/>
      <c r="AO837" s="23"/>
      <c r="AP837" s="23"/>
      <c r="AQ837" s="23"/>
      <c r="AR837" s="35"/>
      <c r="AS837" s="35"/>
      <c r="AT837" s="35"/>
      <c r="AU837" s="31"/>
      <c r="AV837" s="36"/>
    </row>
    <row r="838" spans="1:48">
      <c r="A838" s="21"/>
      <c r="D838" s="31"/>
      <c r="E838" s="31"/>
      <c r="F838" s="31"/>
      <c r="G838" s="31"/>
      <c r="H838" s="32"/>
      <c r="J838" s="33"/>
      <c r="K838" s="33"/>
      <c r="L838" s="33"/>
      <c r="X838" s="23"/>
      <c r="Y838" s="23"/>
      <c r="Z838" s="23"/>
      <c r="AA838" s="23"/>
      <c r="AF838" s="23"/>
      <c r="AG838" s="23"/>
      <c r="AH838" s="23"/>
      <c r="AI838" s="23"/>
      <c r="AN838" s="23"/>
      <c r="AO838" s="23"/>
      <c r="AP838" s="23"/>
      <c r="AQ838" s="23"/>
      <c r="AR838" s="35"/>
      <c r="AS838" s="35"/>
      <c r="AT838" s="35"/>
      <c r="AU838" s="31"/>
      <c r="AV838" s="36"/>
    </row>
    <row r="839" spans="1:48">
      <c r="A839" s="21"/>
      <c r="D839" s="31"/>
      <c r="E839" s="31"/>
      <c r="F839" s="31"/>
      <c r="G839" s="31"/>
      <c r="H839" s="32"/>
      <c r="J839" s="33"/>
      <c r="K839" s="33"/>
      <c r="L839" s="33"/>
      <c r="X839" s="23"/>
      <c r="Y839" s="23"/>
      <c r="Z839" s="23"/>
      <c r="AA839" s="23"/>
      <c r="AF839" s="23"/>
      <c r="AG839" s="23"/>
      <c r="AH839" s="23"/>
      <c r="AI839" s="23"/>
      <c r="AN839" s="23"/>
      <c r="AO839" s="23"/>
      <c r="AP839" s="23"/>
      <c r="AQ839" s="23"/>
      <c r="AR839" s="35"/>
      <c r="AS839" s="35"/>
      <c r="AT839" s="35"/>
      <c r="AU839" s="31"/>
      <c r="AV839" s="36"/>
    </row>
    <row r="840" spans="1:48">
      <c r="A840" s="21"/>
      <c r="D840" s="31"/>
      <c r="E840" s="31"/>
      <c r="F840" s="31"/>
      <c r="G840" s="31"/>
      <c r="H840" s="32"/>
      <c r="J840" s="33"/>
      <c r="K840" s="33"/>
      <c r="L840" s="33"/>
      <c r="X840" s="23"/>
      <c r="Y840" s="23"/>
      <c r="Z840" s="23"/>
      <c r="AA840" s="23"/>
      <c r="AF840" s="23"/>
      <c r="AG840" s="23"/>
      <c r="AH840" s="23"/>
      <c r="AI840" s="23"/>
      <c r="AN840" s="23"/>
      <c r="AO840" s="23"/>
      <c r="AP840" s="23"/>
      <c r="AQ840" s="23"/>
      <c r="AR840" s="35"/>
      <c r="AS840" s="35"/>
      <c r="AT840" s="35"/>
      <c r="AU840" s="31"/>
      <c r="AV840" s="36"/>
    </row>
    <row r="841" spans="1:48">
      <c r="A841" s="21"/>
      <c r="D841" s="31"/>
      <c r="E841" s="31"/>
      <c r="F841" s="31"/>
      <c r="G841" s="31"/>
      <c r="H841" s="32"/>
      <c r="J841" s="33"/>
      <c r="K841" s="33"/>
      <c r="L841" s="33"/>
      <c r="X841" s="23"/>
      <c r="Y841" s="23"/>
      <c r="Z841" s="23"/>
      <c r="AA841" s="23"/>
      <c r="AF841" s="23"/>
      <c r="AG841" s="23"/>
      <c r="AH841" s="23"/>
      <c r="AI841" s="23"/>
      <c r="AN841" s="23"/>
      <c r="AO841" s="23"/>
      <c r="AP841" s="23"/>
      <c r="AQ841" s="23"/>
      <c r="AR841" s="35"/>
      <c r="AS841" s="35"/>
      <c r="AT841" s="35"/>
      <c r="AU841" s="31"/>
      <c r="AV841" s="36"/>
    </row>
    <row r="842" spans="1:48">
      <c r="A842" s="21"/>
      <c r="D842" s="31"/>
      <c r="E842" s="31"/>
      <c r="F842" s="31"/>
      <c r="G842" s="31"/>
      <c r="H842" s="32"/>
      <c r="J842" s="33"/>
      <c r="K842" s="33"/>
      <c r="L842" s="33"/>
      <c r="X842" s="23"/>
      <c r="Y842" s="23"/>
      <c r="Z842" s="23"/>
      <c r="AA842" s="23"/>
      <c r="AF842" s="23"/>
      <c r="AG842" s="23"/>
      <c r="AH842" s="23"/>
      <c r="AI842" s="23"/>
      <c r="AN842" s="23"/>
      <c r="AO842" s="23"/>
      <c r="AP842" s="23"/>
      <c r="AQ842" s="23"/>
      <c r="AR842" s="35"/>
      <c r="AS842" s="35"/>
      <c r="AT842" s="35"/>
      <c r="AU842" s="31"/>
      <c r="AV842" s="36"/>
    </row>
    <row r="843" spans="1:48">
      <c r="A843" s="21"/>
      <c r="D843" s="31"/>
      <c r="E843" s="31"/>
      <c r="F843" s="31"/>
      <c r="G843" s="31"/>
      <c r="H843" s="32"/>
      <c r="J843" s="33"/>
      <c r="K843" s="33"/>
      <c r="L843" s="33"/>
      <c r="X843" s="23"/>
      <c r="Y843" s="23"/>
      <c r="Z843" s="23"/>
      <c r="AA843" s="23"/>
      <c r="AF843" s="23"/>
      <c r="AG843" s="23"/>
      <c r="AH843" s="23"/>
      <c r="AI843" s="23"/>
      <c r="AN843" s="23"/>
      <c r="AO843" s="23"/>
      <c r="AP843" s="23"/>
      <c r="AQ843" s="23"/>
      <c r="AR843" s="35"/>
      <c r="AS843" s="35"/>
      <c r="AT843" s="35"/>
      <c r="AU843" s="31"/>
      <c r="AV843" s="36"/>
    </row>
    <row r="844" spans="1:48">
      <c r="A844" s="21"/>
      <c r="D844" s="31"/>
      <c r="E844" s="31"/>
      <c r="F844" s="31"/>
      <c r="G844" s="31"/>
      <c r="H844" s="32"/>
      <c r="J844" s="33"/>
      <c r="K844" s="33"/>
      <c r="L844" s="33"/>
      <c r="X844" s="23"/>
      <c r="Y844" s="23"/>
      <c r="Z844" s="23"/>
      <c r="AA844" s="23"/>
      <c r="AF844" s="23"/>
      <c r="AG844" s="23"/>
      <c r="AH844" s="23"/>
      <c r="AI844" s="23"/>
      <c r="AN844" s="23"/>
      <c r="AO844" s="23"/>
      <c r="AP844" s="23"/>
      <c r="AQ844" s="23"/>
      <c r="AR844" s="35"/>
      <c r="AS844" s="35"/>
      <c r="AT844" s="35"/>
      <c r="AU844" s="31"/>
      <c r="AV844" s="36"/>
    </row>
    <row r="845" spans="1:48">
      <c r="A845" s="21"/>
      <c r="D845" s="31"/>
      <c r="E845" s="31"/>
      <c r="F845" s="31"/>
      <c r="G845" s="31"/>
      <c r="H845" s="32"/>
      <c r="J845" s="33"/>
      <c r="K845" s="33"/>
      <c r="L845" s="33"/>
      <c r="X845" s="23"/>
      <c r="Y845" s="23"/>
      <c r="Z845" s="23"/>
      <c r="AA845" s="23"/>
      <c r="AF845" s="23"/>
      <c r="AG845" s="23"/>
      <c r="AH845" s="23"/>
      <c r="AI845" s="23"/>
      <c r="AN845" s="23"/>
      <c r="AO845" s="23"/>
      <c r="AP845" s="23"/>
      <c r="AQ845" s="23"/>
      <c r="AR845" s="35"/>
      <c r="AS845" s="35"/>
      <c r="AT845" s="35"/>
      <c r="AU845" s="31"/>
      <c r="AV845" s="36"/>
    </row>
    <row r="846" spans="1:48">
      <c r="A846" s="21"/>
      <c r="D846" s="31"/>
      <c r="E846" s="31"/>
      <c r="F846" s="31"/>
      <c r="G846" s="31"/>
      <c r="H846" s="32"/>
      <c r="J846" s="33"/>
      <c r="K846" s="33"/>
      <c r="L846" s="33"/>
      <c r="X846" s="23"/>
      <c r="Y846" s="23"/>
      <c r="Z846" s="23"/>
      <c r="AA846" s="23"/>
      <c r="AF846" s="23"/>
      <c r="AG846" s="23"/>
      <c r="AH846" s="23"/>
      <c r="AI846" s="23"/>
      <c r="AN846" s="23"/>
      <c r="AO846" s="23"/>
      <c r="AP846" s="23"/>
      <c r="AQ846" s="23"/>
      <c r="AR846" s="35"/>
      <c r="AS846" s="35"/>
      <c r="AT846" s="35"/>
      <c r="AU846" s="31"/>
      <c r="AV846" s="36"/>
    </row>
    <row r="847" spans="1:48">
      <c r="A847" s="21"/>
      <c r="D847" s="31"/>
      <c r="E847" s="31"/>
      <c r="F847" s="31"/>
      <c r="G847" s="31"/>
      <c r="H847" s="32"/>
      <c r="J847" s="33"/>
      <c r="K847" s="33"/>
      <c r="L847" s="33"/>
      <c r="X847" s="23"/>
      <c r="Y847" s="23"/>
      <c r="Z847" s="23"/>
      <c r="AA847" s="23"/>
      <c r="AF847" s="23"/>
      <c r="AG847" s="23"/>
      <c r="AH847" s="23"/>
      <c r="AI847" s="23"/>
      <c r="AN847" s="23"/>
      <c r="AO847" s="23"/>
      <c r="AP847" s="23"/>
      <c r="AQ847" s="23"/>
      <c r="AR847" s="35"/>
      <c r="AS847" s="35"/>
      <c r="AT847" s="35"/>
      <c r="AU847" s="31"/>
      <c r="AV847" s="36"/>
    </row>
    <row r="848" spans="1:48">
      <c r="A848" s="21"/>
      <c r="D848" s="31"/>
      <c r="E848" s="31"/>
      <c r="F848" s="31"/>
      <c r="G848" s="31"/>
      <c r="H848" s="32"/>
      <c r="J848" s="33"/>
      <c r="K848" s="33"/>
      <c r="L848" s="33"/>
      <c r="X848" s="23"/>
      <c r="Y848" s="23"/>
      <c r="Z848" s="23"/>
      <c r="AA848" s="23"/>
      <c r="AF848" s="23"/>
      <c r="AG848" s="23"/>
      <c r="AH848" s="23"/>
      <c r="AI848" s="23"/>
      <c r="AN848" s="23"/>
      <c r="AO848" s="23"/>
      <c r="AP848" s="23"/>
      <c r="AQ848" s="23"/>
      <c r="AR848" s="35"/>
      <c r="AS848" s="35"/>
      <c r="AT848" s="35"/>
      <c r="AU848" s="31"/>
      <c r="AV848" s="36"/>
    </row>
    <row r="849" spans="1:48">
      <c r="A849" s="21"/>
      <c r="D849" s="31"/>
      <c r="E849" s="31"/>
      <c r="F849" s="31"/>
      <c r="G849" s="31"/>
      <c r="H849" s="32"/>
      <c r="J849" s="33"/>
      <c r="K849" s="33"/>
      <c r="L849" s="33"/>
      <c r="X849" s="23"/>
      <c r="Y849" s="23"/>
      <c r="Z849" s="23"/>
      <c r="AA849" s="23"/>
      <c r="AF849" s="23"/>
      <c r="AG849" s="23"/>
      <c r="AH849" s="23"/>
      <c r="AI849" s="23"/>
      <c r="AN849" s="23"/>
      <c r="AO849" s="23"/>
      <c r="AP849" s="23"/>
      <c r="AQ849" s="23"/>
      <c r="AR849" s="35"/>
      <c r="AS849" s="35"/>
      <c r="AT849" s="35"/>
      <c r="AU849" s="31"/>
      <c r="AV849" s="36"/>
    </row>
    <row r="850" spans="1:48">
      <c r="A850" s="21"/>
      <c r="D850" s="31"/>
      <c r="E850" s="31"/>
      <c r="F850" s="31"/>
      <c r="G850" s="31"/>
      <c r="H850" s="32"/>
      <c r="J850" s="33"/>
      <c r="K850" s="33"/>
      <c r="L850" s="33"/>
      <c r="X850" s="23"/>
      <c r="Y850" s="23"/>
      <c r="Z850" s="23"/>
      <c r="AA850" s="23"/>
      <c r="AF850" s="23"/>
      <c r="AG850" s="23"/>
      <c r="AH850" s="23"/>
      <c r="AI850" s="23"/>
      <c r="AN850" s="23"/>
      <c r="AO850" s="23"/>
      <c r="AP850" s="23"/>
      <c r="AQ850" s="23"/>
      <c r="AR850" s="35"/>
      <c r="AS850" s="35"/>
      <c r="AT850" s="35"/>
      <c r="AU850" s="31"/>
      <c r="AV850" s="36"/>
    </row>
    <row r="851" spans="1:48">
      <c r="A851" s="21"/>
      <c r="D851" s="31"/>
      <c r="E851" s="31"/>
      <c r="F851" s="31"/>
      <c r="G851" s="31"/>
      <c r="H851" s="32"/>
      <c r="J851" s="33"/>
      <c r="K851" s="33"/>
      <c r="L851" s="33"/>
      <c r="X851" s="23"/>
      <c r="Y851" s="23"/>
      <c r="Z851" s="23"/>
      <c r="AA851" s="23"/>
      <c r="AF851" s="23"/>
      <c r="AG851" s="23"/>
      <c r="AH851" s="23"/>
      <c r="AI851" s="23"/>
      <c r="AN851" s="23"/>
      <c r="AO851" s="23"/>
      <c r="AP851" s="23"/>
      <c r="AQ851" s="23"/>
      <c r="AR851" s="35"/>
      <c r="AS851" s="35"/>
      <c r="AT851" s="35"/>
      <c r="AU851" s="31"/>
      <c r="AV851" s="36"/>
    </row>
    <row r="852" spans="1:48">
      <c r="A852" s="21"/>
      <c r="D852" s="31"/>
      <c r="E852" s="31"/>
      <c r="F852" s="31"/>
      <c r="G852" s="31"/>
      <c r="H852" s="32"/>
      <c r="J852" s="33"/>
      <c r="K852" s="33"/>
      <c r="L852" s="33"/>
      <c r="X852" s="23"/>
      <c r="Y852" s="23"/>
      <c r="Z852" s="23"/>
      <c r="AA852" s="23"/>
      <c r="AF852" s="23"/>
      <c r="AG852" s="23"/>
      <c r="AH852" s="23"/>
      <c r="AI852" s="23"/>
      <c r="AN852" s="23"/>
      <c r="AO852" s="23"/>
      <c r="AP852" s="23"/>
      <c r="AQ852" s="23"/>
      <c r="AR852" s="35"/>
      <c r="AS852" s="35"/>
      <c r="AT852" s="35"/>
      <c r="AU852" s="31"/>
      <c r="AV852" s="36"/>
    </row>
    <row r="853" spans="1:48">
      <c r="A853" s="21"/>
      <c r="D853" s="31"/>
      <c r="E853" s="31"/>
      <c r="F853" s="31"/>
      <c r="G853" s="31"/>
      <c r="H853" s="32"/>
      <c r="J853" s="33"/>
      <c r="K853" s="33"/>
      <c r="L853" s="33"/>
      <c r="X853" s="23"/>
      <c r="Y853" s="23"/>
      <c r="Z853" s="23"/>
      <c r="AA853" s="23"/>
      <c r="AF853" s="23"/>
      <c r="AG853" s="23"/>
      <c r="AH853" s="23"/>
      <c r="AI853" s="23"/>
      <c r="AN853" s="23"/>
      <c r="AO853" s="23"/>
      <c r="AP853" s="23"/>
      <c r="AQ853" s="23"/>
      <c r="AR853" s="35"/>
      <c r="AS853" s="35"/>
      <c r="AT853" s="35"/>
      <c r="AU853" s="31"/>
      <c r="AV853" s="36"/>
    </row>
    <row r="854" spans="1:48">
      <c r="A854" s="21"/>
      <c r="D854" s="31"/>
      <c r="E854" s="31"/>
      <c r="F854" s="31"/>
      <c r="G854" s="31"/>
      <c r="H854" s="32"/>
      <c r="J854" s="33"/>
      <c r="K854" s="33"/>
      <c r="L854" s="33"/>
      <c r="X854" s="23"/>
      <c r="Y854" s="23"/>
      <c r="Z854" s="23"/>
      <c r="AA854" s="23"/>
      <c r="AF854" s="23"/>
      <c r="AG854" s="23"/>
      <c r="AH854" s="23"/>
      <c r="AI854" s="23"/>
      <c r="AN854" s="23"/>
      <c r="AO854" s="23"/>
      <c r="AP854" s="23"/>
      <c r="AQ854" s="23"/>
      <c r="AR854" s="35"/>
      <c r="AS854" s="35"/>
      <c r="AT854" s="35"/>
      <c r="AU854" s="31"/>
      <c r="AV854" s="36"/>
    </row>
    <row r="855" spans="1:48">
      <c r="A855" s="21"/>
      <c r="D855" s="31"/>
      <c r="E855" s="31"/>
      <c r="F855" s="31"/>
      <c r="G855" s="31"/>
      <c r="H855" s="32"/>
      <c r="J855" s="33"/>
      <c r="K855" s="33"/>
      <c r="L855" s="33"/>
      <c r="X855" s="23"/>
      <c r="Y855" s="23"/>
      <c r="Z855" s="23"/>
      <c r="AA855" s="23"/>
      <c r="AF855" s="23"/>
      <c r="AG855" s="23"/>
      <c r="AH855" s="23"/>
      <c r="AI855" s="23"/>
      <c r="AN855" s="23"/>
      <c r="AO855" s="23"/>
      <c r="AP855" s="23"/>
      <c r="AQ855" s="23"/>
      <c r="AR855" s="35"/>
      <c r="AS855" s="35"/>
      <c r="AT855" s="35"/>
      <c r="AU855" s="31"/>
      <c r="AV855" s="36"/>
    </row>
    <row r="856" spans="1:48">
      <c r="A856" s="21"/>
      <c r="D856" s="31"/>
      <c r="E856" s="31"/>
      <c r="F856" s="31"/>
      <c r="G856" s="31"/>
      <c r="H856" s="32"/>
      <c r="J856" s="33"/>
      <c r="K856" s="33"/>
      <c r="L856" s="33"/>
      <c r="X856" s="23"/>
      <c r="Y856" s="23"/>
      <c r="Z856" s="23"/>
      <c r="AA856" s="23"/>
      <c r="AF856" s="23"/>
      <c r="AG856" s="23"/>
      <c r="AH856" s="23"/>
      <c r="AI856" s="23"/>
      <c r="AN856" s="23"/>
      <c r="AO856" s="23"/>
      <c r="AP856" s="23"/>
      <c r="AQ856" s="23"/>
      <c r="AR856" s="35"/>
      <c r="AS856" s="35"/>
      <c r="AT856" s="35"/>
      <c r="AU856" s="31"/>
      <c r="AV856" s="36"/>
    </row>
    <row r="857" spans="1:48">
      <c r="A857" s="21"/>
      <c r="D857" s="31"/>
      <c r="E857" s="31"/>
      <c r="F857" s="31"/>
      <c r="G857" s="31"/>
      <c r="H857" s="32"/>
      <c r="J857" s="33"/>
      <c r="K857" s="33"/>
      <c r="L857" s="33"/>
      <c r="X857" s="23"/>
      <c r="Y857" s="23"/>
      <c r="Z857" s="23"/>
      <c r="AA857" s="23"/>
      <c r="AF857" s="23"/>
      <c r="AG857" s="23"/>
      <c r="AH857" s="23"/>
      <c r="AI857" s="23"/>
      <c r="AN857" s="23"/>
      <c r="AO857" s="23"/>
      <c r="AP857" s="23"/>
      <c r="AQ857" s="23"/>
      <c r="AR857" s="35"/>
      <c r="AS857" s="35"/>
      <c r="AT857" s="35"/>
      <c r="AU857" s="31"/>
      <c r="AV857" s="36"/>
    </row>
    <row r="858" spans="1:48">
      <c r="A858" s="21"/>
      <c r="D858" s="31"/>
      <c r="E858" s="31"/>
      <c r="F858" s="31"/>
      <c r="G858" s="31"/>
      <c r="H858" s="32"/>
      <c r="J858" s="33"/>
      <c r="K858" s="33"/>
      <c r="L858" s="33"/>
      <c r="X858" s="23"/>
      <c r="Y858" s="23"/>
      <c r="Z858" s="23"/>
      <c r="AA858" s="23"/>
      <c r="AF858" s="23"/>
      <c r="AG858" s="23"/>
      <c r="AH858" s="23"/>
      <c r="AI858" s="23"/>
      <c r="AN858" s="23"/>
      <c r="AO858" s="23"/>
      <c r="AP858" s="23"/>
      <c r="AQ858" s="23"/>
      <c r="AR858" s="35"/>
      <c r="AS858" s="35"/>
      <c r="AT858" s="35"/>
      <c r="AU858" s="31"/>
      <c r="AV858" s="36"/>
    </row>
    <row r="859" spans="1:48">
      <c r="A859" s="21"/>
      <c r="D859" s="31"/>
      <c r="E859" s="31"/>
      <c r="F859" s="31"/>
      <c r="G859" s="31"/>
      <c r="H859" s="32"/>
      <c r="J859" s="33"/>
      <c r="K859" s="33"/>
      <c r="L859" s="33"/>
      <c r="X859" s="23"/>
      <c r="Y859" s="23"/>
      <c r="Z859" s="23"/>
      <c r="AA859" s="23"/>
      <c r="AF859" s="23"/>
      <c r="AG859" s="23"/>
      <c r="AH859" s="23"/>
      <c r="AI859" s="23"/>
      <c r="AN859" s="23"/>
      <c r="AO859" s="23"/>
      <c r="AP859" s="23"/>
      <c r="AQ859" s="23"/>
      <c r="AR859" s="35"/>
      <c r="AS859" s="35"/>
      <c r="AT859" s="35"/>
      <c r="AU859" s="31"/>
      <c r="AV859" s="36"/>
    </row>
    <row r="860" spans="1:48">
      <c r="A860" s="21"/>
      <c r="D860" s="31"/>
      <c r="E860" s="31"/>
      <c r="F860" s="31"/>
      <c r="G860" s="31"/>
      <c r="H860" s="32"/>
      <c r="J860" s="33"/>
      <c r="K860" s="33"/>
      <c r="L860" s="33"/>
      <c r="X860" s="23"/>
      <c r="Y860" s="23"/>
      <c r="Z860" s="23"/>
      <c r="AA860" s="23"/>
      <c r="AF860" s="23"/>
      <c r="AG860" s="23"/>
      <c r="AH860" s="23"/>
      <c r="AI860" s="23"/>
      <c r="AN860" s="23"/>
      <c r="AO860" s="23"/>
      <c r="AP860" s="23"/>
      <c r="AQ860" s="23"/>
      <c r="AR860" s="35"/>
      <c r="AS860" s="35"/>
      <c r="AT860" s="35"/>
      <c r="AU860" s="31"/>
      <c r="AV860" s="36"/>
    </row>
    <row r="861" spans="1:48">
      <c r="A861" s="21"/>
      <c r="D861" s="31"/>
      <c r="E861" s="31"/>
      <c r="F861" s="31"/>
      <c r="G861" s="31"/>
      <c r="H861" s="32"/>
      <c r="J861" s="33"/>
      <c r="K861" s="33"/>
      <c r="L861" s="33"/>
      <c r="X861" s="23"/>
      <c r="Y861" s="23"/>
      <c r="Z861" s="23"/>
      <c r="AA861" s="23"/>
      <c r="AF861" s="23"/>
      <c r="AG861" s="23"/>
      <c r="AH861" s="23"/>
      <c r="AI861" s="23"/>
      <c r="AN861" s="23"/>
      <c r="AO861" s="23"/>
      <c r="AP861" s="23"/>
      <c r="AQ861" s="23"/>
      <c r="AR861" s="35"/>
      <c r="AS861" s="35"/>
      <c r="AT861" s="35"/>
      <c r="AU861" s="31"/>
      <c r="AV861" s="36"/>
    </row>
    <row r="862" spans="1:48">
      <c r="A862" s="21"/>
      <c r="D862" s="31"/>
      <c r="E862" s="31"/>
      <c r="F862" s="31"/>
      <c r="G862" s="31"/>
      <c r="H862" s="32"/>
      <c r="J862" s="33"/>
      <c r="K862" s="33"/>
      <c r="L862" s="33"/>
      <c r="X862" s="23"/>
      <c r="Y862" s="23"/>
      <c r="Z862" s="23"/>
      <c r="AA862" s="23"/>
      <c r="AF862" s="23"/>
      <c r="AG862" s="23"/>
      <c r="AH862" s="23"/>
      <c r="AI862" s="23"/>
      <c r="AN862" s="23"/>
      <c r="AO862" s="23"/>
      <c r="AP862" s="23"/>
      <c r="AQ862" s="23"/>
      <c r="AR862" s="35"/>
      <c r="AS862" s="35"/>
      <c r="AT862" s="35"/>
      <c r="AU862" s="31"/>
      <c r="AV862" s="36"/>
    </row>
    <row r="863" spans="1:48">
      <c r="A863" s="21"/>
      <c r="D863" s="31"/>
      <c r="E863" s="31"/>
      <c r="F863" s="31"/>
      <c r="G863" s="31"/>
      <c r="H863" s="32"/>
      <c r="J863" s="33"/>
      <c r="K863" s="33"/>
      <c r="L863" s="33"/>
      <c r="X863" s="23"/>
      <c r="Y863" s="23"/>
      <c r="Z863" s="23"/>
      <c r="AA863" s="23"/>
      <c r="AF863" s="23"/>
      <c r="AG863" s="23"/>
      <c r="AH863" s="23"/>
      <c r="AI863" s="23"/>
      <c r="AN863" s="23"/>
      <c r="AO863" s="23"/>
      <c r="AP863" s="23"/>
      <c r="AQ863" s="23"/>
      <c r="AR863" s="35"/>
      <c r="AS863" s="35"/>
      <c r="AT863" s="35"/>
      <c r="AU863" s="31"/>
      <c r="AV863" s="36"/>
    </row>
    <row r="864" spans="1:48">
      <c r="A864" s="21"/>
      <c r="D864" s="31"/>
      <c r="E864" s="31"/>
      <c r="F864" s="31"/>
      <c r="G864" s="31"/>
      <c r="H864" s="32"/>
      <c r="J864" s="33"/>
      <c r="K864" s="33"/>
      <c r="L864" s="33"/>
      <c r="X864" s="23"/>
      <c r="Y864" s="23"/>
      <c r="Z864" s="23"/>
      <c r="AA864" s="23"/>
      <c r="AF864" s="23"/>
      <c r="AG864" s="23"/>
      <c r="AH864" s="23"/>
      <c r="AI864" s="23"/>
      <c r="AN864" s="23"/>
      <c r="AO864" s="23"/>
      <c r="AP864" s="23"/>
      <c r="AQ864" s="23"/>
      <c r="AR864" s="35"/>
      <c r="AS864" s="35"/>
      <c r="AT864" s="35"/>
      <c r="AU864" s="31"/>
      <c r="AV864" s="36"/>
    </row>
    <row r="865" spans="1:48">
      <c r="A865" s="21"/>
      <c r="D865" s="31"/>
      <c r="E865" s="31"/>
      <c r="F865" s="31"/>
      <c r="G865" s="31"/>
      <c r="H865" s="32"/>
      <c r="J865" s="33"/>
      <c r="K865" s="33"/>
      <c r="L865" s="33"/>
      <c r="X865" s="23"/>
      <c r="Y865" s="23"/>
      <c r="Z865" s="23"/>
      <c r="AA865" s="23"/>
      <c r="AF865" s="23"/>
      <c r="AG865" s="23"/>
      <c r="AH865" s="23"/>
      <c r="AI865" s="23"/>
      <c r="AN865" s="23"/>
      <c r="AO865" s="23"/>
      <c r="AP865" s="23"/>
      <c r="AQ865" s="23"/>
      <c r="AR865" s="35"/>
      <c r="AS865" s="35"/>
      <c r="AT865" s="35"/>
      <c r="AU865" s="31"/>
      <c r="AV865" s="36"/>
    </row>
    <row r="866" spans="1:48">
      <c r="A866" s="21"/>
      <c r="D866" s="31"/>
      <c r="E866" s="31"/>
      <c r="F866" s="31"/>
      <c r="G866" s="31"/>
      <c r="H866" s="32"/>
      <c r="J866" s="33"/>
      <c r="K866" s="33"/>
      <c r="L866" s="33"/>
      <c r="X866" s="23"/>
      <c r="Y866" s="23"/>
      <c r="Z866" s="23"/>
      <c r="AA866" s="23"/>
      <c r="AF866" s="23"/>
      <c r="AG866" s="23"/>
      <c r="AH866" s="23"/>
      <c r="AI866" s="23"/>
      <c r="AN866" s="23"/>
      <c r="AO866" s="23"/>
      <c r="AP866" s="23"/>
      <c r="AQ866" s="23"/>
      <c r="AR866" s="35"/>
      <c r="AS866" s="35"/>
      <c r="AT866" s="35"/>
      <c r="AU866" s="31"/>
      <c r="AV866" s="36"/>
    </row>
    <row r="867" spans="1:48">
      <c r="A867" s="21"/>
      <c r="D867" s="31"/>
      <c r="E867" s="31"/>
      <c r="F867" s="31"/>
      <c r="G867" s="31"/>
      <c r="H867" s="32"/>
      <c r="J867" s="33"/>
      <c r="K867" s="33"/>
      <c r="L867" s="33"/>
      <c r="X867" s="23"/>
      <c r="Y867" s="23"/>
      <c r="Z867" s="23"/>
      <c r="AA867" s="23"/>
      <c r="AF867" s="23"/>
      <c r="AG867" s="23"/>
      <c r="AH867" s="23"/>
      <c r="AI867" s="23"/>
      <c r="AN867" s="23"/>
      <c r="AO867" s="23"/>
      <c r="AP867" s="23"/>
      <c r="AQ867" s="23"/>
      <c r="AR867" s="35"/>
      <c r="AS867" s="35"/>
      <c r="AT867" s="35"/>
      <c r="AU867" s="31"/>
      <c r="AV867" s="36"/>
    </row>
    <row r="868" spans="1:48">
      <c r="A868" s="21"/>
      <c r="D868" s="31"/>
      <c r="E868" s="31"/>
      <c r="F868" s="31"/>
      <c r="G868" s="31"/>
      <c r="H868" s="32"/>
      <c r="J868" s="33"/>
      <c r="K868" s="33"/>
      <c r="L868" s="33"/>
      <c r="X868" s="23"/>
      <c r="Y868" s="23"/>
      <c r="Z868" s="23"/>
      <c r="AA868" s="23"/>
      <c r="AF868" s="23"/>
      <c r="AG868" s="23"/>
      <c r="AH868" s="23"/>
      <c r="AI868" s="23"/>
      <c r="AN868" s="23"/>
      <c r="AO868" s="23"/>
      <c r="AP868" s="23"/>
      <c r="AQ868" s="23"/>
      <c r="AR868" s="35"/>
      <c r="AS868" s="35"/>
      <c r="AT868" s="35"/>
      <c r="AU868" s="31"/>
      <c r="AV868" s="36"/>
    </row>
    <row r="869" spans="1:48">
      <c r="A869" s="21"/>
      <c r="D869" s="31"/>
      <c r="E869" s="31"/>
      <c r="F869" s="31"/>
      <c r="G869" s="31"/>
      <c r="H869" s="32"/>
      <c r="J869" s="33"/>
      <c r="K869" s="33"/>
      <c r="L869" s="33"/>
      <c r="X869" s="23"/>
      <c r="Y869" s="23"/>
      <c r="Z869" s="23"/>
      <c r="AA869" s="23"/>
      <c r="AF869" s="23"/>
      <c r="AG869" s="23"/>
      <c r="AH869" s="23"/>
      <c r="AI869" s="23"/>
      <c r="AN869" s="23"/>
      <c r="AO869" s="23"/>
      <c r="AP869" s="23"/>
      <c r="AQ869" s="23"/>
      <c r="AR869" s="35"/>
      <c r="AS869" s="35"/>
      <c r="AT869" s="35"/>
      <c r="AU869" s="31"/>
      <c r="AV869" s="36"/>
    </row>
    <row r="870" spans="1:48">
      <c r="A870" s="21"/>
      <c r="D870" s="31"/>
      <c r="E870" s="31"/>
      <c r="F870" s="31"/>
      <c r="G870" s="31"/>
      <c r="H870" s="32"/>
      <c r="J870" s="33"/>
      <c r="K870" s="33"/>
      <c r="L870" s="33"/>
      <c r="X870" s="23"/>
      <c r="Y870" s="23"/>
      <c r="Z870" s="23"/>
      <c r="AA870" s="23"/>
      <c r="AF870" s="23"/>
      <c r="AG870" s="23"/>
      <c r="AH870" s="23"/>
      <c r="AI870" s="23"/>
      <c r="AN870" s="23"/>
      <c r="AO870" s="23"/>
      <c r="AP870" s="23"/>
      <c r="AQ870" s="23"/>
      <c r="AR870" s="35"/>
      <c r="AS870" s="35"/>
      <c r="AT870" s="35"/>
      <c r="AU870" s="31"/>
      <c r="AV870" s="36"/>
    </row>
    <row r="871" spans="1:48">
      <c r="A871" s="21"/>
      <c r="D871" s="31"/>
      <c r="E871" s="31"/>
      <c r="F871" s="31"/>
      <c r="G871" s="31"/>
      <c r="H871" s="32"/>
      <c r="J871" s="33"/>
      <c r="K871" s="33"/>
      <c r="L871" s="33"/>
      <c r="X871" s="23"/>
      <c r="Y871" s="23"/>
      <c r="Z871" s="23"/>
      <c r="AA871" s="23"/>
      <c r="AF871" s="23"/>
      <c r="AG871" s="23"/>
      <c r="AH871" s="23"/>
      <c r="AI871" s="23"/>
      <c r="AN871" s="23"/>
      <c r="AO871" s="23"/>
      <c r="AP871" s="23"/>
      <c r="AQ871" s="23"/>
      <c r="AR871" s="35"/>
      <c r="AS871" s="35"/>
      <c r="AT871" s="35"/>
      <c r="AU871" s="31"/>
      <c r="AV871" s="36"/>
    </row>
    <row r="872" spans="1:48">
      <c r="A872" s="21"/>
      <c r="D872" s="31"/>
      <c r="E872" s="31"/>
      <c r="F872" s="31"/>
      <c r="G872" s="31"/>
      <c r="H872" s="32"/>
      <c r="J872" s="33"/>
      <c r="K872" s="33"/>
      <c r="L872" s="33"/>
      <c r="X872" s="23"/>
      <c r="Y872" s="23"/>
      <c r="Z872" s="23"/>
      <c r="AA872" s="23"/>
      <c r="AF872" s="23"/>
      <c r="AG872" s="23"/>
      <c r="AH872" s="23"/>
      <c r="AI872" s="23"/>
      <c r="AN872" s="23"/>
      <c r="AO872" s="23"/>
      <c r="AP872" s="23"/>
      <c r="AQ872" s="23"/>
      <c r="AR872" s="35"/>
      <c r="AS872" s="35"/>
      <c r="AT872" s="35"/>
      <c r="AU872" s="31"/>
      <c r="AV872" s="36"/>
    </row>
    <row r="873" spans="1:48">
      <c r="A873" s="21"/>
      <c r="D873" s="31"/>
      <c r="E873" s="31"/>
      <c r="F873" s="31"/>
      <c r="G873" s="31"/>
      <c r="H873" s="32"/>
      <c r="J873" s="33"/>
      <c r="K873" s="33"/>
      <c r="L873" s="33"/>
      <c r="X873" s="23"/>
      <c r="Y873" s="23"/>
      <c r="Z873" s="23"/>
      <c r="AA873" s="23"/>
      <c r="AF873" s="23"/>
      <c r="AG873" s="23"/>
      <c r="AH873" s="23"/>
      <c r="AI873" s="23"/>
      <c r="AN873" s="23"/>
      <c r="AO873" s="23"/>
      <c r="AP873" s="23"/>
      <c r="AQ873" s="23"/>
      <c r="AR873" s="35"/>
      <c r="AS873" s="35"/>
      <c r="AT873" s="35"/>
      <c r="AU873" s="31"/>
      <c r="AV873" s="36"/>
    </row>
    <row r="874" spans="1:48">
      <c r="A874" s="21"/>
      <c r="D874" s="31"/>
      <c r="E874" s="31"/>
      <c r="F874" s="31"/>
      <c r="G874" s="31"/>
      <c r="H874" s="32"/>
      <c r="J874" s="33"/>
      <c r="K874" s="33"/>
      <c r="L874" s="33"/>
      <c r="X874" s="23"/>
      <c r="Y874" s="23"/>
      <c r="Z874" s="23"/>
      <c r="AA874" s="23"/>
      <c r="AF874" s="23"/>
      <c r="AG874" s="23"/>
      <c r="AH874" s="23"/>
      <c r="AI874" s="23"/>
      <c r="AN874" s="23"/>
      <c r="AO874" s="23"/>
      <c r="AP874" s="23"/>
      <c r="AQ874" s="23"/>
      <c r="AR874" s="35"/>
      <c r="AS874" s="35"/>
      <c r="AT874" s="35"/>
      <c r="AU874" s="31"/>
      <c r="AV874" s="36"/>
    </row>
    <row r="875" spans="1:48">
      <c r="A875" s="21"/>
      <c r="D875" s="31"/>
      <c r="E875" s="31"/>
      <c r="F875" s="31"/>
      <c r="G875" s="31"/>
      <c r="H875" s="32"/>
      <c r="J875" s="33"/>
      <c r="K875" s="33"/>
      <c r="L875" s="33"/>
      <c r="X875" s="23"/>
      <c r="Y875" s="23"/>
      <c r="Z875" s="23"/>
      <c r="AA875" s="23"/>
      <c r="AF875" s="23"/>
      <c r="AG875" s="23"/>
      <c r="AH875" s="23"/>
      <c r="AI875" s="23"/>
      <c r="AN875" s="23"/>
      <c r="AO875" s="23"/>
      <c r="AP875" s="23"/>
      <c r="AQ875" s="23"/>
      <c r="AR875" s="35"/>
      <c r="AS875" s="35"/>
      <c r="AT875" s="35"/>
      <c r="AU875" s="31"/>
      <c r="AV875" s="36"/>
    </row>
    <row r="876" spans="1:48">
      <c r="A876" s="21"/>
      <c r="D876" s="31"/>
      <c r="E876" s="31"/>
      <c r="F876" s="31"/>
      <c r="G876" s="31"/>
      <c r="H876" s="32"/>
      <c r="J876" s="33"/>
      <c r="K876" s="33"/>
      <c r="L876" s="33"/>
      <c r="X876" s="23"/>
      <c r="Y876" s="23"/>
      <c r="Z876" s="23"/>
      <c r="AA876" s="23"/>
      <c r="AF876" s="23"/>
      <c r="AG876" s="23"/>
      <c r="AH876" s="23"/>
      <c r="AI876" s="23"/>
      <c r="AN876" s="23"/>
      <c r="AO876" s="23"/>
      <c r="AP876" s="23"/>
      <c r="AQ876" s="23"/>
      <c r="AR876" s="35"/>
      <c r="AS876" s="35"/>
      <c r="AT876" s="35"/>
      <c r="AU876" s="31"/>
      <c r="AV876" s="36"/>
    </row>
    <row r="877" spans="1:48">
      <c r="A877" s="21"/>
      <c r="D877" s="31"/>
      <c r="E877" s="31"/>
      <c r="F877" s="31"/>
      <c r="G877" s="31"/>
      <c r="H877" s="32"/>
      <c r="J877" s="33"/>
      <c r="K877" s="33"/>
      <c r="L877" s="33"/>
      <c r="X877" s="23"/>
      <c r="Y877" s="23"/>
      <c r="Z877" s="23"/>
      <c r="AA877" s="23"/>
      <c r="AF877" s="23"/>
      <c r="AG877" s="23"/>
      <c r="AH877" s="23"/>
      <c r="AI877" s="23"/>
      <c r="AN877" s="23"/>
      <c r="AO877" s="23"/>
      <c r="AP877" s="23"/>
      <c r="AQ877" s="23"/>
      <c r="AR877" s="35"/>
      <c r="AS877" s="35"/>
      <c r="AT877" s="35"/>
      <c r="AU877" s="31"/>
      <c r="AV877" s="36"/>
    </row>
    <row r="878" spans="1:48">
      <c r="A878" s="21"/>
      <c r="D878" s="31"/>
      <c r="E878" s="31"/>
      <c r="F878" s="31"/>
      <c r="G878" s="31"/>
      <c r="H878" s="32"/>
      <c r="J878" s="33"/>
      <c r="K878" s="33"/>
      <c r="L878" s="33"/>
      <c r="X878" s="23"/>
      <c r="Y878" s="23"/>
      <c r="Z878" s="23"/>
      <c r="AA878" s="23"/>
      <c r="AF878" s="23"/>
      <c r="AG878" s="23"/>
      <c r="AH878" s="23"/>
      <c r="AI878" s="23"/>
      <c r="AN878" s="23"/>
      <c r="AO878" s="23"/>
      <c r="AP878" s="23"/>
      <c r="AQ878" s="23"/>
      <c r="AR878" s="35"/>
      <c r="AS878" s="35"/>
      <c r="AT878" s="35"/>
      <c r="AU878" s="31"/>
      <c r="AV878" s="36"/>
    </row>
    <row r="879" spans="1:48">
      <c r="A879" s="21"/>
      <c r="D879" s="31"/>
      <c r="E879" s="31"/>
      <c r="F879" s="31"/>
      <c r="G879" s="31"/>
      <c r="H879" s="32"/>
      <c r="J879" s="33"/>
      <c r="K879" s="33"/>
      <c r="L879" s="33"/>
      <c r="X879" s="23"/>
      <c r="Y879" s="23"/>
      <c r="Z879" s="23"/>
      <c r="AA879" s="23"/>
      <c r="AF879" s="23"/>
      <c r="AG879" s="23"/>
      <c r="AH879" s="23"/>
      <c r="AI879" s="23"/>
      <c r="AN879" s="23"/>
      <c r="AO879" s="23"/>
      <c r="AP879" s="23"/>
      <c r="AQ879" s="23"/>
      <c r="AR879" s="35"/>
      <c r="AS879" s="35"/>
      <c r="AT879" s="35"/>
      <c r="AU879" s="31"/>
      <c r="AV879" s="36"/>
    </row>
    <row r="880" spans="1:48">
      <c r="A880" s="21"/>
      <c r="D880" s="31"/>
      <c r="E880" s="31"/>
      <c r="F880" s="31"/>
      <c r="G880" s="31"/>
      <c r="H880" s="32"/>
      <c r="J880" s="33"/>
      <c r="K880" s="33"/>
      <c r="L880" s="33"/>
      <c r="X880" s="23"/>
      <c r="Y880" s="23"/>
      <c r="Z880" s="23"/>
      <c r="AA880" s="23"/>
      <c r="AF880" s="23"/>
      <c r="AG880" s="23"/>
      <c r="AH880" s="23"/>
      <c r="AI880" s="23"/>
      <c r="AN880" s="23"/>
      <c r="AO880" s="23"/>
      <c r="AP880" s="23"/>
      <c r="AQ880" s="23"/>
      <c r="AR880" s="35"/>
      <c r="AS880" s="35"/>
      <c r="AT880" s="35"/>
      <c r="AU880" s="31"/>
      <c r="AV880" s="36"/>
    </row>
    <row r="881" spans="1:48">
      <c r="A881" s="21"/>
      <c r="D881" s="31"/>
      <c r="E881" s="31"/>
      <c r="F881" s="31"/>
      <c r="G881" s="31"/>
      <c r="H881" s="32"/>
      <c r="J881" s="33"/>
      <c r="K881" s="33"/>
      <c r="L881" s="33"/>
      <c r="X881" s="23"/>
      <c r="Y881" s="23"/>
      <c r="Z881" s="23"/>
      <c r="AA881" s="23"/>
      <c r="AF881" s="23"/>
      <c r="AG881" s="23"/>
      <c r="AH881" s="23"/>
      <c r="AI881" s="23"/>
      <c r="AN881" s="23"/>
      <c r="AO881" s="23"/>
      <c r="AP881" s="23"/>
      <c r="AQ881" s="23"/>
      <c r="AR881" s="35"/>
      <c r="AS881" s="35"/>
      <c r="AT881" s="35"/>
      <c r="AU881" s="31"/>
      <c r="AV881" s="36"/>
    </row>
    <row r="882" spans="1:48">
      <c r="A882" s="21"/>
      <c r="D882" s="31"/>
      <c r="E882" s="31"/>
      <c r="F882" s="31"/>
      <c r="G882" s="31"/>
      <c r="H882" s="32"/>
      <c r="J882" s="33"/>
      <c r="K882" s="33"/>
      <c r="L882" s="33"/>
      <c r="X882" s="23"/>
      <c r="Y882" s="23"/>
      <c r="Z882" s="23"/>
      <c r="AA882" s="23"/>
      <c r="AF882" s="23"/>
      <c r="AG882" s="23"/>
      <c r="AH882" s="23"/>
      <c r="AI882" s="23"/>
      <c r="AN882" s="23"/>
      <c r="AO882" s="23"/>
      <c r="AP882" s="23"/>
      <c r="AQ882" s="23"/>
      <c r="AR882" s="35"/>
      <c r="AS882" s="35"/>
      <c r="AT882" s="35"/>
      <c r="AU882" s="31"/>
      <c r="AV882" s="36"/>
    </row>
    <row r="883" spans="1:48">
      <c r="A883" s="21"/>
      <c r="D883" s="31"/>
      <c r="E883" s="31"/>
      <c r="F883" s="31"/>
      <c r="G883" s="31"/>
      <c r="H883" s="32"/>
      <c r="J883" s="33"/>
      <c r="K883" s="33"/>
      <c r="L883" s="33"/>
      <c r="X883" s="23"/>
      <c r="Y883" s="23"/>
      <c r="Z883" s="23"/>
      <c r="AA883" s="23"/>
      <c r="AF883" s="23"/>
      <c r="AG883" s="23"/>
      <c r="AH883" s="23"/>
      <c r="AI883" s="23"/>
      <c r="AN883" s="23"/>
      <c r="AO883" s="23"/>
      <c r="AP883" s="23"/>
      <c r="AQ883" s="23"/>
      <c r="AR883" s="35"/>
      <c r="AS883" s="35"/>
      <c r="AT883" s="35"/>
      <c r="AU883" s="31"/>
      <c r="AV883" s="36"/>
    </row>
    <row r="884" spans="1:48">
      <c r="A884" s="21"/>
      <c r="D884" s="31"/>
      <c r="E884" s="31"/>
      <c r="F884" s="31"/>
      <c r="G884" s="31"/>
      <c r="H884" s="32"/>
      <c r="J884" s="33"/>
      <c r="K884" s="33"/>
      <c r="L884" s="33"/>
      <c r="X884" s="23"/>
      <c r="Y884" s="23"/>
      <c r="Z884" s="23"/>
      <c r="AA884" s="23"/>
      <c r="AF884" s="23"/>
      <c r="AG884" s="23"/>
      <c r="AH884" s="23"/>
      <c r="AI884" s="23"/>
      <c r="AN884" s="23"/>
      <c r="AO884" s="23"/>
      <c r="AP884" s="23"/>
      <c r="AQ884" s="23"/>
      <c r="AR884" s="35"/>
      <c r="AS884" s="35"/>
      <c r="AT884" s="35"/>
      <c r="AU884" s="31"/>
      <c r="AV884" s="36"/>
    </row>
    <row r="885" spans="1:48">
      <c r="A885" s="21"/>
      <c r="D885" s="31"/>
      <c r="E885" s="31"/>
      <c r="F885" s="31"/>
      <c r="G885" s="31"/>
      <c r="H885" s="32"/>
      <c r="J885" s="33"/>
      <c r="K885" s="33"/>
      <c r="L885" s="33"/>
      <c r="X885" s="23"/>
      <c r="Y885" s="23"/>
      <c r="Z885" s="23"/>
      <c r="AA885" s="23"/>
      <c r="AF885" s="23"/>
      <c r="AG885" s="23"/>
      <c r="AH885" s="23"/>
      <c r="AI885" s="23"/>
      <c r="AN885" s="23"/>
      <c r="AO885" s="23"/>
      <c r="AP885" s="23"/>
      <c r="AQ885" s="23"/>
      <c r="AR885" s="35"/>
      <c r="AS885" s="35"/>
      <c r="AT885" s="35"/>
      <c r="AU885" s="31"/>
      <c r="AV885" s="36"/>
    </row>
    <row r="886" spans="1:48">
      <c r="A886" s="21"/>
      <c r="D886" s="31"/>
      <c r="E886" s="31"/>
      <c r="F886" s="31"/>
      <c r="G886" s="31"/>
      <c r="H886" s="32"/>
      <c r="J886" s="33"/>
      <c r="K886" s="33"/>
      <c r="L886" s="33"/>
      <c r="X886" s="23"/>
      <c r="Y886" s="23"/>
      <c r="Z886" s="23"/>
      <c r="AA886" s="23"/>
      <c r="AF886" s="23"/>
      <c r="AG886" s="23"/>
      <c r="AH886" s="23"/>
      <c r="AI886" s="23"/>
      <c r="AN886" s="23"/>
      <c r="AO886" s="23"/>
      <c r="AP886" s="23"/>
      <c r="AQ886" s="23"/>
      <c r="AR886" s="35"/>
      <c r="AS886" s="35"/>
      <c r="AT886" s="35"/>
      <c r="AU886" s="31"/>
      <c r="AV886" s="36"/>
    </row>
    <row r="887" spans="1:48">
      <c r="A887" s="21"/>
      <c r="D887" s="31"/>
      <c r="E887" s="31"/>
      <c r="F887" s="31"/>
      <c r="G887" s="31"/>
      <c r="H887" s="32"/>
      <c r="J887" s="33"/>
      <c r="K887" s="33"/>
      <c r="L887" s="33"/>
      <c r="X887" s="23"/>
      <c r="Y887" s="23"/>
      <c r="Z887" s="23"/>
      <c r="AA887" s="23"/>
      <c r="AF887" s="23"/>
      <c r="AG887" s="23"/>
      <c r="AH887" s="23"/>
      <c r="AI887" s="23"/>
      <c r="AN887" s="23"/>
      <c r="AO887" s="23"/>
      <c r="AP887" s="23"/>
      <c r="AQ887" s="23"/>
      <c r="AR887" s="35"/>
      <c r="AS887" s="35"/>
      <c r="AT887" s="35"/>
      <c r="AU887" s="31"/>
      <c r="AV887" s="36"/>
    </row>
    <row r="888" spans="1:48">
      <c r="A888" s="21"/>
      <c r="D888" s="31"/>
      <c r="E888" s="31"/>
      <c r="F888" s="31"/>
      <c r="G888" s="31"/>
      <c r="H888" s="32"/>
      <c r="J888" s="33"/>
      <c r="K888" s="33"/>
      <c r="L888" s="33"/>
      <c r="X888" s="23"/>
      <c r="Y888" s="23"/>
      <c r="Z888" s="23"/>
      <c r="AA888" s="23"/>
      <c r="AF888" s="23"/>
      <c r="AG888" s="23"/>
      <c r="AH888" s="23"/>
      <c r="AI888" s="23"/>
      <c r="AN888" s="23"/>
      <c r="AO888" s="23"/>
      <c r="AP888" s="23"/>
      <c r="AQ888" s="23"/>
      <c r="AR888" s="35"/>
      <c r="AS888" s="35"/>
      <c r="AT888" s="35"/>
      <c r="AU888" s="31"/>
      <c r="AV888" s="36"/>
    </row>
    <row r="889" spans="1:48">
      <c r="A889" s="21"/>
      <c r="D889" s="31"/>
      <c r="E889" s="31"/>
      <c r="F889" s="31"/>
      <c r="G889" s="31"/>
      <c r="H889" s="32"/>
      <c r="J889" s="33"/>
      <c r="K889" s="33"/>
      <c r="L889" s="33"/>
      <c r="X889" s="23"/>
      <c r="Y889" s="23"/>
      <c r="Z889" s="23"/>
      <c r="AA889" s="23"/>
      <c r="AF889" s="23"/>
      <c r="AG889" s="23"/>
      <c r="AH889" s="23"/>
      <c r="AI889" s="23"/>
      <c r="AN889" s="23"/>
      <c r="AO889" s="23"/>
      <c r="AP889" s="23"/>
      <c r="AQ889" s="23"/>
      <c r="AR889" s="35"/>
      <c r="AS889" s="35"/>
      <c r="AT889" s="35"/>
      <c r="AU889" s="31"/>
      <c r="AV889" s="36"/>
    </row>
    <row r="890" spans="1:48">
      <c r="A890" s="21"/>
      <c r="D890" s="31"/>
      <c r="E890" s="31"/>
      <c r="F890" s="31"/>
      <c r="G890" s="31"/>
      <c r="H890" s="32"/>
      <c r="J890" s="33"/>
      <c r="K890" s="33"/>
      <c r="L890" s="33"/>
      <c r="X890" s="23"/>
      <c r="Y890" s="23"/>
      <c r="Z890" s="23"/>
      <c r="AA890" s="23"/>
      <c r="AF890" s="23"/>
      <c r="AG890" s="23"/>
      <c r="AH890" s="23"/>
      <c r="AI890" s="23"/>
      <c r="AN890" s="23"/>
      <c r="AO890" s="23"/>
      <c r="AP890" s="23"/>
      <c r="AQ890" s="23"/>
      <c r="AR890" s="35"/>
      <c r="AS890" s="35"/>
      <c r="AT890" s="35"/>
      <c r="AU890" s="31"/>
      <c r="AV890" s="36"/>
    </row>
    <row r="891" spans="1:48">
      <c r="A891" s="21"/>
      <c r="D891" s="31"/>
      <c r="E891" s="31"/>
      <c r="F891" s="31"/>
      <c r="G891" s="31"/>
      <c r="H891" s="32"/>
      <c r="J891" s="33"/>
      <c r="K891" s="33"/>
      <c r="L891" s="33"/>
      <c r="X891" s="23"/>
      <c r="Y891" s="23"/>
      <c r="Z891" s="23"/>
      <c r="AA891" s="23"/>
      <c r="AF891" s="23"/>
      <c r="AG891" s="23"/>
      <c r="AH891" s="23"/>
      <c r="AI891" s="23"/>
      <c r="AN891" s="23"/>
      <c r="AO891" s="23"/>
      <c r="AP891" s="23"/>
      <c r="AQ891" s="23"/>
      <c r="AR891" s="35"/>
      <c r="AS891" s="35"/>
      <c r="AT891" s="35"/>
      <c r="AU891" s="31"/>
      <c r="AV891" s="36"/>
    </row>
    <row r="892" spans="1:48">
      <c r="A892" s="21"/>
      <c r="D892" s="31"/>
      <c r="E892" s="31"/>
      <c r="F892" s="31"/>
      <c r="G892" s="31"/>
      <c r="H892" s="32"/>
      <c r="J892" s="33"/>
      <c r="K892" s="33"/>
      <c r="L892" s="33"/>
      <c r="X892" s="23"/>
      <c r="Y892" s="23"/>
      <c r="Z892" s="23"/>
      <c r="AA892" s="23"/>
      <c r="AF892" s="23"/>
      <c r="AG892" s="23"/>
      <c r="AH892" s="23"/>
      <c r="AI892" s="23"/>
      <c r="AN892" s="23"/>
      <c r="AO892" s="23"/>
      <c r="AP892" s="23"/>
      <c r="AQ892" s="23"/>
      <c r="AR892" s="35"/>
      <c r="AS892" s="35"/>
      <c r="AT892" s="35"/>
      <c r="AU892" s="31"/>
      <c r="AV892" s="36"/>
    </row>
    <row r="893" spans="1:48">
      <c r="A893" s="21"/>
      <c r="D893" s="31"/>
      <c r="E893" s="31"/>
      <c r="F893" s="31"/>
      <c r="G893" s="31"/>
      <c r="H893" s="32"/>
      <c r="J893" s="33"/>
      <c r="K893" s="33"/>
      <c r="L893" s="33"/>
      <c r="X893" s="23"/>
      <c r="Y893" s="23"/>
      <c r="Z893" s="23"/>
      <c r="AA893" s="23"/>
      <c r="AF893" s="23"/>
      <c r="AG893" s="23"/>
      <c r="AH893" s="23"/>
      <c r="AI893" s="23"/>
      <c r="AN893" s="23"/>
      <c r="AO893" s="23"/>
      <c r="AP893" s="23"/>
      <c r="AQ893" s="23"/>
      <c r="AR893" s="35"/>
      <c r="AS893" s="35"/>
      <c r="AT893" s="35"/>
      <c r="AU893" s="31"/>
      <c r="AV893" s="36"/>
    </row>
    <row r="894" spans="1:48">
      <c r="A894" s="21"/>
      <c r="D894" s="31"/>
      <c r="E894" s="31"/>
      <c r="F894" s="31"/>
      <c r="G894" s="31"/>
      <c r="H894" s="32"/>
      <c r="J894" s="33"/>
      <c r="K894" s="33"/>
      <c r="L894" s="33"/>
      <c r="X894" s="23"/>
      <c r="Y894" s="23"/>
      <c r="Z894" s="23"/>
      <c r="AA894" s="23"/>
      <c r="AF894" s="23"/>
      <c r="AG894" s="23"/>
      <c r="AH894" s="23"/>
      <c r="AI894" s="23"/>
      <c r="AN894" s="23"/>
      <c r="AO894" s="23"/>
      <c r="AP894" s="23"/>
      <c r="AQ894" s="23"/>
      <c r="AR894" s="35"/>
      <c r="AS894" s="35"/>
      <c r="AT894" s="35"/>
      <c r="AU894" s="31"/>
      <c r="AV894" s="36"/>
    </row>
    <row r="895" spans="1:48">
      <c r="A895" s="21"/>
      <c r="D895" s="31"/>
      <c r="E895" s="31"/>
      <c r="F895" s="31"/>
      <c r="G895" s="31"/>
      <c r="H895" s="32"/>
      <c r="J895" s="33"/>
      <c r="K895" s="33"/>
      <c r="L895" s="33"/>
      <c r="X895" s="23"/>
      <c r="Y895" s="23"/>
      <c r="Z895" s="23"/>
      <c r="AA895" s="23"/>
      <c r="AF895" s="23"/>
      <c r="AG895" s="23"/>
      <c r="AH895" s="23"/>
      <c r="AI895" s="23"/>
      <c r="AN895" s="23"/>
      <c r="AO895" s="23"/>
      <c r="AP895" s="23"/>
      <c r="AQ895" s="23"/>
      <c r="AR895" s="35"/>
      <c r="AS895" s="35"/>
      <c r="AT895" s="35"/>
      <c r="AU895" s="31"/>
      <c r="AV895" s="36"/>
    </row>
    <row r="896" spans="1:48">
      <c r="A896" s="21"/>
      <c r="D896" s="31"/>
      <c r="E896" s="31"/>
      <c r="F896" s="31"/>
      <c r="G896" s="31"/>
      <c r="H896" s="32"/>
      <c r="J896" s="33"/>
      <c r="K896" s="33"/>
      <c r="L896" s="33"/>
      <c r="X896" s="23"/>
      <c r="Y896" s="23"/>
      <c r="Z896" s="23"/>
      <c r="AA896" s="23"/>
      <c r="AF896" s="23"/>
      <c r="AG896" s="23"/>
      <c r="AH896" s="23"/>
      <c r="AI896" s="23"/>
      <c r="AN896" s="23"/>
      <c r="AO896" s="23"/>
      <c r="AP896" s="23"/>
      <c r="AQ896" s="23"/>
      <c r="AR896" s="35"/>
      <c r="AS896" s="35"/>
      <c r="AT896" s="35"/>
      <c r="AU896" s="31"/>
      <c r="AV896" s="36"/>
    </row>
    <row r="897" spans="1:48">
      <c r="A897" s="21"/>
      <c r="D897" s="31"/>
      <c r="E897" s="31"/>
      <c r="F897" s="31"/>
      <c r="G897" s="31"/>
      <c r="H897" s="32"/>
      <c r="J897" s="33"/>
      <c r="K897" s="33"/>
      <c r="L897" s="33"/>
      <c r="X897" s="23"/>
      <c r="Y897" s="23"/>
      <c r="Z897" s="23"/>
      <c r="AA897" s="23"/>
      <c r="AF897" s="23"/>
      <c r="AG897" s="23"/>
      <c r="AH897" s="23"/>
      <c r="AI897" s="23"/>
      <c r="AN897" s="23"/>
      <c r="AO897" s="23"/>
      <c r="AP897" s="23"/>
      <c r="AQ897" s="23"/>
      <c r="AR897" s="35"/>
      <c r="AS897" s="35"/>
      <c r="AT897" s="35"/>
      <c r="AU897" s="31"/>
      <c r="AV897" s="36"/>
    </row>
    <row r="898" spans="1:48">
      <c r="A898" s="21"/>
      <c r="D898" s="31"/>
      <c r="E898" s="31"/>
      <c r="F898" s="31"/>
      <c r="G898" s="31"/>
      <c r="H898" s="32"/>
      <c r="J898" s="33"/>
      <c r="K898" s="33"/>
      <c r="L898" s="33"/>
      <c r="X898" s="23"/>
      <c r="Y898" s="23"/>
      <c r="Z898" s="23"/>
      <c r="AA898" s="23"/>
      <c r="AF898" s="23"/>
      <c r="AG898" s="23"/>
      <c r="AH898" s="23"/>
      <c r="AI898" s="23"/>
      <c r="AN898" s="23"/>
      <c r="AO898" s="23"/>
      <c r="AP898" s="23"/>
      <c r="AQ898" s="23"/>
      <c r="AR898" s="35"/>
      <c r="AS898" s="35"/>
      <c r="AT898" s="35"/>
      <c r="AU898" s="31"/>
      <c r="AV898" s="36"/>
    </row>
    <row r="899" spans="1:48">
      <c r="A899" s="21"/>
      <c r="D899" s="31"/>
      <c r="E899" s="31"/>
      <c r="F899" s="31"/>
      <c r="G899" s="31"/>
      <c r="H899" s="32"/>
      <c r="J899" s="33"/>
      <c r="K899" s="33"/>
      <c r="L899" s="33"/>
      <c r="X899" s="23"/>
      <c r="Y899" s="23"/>
      <c r="Z899" s="23"/>
      <c r="AA899" s="23"/>
      <c r="AF899" s="23"/>
      <c r="AG899" s="23"/>
      <c r="AH899" s="23"/>
      <c r="AI899" s="23"/>
      <c r="AN899" s="23"/>
      <c r="AO899" s="23"/>
      <c r="AP899" s="23"/>
      <c r="AQ899" s="23"/>
      <c r="AR899" s="35"/>
      <c r="AS899" s="35"/>
      <c r="AT899" s="35"/>
      <c r="AU899" s="31"/>
      <c r="AV899" s="36"/>
    </row>
    <row r="900" spans="4:48">
      <c r="D900" s="31"/>
      <c r="E900" s="31"/>
      <c r="F900" s="31"/>
      <c r="G900" s="31"/>
      <c r="H900" s="32"/>
      <c r="J900" s="33"/>
      <c r="K900" s="33"/>
      <c r="L900" s="33"/>
      <c r="X900" s="23"/>
      <c r="Y900" s="23"/>
      <c r="Z900" s="23"/>
      <c r="AA900" s="23"/>
      <c r="AF900" s="23"/>
      <c r="AG900" s="23"/>
      <c r="AH900" s="23"/>
      <c r="AI900" s="23"/>
      <c r="AN900" s="23"/>
      <c r="AO900" s="23"/>
      <c r="AP900" s="23"/>
      <c r="AQ900" s="23"/>
      <c r="AR900" s="35"/>
      <c r="AS900" s="35"/>
      <c r="AT900" s="35"/>
      <c r="AU900" s="31"/>
      <c r="AV900" s="36"/>
    </row>
    <row r="901" spans="4:48">
      <c r="D901" s="31"/>
      <c r="E901" s="31"/>
      <c r="F901" s="31"/>
      <c r="G901" s="31"/>
      <c r="H901" s="32"/>
      <c r="J901" s="33"/>
      <c r="K901" s="33"/>
      <c r="L901" s="33"/>
      <c r="X901" s="23"/>
      <c r="Y901" s="23"/>
      <c r="Z901" s="23"/>
      <c r="AA901" s="23"/>
      <c r="AF901" s="23"/>
      <c r="AG901" s="23"/>
      <c r="AH901" s="23"/>
      <c r="AI901" s="23"/>
      <c r="AN901" s="23"/>
      <c r="AO901" s="23"/>
      <c r="AP901" s="23"/>
      <c r="AQ901" s="23"/>
      <c r="AR901" s="35"/>
      <c r="AS901" s="35"/>
      <c r="AT901" s="35"/>
      <c r="AU901" s="31"/>
      <c r="AV901" s="36"/>
    </row>
    <row r="902" spans="4:48">
      <c r="D902" s="31"/>
      <c r="E902" s="31"/>
      <c r="F902" s="31"/>
      <c r="G902" s="31"/>
      <c r="H902" s="32"/>
      <c r="J902" s="33"/>
      <c r="K902" s="33"/>
      <c r="L902" s="33"/>
      <c r="X902" s="23"/>
      <c r="Y902" s="23"/>
      <c r="Z902" s="23"/>
      <c r="AA902" s="23"/>
      <c r="AF902" s="23"/>
      <c r="AG902" s="23"/>
      <c r="AH902" s="23"/>
      <c r="AI902" s="23"/>
      <c r="AN902" s="23"/>
      <c r="AO902" s="23"/>
      <c r="AP902" s="23"/>
      <c r="AQ902" s="23"/>
      <c r="AR902" s="35"/>
      <c r="AS902" s="35"/>
      <c r="AT902" s="35"/>
      <c r="AU902" s="31"/>
      <c r="AV902" s="36"/>
    </row>
    <row r="903" spans="4:48">
      <c r="D903" s="31"/>
      <c r="E903" s="31"/>
      <c r="F903" s="31"/>
      <c r="G903" s="31"/>
      <c r="H903" s="32"/>
      <c r="J903" s="33"/>
      <c r="K903" s="33"/>
      <c r="L903" s="33"/>
      <c r="X903" s="23"/>
      <c r="Y903" s="23"/>
      <c r="Z903" s="23"/>
      <c r="AA903" s="23"/>
      <c r="AF903" s="23"/>
      <c r="AG903" s="23"/>
      <c r="AH903" s="23"/>
      <c r="AI903" s="23"/>
      <c r="AN903" s="23"/>
      <c r="AO903" s="23"/>
      <c r="AP903" s="23"/>
      <c r="AQ903" s="23"/>
      <c r="AR903" s="35"/>
      <c r="AS903" s="35"/>
      <c r="AT903" s="35"/>
      <c r="AU903" s="31"/>
      <c r="AV903" s="36"/>
    </row>
    <row r="904" spans="4:48">
      <c r="D904" s="31"/>
      <c r="E904" s="31"/>
      <c r="F904" s="31"/>
      <c r="G904" s="31"/>
      <c r="H904" s="32"/>
      <c r="J904" s="33"/>
      <c r="K904" s="33"/>
      <c r="L904" s="33"/>
      <c r="X904" s="23"/>
      <c r="Y904" s="23"/>
      <c r="Z904" s="23"/>
      <c r="AA904" s="23"/>
      <c r="AF904" s="23"/>
      <c r="AG904" s="23"/>
      <c r="AH904" s="23"/>
      <c r="AI904" s="23"/>
      <c r="AN904" s="23"/>
      <c r="AO904" s="23"/>
      <c r="AP904" s="23"/>
      <c r="AQ904" s="23"/>
      <c r="AR904" s="35"/>
      <c r="AS904" s="35"/>
      <c r="AT904" s="35"/>
      <c r="AU904" s="31"/>
      <c r="AV904" s="36"/>
    </row>
    <row r="905" spans="4:48">
      <c r="D905" s="31"/>
      <c r="E905" s="31"/>
      <c r="F905" s="31"/>
      <c r="G905" s="31"/>
      <c r="H905" s="32"/>
      <c r="J905" s="33"/>
      <c r="K905" s="33"/>
      <c r="L905" s="33"/>
      <c r="X905" s="23"/>
      <c r="Y905" s="23"/>
      <c r="Z905" s="23"/>
      <c r="AA905" s="23"/>
      <c r="AF905" s="23"/>
      <c r="AG905" s="23"/>
      <c r="AH905" s="23"/>
      <c r="AI905" s="23"/>
      <c r="AN905" s="23"/>
      <c r="AO905" s="23"/>
      <c r="AP905" s="23"/>
      <c r="AQ905" s="23"/>
      <c r="AR905" s="35"/>
      <c r="AS905" s="35"/>
      <c r="AT905" s="35"/>
      <c r="AU905" s="31"/>
      <c r="AV905" s="36"/>
    </row>
    <row r="906" spans="4:48">
      <c r="D906" s="31"/>
      <c r="E906" s="31"/>
      <c r="F906" s="31"/>
      <c r="G906" s="31"/>
      <c r="H906" s="32"/>
      <c r="J906" s="33"/>
      <c r="K906" s="33"/>
      <c r="L906" s="33"/>
      <c r="X906" s="23"/>
      <c r="Y906" s="23"/>
      <c r="Z906" s="23"/>
      <c r="AA906" s="23"/>
      <c r="AF906" s="23"/>
      <c r="AG906" s="23"/>
      <c r="AH906" s="23"/>
      <c r="AI906" s="23"/>
      <c r="AN906" s="23"/>
      <c r="AO906" s="23"/>
      <c r="AP906" s="23"/>
      <c r="AQ906" s="23"/>
      <c r="AR906" s="35"/>
      <c r="AS906" s="35"/>
      <c r="AT906" s="35"/>
      <c r="AU906" s="31"/>
      <c r="AV906" s="36"/>
    </row>
    <row r="907" spans="4:48">
      <c r="D907" s="31"/>
      <c r="E907" s="31"/>
      <c r="F907" s="31"/>
      <c r="G907" s="31"/>
      <c r="H907" s="32"/>
      <c r="J907" s="33"/>
      <c r="K907" s="33"/>
      <c r="L907" s="33"/>
      <c r="X907" s="23"/>
      <c r="Y907" s="23"/>
      <c r="Z907" s="23"/>
      <c r="AA907" s="23"/>
      <c r="AF907" s="23"/>
      <c r="AG907" s="23"/>
      <c r="AH907" s="23"/>
      <c r="AI907" s="23"/>
      <c r="AN907" s="23"/>
      <c r="AO907" s="23"/>
      <c r="AP907" s="23"/>
      <c r="AQ907" s="23"/>
      <c r="AR907" s="35"/>
      <c r="AS907" s="35"/>
      <c r="AT907" s="35"/>
      <c r="AU907" s="31"/>
      <c r="AV907" s="36"/>
    </row>
    <row r="908" spans="4:48">
      <c r="D908" s="31"/>
      <c r="E908" s="31"/>
      <c r="F908" s="31"/>
      <c r="G908" s="31"/>
      <c r="H908" s="32"/>
      <c r="J908" s="33"/>
      <c r="K908" s="33"/>
      <c r="L908" s="33"/>
      <c r="X908" s="23"/>
      <c r="Y908" s="23"/>
      <c r="Z908" s="23"/>
      <c r="AA908" s="23"/>
      <c r="AF908" s="23"/>
      <c r="AG908" s="23"/>
      <c r="AH908" s="23"/>
      <c r="AI908" s="23"/>
      <c r="AN908" s="23"/>
      <c r="AO908" s="23"/>
      <c r="AP908" s="23"/>
      <c r="AQ908" s="23"/>
      <c r="AR908" s="35"/>
      <c r="AS908" s="35"/>
      <c r="AT908" s="35"/>
      <c r="AU908" s="31"/>
      <c r="AV908" s="36"/>
    </row>
    <row r="909" spans="4:48">
      <c r="D909" s="31"/>
      <c r="E909" s="31"/>
      <c r="F909" s="31"/>
      <c r="G909" s="31"/>
      <c r="H909" s="32"/>
      <c r="J909" s="33"/>
      <c r="K909" s="33"/>
      <c r="L909" s="33"/>
      <c r="X909" s="23"/>
      <c r="Y909" s="23"/>
      <c r="Z909" s="23"/>
      <c r="AA909" s="23"/>
      <c r="AF909" s="23"/>
      <c r="AG909" s="23"/>
      <c r="AH909" s="23"/>
      <c r="AI909" s="23"/>
      <c r="AN909" s="23"/>
      <c r="AO909" s="23"/>
      <c r="AP909" s="23"/>
      <c r="AQ909" s="23"/>
      <c r="AR909" s="35"/>
      <c r="AS909" s="35"/>
      <c r="AT909" s="35"/>
      <c r="AU909" s="31"/>
      <c r="AV909" s="36"/>
    </row>
    <row r="910" spans="4:48">
      <c r="D910" s="31"/>
      <c r="E910" s="31"/>
      <c r="F910" s="31"/>
      <c r="G910" s="31"/>
      <c r="H910" s="32"/>
      <c r="J910" s="33"/>
      <c r="K910" s="33"/>
      <c r="L910" s="33"/>
      <c r="X910" s="23"/>
      <c r="Y910" s="23"/>
      <c r="Z910" s="23"/>
      <c r="AA910" s="23"/>
      <c r="AF910" s="23"/>
      <c r="AG910" s="23"/>
      <c r="AH910" s="23"/>
      <c r="AI910" s="23"/>
      <c r="AN910" s="23"/>
      <c r="AO910" s="23"/>
      <c r="AP910" s="23"/>
      <c r="AQ910" s="23"/>
      <c r="AR910" s="35"/>
      <c r="AS910" s="35"/>
      <c r="AT910" s="35"/>
      <c r="AU910" s="31"/>
      <c r="AV910" s="36"/>
    </row>
    <row r="911" spans="4:48">
      <c r="D911" s="31"/>
      <c r="E911" s="31"/>
      <c r="F911" s="31"/>
      <c r="G911" s="31"/>
      <c r="H911" s="32"/>
      <c r="J911" s="33"/>
      <c r="K911" s="33"/>
      <c r="L911" s="33"/>
      <c r="X911" s="23"/>
      <c r="Y911" s="23"/>
      <c r="Z911" s="23"/>
      <c r="AA911" s="23"/>
      <c r="AF911" s="23"/>
      <c r="AG911" s="23"/>
      <c r="AH911" s="23"/>
      <c r="AI911" s="23"/>
      <c r="AN911" s="23"/>
      <c r="AO911" s="23"/>
      <c r="AP911" s="23"/>
      <c r="AQ911" s="23"/>
      <c r="AR911" s="35"/>
      <c r="AS911" s="35"/>
      <c r="AT911" s="35"/>
      <c r="AU911" s="31"/>
      <c r="AV911" s="36"/>
    </row>
    <row r="912" spans="4:48">
      <c r="D912" s="31"/>
      <c r="E912" s="31"/>
      <c r="F912" s="31"/>
      <c r="G912" s="31"/>
      <c r="H912" s="32"/>
      <c r="J912" s="33"/>
      <c r="K912" s="33"/>
      <c r="L912" s="33"/>
      <c r="X912" s="23"/>
      <c r="Y912" s="23"/>
      <c r="Z912" s="23"/>
      <c r="AA912" s="23"/>
      <c r="AF912" s="23"/>
      <c r="AG912" s="23"/>
      <c r="AH912" s="23"/>
      <c r="AI912" s="23"/>
      <c r="AN912" s="23"/>
      <c r="AO912" s="23"/>
      <c r="AP912" s="23"/>
      <c r="AQ912" s="23"/>
      <c r="AR912" s="35"/>
      <c r="AS912" s="35"/>
      <c r="AT912" s="35"/>
      <c r="AU912" s="31"/>
      <c r="AV912" s="36"/>
    </row>
    <row r="913" spans="4:48">
      <c r="D913" s="31"/>
      <c r="E913" s="31"/>
      <c r="F913" s="31"/>
      <c r="G913" s="31"/>
      <c r="H913" s="32"/>
      <c r="J913" s="33"/>
      <c r="K913" s="33"/>
      <c r="L913" s="33"/>
      <c r="X913" s="23"/>
      <c r="Y913" s="23"/>
      <c r="Z913" s="23"/>
      <c r="AA913" s="23"/>
      <c r="AF913" s="23"/>
      <c r="AG913" s="23"/>
      <c r="AH913" s="23"/>
      <c r="AI913" s="23"/>
      <c r="AN913" s="23"/>
      <c r="AO913" s="23"/>
      <c r="AP913" s="23"/>
      <c r="AQ913" s="23"/>
      <c r="AR913" s="35"/>
      <c r="AS913" s="35"/>
      <c r="AT913" s="35"/>
      <c r="AU913" s="31"/>
      <c r="AV913" s="36"/>
    </row>
    <row r="914" spans="4:48">
      <c r="D914" s="31"/>
      <c r="E914" s="31"/>
      <c r="F914" s="31"/>
      <c r="G914" s="31"/>
      <c r="H914" s="32"/>
      <c r="J914" s="33"/>
      <c r="K914" s="33"/>
      <c r="L914" s="33"/>
      <c r="X914" s="23"/>
      <c r="Y914" s="23"/>
      <c r="Z914" s="23"/>
      <c r="AA914" s="23"/>
      <c r="AF914" s="23"/>
      <c r="AG914" s="23"/>
      <c r="AH914" s="23"/>
      <c r="AI914" s="23"/>
      <c r="AN914" s="23"/>
      <c r="AO914" s="23"/>
      <c r="AP914" s="23"/>
      <c r="AQ914" s="23"/>
      <c r="AR914" s="35"/>
      <c r="AS914" s="35"/>
      <c r="AT914" s="35"/>
      <c r="AU914" s="31"/>
      <c r="AV914" s="36"/>
    </row>
    <row r="915" spans="4:48">
      <c r="D915" s="31"/>
      <c r="E915" s="31"/>
      <c r="F915" s="31"/>
      <c r="G915" s="31"/>
      <c r="H915" s="32"/>
      <c r="J915" s="33"/>
      <c r="K915" s="33"/>
      <c r="L915" s="33"/>
      <c r="X915" s="23"/>
      <c r="Y915" s="23"/>
      <c r="Z915" s="23"/>
      <c r="AA915" s="23"/>
      <c r="AF915" s="23"/>
      <c r="AG915" s="23"/>
      <c r="AH915" s="23"/>
      <c r="AI915" s="23"/>
      <c r="AN915" s="23"/>
      <c r="AO915" s="23"/>
      <c r="AP915" s="23"/>
      <c r="AQ915" s="23"/>
      <c r="AR915" s="35"/>
      <c r="AS915" s="35"/>
      <c r="AT915" s="35"/>
      <c r="AU915" s="31"/>
      <c r="AV915" s="36"/>
    </row>
    <row r="916" spans="4:48">
      <c r="D916" s="31"/>
      <c r="E916" s="31"/>
      <c r="F916" s="31"/>
      <c r="G916" s="31"/>
      <c r="H916" s="32"/>
      <c r="J916" s="33"/>
      <c r="K916" s="33"/>
      <c r="L916" s="33"/>
      <c r="X916" s="23"/>
      <c r="Y916" s="23"/>
      <c r="Z916" s="23"/>
      <c r="AA916" s="23"/>
      <c r="AF916" s="23"/>
      <c r="AG916" s="23"/>
      <c r="AH916" s="23"/>
      <c r="AI916" s="23"/>
      <c r="AN916" s="23"/>
      <c r="AO916" s="23"/>
      <c r="AP916" s="23"/>
      <c r="AQ916" s="23"/>
      <c r="AR916" s="35"/>
      <c r="AS916" s="35"/>
      <c r="AT916" s="35"/>
      <c r="AU916" s="31"/>
      <c r="AV916" s="36"/>
    </row>
    <row r="917" spans="4:48">
      <c r="D917" s="31"/>
      <c r="E917" s="31"/>
      <c r="F917" s="31"/>
      <c r="G917" s="31"/>
      <c r="H917" s="32"/>
      <c r="J917" s="33"/>
      <c r="K917" s="33"/>
      <c r="L917" s="33"/>
      <c r="X917" s="23"/>
      <c r="Y917" s="23"/>
      <c r="Z917" s="23"/>
      <c r="AA917" s="23"/>
      <c r="AF917" s="23"/>
      <c r="AG917" s="23"/>
      <c r="AH917" s="23"/>
      <c r="AI917" s="23"/>
      <c r="AN917" s="23"/>
      <c r="AO917" s="23"/>
      <c r="AP917" s="23"/>
      <c r="AQ917" s="23"/>
      <c r="AR917" s="35"/>
      <c r="AS917" s="35"/>
      <c r="AT917" s="35"/>
      <c r="AU917" s="31"/>
      <c r="AV917" s="36"/>
    </row>
    <row r="918" spans="4:48">
      <c r="D918" s="31"/>
      <c r="E918" s="31"/>
      <c r="F918" s="31"/>
      <c r="G918" s="31"/>
      <c r="H918" s="32"/>
      <c r="J918" s="33"/>
      <c r="K918" s="33"/>
      <c r="L918" s="33"/>
      <c r="X918" s="23"/>
      <c r="Y918" s="23"/>
      <c r="Z918" s="23"/>
      <c r="AA918" s="23"/>
      <c r="AF918" s="23"/>
      <c r="AG918" s="23"/>
      <c r="AH918" s="23"/>
      <c r="AI918" s="23"/>
      <c r="AN918" s="23"/>
      <c r="AO918" s="23"/>
      <c r="AP918" s="23"/>
      <c r="AQ918" s="23"/>
      <c r="AR918" s="35"/>
      <c r="AS918" s="35"/>
      <c r="AT918" s="35"/>
      <c r="AU918" s="31"/>
      <c r="AV918" s="36"/>
    </row>
    <row r="919" spans="4:48">
      <c r="D919" s="31"/>
      <c r="E919" s="31"/>
      <c r="F919" s="31"/>
      <c r="G919" s="31"/>
      <c r="H919" s="32"/>
      <c r="J919" s="33"/>
      <c r="K919" s="33"/>
      <c r="L919" s="33"/>
      <c r="X919" s="23"/>
      <c r="Y919" s="23"/>
      <c r="Z919" s="23"/>
      <c r="AA919" s="23"/>
      <c r="AF919" s="23"/>
      <c r="AG919" s="23"/>
      <c r="AH919" s="23"/>
      <c r="AI919" s="23"/>
      <c r="AN919" s="23"/>
      <c r="AO919" s="23"/>
      <c r="AP919" s="23"/>
      <c r="AQ919" s="23"/>
      <c r="AR919" s="35"/>
      <c r="AS919" s="35"/>
      <c r="AT919" s="35"/>
      <c r="AU919" s="31"/>
      <c r="AV919" s="36"/>
    </row>
    <row r="920" spans="4:48">
      <c r="D920" s="31"/>
      <c r="E920" s="31"/>
      <c r="F920" s="31"/>
      <c r="G920" s="31"/>
      <c r="H920" s="32"/>
      <c r="J920" s="33"/>
      <c r="K920" s="33"/>
      <c r="L920" s="33"/>
      <c r="X920" s="23"/>
      <c r="Y920" s="23"/>
      <c r="Z920" s="23"/>
      <c r="AA920" s="23"/>
      <c r="AF920" s="23"/>
      <c r="AG920" s="23"/>
      <c r="AH920" s="23"/>
      <c r="AI920" s="23"/>
      <c r="AN920" s="23"/>
      <c r="AO920" s="23"/>
      <c r="AP920" s="23"/>
      <c r="AQ920" s="23"/>
      <c r="AR920" s="35"/>
      <c r="AS920" s="35"/>
      <c r="AT920" s="35"/>
      <c r="AU920" s="31"/>
      <c r="AV920" s="36"/>
    </row>
    <row r="921" spans="4:48">
      <c r="D921" s="31"/>
      <c r="E921" s="31"/>
      <c r="F921" s="31"/>
      <c r="G921" s="31"/>
      <c r="H921" s="32"/>
      <c r="J921" s="33"/>
      <c r="K921" s="33"/>
      <c r="L921" s="33"/>
      <c r="X921" s="23"/>
      <c r="Y921" s="23"/>
      <c r="Z921" s="23"/>
      <c r="AA921" s="23"/>
      <c r="AF921" s="23"/>
      <c r="AG921" s="23"/>
      <c r="AH921" s="23"/>
      <c r="AI921" s="23"/>
      <c r="AN921" s="23"/>
      <c r="AO921" s="23"/>
      <c r="AP921" s="23"/>
      <c r="AQ921" s="23"/>
      <c r="AR921" s="35"/>
      <c r="AS921" s="35"/>
      <c r="AT921" s="35"/>
      <c r="AU921" s="31"/>
      <c r="AV921" s="36"/>
    </row>
    <row r="922" spans="4:48">
      <c r="D922" s="31"/>
      <c r="E922" s="31"/>
      <c r="F922" s="31"/>
      <c r="G922" s="31"/>
      <c r="H922" s="32"/>
      <c r="J922" s="33"/>
      <c r="K922" s="33"/>
      <c r="L922" s="33"/>
      <c r="X922" s="23"/>
      <c r="Y922" s="23"/>
      <c r="Z922" s="23"/>
      <c r="AA922" s="23"/>
      <c r="AF922" s="23"/>
      <c r="AG922" s="23"/>
      <c r="AH922" s="23"/>
      <c r="AI922" s="23"/>
      <c r="AN922" s="23"/>
      <c r="AO922" s="23"/>
      <c r="AP922" s="23"/>
      <c r="AQ922" s="23"/>
      <c r="AR922" s="35"/>
      <c r="AS922" s="35"/>
      <c r="AT922" s="35"/>
      <c r="AU922" s="31"/>
      <c r="AV922" s="36"/>
    </row>
    <row r="923" spans="4:48">
      <c r="D923" s="31"/>
      <c r="E923" s="31"/>
      <c r="F923" s="31"/>
      <c r="G923" s="31"/>
      <c r="H923" s="32"/>
      <c r="J923" s="33"/>
      <c r="K923" s="33"/>
      <c r="L923" s="33"/>
      <c r="X923" s="23"/>
      <c r="Y923" s="23"/>
      <c r="Z923" s="23"/>
      <c r="AA923" s="23"/>
      <c r="AF923" s="23"/>
      <c r="AG923" s="23"/>
      <c r="AH923" s="23"/>
      <c r="AI923" s="23"/>
      <c r="AN923" s="23"/>
      <c r="AO923" s="23"/>
      <c r="AP923" s="23"/>
      <c r="AQ923" s="23"/>
      <c r="AR923" s="35"/>
      <c r="AS923" s="35"/>
      <c r="AT923" s="35"/>
      <c r="AU923" s="31"/>
      <c r="AV923" s="36"/>
    </row>
    <row r="924" spans="4:48">
      <c r="D924" s="31"/>
      <c r="E924" s="31"/>
      <c r="F924" s="31"/>
      <c r="G924" s="31"/>
      <c r="H924" s="32"/>
      <c r="J924" s="33"/>
      <c r="K924" s="33"/>
      <c r="L924" s="33"/>
      <c r="X924" s="23"/>
      <c r="Y924" s="23"/>
      <c r="Z924" s="23"/>
      <c r="AA924" s="23"/>
      <c r="AF924" s="23"/>
      <c r="AG924" s="23"/>
      <c r="AH924" s="23"/>
      <c r="AI924" s="23"/>
      <c r="AN924" s="23"/>
      <c r="AO924" s="23"/>
      <c r="AP924" s="23"/>
      <c r="AQ924" s="23"/>
      <c r="AR924" s="35"/>
      <c r="AS924" s="35"/>
      <c r="AT924" s="35"/>
      <c r="AU924" s="31"/>
      <c r="AV924" s="36"/>
    </row>
    <row r="925" spans="4:48">
      <c r="D925" s="31"/>
      <c r="E925" s="31"/>
      <c r="F925" s="31"/>
      <c r="G925" s="31"/>
      <c r="H925" s="32"/>
      <c r="J925" s="33"/>
      <c r="K925" s="33"/>
      <c r="L925" s="33"/>
      <c r="X925" s="23"/>
      <c r="Y925" s="23"/>
      <c r="Z925" s="23"/>
      <c r="AA925" s="23"/>
      <c r="AF925" s="23"/>
      <c r="AG925" s="23"/>
      <c r="AH925" s="23"/>
      <c r="AI925" s="23"/>
      <c r="AN925" s="23"/>
      <c r="AO925" s="23"/>
      <c r="AP925" s="23"/>
      <c r="AQ925" s="23"/>
      <c r="AR925" s="35"/>
      <c r="AS925" s="35"/>
      <c r="AT925" s="35"/>
      <c r="AU925" s="31"/>
      <c r="AV925" s="36"/>
    </row>
    <row r="926" spans="4:48">
      <c r="D926" s="31"/>
      <c r="E926" s="31"/>
      <c r="F926" s="31"/>
      <c r="G926" s="31"/>
      <c r="H926" s="32"/>
      <c r="J926" s="33"/>
      <c r="K926" s="33"/>
      <c r="L926" s="33"/>
      <c r="X926" s="23"/>
      <c r="Y926" s="23"/>
      <c r="Z926" s="23"/>
      <c r="AA926" s="23"/>
      <c r="AF926" s="23"/>
      <c r="AG926" s="23"/>
      <c r="AH926" s="23"/>
      <c r="AI926" s="23"/>
      <c r="AN926" s="23"/>
      <c r="AO926" s="23"/>
      <c r="AP926" s="23"/>
      <c r="AQ926" s="23"/>
      <c r="AR926" s="35"/>
      <c r="AS926" s="35"/>
      <c r="AT926" s="35"/>
      <c r="AU926" s="31"/>
      <c r="AV926" s="36"/>
    </row>
    <row r="927" spans="4:48">
      <c r="D927" s="31"/>
      <c r="E927" s="31"/>
      <c r="F927" s="31"/>
      <c r="G927" s="31"/>
      <c r="H927" s="32"/>
      <c r="J927" s="33"/>
      <c r="K927" s="33"/>
      <c r="L927" s="33"/>
      <c r="X927" s="23"/>
      <c r="Y927" s="23"/>
      <c r="Z927" s="23"/>
      <c r="AA927" s="23"/>
      <c r="AF927" s="23"/>
      <c r="AG927" s="23"/>
      <c r="AH927" s="23"/>
      <c r="AI927" s="23"/>
      <c r="AN927" s="23"/>
      <c r="AO927" s="23"/>
      <c r="AP927" s="23"/>
      <c r="AQ927" s="23"/>
      <c r="AR927" s="35"/>
      <c r="AS927" s="35"/>
      <c r="AT927" s="35"/>
      <c r="AU927" s="31"/>
      <c r="AV927" s="36"/>
    </row>
    <row r="928" spans="4:48">
      <c r="D928" s="31"/>
      <c r="E928" s="31"/>
      <c r="F928" s="31"/>
      <c r="G928" s="31"/>
      <c r="H928" s="32"/>
      <c r="J928" s="33"/>
      <c r="K928" s="33"/>
      <c r="L928" s="33"/>
      <c r="X928" s="23"/>
      <c r="Y928" s="23"/>
      <c r="Z928" s="23"/>
      <c r="AA928" s="23"/>
      <c r="AF928" s="23"/>
      <c r="AG928" s="23"/>
      <c r="AH928" s="23"/>
      <c r="AI928" s="23"/>
      <c r="AN928" s="23"/>
      <c r="AO928" s="23"/>
      <c r="AP928" s="23"/>
      <c r="AQ928" s="23"/>
      <c r="AR928" s="35"/>
      <c r="AS928" s="35"/>
      <c r="AT928" s="35"/>
      <c r="AU928" s="31"/>
      <c r="AV928" s="36"/>
    </row>
    <row r="929" spans="4:48">
      <c r="D929" s="31"/>
      <c r="E929" s="31"/>
      <c r="F929" s="31"/>
      <c r="G929" s="31"/>
      <c r="H929" s="32"/>
      <c r="J929" s="33"/>
      <c r="K929" s="33"/>
      <c r="L929" s="33"/>
      <c r="X929" s="23"/>
      <c r="Y929" s="23"/>
      <c r="Z929" s="23"/>
      <c r="AA929" s="23"/>
      <c r="AF929" s="23"/>
      <c r="AG929" s="23"/>
      <c r="AH929" s="23"/>
      <c r="AI929" s="23"/>
      <c r="AN929" s="23"/>
      <c r="AO929" s="23"/>
      <c r="AP929" s="23"/>
      <c r="AQ929" s="23"/>
      <c r="AR929" s="35"/>
      <c r="AS929" s="35"/>
      <c r="AT929" s="35"/>
      <c r="AU929" s="31"/>
      <c r="AV929" s="36"/>
    </row>
    <row r="930" spans="4:48">
      <c r="D930" s="31"/>
      <c r="E930" s="31"/>
      <c r="F930" s="31"/>
      <c r="G930" s="31"/>
      <c r="H930" s="32"/>
      <c r="J930" s="33"/>
      <c r="K930" s="33"/>
      <c r="L930" s="33"/>
      <c r="X930" s="23"/>
      <c r="Y930" s="23"/>
      <c r="Z930" s="23"/>
      <c r="AA930" s="23"/>
      <c r="AF930" s="23"/>
      <c r="AG930" s="23"/>
      <c r="AH930" s="23"/>
      <c r="AI930" s="23"/>
      <c r="AN930" s="23"/>
      <c r="AO930" s="23"/>
      <c r="AP930" s="23"/>
      <c r="AQ930" s="23"/>
      <c r="AR930" s="35"/>
      <c r="AS930" s="35"/>
      <c r="AT930" s="35"/>
      <c r="AU930" s="31"/>
      <c r="AV930" s="36"/>
    </row>
    <row r="931" spans="4:48">
      <c r="D931" s="31"/>
      <c r="E931" s="31"/>
      <c r="F931" s="31"/>
      <c r="G931" s="31"/>
      <c r="H931" s="32"/>
      <c r="J931" s="33"/>
      <c r="K931" s="33"/>
      <c r="L931" s="33"/>
      <c r="X931" s="23"/>
      <c r="Y931" s="23"/>
      <c r="Z931" s="23"/>
      <c r="AA931" s="23"/>
      <c r="AF931" s="23"/>
      <c r="AG931" s="23"/>
      <c r="AH931" s="23"/>
      <c r="AI931" s="23"/>
      <c r="AN931" s="23"/>
      <c r="AO931" s="23"/>
      <c r="AP931" s="23"/>
      <c r="AQ931" s="23"/>
      <c r="AR931" s="35"/>
      <c r="AS931" s="35"/>
      <c r="AT931" s="35"/>
      <c r="AU931" s="31"/>
      <c r="AV931" s="36"/>
    </row>
    <row r="932" spans="4:48">
      <c r="D932" s="31"/>
      <c r="E932" s="31"/>
      <c r="F932" s="31"/>
      <c r="G932" s="31"/>
      <c r="H932" s="32"/>
      <c r="J932" s="33"/>
      <c r="K932" s="33"/>
      <c r="L932" s="33"/>
      <c r="X932" s="23"/>
      <c r="Y932" s="23"/>
      <c r="Z932" s="23"/>
      <c r="AA932" s="23"/>
      <c r="AF932" s="23"/>
      <c r="AG932" s="23"/>
      <c r="AH932" s="23"/>
      <c r="AI932" s="23"/>
      <c r="AN932" s="23"/>
      <c r="AO932" s="23"/>
      <c r="AP932" s="23"/>
      <c r="AQ932" s="23"/>
      <c r="AR932" s="35"/>
      <c r="AS932" s="35"/>
      <c r="AT932" s="35"/>
      <c r="AU932" s="31"/>
      <c r="AV932" s="36"/>
    </row>
    <row r="933" spans="4:48">
      <c r="D933" s="31"/>
      <c r="E933" s="31"/>
      <c r="F933" s="31"/>
      <c r="G933" s="31"/>
      <c r="H933" s="32"/>
      <c r="J933" s="33"/>
      <c r="K933" s="33"/>
      <c r="L933" s="33"/>
      <c r="X933" s="23"/>
      <c r="Y933" s="23"/>
      <c r="Z933" s="23"/>
      <c r="AA933" s="23"/>
      <c r="AF933" s="23"/>
      <c r="AG933" s="23"/>
      <c r="AH933" s="23"/>
      <c r="AI933" s="23"/>
      <c r="AN933" s="23"/>
      <c r="AO933" s="23"/>
      <c r="AP933" s="23"/>
      <c r="AQ933" s="23"/>
      <c r="AR933" s="35"/>
      <c r="AS933" s="35"/>
      <c r="AT933" s="35"/>
      <c r="AU933" s="31"/>
      <c r="AV933" s="36"/>
    </row>
    <row r="934" spans="4:48">
      <c r="D934" s="31"/>
      <c r="E934" s="31"/>
      <c r="F934" s="31"/>
      <c r="G934" s="31"/>
      <c r="H934" s="32"/>
      <c r="J934" s="33"/>
      <c r="K934" s="33"/>
      <c r="L934" s="33"/>
      <c r="X934" s="23"/>
      <c r="Y934" s="23"/>
      <c r="Z934" s="23"/>
      <c r="AA934" s="23"/>
      <c r="AF934" s="23"/>
      <c r="AG934" s="23"/>
      <c r="AH934" s="23"/>
      <c r="AI934" s="23"/>
      <c r="AN934" s="23"/>
      <c r="AO934" s="23"/>
      <c r="AP934" s="23"/>
      <c r="AQ934" s="23"/>
      <c r="AR934" s="35"/>
      <c r="AS934" s="35"/>
      <c r="AT934" s="35"/>
      <c r="AU934" s="31"/>
      <c r="AV934" s="36"/>
    </row>
    <row r="935" spans="4:48">
      <c r="D935" s="31"/>
      <c r="E935" s="31"/>
      <c r="F935" s="31"/>
      <c r="G935" s="31"/>
      <c r="H935" s="32"/>
      <c r="J935" s="33"/>
      <c r="K935" s="33"/>
      <c r="L935" s="33"/>
      <c r="X935" s="23"/>
      <c r="Y935" s="23"/>
      <c r="Z935" s="23"/>
      <c r="AA935" s="23"/>
      <c r="AF935" s="23"/>
      <c r="AG935" s="23"/>
      <c r="AH935" s="23"/>
      <c r="AI935" s="23"/>
      <c r="AN935" s="23"/>
      <c r="AO935" s="23"/>
      <c r="AP935" s="23"/>
      <c r="AQ935" s="23"/>
      <c r="AR935" s="35"/>
      <c r="AS935" s="35"/>
      <c r="AT935" s="35"/>
      <c r="AU935" s="31"/>
      <c r="AV935" s="36"/>
    </row>
    <row r="936" spans="4:48">
      <c r="D936" s="31"/>
      <c r="E936" s="31"/>
      <c r="F936" s="31"/>
      <c r="G936" s="31"/>
      <c r="H936" s="32"/>
      <c r="J936" s="33"/>
      <c r="K936" s="33"/>
      <c r="L936" s="33"/>
      <c r="X936" s="23"/>
      <c r="Y936" s="23"/>
      <c r="Z936" s="23"/>
      <c r="AA936" s="23"/>
      <c r="AF936" s="23"/>
      <c r="AG936" s="23"/>
      <c r="AH936" s="23"/>
      <c r="AI936" s="23"/>
      <c r="AN936" s="23"/>
      <c r="AO936" s="23"/>
      <c r="AP936" s="23"/>
      <c r="AQ936" s="23"/>
      <c r="AR936" s="35"/>
      <c r="AS936" s="35"/>
      <c r="AT936" s="35"/>
      <c r="AU936" s="31"/>
      <c r="AV936" s="36"/>
    </row>
    <row r="937" spans="4:48">
      <c r="D937" s="31"/>
      <c r="E937" s="31"/>
      <c r="F937" s="31"/>
      <c r="G937" s="31"/>
      <c r="H937" s="32"/>
      <c r="J937" s="33"/>
      <c r="K937" s="33"/>
      <c r="L937" s="33"/>
      <c r="X937" s="23"/>
      <c r="Y937" s="23"/>
      <c r="Z937" s="23"/>
      <c r="AA937" s="23"/>
      <c r="AF937" s="23"/>
      <c r="AG937" s="23"/>
      <c r="AH937" s="23"/>
      <c r="AI937" s="23"/>
      <c r="AN937" s="23"/>
      <c r="AO937" s="23"/>
      <c r="AP937" s="23"/>
      <c r="AQ937" s="23"/>
      <c r="AR937" s="35"/>
      <c r="AS937" s="35"/>
      <c r="AT937" s="35"/>
      <c r="AU937" s="31"/>
      <c r="AV937" s="36"/>
    </row>
    <row r="938" spans="4:48">
      <c r="D938" s="31"/>
      <c r="E938" s="31"/>
      <c r="F938" s="31"/>
      <c r="G938" s="31"/>
      <c r="H938" s="32"/>
      <c r="J938" s="33"/>
      <c r="K938" s="33"/>
      <c r="L938" s="33"/>
      <c r="X938" s="23"/>
      <c r="Y938" s="23"/>
      <c r="Z938" s="23"/>
      <c r="AA938" s="23"/>
      <c r="AF938" s="23"/>
      <c r="AG938" s="23"/>
      <c r="AH938" s="23"/>
      <c r="AI938" s="23"/>
      <c r="AN938" s="23"/>
      <c r="AO938" s="23"/>
      <c r="AP938" s="23"/>
      <c r="AQ938" s="23"/>
      <c r="AR938" s="35"/>
      <c r="AS938" s="35"/>
      <c r="AT938" s="35"/>
      <c r="AU938" s="31"/>
      <c r="AV938" s="36"/>
    </row>
    <row r="939" spans="4:48">
      <c r="D939" s="31"/>
      <c r="E939" s="31"/>
      <c r="F939" s="31"/>
      <c r="G939" s="31"/>
      <c r="H939" s="32"/>
      <c r="J939" s="33"/>
      <c r="K939" s="33"/>
      <c r="L939" s="33"/>
      <c r="X939" s="23"/>
      <c r="Y939" s="23"/>
      <c r="Z939" s="23"/>
      <c r="AA939" s="23"/>
      <c r="AF939" s="23"/>
      <c r="AG939" s="23"/>
      <c r="AH939" s="23"/>
      <c r="AI939" s="23"/>
      <c r="AN939" s="23"/>
      <c r="AO939" s="23"/>
      <c r="AP939" s="23"/>
      <c r="AQ939" s="23"/>
      <c r="AR939" s="35"/>
      <c r="AS939" s="35"/>
      <c r="AT939" s="35"/>
      <c r="AU939" s="31"/>
      <c r="AV939" s="36"/>
    </row>
    <row r="940" spans="4:48">
      <c r="D940" s="31"/>
      <c r="E940" s="31"/>
      <c r="F940" s="31"/>
      <c r="G940" s="31"/>
      <c r="H940" s="32"/>
      <c r="J940" s="33"/>
      <c r="K940" s="33"/>
      <c r="L940" s="33"/>
      <c r="X940" s="23"/>
      <c r="Y940" s="23"/>
      <c r="Z940" s="23"/>
      <c r="AA940" s="23"/>
      <c r="AF940" s="23"/>
      <c r="AG940" s="23"/>
      <c r="AH940" s="23"/>
      <c r="AI940" s="23"/>
      <c r="AN940" s="23"/>
      <c r="AO940" s="23"/>
      <c r="AP940" s="23"/>
      <c r="AQ940" s="23"/>
      <c r="AR940" s="35"/>
      <c r="AS940" s="35"/>
      <c r="AT940" s="35"/>
      <c r="AU940" s="31"/>
      <c r="AV940" s="36"/>
    </row>
    <row r="941" spans="4:48">
      <c r="D941" s="31"/>
      <c r="E941" s="31"/>
      <c r="F941" s="31"/>
      <c r="G941" s="31"/>
      <c r="H941" s="32"/>
      <c r="J941" s="33"/>
      <c r="K941" s="33"/>
      <c r="L941" s="33"/>
      <c r="X941" s="23"/>
      <c r="Y941" s="23"/>
      <c r="Z941" s="23"/>
      <c r="AA941" s="23"/>
      <c r="AF941" s="23"/>
      <c r="AG941" s="23"/>
      <c r="AH941" s="23"/>
      <c r="AI941" s="23"/>
      <c r="AN941" s="23"/>
      <c r="AO941" s="23"/>
      <c r="AP941" s="23"/>
      <c r="AQ941" s="23"/>
      <c r="AR941" s="35"/>
      <c r="AS941" s="35"/>
      <c r="AT941" s="35"/>
      <c r="AU941" s="31"/>
      <c r="AV941" s="36"/>
    </row>
    <row r="942" spans="4:48">
      <c r="D942" s="31"/>
      <c r="E942" s="31"/>
      <c r="F942" s="31"/>
      <c r="G942" s="31"/>
      <c r="H942" s="32"/>
      <c r="J942" s="33"/>
      <c r="K942" s="33"/>
      <c r="L942" s="33"/>
      <c r="X942" s="23"/>
      <c r="Y942" s="23"/>
      <c r="Z942" s="23"/>
      <c r="AA942" s="23"/>
      <c r="AF942" s="23"/>
      <c r="AG942" s="23"/>
      <c r="AH942" s="23"/>
      <c r="AI942" s="23"/>
      <c r="AN942" s="23"/>
      <c r="AO942" s="23"/>
      <c r="AP942" s="23"/>
      <c r="AQ942" s="23"/>
      <c r="AR942" s="35"/>
      <c r="AS942" s="35"/>
      <c r="AT942" s="35"/>
      <c r="AU942" s="31"/>
      <c r="AV942" s="36"/>
    </row>
    <row r="943" spans="4:48">
      <c r="D943" s="31"/>
      <c r="E943" s="31"/>
      <c r="F943" s="31"/>
      <c r="G943" s="31"/>
      <c r="H943" s="32"/>
      <c r="J943" s="33"/>
      <c r="K943" s="33"/>
      <c r="L943" s="33"/>
      <c r="X943" s="23"/>
      <c r="Y943" s="23"/>
      <c r="Z943" s="23"/>
      <c r="AA943" s="23"/>
      <c r="AF943" s="23"/>
      <c r="AG943" s="23"/>
      <c r="AH943" s="23"/>
      <c r="AI943" s="23"/>
      <c r="AN943" s="23"/>
      <c r="AO943" s="23"/>
      <c r="AP943" s="23"/>
      <c r="AQ943" s="23"/>
      <c r="AR943" s="35"/>
      <c r="AS943" s="35"/>
      <c r="AT943" s="35"/>
      <c r="AU943" s="31"/>
      <c r="AV943" s="36"/>
    </row>
    <row r="944" spans="4:48">
      <c r="D944" s="31"/>
      <c r="E944" s="31"/>
      <c r="F944" s="31"/>
      <c r="G944" s="31"/>
      <c r="H944" s="32"/>
      <c r="J944" s="33"/>
      <c r="K944" s="33"/>
      <c r="L944" s="33"/>
      <c r="X944" s="23"/>
      <c r="Y944" s="23"/>
      <c r="Z944" s="23"/>
      <c r="AA944" s="23"/>
      <c r="AF944" s="23"/>
      <c r="AG944" s="23"/>
      <c r="AH944" s="23"/>
      <c r="AI944" s="23"/>
      <c r="AN944" s="23"/>
      <c r="AO944" s="23"/>
      <c r="AP944" s="23"/>
      <c r="AQ944" s="23"/>
      <c r="AR944" s="35"/>
      <c r="AS944" s="35"/>
      <c r="AT944" s="35"/>
      <c r="AU944" s="31"/>
      <c r="AV944" s="36"/>
    </row>
    <row r="945" spans="4:48">
      <c r="D945" s="31"/>
      <c r="E945" s="31"/>
      <c r="F945" s="31"/>
      <c r="G945" s="31"/>
      <c r="H945" s="32"/>
      <c r="J945" s="33"/>
      <c r="K945" s="33"/>
      <c r="L945" s="33"/>
      <c r="X945" s="23"/>
      <c r="Y945" s="23"/>
      <c r="Z945" s="23"/>
      <c r="AA945" s="23"/>
      <c r="AF945" s="23"/>
      <c r="AG945" s="23"/>
      <c r="AH945" s="23"/>
      <c r="AI945" s="23"/>
      <c r="AN945" s="23"/>
      <c r="AO945" s="23"/>
      <c r="AP945" s="23"/>
      <c r="AQ945" s="23"/>
      <c r="AR945" s="35"/>
      <c r="AS945" s="35"/>
      <c r="AT945" s="35"/>
      <c r="AU945" s="31"/>
      <c r="AV945" s="36"/>
    </row>
    <row r="946" spans="4:48">
      <c r="D946" s="31"/>
      <c r="E946" s="31"/>
      <c r="F946" s="31"/>
      <c r="G946" s="31"/>
      <c r="H946" s="32"/>
      <c r="J946" s="33"/>
      <c r="K946" s="33"/>
      <c r="L946" s="33"/>
      <c r="X946" s="23"/>
      <c r="Y946" s="23"/>
      <c r="Z946" s="23"/>
      <c r="AA946" s="23"/>
      <c r="AF946" s="23"/>
      <c r="AG946" s="23"/>
      <c r="AH946" s="23"/>
      <c r="AI946" s="23"/>
      <c r="AN946" s="23"/>
      <c r="AO946" s="23"/>
      <c r="AP946" s="23"/>
      <c r="AQ946" s="23"/>
      <c r="AR946" s="35"/>
      <c r="AS946" s="35"/>
      <c r="AT946" s="35"/>
      <c r="AU946" s="31"/>
      <c r="AV946" s="36"/>
    </row>
    <row r="947" spans="4:48">
      <c r="D947" s="31"/>
      <c r="E947" s="31"/>
      <c r="F947" s="31"/>
      <c r="G947" s="31"/>
      <c r="H947" s="32"/>
      <c r="J947" s="33"/>
      <c r="K947" s="33"/>
      <c r="L947" s="33"/>
      <c r="X947" s="23"/>
      <c r="Y947" s="23"/>
      <c r="Z947" s="23"/>
      <c r="AA947" s="23"/>
      <c r="AF947" s="23"/>
      <c r="AG947" s="23"/>
      <c r="AH947" s="23"/>
      <c r="AI947" s="23"/>
      <c r="AN947" s="23"/>
      <c r="AO947" s="23"/>
      <c r="AP947" s="23"/>
      <c r="AQ947" s="23"/>
      <c r="AR947" s="35"/>
      <c r="AS947" s="35"/>
      <c r="AT947" s="35"/>
      <c r="AU947" s="31"/>
      <c r="AV947" s="36"/>
    </row>
    <row r="948" spans="4:48">
      <c r="D948" s="31"/>
      <c r="E948" s="31"/>
      <c r="F948" s="31"/>
      <c r="G948" s="31"/>
      <c r="H948" s="32"/>
      <c r="J948" s="33"/>
      <c r="K948" s="33"/>
      <c r="L948" s="33"/>
      <c r="X948" s="23"/>
      <c r="Y948" s="23"/>
      <c r="Z948" s="23"/>
      <c r="AA948" s="23"/>
      <c r="AF948" s="23"/>
      <c r="AG948" s="23"/>
      <c r="AH948" s="23"/>
      <c r="AI948" s="23"/>
      <c r="AN948" s="23"/>
      <c r="AO948" s="23"/>
      <c r="AP948" s="23"/>
      <c r="AQ948" s="23"/>
      <c r="AR948" s="35"/>
      <c r="AS948" s="35"/>
      <c r="AT948" s="35"/>
      <c r="AU948" s="31"/>
      <c r="AV948" s="36"/>
    </row>
    <row r="949" spans="4:48">
      <c r="D949" s="31"/>
      <c r="E949" s="31"/>
      <c r="F949" s="31"/>
      <c r="G949" s="31"/>
      <c r="H949" s="32"/>
      <c r="J949" s="33"/>
      <c r="K949" s="33"/>
      <c r="L949" s="33"/>
      <c r="X949" s="23"/>
      <c r="Y949" s="23"/>
      <c r="Z949" s="23"/>
      <c r="AA949" s="23"/>
      <c r="AF949" s="23"/>
      <c r="AG949" s="23"/>
      <c r="AH949" s="23"/>
      <c r="AI949" s="23"/>
      <c r="AN949" s="23"/>
      <c r="AO949" s="23"/>
      <c r="AP949" s="23"/>
      <c r="AQ949" s="23"/>
      <c r="AR949" s="35"/>
      <c r="AS949" s="35"/>
      <c r="AT949" s="35"/>
      <c r="AU949" s="31"/>
      <c r="AV949" s="36"/>
    </row>
    <row r="950" spans="4:48">
      <c r="D950" s="31"/>
      <c r="E950" s="31"/>
      <c r="F950" s="31"/>
      <c r="G950" s="31"/>
      <c r="H950" s="32"/>
      <c r="J950" s="33"/>
      <c r="K950" s="33"/>
      <c r="L950" s="33"/>
      <c r="X950" s="23"/>
      <c r="Y950" s="23"/>
      <c r="Z950" s="23"/>
      <c r="AA950" s="23"/>
      <c r="AF950" s="23"/>
      <c r="AG950" s="23"/>
      <c r="AH950" s="23"/>
      <c r="AI950" s="23"/>
      <c r="AN950" s="23"/>
      <c r="AO950" s="23"/>
      <c r="AP950" s="23"/>
      <c r="AQ950" s="23"/>
      <c r="AR950" s="35"/>
      <c r="AS950" s="35"/>
      <c r="AT950" s="35"/>
      <c r="AU950" s="31"/>
      <c r="AV950" s="36"/>
    </row>
    <row r="951" spans="4:48">
      <c r="D951" s="31"/>
      <c r="E951" s="31"/>
      <c r="F951" s="31"/>
      <c r="G951" s="31"/>
      <c r="H951" s="32"/>
      <c r="J951" s="33"/>
      <c r="K951" s="33"/>
      <c r="L951" s="33"/>
      <c r="X951" s="23"/>
      <c r="Y951" s="23"/>
      <c r="Z951" s="23"/>
      <c r="AA951" s="23"/>
      <c r="AF951" s="23"/>
      <c r="AG951" s="23"/>
      <c r="AH951" s="23"/>
      <c r="AI951" s="23"/>
      <c r="AN951" s="23"/>
      <c r="AO951" s="23"/>
      <c r="AP951" s="23"/>
      <c r="AQ951" s="23"/>
      <c r="AR951" s="35"/>
      <c r="AS951" s="35"/>
      <c r="AT951" s="35"/>
      <c r="AU951" s="31"/>
      <c r="AV951" s="36"/>
    </row>
    <row r="952" spans="4:48">
      <c r="D952" s="31"/>
      <c r="E952" s="31"/>
      <c r="F952" s="31"/>
      <c r="G952" s="31"/>
      <c r="H952" s="32"/>
      <c r="J952" s="33"/>
      <c r="K952" s="33"/>
      <c r="L952" s="33"/>
      <c r="X952" s="23"/>
      <c r="Y952" s="23"/>
      <c r="Z952" s="23"/>
      <c r="AA952" s="23"/>
      <c r="AF952" s="23"/>
      <c r="AG952" s="23"/>
      <c r="AH952" s="23"/>
      <c r="AI952" s="23"/>
      <c r="AN952" s="23"/>
      <c r="AO952" s="23"/>
      <c r="AP952" s="23"/>
      <c r="AQ952" s="23"/>
      <c r="AR952" s="35"/>
      <c r="AS952" s="35"/>
      <c r="AT952" s="35"/>
      <c r="AU952" s="31"/>
      <c r="AV952" s="36"/>
    </row>
    <row r="953" spans="4:48">
      <c r="D953" s="31"/>
      <c r="E953" s="31"/>
      <c r="F953" s="31"/>
      <c r="G953" s="31"/>
      <c r="H953" s="32"/>
      <c r="J953" s="33"/>
      <c r="K953" s="33"/>
      <c r="L953" s="33"/>
      <c r="X953" s="23"/>
      <c r="Y953" s="23"/>
      <c r="Z953" s="23"/>
      <c r="AA953" s="23"/>
      <c r="AF953" s="23"/>
      <c r="AG953" s="23"/>
      <c r="AH953" s="23"/>
      <c r="AI953" s="23"/>
      <c r="AN953" s="23"/>
      <c r="AO953" s="23"/>
      <c r="AP953" s="23"/>
      <c r="AQ953" s="23"/>
      <c r="AR953" s="35"/>
      <c r="AS953" s="35"/>
      <c r="AT953" s="35"/>
      <c r="AU953" s="31"/>
      <c r="AV953" s="36"/>
    </row>
    <row r="954" spans="4:48">
      <c r="D954" s="31"/>
      <c r="E954" s="31"/>
      <c r="F954" s="31"/>
      <c r="G954" s="31"/>
      <c r="H954" s="32"/>
      <c r="J954" s="33"/>
      <c r="K954" s="33"/>
      <c r="L954" s="33"/>
      <c r="X954" s="23"/>
      <c r="Y954" s="23"/>
      <c r="Z954" s="23"/>
      <c r="AA954" s="23"/>
      <c r="AF954" s="23"/>
      <c r="AG954" s="23"/>
      <c r="AH954" s="23"/>
      <c r="AI954" s="23"/>
      <c r="AN954" s="23"/>
      <c r="AO954" s="23"/>
      <c r="AP954" s="23"/>
      <c r="AQ954" s="23"/>
      <c r="AR954" s="35"/>
      <c r="AS954" s="35"/>
      <c r="AT954" s="35"/>
      <c r="AU954" s="31"/>
      <c r="AV954" s="36"/>
    </row>
    <row r="955" spans="4:48">
      <c r="D955" s="31"/>
      <c r="E955" s="31"/>
      <c r="F955" s="31"/>
      <c r="G955" s="31"/>
      <c r="H955" s="32"/>
      <c r="J955" s="33"/>
      <c r="K955" s="33"/>
      <c r="L955" s="33"/>
      <c r="X955" s="23"/>
      <c r="Y955" s="23"/>
      <c r="Z955" s="23"/>
      <c r="AA955" s="23"/>
      <c r="AF955" s="23"/>
      <c r="AG955" s="23"/>
      <c r="AH955" s="23"/>
      <c r="AI955" s="23"/>
      <c r="AN955" s="23"/>
      <c r="AO955" s="23"/>
      <c r="AP955" s="23"/>
      <c r="AQ955" s="23"/>
      <c r="AR955" s="35"/>
      <c r="AS955" s="35"/>
      <c r="AT955" s="35"/>
      <c r="AU955" s="31"/>
      <c r="AV955" s="36"/>
    </row>
    <row r="956" spans="4:48">
      <c r="D956" s="31"/>
      <c r="E956" s="31"/>
      <c r="F956" s="31"/>
      <c r="G956" s="31"/>
      <c r="H956" s="32"/>
      <c r="J956" s="33"/>
      <c r="K956" s="33"/>
      <c r="L956" s="33"/>
      <c r="X956" s="23"/>
      <c r="Y956" s="23"/>
      <c r="Z956" s="23"/>
      <c r="AA956" s="23"/>
      <c r="AF956" s="23"/>
      <c r="AG956" s="23"/>
      <c r="AH956" s="23"/>
      <c r="AI956" s="23"/>
      <c r="AN956" s="23"/>
      <c r="AO956" s="23"/>
      <c r="AP956" s="23"/>
      <c r="AQ956" s="23"/>
      <c r="AR956" s="35"/>
      <c r="AS956" s="35"/>
      <c r="AT956" s="35"/>
      <c r="AU956" s="31"/>
      <c r="AV956" s="36"/>
    </row>
    <row r="957" spans="4:48">
      <c r="D957" s="31"/>
      <c r="E957" s="31"/>
      <c r="F957" s="31"/>
      <c r="G957" s="31"/>
      <c r="H957" s="32"/>
      <c r="J957" s="33"/>
      <c r="K957" s="33"/>
      <c r="L957" s="33"/>
      <c r="X957" s="23"/>
      <c r="Y957" s="23"/>
      <c r="Z957" s="23"/>
      <c r="AA957" s="23"/>
      <c r="AF957" s="23"/>
      <c r="AG957" s="23"/>
      <c r="AH957" s="23"/>
      <c r="AI957" s="23"/>
      <c r="AN957" s="23"/>
      <c r="AO957" s="23"/>
      <c r="AP957" s="23"/>
      <c r="AQ957" s="23"/>
      <c r="AR957" s="35"/>
      <c r="AS957" s="35"/>
      <c r="AT957" s="35"/>
      <c r="AU957" s="31"/>
      <c r="AV957" s="36"/>
    </row>
    <row r="958" spans="4:48">
      <c r="D958" s="31"/>
      <c r="E958" s="31"/>
      <c r="F958" s="31"/>
      <c r="G958" s="31"/>
      <c r="H958" s="32"/>
      <c r="J958" s="33"/>
      <c r="K958" s="33"/>
      <c r="L958" s="33"/>
      <c r="X958" s="23"/>
      <c r="Y958" s="23"/>
      <c r="Z958" s="23"/>
      <c r="AA958" s="23"/>
      <c r="AF958" s="23"/>
      <c r="AG958" s="23"/>
      <c r="AH958" s="23"/>
      <c r="AI958" s="23"/>
      <c r="AN958" s="23"/>
      <c r="AO958" s="23"/>
      <c r="AP958" s="23"/>
      <c r="AQ958" s="23"/>
      <c r="AR958" s="35"/>
      <c r="AS958" s="35"/>
      <c r="AT958" s="35"/>
      <c r="AU958" s="31"/>
      <c r="AV958" s="36"/>
    </row>
    <row r="959" spans="4:48">
      <c r="D959" s="31"/>
      <c r="E959" s="31"/>
      <c r="F959" s="31"/>
      <c r="G959" s="31"/>
      <c r="H959" s="32"/>
      <c r="J959" s="33"/>
      <c r="K959" s="33"/>
      <c r="L959" s="33"/>
      <c r="X959" s="23"/>
      <c r="Y959" s="23"/>
      <c r="Z959" s="23"/>
      <c r="AA959" s="23"/>
      <c r="AF959" s="23"/>
      <c r="AG959" s="23"/>
      <c r="AH959" s="23"/>
      <c r="AI959" s="23"/>
      <c r="AN959" s="23"/>
      <c r="AO959" s="23"/>
      <c r="AP959" s="23"/>
      <c r="AQ959" s="23"/>
      <c r="AR959" s="35"/>
      <c r="AS959" s="35"/>
      <c r="AT959" s="35"/>
      <c r="AU959" s="31"/>
      <c r="AV959" s="36"/>
    </row>
    <row r="960" spans="4:48">
      <c r="D960" s="31"/>
      <c r="E960" s="31"/>
      <c r="F960" s="31"/>
      <c r="G960" s="31"/>
      <c r="H960" s="32"/>
      <c r="J960" s="33"/>
      <c r="K960" s="33"/>
      <c r="L960" s="33"/>
      <c r="X960" s="23"/>
      <c r="Y960" s="23"/>
      <c r="Z960" s="23"/>
      <c r="AA960" s="23"/>
      <c r="AF960" s="23"/>
      <c r="AG960" s="23"/>
      <c r="AH960" s="23"/>
      <c r="AI960" s="23"/>
      <c r="AN960" s="23"/>
      <c r="AO960" s="23"/>
      <c r="AP960" s="23"/>
      <c r="AQ960" s="23"/>
      <c r="AR960" s="35"/>
      <c r="AS960" s="35"/>
      <c r="AT960" s="35"/>
      <c r="AU960" s="31"/>
      <c r="AV960" s="36"/>
    </row>
    <row r="961" spans="4:48">
      <c r="D961" s="31"/>
      <c r="E961" s="31"/>
      <c r="F961" s="31"/>
      <c r="G961" s="31"/>
      <c r="H961" s="32"/>
      <c r="J961" s="33"/>
      <c r="K961" s="33"/>
      <c r="L961" s="33"/>
      <c r="X961" s="23"/>
      <c r="Y961" s="23"/>
      <c r="Z961" s="23"/>
      <c r="AA961" s="23"/>
      <c r="AF961" s="23"/>
      <c r="AG961" s="23"/>
      <c r="AH961" s="23"/>
      <c r="AI961" s="23"/>
      <c r="AN961" s="23"/>
      <c r="AO961" s="23"/>
      <c r="AP961" s="23"/>
      <c r="AQ961" s="23"/>
      <c r="AR961" s="35"/>
      <c r="AS961" s="35"/>
      <c r="AT961" s="35"/>
      <c r="AU961" s="31"/>
      <c r="AV961" s="36"/>
    </row>
    <row r="962" spans="4:48">
      <c r="D962" s="31"/>
      <c r="E962" s="31"/>
      <c r="F962" s="31"/>
      <c r="G962" s="31"/>
      <c r="H962" s="32"/>
      <c r="J962" s="33"/>
      <c r="K962" s="33"/>
      <c r="L962" s="33"/>
      <c r="X962" s="23"/>
      <c r="Y962" s="23"/>
      <c r="Z962" s="23"/>
      <c r="AA962" s="23"/>
      <c r="AF962" s="23"/>
      <c r="AG962" s="23"/>
      <c r="AH962" s="23"/>
      <c r="AI962" s="23"/>
      <c r="AN962" s="23"/>
      <c r="AO962" s="23"/>
      <c r="AP962" s="23"/>
      <c r="AQ962" s="23"/>
      <c r="AR962" s="35"/>
      <c r="AS962" s="35"/>
      <c r="AT962" s="35"/>
      <c r="AU962" s="31"/>
      <c r="AV962" s="36"/>
    </row>
    <row r="963" spans="4:48">
      <c r="D963" s="31"/>
      <c r="E963" s="31"/>
      <c r="F963" s="31"/>
      <c r="G963" s="31"/>
      <c r="H963" s="32"/>
      <c r="J963" s="33"/>
      <c r="K963" s="33"/>
      <c r="L963" s="33"/>
      <c r="X963" s="23"/>
      <c r="Y963" s="23"/>
      <c r="Z963" s="23"/>
      <c r="AA963" s="23"/>
      <c r="AF963" s="23"/>
      <c r="AG963" s="23"/>
      <c r="AH963" s="23"/>
      <c r="AI963" s="23"/>
      <c r="AN963" s="23"/>
      <c r="AO963" s="23"/>
      <c r="AP963" s="23"/>
      <c r="AQ963" s="23"/>
      <c r="AR963" s="35"/>
      <c r="AS963" s="35"/>
      <c r="AT963" s="35"/>
      <c r="AU963" s="31"/>
      <c r="AV963" s="36"/>
    </row>
    <row r="964" spans="4:48">
      <c r="D964" s="31"/>
      <c r="E964" s="31"/>
      <c r="F964" s="31"/>
      <c r="G964" s="31"/>
      <c r="H964" s="32"/>
      <c r="J964" s="33"/>
      <c r="K964" s="33"/>
      <c r="L964" s="33"/>
      <c r="X964" s="23"/>
      <c r="Y964" s="23"/>
      <c r="Z964" s="23"/>
      <c r="AA964" s="23"/>
      <c r="AF964" s="23"/>
      <c r="AG964" s="23"/>
      <c r="AH964" s="23"/>
      <c r="AI964" s="23"/>
      <c r="AN964" s="23"/>
      <c r="AO964" s="23"/>
      <c r="AP964" s="23"/>
      <c r="AQ964" s="23"/>
      <c r="AR964" s="35"/>
      <c r="AS964" s="35"/>
      <c r="AT964" s="35"/>
      <c r="AU964" s="31"/>
      <c r="AV964" s="36"/>
    </row>
    <row r="965" spans="4:48">
      <c r="D965" s="31"/>
      <c r="E965" s="31"/>
      <c r="F965" s="31"/>
      <c r="G965" s="31"/>
      <c r="H965" s="32"/>
      <c r="J965" s="33"/>
      <c r="K965" s="33"/>
      <c r="L965" s="33"/>
      <c r="X965" s="23"/>
      <c r="Y965" s="23"/>
      <c r="Z965" s="23"/>
      <c r="AA965" s="23"/>
      <c r="AF965" s="23"/>
      <c r="AG965" s="23"/>
      <c r="AH965" s="23"/>
      <c r="AI965" s="23"/>
      <c r="AN965" s="23"/>
      <c r="AO965" s="23"/>
      <c r="AP965" s="23"/>
      <c r="AQ965" s="23"/>
      <c r="AR965" s="35"/>
      <c r="AS965" s="35"/>
      <c r="AT965" s="35"/>
      <c r="AU965" s="31"/>
      <c r="AV965" s="36"/>
    </row>
    <row r="966" spans="4:48">
      <c r="D966" s="31"/>
      <c r="E966" s="31"/>
      <c r="F966" s="31"/>
      <c r="G966" s="31"/>
      <c r="H966" s="32"/>
      <c r="J966" s="33"/>
      <c r="K966" s="33"/>
      <c r="L966" s="33"/>
      <c r="X966" s="23"/>
      <c r="Y966" s="23"/>
      <c r="Z966" s="23"/>
      <c r="AA966" s="23"/>
      <c r="AF966" s="23"/>
      <c r="AG966" s="23"/>
      <c r="AH966" s="23"/>
      <c r="AI966" s="23"/>
      <c r="AN966" s="23"/>
      <c r="AO966" s="23"/>
      <c r="AP966" s="23"/>
      <c r="AQ966" s="23"/>
      <c r="AR966" s="35"/>
      <c r="AS966" s="35"/>
      <c r="AT966" s="35"/>
      <c r="AU966" s="31"/>
      <c r="AV966" s="36"/>
    </row>
    <row r="967" spans="4:48">
      <c r="D967" s="31"/>
      <c r="E967" s="31"/>
      <c r="F967" s="31"/>
      <c r="G967" s="31"/>
      <c r="H967" s="32"/>
      <c r="J967" s="33"/>
      <c r="K967" s="33"/>
      <c r="L967" s="33"/>
      <c r="X967" s="23"/>
      <c r="Y967" s="23"/>
      <c r="Z967" s="23"/>
      <c r="AA967" s="23"/>
      <c r="AF967" s="23"/>
      <c r="AG967" s="23"/>
      <c r="AH967" s="23"/>
      <c r="AI967" s="23"/>
      <c r="AN967" s="23"/>
      <c r="AO967" s="23"/>
      <c r="AP967" s="23"/>
      <c r="AQ967" s="23"/>
      <c r="AR967" s="35"/>
      <c r="AS967" s="35"/>
      <c r="AT967" s="35"/>
      <c r="AU967" s="31"/>
      <c r="AV967" s="36"/>
    </row>
    <row r="968" spans="4:48">
      <c r="D968" s="31"/>
      <c r="E968" s="31"/>
      <c r="F968" s="31"/>
      <c r="G968" s="31"/>
      <c r="H968" s="32"/>
      <c r="J968" s="33"/>
      <c r="K968" s="33"/>
      <c r="L968" s="33"/>
      <c r="X968" s="23"/>
      <c r="Y968" s="23"/>
      <c r="Z968" s="23"/>
      <c r="AA968" s="23"/>
      <c r="AF968" s="23"/>
      <c r="AG968" s="23"/>
      <c r="AH968" s="23"/>
      <c r="AI968" s="23"/>
      <c r="AN968" s="23"/>
      <c r="AO968" s="23"/>
      <c r="AP968" s="23"/>
      <c r="AQ968" s="23"/>
      <c r="AR968" s="35"/>
      <c r="AS968" s="35"/>
      <c r="AT968" s="35"/>
      <c r="AU968" s="31"/>
      <c r="AV968" s="36"/>
    </row>
    <row r="969" spans="4:48">
      <c r="D969" s="31"/>
      <c r="E969" s="31"/>
      <c r="F969" s="31"/>
      <c r="G969" s="31"/>
      <c r="H969" s="32"/>
      <c r="J969" s="33"/>
      <c r="K969" s="33"/>
      <c r="L969" s="33"/>
      <c r="X969" s="23"/>
      <c r="Y969" s="23"/>
      <c r="Z969" s="23"/>
      <c r="AA969" s="23"/>
      <c r="AF969" s="23"/>
      <c r="AG969" s="23"/>
      <c r="AH969" s="23"/>
      <c r="AI969" s="23"/>
      <c r="AN969" s="23"/>
      <c r="AO969" s="23"/>
      <c r="AP969" s="23"/>
      <c r="AQ969" s="23"/>
      <c r="AR969" s="35"/>
      <c r="AS969" s="35"/>
      <c r="AT969" s="35"/>
      <c r="AU969" s="31"/>
      <c r="AV969" s="36"/>
    </row>
    <row r="970" spans="4:48">
      <c r="D970" s="31"/>
      <c r="E970" s="31"/>
      <c r="F970" s="31"/>
      <c r="G970" s="31"/>
      <c r="H970" s="32"/>
      <c r="J970" s="33"/>
      <c r="K970" s="33"/>
      <c r="L970" s="33"/>
      <c r="X970" s="23"/>
      <c r="Y970" s="23"/>
      <c r="Z970" s="23"/>
      <c r="AA970" s="23"/>
      <c r="AF970" s="23"/>
      <c r="AG970" s="23"/>
      <c r="AH970" s="23"/>
      <c r="AI970" s="23"/>
      <c r="AN970" s="23"/>
      <c r="AO970" s="23"/>
      <c r="AP970" s="23"/>
      <c r="AQ970" s="23"/>
      <c r="AR970" s="35"/>
      <c r="AS970" s="35"/>
      <c r="AT970" s="35"/>
      <c r="AU970" s="31"/>
      <c r="AV970" s="36"/>
    </row>
    <row r="971" spans="4:48">
      <c r="D971" s="31"/>
      <c r="E971" s="31"/>
      <c r="F971" s="31"/>
      <c r="G971" s="31"/>
      <c r="H971" s="32"/>
      <c r="J971" s="33"/>
      <c r="K971" s="33"/>
      <c r="L971" s="33"/>
      <c r="X971" s="23"/>
      <c r="Y971" s="23"/>
      <c r="Z971" s="23"/>
      <c r="AA971" s="23"/>
      <c r="AF971" s="23"/>
      <c r="AG971" s="23"/>
      <c r="AH971" s="23"/>
      <c r="AI971" s="23"/>
      <c r="AN971" s="23"/>
      <c r="AO971" s="23"/>
      <c r="AP971" s="23"/>
      <c r="AQ971" s="23"/>
      <c r="AR971" s="35"/>
      <c r="AS971" s="35"/>
      <c r="AT971" s="35"/>
      <c r="AU971" s="31"/>
      <c r="AV971" s="36"/>
    </row>
    <row r="972" spans="4:48">
      <c r="D972" s="31"/>
      <c r="E972" s="31"/>
      <c r="F972" s="31"/>
      <c r="G972" s="31"/>
      <c r="H972" s="32"/>
      <c r="J972" s="33"/>
      <c r="K972" s="33"/>
      <c r="L972" s="33"/>
      <c r="X972" s="23"/>
      <c r="Y972" s="23"/>
      <c r="Z972" s="23"/>
      <c r="AA972" s="23"/>
      <c r="AF972" s="23"/>
      <c r="AG972" s="23"/>
      <c r="AH972" s="23"/>
      <c r="AI972" s="23"/>
      <c r="AN972" s="23"/>
      <c r="AO972" s="23"/>
      <c r="AP972" s="23"/>
      <c r="AQ972" s="23"/>
      <c r="AR972" s="35"/>
      <c r="AS972" s="35"/>
      <c r="AT972" s="35"/>
      <c r="AU972" s="31"/>
      <c r="AV972" s="36"/>
    </row>
    <row r="973" spans="4:48">
      <c r="D973" s="31"/>
      <c r="E973" s="31"/>
      <c r="F973" s="31"/>
      <c r="G973" s="31"/>
      <c r="H973" s="32"/>
      <c r="J973" s="33"/>
      <c r="K973" s="33"/>
      <c r="L973" s="33"/>
      <c r="X973" s="23"/>
      <c r="Y973" s="23"/>
      <c r="Z973" s="23"/>
      <c r="AA973" s="23"/>
      <c r="AF973" s="23"/>
      <c r="AG973" s="23"/>
      <c r="AH973" s="23"/>
      <c r="AI973" s="23"/>
      <c r="AN973" s="23"/>
      <c r="AO973" s="23"/>
      <c r="AP973" s="23"/>
      <c r="AQ973" s="23"/>
      <c r="AR973" s="35"/>
      <c r="AS973" s="35"/>
      <c r="AT973" s="35"/>
      <c r="AU973" s="31"/>
      <c r="AV973" s="36"/>
    </row>
    <row r="974" spans="4:48">
      <c r="D974" s="31"/>
      <c r="E974" s="31"/>
      <c r="F974" s="31"/>
      <c r="G974" s="31"/>
      <c r="H974" s="32"/>
      <c r="J974" s="33"/>
      <c r="K974" s="33"/>
      <c r="L974" s="33"/>
      <c r="X974" s="23"/>
      <c r="Y974" s="23"/>
      <c r="Z974" s="23"/>
      <c r="AA974" s="23"/>
      <c r="AF974" s="23"/>
      <c r="AG974" s="23"/>
      <c r="AH974" s="23"/>
      <c r="AI974" s="23"/>
      <c r="AN974" s="23"/>
      <c r="AO974" s="23"/>
      <c r="AP974" s="23"/>
      <c r="AQ974" s="23"/>
      <c r="AR974" s="35"/>
      <c r="AS974" s="35"/>
      <c r="AT974" s="35"/>
      <c r="AU974" s="31"/>
      <c r="AV974" s="36"/>
    </row>
    <row r="975" spans="4:48">
      <c r="D975" s="31"/>
      <c r="E975" s="31"/>
      <c r="F975" s="31"/>
      <c r="G975" s="31"/>
      <c r="H975" s="32"/>
      <c r="J975" s="33"/>
      <c r="K975" s="33"/>
      <c r="L975" s="33"/>
      <c r="X975" s="23"/>
      <c r="Y975" s="23"/>
      <c r="Z975" s="23"/>
      <c r="AA975" s="23"/>
      <c r="AF975" s="23"/>
      <c r="AG975" s="23"/>
      <c r="AH975" s="23"/>
      <c r="AI975" s="23"/>
      <c r="AN975" s="23"/>
      <c r="AO975" s="23"/>
      <c r="AP975" s="23"/>
      <c r="AQ975" s="23"/>
      <c r="AR975" s="35"/>
      <c r="AS975" s="35"/>
      <c r="AT975" s="35"/>
      <c r="AU975" s="31"/>
      <c r="AV975" s="36"/>
    </row>
    <row r="976" spans="4:48">
      <c r="D976" s="31"/>
      <c r="E976" s="31"/>
      <c r="F976" s="31"/>
      <c r="G976" s="31"/>
      <c r="H976" s="32"/>
      <c r="J976" s="33"/>
      <c r="K976" s="33"/>
      <c r="L976" s="33"/>
      <c r="X976" s="23"/>
      <c r="Y976" s="23"/>
      <c r="Z976" s="23"/>
      <c r="AA976" s="23"/>
      <c r="AF976" s="23"/>
      <c r="AG976" s="23"/>
      <c r="AH976" s="23"/>
      <c r="AI976" s="23"/>
      <c r="AN976" s="23"/>
      <c r="AO976" s="23"/>
      <c r="AP976" s="23"/>
      <c r="AQ976" s="23"/>
      <c r="AR976" s="35"/>
      <c r="AS976" s="35"/>
      <c r="AT976" s="35"/>
      <c r="AU976" s="31"/>
      <c r="AV976" s="36"/>
    </row>
    <row r="977" spans="4:48">
      <c r="D977" s="31"/>
      <c r="E977" s="31"/>
      <c r="F977" s="31"/>
      <c r="G977" s="31"/>
      <c r="H977" s="32"/>
      <c r="J977" s="33"/>
      <c r="K977" s="33"/>
      <c r="L977" s="33"/>
      <c r="X977" s="23"/>
      <c r="Y977" s="23"/>
      <c r="Z977" s="23"/>
      <c r="AA977" s="23"/>
      <c r="AF977" s="23"/>
      <c r="AG977" s="23"/>
      <c r="AH977" s="23"/>
      <c r="AI977" s="23"/>
      <c r="AN977" s="23"/>
      <c r="AO977" s="23"/>
      <c r="AP977" s="23"/>
      <c r="AQ977" s="23"/>
      <c r="AR977" s="35"/>
      <c r="AS977" s="35"/>
      <c r="AT977" s="35"/>
      <c r="AU977" s="31"/>
      <c r="AV977" s="36"/>
    </row>
    <row r="978" spans="4:48">
      <c r="D978" s="31"/>
      <c r="E978" s="31"/>
      <c r="F978" s="31"/>
      <c r="G978" s="31"/>
      <c r="H978" s="32"/>
      <c r="J978" s="33"/>
      <c r="K978" s="33"/>
      <c r="L978" s="33"/>
      <c r="X978" s="23"/>
      <c r="Y978" s="23"/>
      <c r="Z978" s="23"/>
      <c r="AA978" s="23"/>
      <c r="AF978" s="23"/>
      <c r="AG978" s="23"/>
      <c r="AH978" s="23"/>
      <c r="AI978" s="23"/>
      <c r="AN978" s="23"/>
      <c r="AO978" s="23"/>
      <c r="AP978" s="23"/>
      <c r="AQ978" s="23"/>
      <c r="AR978" s="35"/>
      <c r="AS978" s="35"/>
      <c r="AT978" s="35"/>
      <c r="AU978" s="31"/>
      <c r="AV978" s="36"/>
    </row>
    <row r="979" spans="4:48">
      <c r="D979" s="31"/>
      <c r="E979" s="31"/>
      <c r="F979" s="31"/>
      <c r="G979" s="31"/>
      <c r="H979" s="32"/>
      <c r="J979" s="33"/>
      <c r="K979" s="33"/>
      <c r="L979" s="33"/>
      <c r="X979" s="23"/>
      <c r="Y979" s="23"/>
      <c r="Z979" s="23"/>
      <c r="AA979" s="23"/>
      <c r="AF979" s="23"/>
      <c r="AG979" s="23"/>
      <c r="AH979" s="23"/>
      <c r="AI979" s="23"/>
      <c r="AN979" s="23"/>
      <c r="AO979" s="23"/>
      <c r="AP979" s="23"/>
      <c r="AQ979" s="23"/>
      <c r="AR979" s="35"/>
      <c r="AS979" s="35"/>
      <c r="AT979" s="35"/>
      <c r="AU979" s="31"/>
      <c r="AV979" s="36"/>
    </row>
    <row r="980" spans="4:48">
      <c r="D980" s="31"/>
      <c r="E980" s="31"/>
      <c r="F980" s="31"/>
      <c r="G980" s="31"/>
      <c r="H980" s="32"/>
      <c r="J980" s="33"/>
      <c r="K980" s="33"/>
      <c r="L980" s="33"/>
      <c r="X980" s="23"/>
      <c r="Y980" s="23"/>
      <c r="Z980" s="23"/>
      <c r="AA980" s="23"/>
      <c r="AF980" s="23"/>
      <c r="AG980" s="23"/>
      <c r="AH980" s="23"/>
      <c r="AI980" s="23"/>
      <c r="AN980" s="23"/>
      <c r="AO980" s="23"/>
      <c r="AP980" s="23"/>
      <c r="AQ980" s="23"/>
      <c r="AR980" s="35"/>
      <c r="AS980" s="35"/>
      <c r="AT980" s="35"/>
      <c r="AU980" s="31"/>
      <c r="AV980" s="36"/>
    </row>
    <row r="981" spans="4:48">
      <c r="D981" s="31"/>
      <c r="E981" s="31"/>
      <c r="F981" s="31"/>
      <c r="G981" s="31"/>
      <c r="H981" s="32"/>
      <c r="J981" s="33"/>
      <c r="K981" s="33"/>
      <c r="L981" s="33"/>
      <c r="X981" s="23"/>
      <c r="Y981" s="23"/>
      <c r="Z981" s="23"/>
      <c r="AA981" s="23"/>
      <c r="AF981" s="23"/>
      <c r="AG981" s="23"/>
      <c r="AH981" s="23"/>
      <c r="AI981" s="23"/>
      <c r="AN981" s="23"/>
      <c r="AO981" s="23"/>
      <c r="AP981" s="23"/>
      <c r="AQ981" s="23"/>
      <c r="AR981" s="35"/>
      <c r="AS981" s="35"/>
      <c r="AT981" s="35"/>
      <c r="AU981" s="31"/>
      <c r="AV981" s="36"/>
    </row>
    <row r="982" spans="4:48">
      <c r="D982" s="31"/>
      <c r="E982" s="31"/>
      <c r="F982" s="31"/>
      <c r="G982" s="31"/>
      <c r="H982" s="32"/>
      <c r="J982" s="33"/>
      <c r="K982" s="33"/>
      <c r="L982" s="33"/>
      <c r="X982" s="23"/>
      <c r="Y982" s="23"/>
      <c r="Z982" s="23"/>
      <c r="AA982" s="23"/>
      <c r="AF982" s="23"/>
      <c r="AG982" s="23"/>
      <c r="AH982" s="23"/>
      <c r="AI982" s="23"/>
      <c r="AN982" s="23"/>
      <c r="AO982" s="23"/>
      <c r="AP982" s="23"/>
      <c r="AQ982" s="23"/>
      <c r="AR982" s="35"/>
      <c r="AS982" s="35"/>
      <c r="AT982" s="35"/>
      <c r="AU982" s="31"/>
      <c r="AV982" s="36"/>
    </row>
    <row r="983" spans="4:48">
      <c r="D983" s="31"/>
      <c r="E983" s="31"/>
      <c r="F983" s="31"/>
      <c r="G983" s="31"/>
      <c r="H983" s="32"/>
      <c r="J983" s="33"/>
      <c r="K983" s="33"/>
      <c r="L983" s="33"/>
      <c r="X983" s="23"/>
      <c r="Y983" s="23"/>
      <c r="Z983" s="23"/>
      <c r="AA983" s="23"/>
      <c r="AF983" s="23"/>
      <c r="AG983" s="23"/>
      <c r="AH983" s="23"/>
      <c r="AI983" s="23"/>
      <c r="AN983" s="23"/>
      <c r="AO983" s="23"/>
      <c r="AP983" s="23"/>
      <c r="AQ983" s="23"/>
      <c r="AR983" s="35"/>
      <c r="AS983" s="35"/>
      <c r="AT983" s="35"/>
      <c r="AU983" s="31"/>
      <c r="AV983" s="36"/>
    </row>
    <row r="984" spans="4:48">
      <c r="D984" s="31"/>
      <c r="E984" s="31"/>
      <c r="F984" s="31"/>
      <c r="G984" s="31"/>
      <c r="H984" s="32"/>
      <c r="J984" s="33"/>
      <c r="K984" s="33"/>
      <c r="L984" s="33"/>
      <c r="X984" s="23"/>
      <c r="Y984" s="23"/>
      <c r="Z984" s="23"/>
      <c r="AA984" s="23"/>
      <c r="AF984" s="23"/>
      <c r="AG984" s="23"/>
      <c r="AH984" s="23"/>
      <c r="AI984" s="23"/>
      <c r="AN984" s="23"/>
      <c r="AO984" s="23"/>
      <c r="AP984" s="23"/>
      <c r="AQ984" s="23"/>
      <c r="AR984" s="35"/>
      <c r="AS984" s="35"/>
      <c r="AT984" s="35"/>
      <c r="AU984" s="31"/>
      <c r="AV984" s="36"/>
    </row>
    <row r="985" spans="4:48">
      <c r="D985" s="31"/>
      <c r="E985" s="31"/>
      <c r="F985" s="31"/>
      <c r="G985" s="31"/>
      <c r="H985" s="32"/>
      <c r="J985" s="33"/>
      <c r="K985" s="33"/>
      <c r="L985" s="33"/>
      <c r="X985" s="23"/>
      <c r="Y985" s="23"/>
      <c r="Z985" s="23"/>
      <c r="AA985" s="23"/>
      <c r="AF985" s="23"/>
      <c r="AG985" s="23"/>
      <c r="AH985" s="23"/>
      <c r="AI985" s="23"/>
      <c r="AN985" s="23"/>
      <c r="AO985" s="23"/>
      <c r="AP985" s="23"/>
      <c r="AQ985" s="23"/>
      <c r="AR985" s="35"/>
      <c r="AS985" s="35"/>
      <c r="AT985" s="35"/>
      <c r="AU985" s="31"/>
      <c r="AV985" s="36"/>
    </row>
    <row r="986" spans="4:48">
      <c r="D986" s="31"/>
      <c r="E986" s="31"/>
      <c r="F986" s="31"/>
      <c r="G986" s="31"/>
      <c r="H986" s="32"/>
      <c r="J986" s="33"/>
      <c r="K986" s="33"/>
      <c r="L986" s="33"/>
      <c r="X986" s="23"/>
      <c r="Y986" s="23"/>
      <c r="Z986" s="23"/>
      <c r="AA986" s="23"/>
      <c r="AF986" s="23"/>
      <c r="AG986" s="23"/>
      <c r="AH986" s="23"/>
      <c r="AI986" s="23"/>
      <c r="AN986" s="23"/>
      <c r="AO986" s="23"/>
      <c r="AP986" s="23"/>
      <c r="AQ986" s="23"/>
      <c r="AR986" s="35"/>
      <c r="AS986" s="35"/>
      <c r="AT986" s="35"/>
      <c r="AU986" s="31"/>
      <c r="AV986" s="36"/>
    </row>
    <row r="987" spans="4:48">
      <c r="D987" s="31"/>
      <c r="E987" s="31"/>
      <c r="F987" s="31"/>
      <c r="G987" s="31"/>
      <c r="H987" s="32"/>
      <c r="J987" s="33"/>
      <c r="K987" s="33"/>
      <c r="L987" s="33"/>
      <c r="X987" s="23"/>
      <c r="Y987" s="23"/>
      <c r="Z987" s="23"/>
      <c r="AA987" s="23"/>
      <c r="AF987" s="23"/>
      <c r="AG987" s="23"/>
      <c r="AH987" s="23"/>
      <c r="AI987" s="23"/>
      <c r="AN987" s="23"/>
      <c r="AO987" s="23"/>
      <c r="AP987" s="23"/>
      <c r="AQ987" s="23"/>
      <c r="AR987" s="35"/>
      <c r="AS987" s="35"/>
      <c r="AT987" s="35"/>
      <c r="AU987" s="31"/>
      <c r="AV987" s="36"/>
    </row>
    <row r="988" spans="4:48">
      <c r="D988" s="31"/>
      <c r="E988" s="31"/>
      <c r="F988" s="31"/>
      <c r="G988" s="31"/>
      <c r="H988" s="32"/>
      <c r="J988" s="33"/>
      <c r="K988" s="33"/>
      <c r="L988" s="33"/>
      <c r="X988" s="23"/>
      <c r="Y988" s="23"/>
      <c r="Z988" s="23"/>
      <c r="AA988" s="23"/>
      <c r="AF988" s="23"/>
      <c r="AG988" s="23"/>
      <c r="AH988" s="23"/>
      <c r="AI988" s="23"/>
      <c r="AN988" s="23"/>
      <c r="AO988" s="23"/>
      <c r="AP988" s="23"/>
      <c r="AQ988" s="23"/>
      <c r="AR988" s="35"/>
      <c r="AS988" s="35"/>
      <c r="AT988" s="35"/>
      <c r="AU988" s="31"/>
      <c r="AV988" s="36"/>
    </row>
    <row r="989" spans="4:48">
      <c r="D989" s="31"/>
      <c r="E989" s="31"/>
      <c r="F989" s="31"/>
      <c r="G989" s="31"/>
      <c r="H989" s="32"/>
      <c r="J989" s="33"/>
      <c r="K989" s="33"/>
      <c r="L989" s="33"/>
      <c r="X989" s="23"/>
      <c r="Y989" s="23"/>
      <c r="Z989" s="23"/>
      <c r="AA989" s="23"/>
      <c r="AF989" s="23"/>
      <c r="AG989" s="23"/>
      <c r="AH989" s="23"/>
      <c r="AI989" s="23"/>
      <c r="AN989" s="23"/>
      <c r="AO989" s="23"/>
      <c r="AP989" s="23"/>
      <c r="AQ989" s="23"/>
      <c r="AR989" s="35"/>
      <c r="AS989" s="35"/>
      <c r="AT989" s="35"/>
      <c r="AU989" s="31"/>
      <c r="AV989" s="36"/>
    </row>
    <row r="990" spans="4:48">
      <c r="D990" s="31"/>
      <c r="E990" s="31"/>
      <c r="F990" s="31"/>
      <c r="G990" s="31"/>
      <c r="H990" s="32"/>
      <c r="J990" s="33"/>
      <c r="K990" s="33"/>
      <c r="L990" s="33"/>
      <c r="X990" s="23"/>
      <c r="Y990" s="23"/>
      <c r="Z990" s="23"/>
      <c r="AA990" s="23"/>
      <c r="AF990" s="23"/>
      <c r="AG990" s="23"/>
      <c r="AH990" s="23"/>
      <c r="AI990" s="23"/>
      <c r="AN990" s="23"/>
      <c r="AO990" s="23"/>
      <c r="AP990" s="23"/>
      <c r="AQ990" s="23"/>
      <c r="AR990" s="35"/>
      <c r="AS990" s="35"/>
      <c r="AT990" s="35"/>
      <c r="AU990" s="31"/>
      <c r="AV990" s="36"/>
    </row>
    <row r="991" spans="4:48">
      <c r="D991" s="31"/>
      <c r="E991" s="31"/>
      <c r="F991" s="31"/>
      <c r="G991" s="31"/>
      <c r="H991" s="32"/>
      <c r="J991" s="33"/>
      <c r="K991" s="33"/>
      <c r="L991" s="33"/>
      <c r="X991" s="23"/>
      <c r="Y991" s="23"/>
      <c r="Z991" s="23"/>
      <c r="AA991" s="23"/>
      <c r="AF991" s="23"/>
      <c r="AG991" s="23"/>
      <c r="AH991" s="23"/>
      <c r="AI991" s="23"/>
      <c r="AN991" s="23"/>
      <c r="AO991" s="23"/>
      <c r="AP991" s="23"/>
      <c r="AQ991" s="23"/>
      <c r="AR991" s="35"/>
      <c r="AS991" s="35"/>
      <c r="AT991" s="35"/>
      <c r="AU991" s="31"/>
      <c r="AV991" s="36"/>
    </row>
    <row r="992" spans="4:48">
      <c r="D992" s="31"/>
      <c r="E992" s="31"/>
      <c r="F992" s="31"/>
      <c r="G992" s="31"/>
      <c r="H992" s="32"/>
      <c r="J992" s="33"/>
      <c r="K992" s="33"/>
      <c r="L992" s="33"/>
      <c r="X992" s="23"/>
      <c r="Y992" s="23"/>
      <c r="Z992" s="23"/>
      <c r="AA992" s="23"/>
      <c r="AF992" s="23"/>
      <c r="AG992" s="23"/>
      <c r="AH992" s="23"/>
      <c r="AI992" s="23"/>
      <c r="AN992" s="23"/>
      <c r="AO992" s="23"/>
      <c r="AP992" s="23"/>
      <c r="AQ992" s="23"/>
      <c r="AR992" s="35"/>
      <c r="AS992" s="35"/>
      <c r="AT992" s="35"/>
      <c r="AU992" s="31"/>
      <c r="AV992" s="36"/>
    </row>
    <row r="993" spans="4:48">
      <c r="D993" s="31"/>
      <c r="E993" s="31"/>
      <c r="F993" s="31"/>
      <c r="G993" s="31"/>
      <c r="H993" s="32"/>
      <c r="J993" s="33"/>
      <c r="K993" s="33"/>
      <c r="L993" s="33"/>
      <c r="X993" s="23"/>
      <c r="Y993" s="23"/>
      <c r="Z993" s="23"/>
      <c r="AA993" s="23"/>
      <c r="AF993" s="23"/>
      <c r="AG993" s="23"/>
      <c r="AH993" s="23"/>
      <c r="AI993" s="23"/>
      <c r="AN993" s="23"/>
      <c r="AO993" s="23"/>
      <c r="AP993" s="23"/>
      <c r="AQ993" s="23"/>
      <c r="AR993" s="35"/>
      <c r="AS993" s="35"/>
      <c r="AT993" s="35"/>
      <c r="AU993" s="31"/>
      <c r="AV993" s="36"/>
    </row>
    <row r="994" spans="4:48">
      <c r="D994" s="31"/>
      <c r="E994" s="31"/>
      <c r="F994" s="31"/>
      <c r="G994" s="31"/>
      <c r="H994" s="32"/>
      <c r="J994" s="33"/>
      <c r="K994" s="33"/>
      <c r="L994" s="33"/>
      <c r="X994" s="23"/>
      <c r="Y994" s="23"/>
      <c r="Z994" s="23"/>
      <c r="AA994" s="23"/>
      <c r="AF994" s="23"/>
      <c r="AG994" s="23"/>
      <c r="AH994" s="23"/>
      <c r="AI994" s="23"/>
      <c r="AN994" s="23"/>
      <c r="AO994" s="23"/>
      <c r="AP994" s="23"/>
      <c r="AQ994" s="23"/>
      <c r="AR994" s="35"/>
      <c r="AS994" s="35"/>
      <c r="AT994" s="35"/>
      <c r="AU994" s="31"/>
      <c r="AV994" s="36"/>
    </row>
    <row r="995" spans="4:48">
      <c r="D995" s="31"/>
      <c r="E995" s="31"/>
      <c r="F995" s="31"/>
      <c r="G995" s="31"/>
      <c r="H995" s="32"/>
      <c r="J995" s="33"/>
      <c r="K995" s="33"/>
      <c r="L995" s="33"/>
      <c r="X995" s="23"/>
      <c r="Y995" s="23"/>
      <c r="Z995" s="23"/>
      <c r="AA995" s="23"/>
      <c r="AF995" s="23"/>
      <c r="AG995" s="23"/>
      <c r="AH995" s="23"/>
      <c r="AI995" s="23"/>
      <c r="AN995" s="23"/>
      <c r="AO995" s="23"/>
      <c r="AP995" s="23"/>
      <c r="AQ995" s="23"/>
      <c r="AR995" s="35"/>
      <c r="AS995" s="35"/>
      <c r="AT995" s="35"/>
      <c r="AU995" s="31"/>
      <c r="AV995" s="36"/>
    </row>
    <row r="996" spans="4:48">
      <c r="D996" s="31"/>
      <c r="E996" s="31"/>
      <c r="F996" s="31"/>
      <c r="G996" s="31"/>
      <c r="H996" s="32"/>
      <c r="J996" s="33"/>
      <c r="K996" s="33"/>
      <c r="L996" s="33"/>
      <c r="X996" s="23"/>
      <c r="Y996" s="23"/>
      <c r="Z996" s="23"/>
      <c r="AA996" s="23"/>
      <c r="AF996" s="23"/>
      <c r="AG996" s="23"/>
      <c r="AH996" s="23"/>
      <c r="AI996" s="23"/>
      <c r="AN996" s="23"/>
      <c r="AO996" s="23"/>
      <c r="AP996" s="23"/>
      <c r="AQ996" s="23"/>
      <c r="AR996" s="35"/>
      <c r="AS996" s="35"/>
      <c r="AT996" s="35"/>
      <c r="AU996" s="31"/>
      <c r="AV996" s="36"/>
    </row>
    <row r="997" spans="4:48">
      <c r="D997" s="31"/>
      <c r="E997" s="31"/>
      <c r="F997" s="31"/>
      <c r="G997" s="31"/>
      <c r="H997" s="32"/>
      <c r="J997" s="33"/>
      <c r="K997" s="33"/>
      <c r="L997" s="33"/>
      <c r="X997" s="23"/>
      <c r="Y997" s="23"/>
      <c r="Z997" s="23"/>
      <c r="AA997" s="23"/>
      <c r="AF997" s="23"/>
      <c r="AG997" s="23"/>
      <c r="AH997" s="23"/>
      <c r="AI997" s="23"/>
      <c r="AN997" s="23"/>
      <c r="AO997" s="23"/>
      <c r="AP997" s="23"/>
      <c r="AQ997" s="23"/>
      <c r="AR997" s="35"/>
      <c r="AS997" s="35"/>
      <c r="AT997" s="35"/>
      <c r="AU997" s="31"/>
      <c r="AV997" s="36"/>
    </row>
    <row r="998" spans="4:48">
      <c r="D998" s="31"/>
      <c r="E998" s="31"/>
      <c r="F998" s="31"/>
      <c r="G998" s="31"/>
      <c r="H998" s="32"/>
      <c r="J998" s="33"/>
      <c r="K998" s="33"/>
      <c r="L998" s="33"/>
      <c r="X998" s="23"/>
      <c r="Y998" s="23"/>
      <c r="Z998" s="23"/>
      <c r="AA998" s="23"/>
      <c r="AF998" s="23"/>
      <c r="AG998" s="23"/>
      <c r="AH998" s="23"/>
      <c r="AI998" s="23"/>
      <c r="AN998" s="23"/>
      <c r="AO998" s="23"/>
      <c r="AP998" s="23"/>
      <c r="AQ998" s="23"/>
      <c r="AR998" s="35"/>
      <c r="AS998" s="35"/>
      <c r="AT998" s="35"/>
      <c r="AU998" s="31"/>
      <c r="AV998" s="36"/>
    </row>
    <row r="999" spans="4:48">
      <c r="D999" s="31"/>
      <c r="E999" s="31"/>
      <c r="F999" s="31"/>
      <c r="G999" s="31"/>
      <c r="H999" s="32"/>
      <c r="J999" s="33"/>
      <c r="K999" s="33"/>
      <c r="L999" s="33"/>
      <c r="X999" s="23"/>
      <c r="Y999" s="23"/>
      <c r="Z999" s="23"/>
      <c r="AA999" s="23"/>
      <c r="AF999" s="23"/>
      <c r="AG999" s="23"/>
      <c r="AH999" s="23"/>
      <c r="AI999" s="23"/>
      <c r="AN999" s="23"/>
      <c r="AO999" s="23"/>
      <c r="AP999" s="23"/>
      <c r="AQ999" s="23"/>
      <c r="AR999" s="35"/>
      <c r="AS999" s="35"/>
      <c r="AT999" s="35"/>
      <c r="AU999" s="31"/>
      <c r="AV999" s="36"/>
    </row>
    <row r="1000" spans="4:48">
      <c r="D1000" s="31"/>
      <c r="E1000" s="31"/>
      <c r="F1000" s="31"/>
      <c r="G1000" s="31"/>
      <c r="H1000" s="32"/>
      <c r="J1000" s="33"/>
      <c r="K1000" s="33"/>
      <c r="L1000" s="33"/>
      <c r="X1000" s="23"/>
      <c r="Y1000" s="23"/>
      <c r="Z1000" s="23"/>
      <c r="AA1000" s="23"/>
      <c r="AF1000" s="23"/>
      <c r="AG1000" s="23"/>
      <c r="AH1000" s="23"/>
      <c r="AI1000" s="23"/>
      <c r="AN1000" s="23"/>
      <c r="AO1000" s="23"/>
      <c r="AP1000" s="23"/>
      <c r="AQ1000" s="23"/>
      <c r="AR1000" s="35"/>
      <c r="AS1000" s="35"/>
      <c r="AT1000" s="35"/>
      <c r="AU1000" s="31"/>
      <c r="AV1000" s="36"/>
    </row>
    <row r="1001" spans="4:48">
      <c r="D1001" s="31"/>
      <c r="E1001" s="31"/>
      <c r="F1001" s="31"/>
      <c r="G1001" s="31"/>
      <c r="H1001" s="32"/>
      <c r="J1001" s="33"/>
      <c r="K1001" s="33"/>
      <c r="L1001" s="33"/>
      <c r="X1001" s="23"/>
      <c r="Y1001" s="23"/>
      <c r="Z1001" s="23"/>
      <c r="AA1001" s="23"/>
      <c r="AF1001" s="23"/>
      <c r="AG1001" s="23"/>
      <c r="AH1001" s="23"/>
      <c r="AI1001" s="23"/>
      <c r="AN1001" s="23"/>
      <c r="AO1001" s="23"/>
      <c r="AP1001" s="23"/>
      <c r="AQ1001" s="23"/>
      <c r="AR1001" s="35"/>
      <c r="AS1001" s="35"/>
      <c r="AT1001" s="35"/>
      <c r="AU1001" s="31"/>
      <c r="AV1001" s="36"/>
    </row>
    <row r="1002" spans="4:48">
      <c r="D1002" s="31"/>
      <c r="E1002" s="31"/>
      <c r="F1002" s="31"/>
      <c r="G1002" s="31"/>
      <c r="H1002" s="32"/>
      <c r="J1002" s="33"/>
      <c r="K1002" s="33"/>
      <c r="L1002" s="33"/>
      <c r="X1002" s="23"/>
      <c r="Y1002" s="23"/>
      <c r="Z1002" s="23"/>
      <c r="AA1002" s="23"/>
      <c r="AF1002" s="23"/>
      <c r="AG1002" s="23"/>
      <c r="AH1002" s="23"/>
      <c r="AI1002" s="23"/>
      <c r="AN1002" s="23"/>
      <c r="AO1002" s="23"/>
      <c r="AP1002" s="23"/>
      <c r="AQ1002" s="23"/>
      <c r="AR1002" s="35"/>
      <c r="AS1002" s="35"/>
      <c r="AT1002" s="35"/>
      <c r="AU1002" s="31"/>
      <c r="AV1002" s="36"/>
    </row>
    <row r="1003" spans="4:48">
      <c r="D1003" s="31"/>
      <c r="E1003" s="31"/>
      <c r="F1003" s="31"/>
      <c r="G1003" s="31"/>
      <c r="H1003" s="32"/>
      <c r="J1003" s="33"/>
      <c r="K1003" s="33"/>
      <c r="L1003" s="33"/>
      <c r="X1003" s="23"/>
      <c r="Y1003" s="23"/>
      <c r="Z1003" s="23"/>
      <c r="AA1003" s="23"/>
      <c r="AF1003" s="23"/>
      <c r="AG1003" s="23"/>
      <c r="AH1003" s="23"/>
      <c r="AI1003" s="23"/>
      <c r="AN1003" s="23"/>
      <c r="AO1003" s="23"/>
      <c r="AP1003" s="23"/>
      <c r="AQ1003" s="23"/>
      <c r="AR1003" s="35"/>
      <c r="AS1003" s="35"/>
      <c r="AT1003" s="35"/>
      <c r="AU1003" s="31"/>
      <c r="AV1003" s="36"/>
    </row>
    <row r="1004" spans="4:48">
      <c r="D1004" s="31"/>
      <c r="E1004" s="31"/>
      <c r="F1004" s="31"/>
      <c r="G1004" s="31"/>
      <c r="H1004" s="32"/>
      <c r="J1004" s="33"/>
      <c r="K1004" s="33"/>
      <c r="L1004" s="33"/>
      <c r="X1004" s="23"/>
      <c r="Y1004" s="23"/>
      <c r="Z1004" s="23"/>
      <c r="AA1004" s="23"/>
      <c r="AF1004" s="23"/>
      <c r="AG1004" s="23"/>
      <c r="AH1004" s="23"/>
      <c r="AI1004" s="23"/>
      <c r="AN1004" s="23"/>
      <c r="AO1004" s="23"/>
      <c r="AP1004" s="23"/>
      <c r="AQ1004" s="23"/>
      <c r="AR1004" s="35"/>
      <c r="AS1004" s="35"/>
      <c r="AT1004" s="35"/>
      <c r="AU1004" s="31"/>
      <c r="AV1004" s="36"/>
    </row>
    <row r="1005" spans="4:48">
      <c r="D1005" s="31"/>
      <c r="E1005" s="31"/>
      <c r="F1005" s="31"/>
      <c r="G1005" s="31"/>
      <c r="H1005" s="32"/>
      <c r="J1005" s="33"/>
      <c r="K1005" s="33"/>
      <c r="L1005" s="33"/>
      <c r="X1005" s="23"/>
      <c r="Y1005" s="23"/>
      <c r="Z1005" s="23"/>
      <c r="AA1005" s="23"/>
      <c r="AF1005" s="23"/>
      <c r="AG1005" s="23"/>
      <c r="AH1005" s="23"/>
      <c r="AI1005" s="23"/>
      <c r="AN1005" s="23"/>
      <c r="AO1005" s="23"/>
      <c r="AP1005" s="23"/>
      <c r="AQ1005" s="23"/>
      <c r="AR1005" s="35"/>
      <c r="AS1005" s="35"/>
      <c r="AT1005" s="35"/>
      <c r="AU1005" s="31"/>
      <c r="AV1005" s="36"/>
    </row>
    <row r="1006" spans="4:48">
      <c r="D1006" s="31"/>
      <c r="E1006" s="31"/>
      <c r="F1006" s="31"/>
      <c r="G1006" s="31"/>
      <c r="H1006" s="32"/>
      <c r="J1006" s="33"/>
      <c r="K1006" s="33"/>
      <c r="L1006" s="33"/>
      <c r="X1006" s="23"/>
      <c r="Y1006" s="23"/>
      <c r="Z1006" s="23"/>
      <c r="AA1006" s="23"/>
      <c r="AF1006" s="23"/>
      <c r="AG1006" s="23"/>
      <c r="AH1006" s="23"/>
      <c r="AI1006" s="23"/>
      <c r="AN1006" s="23"/>
      <c r="AO1006" s="23"/>
      <c r="AP1006" s="23"/>
      <c r="AQ1006" s="23"/>
      <c r="AR1006" s="35"/>
      <c r="AS1006" s="35"/>
      <c r="AT1006" s="35"/>
      <c r="AU1006" s="31"/>
      <c r="AV1006" s="36"/>
    </row>
    <row r="1007" spans="4:48">
      <c r="D1007" s="31"/>
      <c r="E1007" s="31"/>
      <c r="F1007" s="31"/>
      <c r="G1007" s="31"/>
      <c r="H1007" s="32"/>
      <c r="J1007" s="33"/>
      <c r="K1007" s="33"/>
      <c r="L1007" s="33"/>
      <c r="X1007" s="23"/>
      <c r="Y1007" s="23"/>
      <c r="Z1007" s="23"/>
      <c r="AA1007" s="23"/>
      <c r="AF1007" s="23"/>
      <c r="AG1007" s="23"/>
      <c r="AH1007" s="23"/>
      <c r="AI1007" s="23"/>
      <c r="AN1007" s="23"/>
      <c r="AO1007" s="23"/>
      <c r="AP1007" s="23"/>
      <c r="AQ1007" s="23"/>
      <c r="AR1007" s="35"/>
      <c r="AS1007" s="35"/>
      <c r="AT1007" s="35"/>
      <c r="AU1007" s="31"/>
      <c r="AV1007" s="36"/>
    </row>
    <row r="1008" spans="4:48">
      <c r="D1008" s="31"/>
      <c r="E1008" s="31"/>
      <c r="F1008" s="31"/>
      <c r="G1008" s="31"/>
      <c r="H1008" s="32"/>
      <c r="J1008" s="33"/>
      <c r="K1008" s="33"/>
      <c r="L1008" s="33"/>
      <c r="X1008" s="23"/>
      <c r="Y1008" s="23"/>
      <c r="Z1008" s="23"/>
      <c r="AA1008" s="23"/>
      <c r="AF1008" s="23"/>
      <c r="AG1008" s="23"/>
      <c r="AH1008" s="23"/>
      <c r="AI1008" s="23"/>
      <c r="AN1008" s="23"/>
      <c r="AO1008" s="23"/>
      <c r="AP1008" s="23"/>
      <c r="AQ1008" s="23"/>
      <c r="AR1008" s="35"/>
      <c r="AS1008" s="35"/>
      <c r="AT1008" s="35"/>
      <c r="AU1008" s="31"/>
      <c r="AV1008" s="36"/>
    </row>
    <row r="1009" spans="4:48">
      <c r="D1009" s="31"/>
      <c r="E1009" s="31"/>
      <c r="F1009" s="31"/>
      <c r="G1009" s="31"/>
      <c r="H1009" s="32"/>
      <c r="J1009" s="33"/>
      <c r="K1009" s="33"/>
      <c r="L1009" s="33"/>
      <c r="X1009" s="23"/>
      <c r="Y1009" s="23"/>
      <c r="Z1009" s="23"/>
      <c r="AA1009" s="23"/>
      <c r="AF1009" s="23"/>
      <c r="AG1009" s="23"/>
      <c r="AH1009" s="23"/>
      <c r="AI1009" s="23"/>
      <c r="AN1009" s="23"/>
      <c r="AO1009" s="23"/>
      <c r="AP1009" s="23"/>
      <c r="AQ1009" s="23"/>
      <c r="AR1009" s="35"/>
      <c r="AS1009" s="35"/>
      <c r="AT1009" s="35"/>
      <c r="AU1009" s="31"/>
      <c r="AV1009" s="36"/>
    </row>
    <row r="1010" spans="4:48">
      <c r="D1010" s="31"/>
      <c r="E1010" s="31"/>
      <c r="F1010" s="31"/>
      <c r="G1010" s="31"/>
      <c r="H1010" s="32"/>
      <c r="J1010" s="33"/>
      <c r="K1010" s="33"/>
      <c r="L1010" s="33"/>
      <c r="X1010" s="23"/>
      <c r="Y1010" s="23"/>
      <c r="Z1010" s="23"/>
      <c r="AA1010" s="23"/>
      <c r="AF1010" s="23"/>
      <c r="AG1010" s="23"/>
      <c r="AH1010" s="23"/>
      <c r="AI1010" s="23"/>
      <c r="AN1010" s="23"/>
      <c r="AO1010" s="23"/>
      <c r="AP1010" s="23"/>
      <c r="AQ1010" s="23"/>
      <c r="AR1010" s="35"/>
      <c r="AS1010" s="35"/>
      <c r="AT1010" s="35"/>
      <c r="AU1010" s="31"/>
      <c r="AV1010" s="36"/>
    </row>
    <row r="1011" spans="4:48">
      <c r="D1011" s="31"/>
      <c r="E1011" s="31"/>
      <c r="F1011" s="31"/>
      <c r="G1011" s="31"/>
      <c r="H1011" s="32"/>
      <c r="J1011" s="33"/>
      <c r="K1011" s="33"/>
      <c r="L1011" s="33"/>
      <c r="X1011" s="23"/>
      <c r="Y1011" s="23"/>
      <c r="Z1011" s="23"/>
      <c r="AA1011" s="23"/>
      <c r="AF1011" s="23"/>
      <c r="AG1011" s="23"/>
      <c r="AH1011" s="23"/>
      <c r="AI1011" s="23"/>
      <c r="AN1011" s="23"/>
      <c r="AO1011" s="23"/>
      <c r="AP1011" s="23"/>
      <c r="AQ1011" s="23"/>
      <c r="AR1011" s="35"/>
      <c r="AS1011" s="35"/>
      <c r="AT1011" s="35"/>
      <c r="AU1011" s="31"/>
      <c r="AV1011" s="36"/>
    </row>
    <row r="1012" spans="4:48">
      <c r="D1012" s="31"/>
      <c r="E1012" s="31"/>
      <c r="F1012" s="31"/>
      <c r="G1012" s="31"/>
      <c r="H1012" s="32"/>
      <c r="J1012" s="33"/>
      <c r="K1012" s="33"/>
      <c r="L1012" s="33"/>
      <c r="X1012" s="23"/>
      <c r="Y1012" s="23"/>
      <c r="Z1012" s="23"/>
      <c r="AA1012" s="23"/>
      <c r="AF1012" s="23"/>
      <c r="AG1012" s="23"/>
      <c r="AH1012" s="23"/>
      <c r="AI1012" s="23"/>
      <c r="AN1012" s="23"/>
      <c r="AO1012" s="23"/>
      <c r="AP1012" s="23"/>
      <c r="AQ1012" s="23"/>
      <c r="AR1012" s="35"/>
      <c r="AS1012" s="35"/>
      <c r="AT1012" s="35"/>
      <c r="AU1012" s="31"/>
      <c r="AV1012" s="36"/>
    </row>
    <row r="1013" spans="4:48">
      <c r="D1013" s="31"/>
      <c r="E1013" s="31"/>
      <c r="F1013" s="31"/>
      <c r="G1013" s="31"/>
      <c r="H1013" s="32"/>
      <c r="J1013" s="33"/>
      <c r="K1013" s="33"/>
      <c r="L1013" s="33"/>
      <c r="X1013" s="23"/>
      <c r="Y1013" s="23"/>
      <c r="Z1013" s="23"/>
      <c r="AA1013" s="23"/>
      <c r="AF1013" s="23"/>
      <c r="AG1013" s="23"/>
      <c r="AH1013" s="23"/>
      <c r="AI1013" s="23"/>
      <c r="AN1013" s="23"/>
      <c r="AO1013" s="23"/>
      <c r="AP1013" s="23"/>
      <c r="AQ1013" s="23"/>
      <c r="AR1013" s="35"/>
      <c r="AS1013" s="35"/>
      <c r="AT1013" s="35"/>
      <c r="AU1013" s="31"/>
      <c r="AV1013" s="36"/>
    </row>
    <row r="1014" spans="4:48">
      <c r="D1014" s="31"/>
      <c r="E1014" s="31"/>
      <c r="F1014" s="31"/>
      <c r="G1014" s="31"/>
      <c r="H1014" s="32"/>
      <c r="J1014" s="33"/>
      <c r="K1014" s="33"/>
      <c r="L1014" s="33"/>
      <c r="X1014" s="23"/>
      <c r="Y1014" s="23"/>
      <c r="Z1014" s="23"/>
      <c r="AA1014" s="23"/>
      <c r="AF1014" s="23"/>
      <c r="AG1014" s="23"/>
      <c r="AH1014" s="23"/>
      <c r="AI1014" s="23"/>
      <c r="AN1014" s="23"/>
      <c r="AO1014" s="23"/>
      <c r="AP1014" s="23"/>
      <c r="AQ1014" s="23"/>
      <c r="AR1014" s="35"/>
      <c r="AS1014" s="35"/>
      <c r="AT1014" s="35"/>
      <c r="AU1014" s="31"/>
      <c r="AV1014" s="36"/>
    </row>
    <row r="1015" spans="4:48">
      <c r="D1015" s="31"/>
      <c r="E1015" s="31"/>
      <c r="F1015" s="31"/>
      <c r="G1015" s="31"/>
      <c r="H1015" s="32"/>
      <c r="J1015" s="33"/>
      <c r="K1015" s="33"/>
      <c r="L1015" s="33"/>
      <c r="X1015" s="23"/>
      <c r="Y1015" s="23"/>
      <c r="Z1015" s="23"/>
      <c r="AA1015" s="23"/>
      <c r="AF1015" s="23"/>
      <c r="AG1015" s="23"/>
      <c r="AH1015" s="23"/>
      <c r="AI1015" s="23"/>
      <c r="AN1015" s="23"/>
      <c r="AO1015" s="23"/>
      <c r="AP1015" s="23"/>
      <c r="AQ1015" s="23"/>
      <c r="AR1015" s="35"/>
      <c r="AS1015" s="35"/>
      <c r="AT1015" s="35"/>
      <c r="AU1015" s="31"/>
      <c r="AV1015" s="36"/>
    </row>
    <row r="1016" spans="4:48">
      <c r="D1016" s="31"/>
      <c r="E1016" s="31"/>
      <c r="F1016" s="31"/>
      <c r="G1016" s="31"/>
      <c r="H1016" s="32"/>
      <c r="J1016" s="33"/>
      <c r="K1016" s="33"/>
      <c r="L1016" s="33"/>
      <c r="X1016" s="23"/>
      <c r="Y1016" s="23"/>
      <c r="Z1016" s="23"/>
      <c r="AA1016" s="23"/>
      <c r="AF1016" s="23"/>
      <c r="AG1016" s="23"/>
      <c r="AH1016" s="23"/>
      <c r="AI1016" s="23"/>
      <c r="AN1016" s="23"/>
      <c r="AO1016" s="23"/>
      <c r="AP1016" s="23"/>
      <c r="AQ1016" s="23"/>
      <c r="AR1016" s="35"/>
      <c r="AS1016" s="35"/>
      <c r="AT1016" s="35"/>
      <c r="AU1016" s="31"/>
      <c r="AV1016" s="36"/>
    </row>
    <row r="1017" spans="4:48">
      <c r="D1017" s="31"/>
      <c r="E1017" s="31"/>
      <c r="F1017" s="31"/>
      <c r="G1017" s="31"/>
      <c r="H1017" s="32"/>
      <c r="J1017" s="33"/>
      <c r="K1017" s="33"/>
      <c r="L1017" s="33"/>
      <c r="X1017" s="23"/>
      <c r="Y1017" s="23"/>
      <c r="Z1017" s="23"/>
      <c r="AA1017" s="23"/>
      <c r="AF1017" s="23"/>
      <c r="AG1017" s="23"/>
      <c r="AH1017" s="23"/>
      <c r="AI1017" s="23"/>
      <c r="AN1017" s="23"/>
      <c r="AO1017" s="23"/>
      <c r="AP1017" s="23"/>
      <c r="AQ1017" s="23"/>
      <c r="AR1017" s="35"/>
      <c r="AS1017" s="35"/>
      <c r="AT1017" s="35"/>
      <c r="AU1017" s="31"/>
      <c r="AV1017" s="36"/>
    </row>
    <row r="1018" spans="4:48">
      <c r="D1018" s="31"/>
      <c r="E1018" s="31"/>
      <c r="F1018" s="31"/>
      <c r="G1018" s="31"/>
      <c r="H1018" s="32"/>
      <c r="J1018" s="33"/>
      <c r="K1018" s="33"/>
      <c r="L1018" s="33"/>
      <c r="X1018" s="23"/>
      <c r="Y1018" s="23"/>
      <c r="Z1018" s="23"/>
      <c r="AA1018" s="23"/>
      <c r="AF1018" s="23"/>
      <c r="AG1018" s="23"/>
      <c r="AH1018" s="23"/>
      <c r="AI1018" s="23"/>
      <c r="AN1018" s="23"/>
      <c r="AO1018" s="23"/>
      <c r="AP1018" s="23"/>
      <c r="AQ1018" s="23"/>
      <c r="AR1018" s="35"/>
      <c r="AS1018" s="35"/>
      <c r="AT1018" s="35"/>
      <c r="AU1018" s="31"/>
      <c r="AV1018" s="36"/>
    </row>
    <row r="1019" spans="4:48">
      <c r="D1019" s="31"/>
      <c r="E1019" s="31"/>
      <c r="F1019" s="31"/>
      <c r="G1019" s="31"/>
      <c r="H1019" s="32"/>
      <c r="J1019" s="33"/>
      <c r="K1019" s="33"/>
      <c r="L1019" s="33"/>
      <c r="X1019" s="23"/>
      <c r="Y1019" s="23"/>
      <c r="Z1019" s="23"/>
      <c r="AA1019" s="23"/>
      <c r="AF1019" s="23"/>
      <c r="AG1019" s="23"/>
      <c r="AH1019" s="23"/>
      <c r="AI1019" s="23"/>
      <c r="AN1019" s="23"/>
      <c r="AO1019" s="23"/>
      <c r="AP1019" s="23"/>
      <c r="AQ1019" s="23"/>
      <c r="AR1019" s="35"/>
      <c r="AS1019" s="35"/>
      <c r="AT1019" s="35"/>
      <c r="AU1019" s="31"/>
      <c r="AV1019" s="36"/>
    </row>
    <row r="1020" spans="4:48">
      <c r="D1020" s="31"/>
      <c r="E1020" s="31"/>
      <c r="F1020" s="31"/>
      <c r="G1020" s="31"/>
      <c r="H1020" s="32"/>
      <c r="J1020" s="33"/>
      <c r="K1020" s="33"/>
      <c r="L1020" s="33"/>
      <c r="X1020" s="23"/>
      <c r="Y1020" s="23"/>
      <c r="Z1020" s="23"/>
      <c r="AA1020" s="23"/>
      <c r="AF1020" s="23"/>
      <c r="AG1020" s="23"/>
      <c r="AH1020" s="23"/>
      <c r="AI1020" s="23"/>
      <c r="AN1020" s="23"/>
      <c r="AO1020" s="23"/>
      <c r="AP1020" s="23"/>
      <c r="AQ1020" s="23"/>
      <c r="AR1020" s="35"/>
      <c r="AS1020" s="35"/>
      <c r="AT1020" s="35"/>
      <c r="AU1020" s="31"/>
      <c r="AV1020" s="36"/>
    </row>
    <row r="1021" spans="4:48">
      <c r="D1021" s="31"/>
      <c r="E1021" s="31"/>
      <c r="F1021" s="31"/>
      <c r="G1021" s="31"/>
      <c r="H1021" s="32"/>
      <c r="J1021" s="33"/>
      <c r="K1021" s="33"/>
      <c r="L1021" s="33"/>
      <c r="X1021" s="23"/>
      <c r="Y1021" s="23"/>
      <c r="Z1021" s="23"/>
      <c r="AA1021" s="23"/>
      <c r="AF1021" s="23"/>
      <c r="AG1021" s="23"/>
      <c r="AH1021" s="23"/>
      <c r="AI1021" s="23"/>
      <c r="AN1021" s="23"/>
      <c r="AO1021" s="23"/>
      <c r="AP1021" s="23"/>
      <c r="AQ1021" s="23"/>
      <c r="AR1021" s="35"/>
      <c r="AS1021" s="35"/>
      <c r="AT1021" s="35"/>
      <c r="AU1021" s="31"/>
      <c r="AV1021" s="36"/>
    </row>
    <row r="1022" spans="4:48">
      <c r="D1022" s="31"/>
      <c r="E1022" s="31"/>
      <c r="F1022" s="31"/>
      <c r="G1022" s="31"/>
      <c r="H1022" s="32"/>
      <c r="J1022" s="33"/>
      <c r="K1022" s="33"/>
      <c r="L1022" s="33"/>
      <c r="X1022" s="23"/>
      <c r="Y1022" s="23"/>
      <c r="Z1022" s="23"/>
      <c r="AA1022" s="23"/>
      <c r="AF1022" s="23"/>
      <c r="AG1022" s="23"/>
      <c r="AH1022" s="23"/>
      <c r="AI1022" s="23"/>
      <c r="AN1022" s="23"/>
      <c r="AO1022" s="23"/>
      <c r="AP1022" s="23"/>
      <c r="AQ1022" s="23"/>
      <c r="AR1022" s="35"/>
      <c r="AS1022" s="35"/>
      <c r="AT1022" s="35"/>
      <c r="AU1022" s="31"/>
      <c r="AV1022" s="36"/>
    </row>
    <row r="1023" spans="4:48">
      <c r="D1023" s="31"/>
      <c r="E1023" s="31"/>
      <c r="F1023" s="31"/>
      <c r="G1023" s="31"/>
      <c r="H1023" s="32"/>
      <c r="J1023" s="33"/>
      <c r="K1023" s="33"/>
      <c r="L1023" s="33"/>
      <c r="X1023" s="23"/>
      <c r="Y1023" s="23"/>
      <c r="Z1023" s="23"/>
      <c r="AA1023" s="23"/>
      <c r="AF1023" s="23"/>
      <c r="AG1023" s="23"/>
      <c r="AH1023" s="23"/>
      <c r="AI1023" s="23"/>
      <c r="AN1023" s="23"/>
      <c r="AO1023" s="23"/>
      <c r="AP1023" s="23"/>
      <c r="AQ1023" s="23"/>
      <c r="AR1023" s="35"/>
      <c r="AS1023" s="35"/>
      <c r="AT1023" s="35"/>
      <c r="AU1023" s="31"/>
      <c r="AV1023" s="36"/>
    </row>
    <row r="1024" spans="4:48">
      <c r="D1024" s="31"/>
      <c r="E1024" s="31"/>
      <c r="F1024" s="31"/>
      <c r="G1024" s="31"/>
      <c r="H1024" s="32"/>
      <c r="J1024" s="33"/>
      <c r="K1024" s="33"/>
      <c r="L1024" s="33"/>
      <c r="X1024" s="23"/>
      <c r="Y1024" s="23"/>
      <c r="Z1024" s="23"/>
      <c r="AA1024" s="23"/>
      <c r="AF1024" s="23"/>
      <c r="AG1024" s="23"/>
      <c r="AH1024" s="23"/>
      <c r="AI1024" s="23"/>
      <c r="AN1024" s="23"/>
      <c r="AO1024" s="23"/>
      <c r="AP1024" s="23"/>
      <c r="AQ1024" s="23"/>
      <c r="AR1024" s="35"/>
      <c r="AS1024" s="35"/>
      <c r="AT1024" s="35"/>
      <c r="AU1024" s="31"/>
      <c r="AV1024" s="36"/>
    </row>
    <row r="1025" spans="4:48">
      <c r="D1025" s="31"/>
      <c r="E1025" s="31"/>
      <c r="F1025" s="31"/>
      <c r="G1025" s="31"/>
      <c r="H1025" s="32"/>
      <c r="J1025" s="33"/>
      <c r="K1025" s="33"/>
      <c r="L1025" s="33"/>
      <c r="X1025" s="23"/>
      <c r="Y1025" s="23"/>
      <c r="Z1025" s="23"/>
      <c r="AA1025" s="23"/>
      <c r="AF1025" s="23"/>
      <c r="AG1025" s="23"/>
      <c r="AH1025" s="23"/>
      <c r="AI1025" s="23"/>
      <c r="AN1025" s="23"/>
      <c r="AO1025" s="23"/>
      <c r="AP1025" s="23"/>
      <c r="AQ1025" s="23"/>
      <c r="AR1025" s="35"/>
      <c r="AS1025" s="35"/>
      <c r="AT1025" s="35"/>
      <c r="AU1025" s="31"/>
      <c r="AV1025" s="36"/>
    </row>
    <row r="1026" spans="4:48">
      <c r="D1026" s="31"/>
      <c r="E1026" s="31"/>
      <c r="F1026" s="31"/>
      <c r="G1026" s="31"/>
      <c r="H1026" s="32"/>
      <c r="J1026" s="33"/>
      <c r="K1026" s="33"/>
      <c r="L1026" s="33"/>
      <c r="X1026" s="23"/>
      <c r="Y1026" s="23"/>
      <c r="Z1026" s="23"/>
      <c r="AA1026" s="23"/>
      <c r="AF1026" s="23"/>
      <c r="AG1026" s="23"/>
      <c r="AH1026" s="23"/>
      <c r="AI1026" s="23"/>
      <c r="AN1026" s="23"/>
      <c r="AO1026" s="23"/>
      <c r="AP1026" s="23"/>
      <c r="AQ1026" s="23"/>
      <c r="AR1026" s="35"/>
      <c r="AS1026" s="35"/>
      <c r="AT1026" s="35"/>
      <c r="AU1026" s="31"/>
      <c r="AV1026" s="36"/>
    </row>
    <row r="1027" spans="4:48">
      <c r="D1027" s="31"/>
      <c r="E1027" s="31"/>
      <c r="F1027" s="31"/>
      <c r="G1027" s="31"/>
      <c r="H1027" s="32"/>
      <c r="J1027" s="33"/>
      <c r="K1027" s="33"/>
      <c r="L1027" s="33"/>
      <c r="X1027" s="23"/>
      <c r="Y1027" s="23"/>
      <c r="Z1027" s="23"/>
      <c r="AA1027" s="23"/>
      <c r="AF1027" s="23"/>
      <c r="AG1027" s="23"/>
      <c r="AH1027" s="23"/>
      <c r="AI1027" s="23"/>
      <c r="AN1027" s="23"/>
      <c r="AO1027" s="23"/>
      <c r="AP1027" s="23"/>
      <c r="AQ1027" s="23"/>
      <c r="AR1027" s="35"/>
      <c r="AS1027" s="35"/>
      <c r="AT1027" s="35"/>
      <c r="AU1027" s="31"/>
      <c r="AV1027" s="36"/>
    </row>
    <row r="1028" spans="4:48">
      <c r="D1028" s="31"/>
      <c r="E1028" s="31"/>
      <c r="F1028" s="31"/>
      <c r="G1028" s="31"/>
      <c r="H1028" s="32"/>
      <c r="J1028" s="33"/>
      <c r="K1028" s="33"/>
      <c r="L1028" s="33"/>
      <c r="X1028" s="23"/>
      <c r="Y1028" s="23"/>
      <c r="Z1028" s="23"/>
      <c r="AA1028" s="23"/>
      <c r="AF1028" s="23"/>
      <c r="AG1028" s="23"/>
      <c r="AH1028" s="23"/>
      <c r="AI1028" s="23"/>
      <c r="AN1028" s="23"/>
      <c r="AO1028" s="23"/>
      <c r="AP1028" s="23"/>
      <c r="AQ1028" s="23"/>
      <c r="AR1028" s="35"/>
      <c r="AS1028" s="35"/>
      <c r="AT1028" s="35"/>
      <c r="AU1028" s="31"/>
      <c r="AV1028" s="36"/>
    </row>
    <row r="1029" spans="4:48">
      <c r="D1029" s="31"/>
      <c r="E1029" s="31"/>
      <c r="F1029" s="31"/>
      <c r="G1029" s="31"/>
      <c r="H1029" s="32"/>
      <c r="J1029" s="33"/>
      <c r="K1029" s="33"/>
      <c r="L1029" s="33"/>
      <c r="X1029" s="23"/>
      <c r="Y1029" s="23"/>
      <c r="Z1029" s="23"/>
      <c r="AA1029" s="23"/>
      <c r="AF1029" s="23"/>
      <c r="AG1029" s="23"/>
      <c r="AH1029" s="23"/>
      <c r="AI1029" s="23"/>
      <c r="AN1029" s="23"/>
      <c r="AO1029" s="23"/>
      <c r="AP1029" s="23"/>
      <c r="AQ1029" s="23"/>
      <c r="AR1029" s="35"/>
      <c r="AS1029" s="35"/>
      <c r="AT1029" s="35"/>
      <c r="AU1029" s="31"/>
      <c r="AV1029" s="36"/>
    </row>
    <row r="1030" spans="4:48">
      <c r="D1030" s="31"/>
      <c r="E1030" s="31"/>
      <c r="F1030" s="31"/>
      <c r="G1030" s="31"/>
      <c r="H1030" s="32"/>
      <c r="J1030" s="33"/>
      <c r="K1030" s="33"/>
      <c r="L1030" s="33"/>
      <c r="X1030" s="23"/>
      <c r="Y1030" s="23"/>
      <c r="Z1030" s="23"/>
      <c r="AA1030" s="23"/>
      <c r="AF1030" s="23"/>
      <c r="AG1030" s="23"/>
      <c r="AH1030" s="23"/>
      <c r="AI1030" s="23"/>
      <c r="AN1030" s="23"/>
      <c r="AO1030" s="23"/>
      <c r="AP1030" s="23"/>
      <c r="AQ1030" s="23"/>
      <c r="AR1030" s="35"/>
      <c r="AS1030" s="35"/>
      <c r="AT1030" s="35"/>
      <c r="AU1030" s="31"/>
      <c r="AV1030" s="36"/>
    </row>
    <row r="1031" spans="4:48">
      <c r="D1031" s="31"/>
      <c r="E1031" s="31"/>
      <c r="F1031" s="31"/>
      <c r="G1031" s="31"/>
      <c r="H1031" s="32"/>
      <c r="J1031" s="33"/>
      <c r="K1031" s="33"/>
      <c r="L1031" s="33"/>
      <c r="X1031" s="23"/>
      <c r="Y1031" s="23"/>
      <c r="Z1031" s="23"/>
      <c r="AA1031" s="23"/>
      <c r="AF1031" s="23"/>
      <c r="AG1031" s="23"/>
      <c r="AH1031" s="23"/>
      <c r="AI1031" s="23"/>
      <c r="AN1031" s="23"/>
      <c r="AO1031" s="23"/>
      <c r="AP1031" s="23"/>
      <c r="AQ1031" s="23"/>
      <c r="AR1031" s="35"/>
      <c r="AS1031" s="35"/>
      <c r="AT1031" s="35"/>
      <c r="AU1031" s="31"/>
      <c r="AV1031" s="36"/>
    </row>
    <row r="1032" spans="4:48">
      <c r="D1032" s="31"/>
      <c r="E1032" s="31"/>
      <c r="F1032" s="31"/>
      <c r="G1032" s="31"/>
      <c r="H1032" s="32"/>
      <c r="J1032" s="33"/>
      <c r="K1032" s="33"/>
      <c r="L1032" s="33"/>
      <c r="X1032" s="23"/>
      <c r="Y1032" s="23"/>
      <c r="Z1032" s="23"/>
      <c r="AA1032" s="23"/>
      <c r="AF1032" s="23"/>
      <c r="AG1032" s="23"/>
      <c r="AH1032" s="23"/>
      <c r="AI1032" s="23"/>
      <c r="AN1032" s="23"/>
      <c r="AO1032" s="23"/>
      <c r="AP1032" s="23"/>
      <c r="AQ1032" s="23"/>
      <c r="AR1032" s="35"/>
      <c r="AS1032" s="35"/>
      <c r="AT1032" s="35"/>
      <c r="AU1032" s="31"/>
      <c r="AV1032" s="36"/>
    </row>
    <row r="1033" spans="4:48">
      <c r="D1033" s="31"/>
      <c r="E1033" s="31"/>
      <c r="F1033" s="31"/>
      <c r="G1033" s="31"/>
      <c r="H1033" s="32"/>
      <c r="J1033" s="33"/>
      <c r="K1033" s="33"/>
      <c r="L1033" s="33"/>
      <c r="X1033" s="23"/>
      <c r="Y1033" s="23"/>
      <c r="Z1033" s="23"/>
      <c r="AA1033" s="23"/>
      <c r="AF1033" s="23"/>
      <c r="AG1033" s="23"/>
      <c r="AH1033" s="23"/>
      <c r="AI1033" s="23"/>
      <c r="AN1033" s="23"/>
      <c r="AO1033" s="23"/>
      <c r="AP1033" s="23"/>
      <c r="AQ1033" s="23"/>
      <c r="AR1033" s="35"/>
      <c r="AS1033" s="35"/>
      <c r="AT1033" s="35"/>
      <c r="AU1033" s="31"/>
      <c r="AV1033" s="36"/>
    </row>
    <row r="1034" spans="4:48">
      <c r="D1034" s="31"/>
      <c r="E1034" s="31"/>
      <c r="F1034" s="31"/>
      <c r="G1034" s="31"/>
      <c r="H1034" s="32"/>
      <c r="J1034" s="33"/>
      <c r="K1034" s="33"/>
      <c r="L1034" s="33"/>
      <c r="X1034" s="23"/>
      <c r="Y1034" s="23"/>
      <c r="Z1034" s="23"/>
      <c r="AA1034" s="23"/>
      <c r="AF1034" s="23"/>
      <c r="AG1034" s="23"/>
      <c r="AH1034" s="23"/>
      <c r="AI1034" s="23"/>
      <c r="AN1034" s="23"/>
      <c r="AO1034" s="23"/>
      <c r="AP1034" s="23"/>
      <c r="AQ1034" s="23"/>
      <c r="AR1034" s="35"/>
      <c r="AS1034" s="35"/>
      <c r="AT1034" s="35"/>
      <c r="AU1034" s="31"/>
      <c r="AV1034" s="36"/>
    </row>
    <row r="1035" spans="4:48">
      <c r="D1035" s="31"/>
      <c r="E1035" s="31"/>
      <c r="F1035" s="31"/>
      <c r="G1035" s="31"/>
      <c r="H1035" s="32"/>
      <c r="J1035" s="33"/>
      <c r="K1035" s="33"/>
      <c r="L1035" s="33"/>
      <c r="X1035" s="23"/>
      <c r="Y1035" s="23"/>
      <c r="Z1035" s="23"/>
      <c r="AA1035" s="23"/>
      <c r="AF1035" s="23"/>
      <c r="AG1035" s="23"/>
      <c r="AH1035" s="23"/>
      <c r="AI1035" s="23"/>
      <c r="AN1035" s="23"/>
      <c r="AO1035" s="23"/>
      <c r="AP1035" s="23"/>
      <c r="AQ1035" s="23"/>
      <c r="AR1035" s="35"/>
      <c r="AS1035" s="35"/>
      <c r="AT1035" s="35"/>
      <c r="AU1035" s="31"/>
      <c r="AV1035" s="36"/>
    </row>
    <row r="1036" spans="4:48">
      <c r="D1036" s="31"/>
      <c r="E1036" s="31"/>
      <c r="F1036" s="31"/>
      <c r="G1036" s="31"/>
      <c r="H1036" s="32"/>
      <c r="J1036" s="33"/>
      <c r="K1036" s="33"/>
      <c r="L1036" s="33"/>
      <c r="X1036" s="23"/>
      <c r="Y1036" s="23"/>
      <c r="Z1036" s="23"/>
      <c r="AA1036" s="23"/>
      <c r="AF1036" s="23"/>
      <c r="AG1036" s="23"/>
      <c r="AH1036" s="23"/>
      <c r="AI1036" s="23"/>
      <c r="AN1036" s="23"/>
      <c r="AO1036" s="23"/>
      <c r="AP1036" s="23"/>
      <c r="AQ1036" s="23"/>
      <c r="AR1036" s="35"/>
      <c r="AS1036" s="35"/>
      <c r="AT1036" s="35"/>
      <c r="AU1036" s="31"/>
      <c r="AV1036" s="36"/>
    </row>
    <row r="1037" spans="4:48">
      <c r="D1037" s="31"/>
      <c r="E1037" s="31"/>
      <c r="F1037" s="31"/>
      <c r="G1037" s="31"/>
      <c r="H1037" s="32"/>
      <c r="J1037" s="33"/>
      <c r="K1037" s="33"/>
      <c r="L1037" s="33"/>
      <c r="X1037" s="23"/>
      <c r="Y1037" s="23"/>
      <c r="Z1037" s="23"/>
      <c r="AA1037" s="23"/>
      <c r="AF1037" s="23"/>
      <c r="AG1037" s="23"/>
      <c r="AH1037" s="23"/>
      <c r="AI1037" s="23"/>
      <c r="AN1037" s="23"/>
      <c r="AO1037" s="23"/>
      <c r="AP1037" s="23"/>
      <c r="AQ1037" s="23"/>
      <c r="AR1037" s="35"/>
      <c r="AS1037" s="35"/>
      <c r="AT1037" s="35"/>
      <c r="AU1037" s="31"/>
      <c r="AV1037" s="36"/>
    </row>
    <row r="1038" spans="4:48">
      <c r="D1038" s="31"/>
      <c r="E1038" s="31"/>
      <c r="F1038" s="31"/>
      <c r="G1038" s="31"/>
      <c r="H1038" s="32"/>
      <c r="J1038" s="33"/>
      <c r="K1038" s="33"/>
      <c r="L1038" s="33"/>
      <c r="X1038" s="23"/>
      <c r="Y1038" s="23"/>
      <c r="Z1038" s="23"/>
      <c r="AA1038" s="23"/>
      <c r="AF1038" s="23"/>
      <c r="AG1038" s="23"/>
      <c r="AH1038" s="23"/>
      <c r="AI1038" s="23"/>
      <c r="AN1038" s="23"/>
      <c r="AO1038" s="23"/>
      <c r="AP1038" s="23"/>
      <c r="AQ1038" s="23"/>
      <c r="AR1038" s="35"/>
      <c r="AS1038" s="35"/>
      <c r="AT1038" s="35"/>
      <c r="AU1038" s="31"/>
      <c r="AV1038" s="36"/>
    </row>
    <row r="1039" spans="4:48">
      <c r="D1039" s="31"/>
      <c r="E1039" s="31"/>
      <c r="F1039" s="31"/>
      <c r="G1039" s="31"/>
      <c r="H1039" s="32"/>
      <c r="J1039" s="33"/>
      <c r="K1039" s="33"/>
      <c r="L1039" s="33"/>
      <c r="X1039" s="23"/>
      <c r="Y1039" s="23"/>
      <c r="Z1039" s="23"/>
      <c r="AA1039" s="23"/>
      <c r="AF1039" s="23"/>
      <c r="AG1039" s="23"/>
      <c r="AH1039" s="23"/>
      <c r="AI1039" s="23"/>
      <c r="AN1039" s="23"/>
      <c r="AO1039" s="23"/>
      <c r="AP1039" s="23"/>
      <c r="AQ1039" s="23"/>
      <c r="AR1039" s="35"/>
      <c r="AS1039" s="35"/>
      <c r="AT1039" s="35"/>
      <c r="AU1039" s="31"/>
      <c r="AV1039" s="36"/>
    </row>
    <row r="1040" spans="4:48">
      <c r="D1040" s="31"/>
      <c r="E1040" s="31"/>
      <c r="F1040" s="31"/>
      <c r="G1040" s="31"/>
      <c r="H1040" s="32"/>
      <c r="J1040" s="33"/>
      <c r="K1040" s="33"/>
      <c r="L1040" s="33"/>
      <c r="X1040" s="23"/>
      <c r="Y1040" s="23"/>
      <c r="Z1040" s="23"/>
      <c r="AA1040" s="23"/>
      <c r="AF1040" s="23"/>
      <c r="AG1040" s="23"/>
      <c r="AH1040" s="23"/>
      <c r="AI1040" s="23"/>
      <c r="AN1040" s="23"/>
      <c r="AO1040" s="23"/>
      <c r="AP1040" s="23"/>
      <c r="AQ1040" s="23"/>
      <c r="AR1040" s="35"/>
      <c r="AS1040" s="35"/>
      <c r="AT1040" s="35"/>
      <c r="AU1040" s="31"/>
      <c r="AV1040" s="36"/>
    </row>
    <row r="1041" spans="4:48">
      <c r="D1041" s="31"/>
      <c r="E1041" s="31"/>
      <c r="F1041" s="31"/>
      <c r="G1041" s="31"/>
      <c r="H1041" s="32"/>
      <c r="J1041" s="33"/>
      <c r="K1041" s="33"/>
      <c r="L1041" s="33"/>
      <c r="X1041" s="23"/>
      <c r="Y1041" s="23"/>
      <c r="Z1041" s="23"/>
      <c r="AA1041" s="23"/>
      <c r="AF1041" s="23"/>
      <c r="AG1041" s="23"/>
      <c r="AH1041" s="23"/>
      <c r="AI1041" s="23"/>
      <c r="AN1041" s="23"/>
      <c r="AO1041" s="23"/>
      <c r="AP1041" s="23"/>
      <c r="AQ1041" s="23"/>
      <c r="AR1041" s="35"/>
      <c r="AS1041" s="35"/>
      <c r="AT1041" s="35"/>
      <c r="AU1041" s="31"/>
      <c r="AV1041" s="36"/>
    </row>
    <row r="1042" spans="4:48">
      <c r="D1042" s="31"/>
      <c r="E1042" s="31"/>
      <c r="F1042" s="31"/>
      <c r="G1042" s="31"/>
      <c r="H1042" s="32"/>
      <c r="J1042" s="33"/>
      <c r="K1042" s="33"/>
      <c r="L1042" s="33"/>
      <c r="X1042" s="23"/>
      <c r="Y1042" s="23"/>
      <c r="Z1042" s="23"/>
      <c r="AA1042" s="23"/>
      <c r="AF1042" s="23"/>
      <c r="AG1042" s="23"/>
      <c r="AH1042" s="23"/>
      <c r="AI1042" s="23"/>
      <c r="AN1042" s="23"/>
      <c r="AO1042" s="23"/>
      <c r="AP1042" s="23"/>
      <c r="AQ1042" s="23"/>
      <c r="AR1042" s="35"/>
      <c r="AS1042" s="35"/>
      <c r="AT1042" s="35"/>
      <c r="AU1042" s="31"/>
      <c r="AV1042" s="36"/>
    </row>
    <row r="1043" spans="4:48">
      <c r="D1043" s="31"/>
      <c r="E1043" s="31"/>
      <c r="F1043" s="31"/>
      <c r="G1043" s="31"/>
      <c r="H1043" s="32"/>
      <c r="J1043" s="33"/>
      <c r="K1043" s="33"/>
      <c r="L1043" s="33"/>
      <c r="X1043" s="23"/>
      <c r="Y1043" s="23"/>
      <c r="Z1043" s="23"/>
      <c r="AA1043" s="23"/>
      <c r="AF1043" s="23"/>
      <c r="AG1043" s="23"/>
      <c r="AH1043" s="23"/>
      <c r="AI1043" s="23"/>
      <c r="AN1043" s="23"/>
      <c r="AO1043" s="23"/>
      <c r="AP1043" s="23"/>
      <c r="AQ1043" s="23"/>
      <c r="AR1043" s="35"/>
      <c r="AS1043" s="35"/>
      <c r="AT1043" s="35"/>
      <c r="AU1043" s="31"/>
      <c r="AV1043" s="36"/>
    </row>
    <row r="1044" spans="4:48">
      <c r="D1044" s="31"/>
      <c r="E1044" s="31"/>
      <c r="F1044" s="31"/>
      <c r="G1044" s="31"/>
      <c r="H1044" s="32"/>
      <c r="J1044" s="33"/>
      <c r="K1044" s="33"/>
      <c r="L1044" s="33"/>
      <c r="X1044" s="23"/>
      <c r="Y1044" s="23"/>
      <c r="Z1044" s="23"/>
      <c r="AA1044" s="23"/>
      <c r="AF1044" s="23"/>
      <c r="AG1044" s="23"/>
      <c r="AH1044" s="23"/>
      <c r="AI1044" s="23"/>
      <c r="AN1044" s="23"/>
      <c r="AO1044" s="23"/>
      <c r="AP1044" s="23"/>
      <c r="AQ1044" s="23"/>
      <c r="AR1044" s="35"/>
      <c r="AS1044" s="35"/>
      <c r="AT1044" s="35"/>
      <c r="AU1044" s="31"/>
      <c r="AV1044" s="36"/>
    </row>
    <row r="1045" spans="4:48">
      <c r="D1045" s="31"/>
      <c r="E1045" s="31"/>
      <c r="F1045" s="31"/>
      <c r="G1045" s="31"/>
      <c r="H1045" s="32"/>
      <c r="J1045" s="33"/>
      <c r="K1045" s="33"/>
      <c r="L1045" s="33"/>
      <c r="X1045" s="23"/>
      <c r="Y1045" s="23"/>
      <c r="Z1045" s="23"/>
      <c r="AA1045" s="23"/>
      <c r="AF1045" s="23"/>
      <c r="AG1045" s="23"/>
      <c r="AH1045" s="23"/>
      <c r="AI1045" s="23"/>
      <c r="AN1045" s="23"/>
      <c r="AO1045" s="23"/>
      <c r="AP1045" s="23"/>
      <c r="AQ1045" s="23"/>
      <c r="AR1045" s="35"/>
      <c r="AS1045" s="35"/>
      <c r="AT1045" s="35"/>
      <c r="AU1045" s="31"/>
      <c r="AV1045" s="36"/>
    </row>
    <row r="1046" spans="1:48">
      <c r="A1046" s="21"/>
      <c r="D1046" s="31"/>
      <c r="E1046" s="31"/>
      <c r="F1046" s="31"/>
      <c r="G1046" s="31"/>
      <c r="H1046" s="32"/>
      <c r="J1046" s="33"/>
      <c r="K1046" s="33"/>
      <c r="L1046" s="33"/>
      <c r="X1046" s="23"/>
      <c r="Y1046" s="23"/>
      <c r="Z1046" s="23"/>
      <c r="AA1046" s="23"/>
      <c r="AF1046" s="23"/>
      <c r="AG1046" s="23"/>
      <c r="AH1046" s="23"/>
      <c r="AI1046" s="23"/>
      <c r="AN1046" s="23"/>
      <c r="AO1046" s="23"/>
      <c r="AP1046" s="23"/>
      <c r="AQ1046" s="23"/>
      <c r="AR1046" s="35"/>
      <c r="AS1046" s="35"/>
      <c r="AT1046" s="35"/>
      <c r="AU1046" s="31"/>
      <c r="AV1046" s="36"/>
    </row>
    <row r="1047" spans="1:48">
      <c r="A1047" s="38"/>
      <c r="D1047" s="31"/>
      <c r="E1047" s="31"/>
      <c r="F1047" s="31"/>
      <c r="G1047" s="31"/>
      <c r="H1047" s="32"/>
      <c r="J1047" s="33"/>
      <c r="K1047" s="33"/>
      <c r="L1047" s="33"/>
      <c r="X1047" s="23"/>
      <c r="Y1047" s="23"/>
      <c r="Z1047" s="23"/>
      <c r="AA1047" s="23"/>
      <c r="AF1047" s="23"/>
      <c r="AG1047" s="23"/>
      <c r="AH1047" s="23"/>
      <c r="AI1047" s="23"/>
      <c r="AN1047" s="23"/>
      <c r="AO1047" s="23"/>
      <c r="AP1047" s="23"/>
      <c r="AQ1047" s="23"/>
      <c r="AR1047" s="35"/>
      <c r="AS1047" s="35"/>
      <c r="AT1047" s="35"/>
      <c r="AU1047" s="31"/>
      <c r="AV1047" s="36"/>
    </row>
    <row r="1048" spans="1:48">
      <c r="A1048" s="38"/>
      <c r="D1048" s="31"/>
      <c r="E1048" s="31"/>
      <c r="F1048" s="31"/>
      <c r="G1048" s="31"/>
      <c r="H1048" s="32"/>
      <c r="J1048" s="33"/>
      <c r="K1048" s="33"/>
      <c r="L1048" s="33"/>
      <c r="X1048" s="23"/>
      <c r="Y1048" s="23"/>
      <c r="Z1048" s="23"/>
      <c r="AA1048" s="23"/>
      <c r="AF1048" s="23"/>
      <c r="AG1048" s="23"/>
      <c r="AH1048" s="23"/>
      <c r="AI1048" s="23"/>
      <c r="AN1048" s="23"/>
      <c r="AO1048" s="23"/>
      <c r="AP1048" s="23"/>
      <c r="AQ1048" s="23"/>
      <c r="AR1048" s="35"/>
      <c r="AS1048" s="35"/>
      <c r="AT1048" s="35"/>
      <c r="AU1048" s="31"/>
      <c r="AV1048" s="36"/>
    </row>
    <row r="1049" spans="1:48">
      <c r="A1049" s="38"/>
      <c r="D1049" s="31"/>
      <c r="E1049" s="31"/>
      <c r="F1049" s="31"/>
      <c r="G1049" s="31"/>
      <c r="H1049" s="32"/>
      <c r="J1049" s="33"/>
      <c r="K1049" s="33"/>
      <c r="L1049" s="33"/>
      <c r="X1049" s="23"/>
      <c r="Y1049" s="23"/>
      <c r="Z1049" s="23"/>
      <c r="AA1049" s="23"/>
      <c r="AF1049" s="23"/>
      <c r="AG1049" s="23"/>
      <c r="AH1049" s="23"/>
      <c r="AI1049" s="23"/>
      <c r="AN1049" s="23"/>
      <c r="AO1049" s="23"/>
      <c r="AP1049" s="23"/>
      <c r="AQ1049" s="23"/>
      <c r="AR1049" s="35"/>
      <c r="AS1049" s="35"/>
      <c r="AT1049" s="35"/>
      <c r="AU1049" s="31"/>
      <c r="AV1049" s="36"/>
    </row>
    <row r="1050" spans="1:48">
      <c r="A1050" s="39"/>
      <c r="D1050" s="31"/>
      <c r="E1050" s="31"/>
      <c r="F1050" s="31"/>
      <c r="G1050" s="31"/>
      <c r="H1050" s="32"/>
      <c r="J1050" s="33"/>
      <c r="K1050" s="33"/>
      <c r="L1050" s="33"/>
      <c r="X1050" s="23"/>
      <c r="Y1050" s="23"/>
      <c r="Z1050" s="23"/>
      <c r="AA1050" s="23"/>
      <c r="AF1050" s="23"/>
      <c r="AG1050" s="23"/>
      <c r="AH1050" s="23"/>
      <c r="AI1050" s="23"/>
      <c r="AN1050" s="23"/>
      <c r="AO1050" s="23"/>
      <c r="AP1050" s="23"/>
      <c r="AQ1050" s="23"/>
      <c r="AR1050" s="35"/>
      <c r="AS1050" s="35"/>
      <c r="AT1050" s="35"/>
      <c r="AU1050" s="31"/>
      <c r="AV1050" s="36"/>
    </row>
    <row r="1051" spans="1:48">
      <c r="A1051" s="39"/>
      <c r="D1051" s="31"/>
      <c r="E1051" s="31"/>
      <c r="F1051" s="31"/>
      <c r="G1051" s="31"/>
      <c r="H1051" s="32"/>
      <c r="J1051" s="33"/>
      <c r="K1051" s="33"/>
      <c r="L1051" s="33"/>
      <c r="X1051" s="23"/>
      <c r="Y1051" s="23"/>
      <c r="Z1051" s="23"/>
      <c r="AA1051" s="23"/>
      <c r="AF1051" s="23"/>
      <c r="AG1051" s="23"/>
      <c r="AH1051" s="23"/>
      <c r="AI1051" s="23"/>
      <c r="AN1051" s="23"/>
      <c r="AO1051" s="23"/>
      <c r="AP1051" s="23"/>
      <c r="AQ1051" s="23"/>
      <c r="AR1051" s="35"/>
      <c r="AS1051" s="35"/>
      <c r="AT1051" s="35"/>
      <c r="AU1051" s="31"/>
      <c r="AV1051" s="36"/>
    </row>
    <row r="1052" spans="1:48">
      <c r="A1052" s="39"/>
      <c r="D1052" s="31"/>
      <c r="E1052" s="31"/>
      <c r="F1052" s="31"/>
      <c r="G1052" s="31"/>
      <c r="H1052" s="32"/>
      <c r="J1052" s="33"/>
      <c r="K1052" s="33"/>
      <c r="L1052" s="33"/>
      <c r="X1052" s="23"/>
      <c r="Y1052" s="23"/>
      <c r="Z1052" s="23"/>
      <c r="AA1052" s="23"/>
      <c r="AF1052" s="23"/>
      <c r="AG1052" s="23"/>
      <c r="AH1052" s="23"/>
      <c r="AI1052" s="23"/>
      <c r="AN1052" s="23"/>
      <c r="AO1052" s="23"/>
      <c r="AP1052" s="23"/>
      <c r="AQ1052" s="23"/>
      <c r="AR1052" s="35"/>
      <c r="AS1052" s="35"/>
      <c r="AT1052" s="35"/>
      <c r="AU1052" s="31"/>
      <c r="AV1052" s="36"/>
    </row>
    <row r="1053" spans="1:48">
      <c r="A1053" s="39"/>
      <c r="D1053" s="31"/>
      <c r="E1053" s="31"/>
      <c r="F1053" s="31"/>
      <c r="G1053" s="31"/>
      <c r="H1053" s="32"/>
      <c r="J1053" s="33"/>
      <c r="K1053" s="33"/>
      <c r="L1053" s="33"/>
      <c r="X1053" s="23"/>
      <c r="Y1053" s="23"/>
      <c r="Z1053" s="23"/>
      <c r="AA1053" s="23"/>
      <c r="AF1053" s="23"/>
      <c r="AG1053" s="23"/>
      <c r="AH1053" s="23"/>
      <c r="AI1053" s="23"/>
      <c r="AN1053" s="23"/>
      <c r="AO1053" s="23"/>
      <c r="AP1053" s="23"/>
      <c r="AQ1053" s="23"/>
      <c r="AR1053" s="35"/>
      <c r="AS1053" s="35"/>
      <c r="AT1053" s="35"/>
      <c r="AU1053" s="31"/>
      <c r="AV1053" s="36"/>
    </row>
    <row r="1054" spans="1:48">
      <c r="A1054" s="39"/>
      <c r="D1054" s="31"/>
      <c r="E1054" s="31"/>
      <c r="F1054" s="31"/>
      <c r="G1054" s="31"/>
      <c r="H1054" s="32"/>
      <c r="J1054" s="33"/>
      <c r="K1054" s="33"/>
      <c r="L1054" s="33"/>
      <c r="X1054" s="23"/>
      <c r="Y1054" s="23"/>
      <c r="Z1054" s="23"/>
      <c r="AA1054" s="23"/>
      <c r="AF1054" s="23"/>
      <c r="AG1054" s="23"/>
      <c r="AH1054" s="23"/>
      <c r="AI1054" s="23"/>
      <c r="AN1054" s="23"/>
      <c r="AO1054" s="23"/>
      <c r="AP1054" s="23"/>
      <c r="AQ1054" s="23"/>
      <c r="AR1054" s="35"/>
      <c r="AS1054" s="35"/>
      <c r="AT1054" s="35"/>
      <c r="AU1054" s="31"/>
      <c r="AV1054" s="36"/>
    </row>
    <row r="1055" spans="1:48">
      <c r="A1055" s="39"/>
      <c r="D1055" s="31"/>
      <c r="E1055" s="31"/>
      <c r="F1055" s="31"/>
      <c r="G1055" s="31"/>
      <c r="H1055" s="32"/>
      <c r="J1055" s="33"/>
      <c r="K1055" s="33"/>
      <c r="L1055" s="33"/>
      <c r="X1055" s="23"/>
      <c r="Y1055" s="23"/>
      <c r="Z1055" s="23"/>
      <c r="AA1055" s="23"/>
      <c r="AF1055" s="23"/>
      <c r="AG1055" s="23"/>
      <c r="AH1055" s="23"/>
      <c r="AI1055" s="23"/>
      <c r="AN1055" s="23"/>
      <c r="AO1055" s="23"/>
      <c r="AP1055" s="23"/>
      <c r="AQ1055" s="23"/>
      <c r="AR1055" s="35"/>
      <c r="AS1055" s="35"/>
      <c r="AT1055" s="35"/>
      <c r="AU1055" s="31"/>
      <c r="AV1055" s="36"/>
    </row>
    <row r="1056" spans="1:48">
      <c r="A1056" s="39"/>
      <c r="D1056" s="31"/>
      <c r="E1056" s="31"/>
      <c r="F1056" s="31"/>
      <c r="G1056" s="31"/>
      <c r="H1056" s="32"/>
      <c r="J1056" s="33"/>
      <c r="K1056" s="33"/>
      <c r="L1056" s="33"/>
      <c r="X1056" s="23"/>
      <c r="Y1056" s="23"/>
      <c r="Z1056" s="23"/>
      <c r="AA1056" s="23"/>
      <c r="AF1056" s="23"/>
      <c r="AG1056" s="23"/>
      <c r="AH1056" s="23"/>
      <c r="AI1056" s="23"/>
      <c r="AN1056" s="23"/>
      <c r="AO1056" s="23"/>
      <c r="AP1056" s="23"/>
      <c r="AQ1056" s="23"/>
      <c r="AR1056" s="35"/>
      <c r="AS1056" s="35"/>
      <c r="AT1056" s="35"/>
      <c r="AU1056" s="31"/>
      <c r="AV1056" s="36"/>
    </row>
    <row r="1057" spans="1:48">
      <c r="A1057" s="39"/>
      <c r="D1057" s="31"/>
      <c r="E1057" s="31"/>
      <c r="F1057" s="31"/>
      <c r="G1057" s="31"/>
      <c r="H1057" s="32"/>
      <c r="J1057" s="33"/>
      <c r="K1057" s="33"/>
      <c r="L1057" s="33"/>
      <c r="X1057" s="23"/>
      <c r="Y1057" s="23"/>
      <c r="Z1057" s="23"/>
      <c r="AA1057" s="23"/>
      <c r="AF1057" s="23"/>
      <c r="AG1057" s="23"/>
      <c r="AH1057" s="23"/>
      <c r="AI1057" s="23"/>
      <c r="AN1057" s="23"/>
      <c r="AO1057" s="23"/>
      <c r="AP1057" s="23"/>
      <c r="AQ1057" s="23"/>
      <c r="AR1057" s="35"/>
      <c r="AS1057" s="35"/>
      <c r="AT1057" s="35"/>
      <c r="AU1057" s="31"/>
      <c r="AV1057" s="36"/>
    </row>
    <row r="1058" spans="1:48">
      <c r="A1058" s="39"/>
      <c r="D1058" s="31"/>
      <c r="E1058" s="31"/>
      <c r="F1058" s="31"/>
      <c r="G1058" s="31"/>
      <c r="H1058" s="32"/>
      <c r="J1058" s="33"/>
      <c r="K1058" s="33"/>
      <c r="L1058" s="33"/>
      <c r="X1058" s="23"/>
      <c r="Y1058" s="23"/>
      <c r="Z1058" s="23"/>
      <c r="AA1058" s="23"/>
      <c r="AF1058" s="23"/>
      <c r="AG1058" s="23"/>
      <c r="AH1058" s="23"/>
      <c r="AI1058" s="23"/>
      <c r="AN1058" s="23"/>
      <c r="AO1058" s="23"/>
      <c r="AP1058" s="23"/>
      <c r="AQ1058" s="23"/>
      <c r="AR1058" s="35"/>
      <c r="AS1058" s="35"/>
      <c r="AT1058" s="35"/>
      <c r="AU1058" s="31"/>
      <c r="AV1058" s="36"/>
    </row>
    <row r="1059" spans="1:48">
      <c r="A1059" s="39"/>
      <c r="D1059" s="31"/>
      <c r="E1059" s="31"/>
      <c r="F1059" s="31"/>
      <c r="G1059" s="31"/>
      <c r="H1059" s="32"/>
      <c r="J1059" s="33"/>
      <c r="K1059" s="33"/>
      <c r="L1059" s="33"/>
      <c r="X1059" s="23"/>
      <c r="Y1059" s="23"/>
      <c r="Z1059" s="23"/>
      <c r="AA1059" s="23"/>
      <c r="AF1059" s="23"/>
      <c r="AG1059" s="23"/>
      <c r="AH1059" s="23"/>
      <c r="AI1059" s="23"/>
      <c r="AN1059" s="23"/>
      <c r="AO1059" s="23"/>
      <c r="AP1059" s="23"/>
      <c r="AQ1059" s="23"/>
      <c r="AR1059" s="35"/>
      <c r="AS1059" s="35"/>
      <c r="AT1059" s="35"/>
      <c r="AU1059" s="31"/>
      <c r="AV1059" s="36"/>
    </row>
    <row r="1060" spans="1:48">
      <c r="A1060" s="39"/>
      <c r="D1060" s="31"/>
      <c r="E1060" s="31"/>
      <c r="F1060" s="31"/>
      <c r="G1060" s="31"/>
      <c r="H1060" s="32"/>
      <c r="J1060" s="33"/>
      <c r="K1060" s="33"/>
      <c r="L1060" s="33"/>
      <c r="X1060" s="23"/>
      <c r="Y1060" s="23"/>
      <c r="Z1060" s="23"/>
      <c r="AA1060" s="23"/>
      <c r="AF1060" s="23"/>
      <c r="AG1060" s="23"/>
      <c r="AH1060" s="23"/>
      <c r="AI1060" s="23"/>
      <c r="AN1060" s="23"/>
      <c r="AO1060" s="23"/>
      <c r="AP1060" s="23"/>
      <c r="AQ1060" s="23"/>
      <c r="AR1060" s="35"/>
      <c r="AS1060" s="35"/>
      <c r="AT1060" s="35"/>
      <c r="AU1060" s="31"/>
      <c r="AV1060" s="36"/>
    </row>
    <row r="1061" spans="1:48">
      <c r="A1061" s="39"/>
      <c r="D1061" s="31"/>
      <c r="E1061" s="31"/>
      <c r="F1061" s="31"/>
      <c r="G1061" s="31"/>
      <c r="H1061" s="32"/>
      <c r="J1061" s="33"/>
      <c r="K1061" s="33"/>
      <c r="L1061" s="33"/>
      <c r="X1061" s="23"/>
      <c r="Y1061" s="23"/>
      <c r="Z1061" s="23"/>
      <c r="AA1061" s="23"/>
      <c r="AF1061" s="23"/>
      <c r="AG1061" s="23"/>
      <c r="AH1061" s="23"/>
      <c r="AI1061" s="23"/>
      <c r="AN1061" s="23"/>
      <c r="AO1061" s="23"/>
      <c r="AP1061" s="23"/>
      <c r="AQ1061" s="23"/>
      <c r="AR1061" s="35"/>
      <c r="AS1061" s="35"/>
      <c r="AT1061" s="35"/>
      <c r="AU1061" s="31"/>
      <c r="AV1061" s="36"/>
    </row>
    <row r="1062" spans="1:48">
      <c r="A1062" s="39"/>
      <c r="D1062" s="31"/>
      <c r="E1062" s="31"/>
      <c r="F1062" s="31"/>
      <c r="G1062" s="31"/>
      <c r="H1062" s="32"/>
      <c r="J1062" s="33"/>
      <c r="K1062" s="33"/>
      <c r="L1062" s="33"/>
      <c r="X1062" s="23"/>
      <c r="Y1062" s="23"/>
      <c r="Z1062" s="23"/>
      <c r="AA1062" s="23"/>
      <c r="AF1062" s="23"/>
      <c r="AG1062" s="23"/>
      <c r="AH1062" s="23"/>
      <c r="AI1062" s="23"/>
      <c r="AN1062" s="23"/>
      <c r="AO1062" s="23"/>
      <c r="AP1062" s="23"/>
      <c r="AQ1062" s="23"/>
      <c r="AR1062" s="35"/>
      <c r="AS1062" s="35"/>
      <c r="AT1062" s="35"/>
      <c r="AU1062" s="31"/>
      <c r="AV1062" s="36"/>
    </row>
    <row r="1063" spans="1:48">
      <c r="A1063" s="39"/>
      <c r="D1063" s="31"/>
      <c r="E1063" s="31"/>
      <c r="F1063" s="31"/>
      <c r="G1063" s="31"/>
      <c r="H1063" s="32"/>
      <c r="J1063" s="33"/>
      <c r="K1063" s="33"/>
      <c r="L1063" s="33"/>
      <c r="X1063" s="23"/>
      <c r="Y1063" s="23"/>
      <c r="Z1063" s="23"/>
      <c r="AA1063" s="23"/>
      <c r="AF1063" s="23"/>
      <c r="AG1063" s="23"/>
      <c r="AH1063" s="23"/>
      <c r="AI1063" s="23"/>
      <c r="AN1063" s="23"/>
      <c r="AO1063" s="23"/>
      <c r="AP1063" s="23"/>
      <c r="AQ1063" s="23"/>
      <c r="AR1063" s="35"/>
      <c r="AS1063" s="35"/>
      <c r="AT1063" s="35"/>
      <c r="AU1063" s="31"/>
      <c r="AV1063" s="36"/>
    </row>
    <row r="1064" spans="1:48">
      <c r="A1064" s="39"/>
      <c r="D1064" s="31"/>
      <c r="E1064" s="31"/>
      <c r="F1064" s="31"/>
      <c r="G1064" s="31"/>
      <c r="H1064" s="32"/>
      <c r="J1064" s="33"/>
      <c r="K1064" s="33"/>
      <c r="L1064" s="33"/>
      <c r="X1064" s="23"/>
      <c r="Y1064" s="23"/>
      <c r="Z1064" s="23"/>
      <c r="AA1064" s="23"/>
      <c r="AF1064" s="23"/>
      <c r="AG1064" s="23"/>
      <c r="AH1064" s="23"/>
      <c r="AI1064" s="23"/>
      <c r="AN1064" s="23"/>
      <c r="AO1064" s="23"/>
      <c r="AP1064" s="23"/>
      <c r="AQ1064" s="23"/>
      <c r="AR1064" s="35"/>
      <c r="AS1064" s="35"/>
      <c r="AT1064" s="35"/>
      <c r="AU1064" s="31"/>
      <c r="AV1064" s="36"/>
    </row>
    <row r="1065" spans="1:48">
      <c r="A1065" s="39"/>
      <c r="D1065" s="31"/>
      <c r="E1065" s="31"/>
      <c r="F1065" s="31"/>
      <c r="G1065" s="31"/>
      <c r="H1065" s="32"/>
      <c r="J1065" s="33"/>
      <c r="K1065" s="33"/>
      <c r="L1065" s="33"/>
      <c r="X1065" s="23"/>
      <c r="Y1065" s="23"/>
      <c r="Z1065" s="23"/>
      <c r="AA1065" s="23"/>
      <c r="AF1065" s="23"/>
      <c r="AG1065" s="23"/>
      <c r="AH1065" s="23"/>
      <c r="AI1065" s="23"/>
      <c r="AN1065" s="23"/>
      <c r="AO1065" s="23"/>
      <c r="AP1065" s="23"/>
      <c r="AQ1065" s="23"/>
      <c r="AR1065" s="35"/>
      <c r="AS1065" s="35"/>
      <c r="AT1065" s="35"/>
      <c r="AU1065" s="31"/>
      <c r="AV1065" s="36"/>
    </row>
    <row r="1066" spans="1:48">
      <c r="A1066" s="39"/>
      <c r="D1066" s="31"/>
      <c r="E1066" s="31"/>
      <c r="F1066" s="31"/>
      <c r="G1066" s="31"/>
      <c r="H1066" s="32"/>
      <c r="J1066" s="33"/>
      <c r="K1066" s="33"/>
      <c r="L1066" s="33"/>
      <c r="X1066" s="23"/>
      <c r="Y1066" s="23"/>
      <c r="Z1066" s="23"/>
      <c r="AA1066" s="23"/>
      <c r="AF1066" s="23"/>
      <c r="AG1066" s="23"/>
      <c r="AH1066" s="23"/>
      <c r="AI1066" s="23"/>
      <c r="AN1066" s="23"/>
      <c r="AO1066" s="23"/>
      <c r="AP1066" s="23"/>
      <c r="AQ1066" s="23"/>
      <c r="AR1066" s="35"/>
      <c r="AS1066" s="35"/>
      <c r="AT1066" s="35"/>
      <c r="AU1066" s="31"/>
      <c r="AV1066" s="36"/>
    </row>
    <row r="1067" spans="1:48">
      <c r="A1067" s="39"/>
      <c r="D1067" s="31"/>
      <c r="E1067" s="31"/>
      <c r="F1067" s="31"/>
      <c r="G1067" s="31"/>
      <c r="H1067" s="32"/>
      <c r="J1067" s="33"/>
      <c r="K1067" s="33"/>
      <c r="L1067" s="33"/>
      <c r="X1067" s="23"/>
      <c r="Y1067" s="23"/>
      <c r="Z1067" s="23"/>
      <c r="AA1067" s="23"/>
      <c r="AF1067" s="23"/>
      <c r="AG1067" s="23"/>
      <c r="AH1067" s="23"/>
      <c r="AI1067" s="23"/>
      <c r="AN1067" s="23"/>
      <c r="AO1067" s="23"/>
      <c r="AP1067" s="23"/>
      <c r="AQ1067" s="23"/>
      <c r="AR1067" s="35"/>
      <c r="AS1067" s="35"/>
      <c r="AT1067" s="35"/>
      <c r="AU1067" s="31"/>
      <c r="AV1067" s="36"/>
    </row>
    <row r="1068" spans="1:48">
      <c r="A1068" s="39"/>
      <c r="D1068" s="31"/>
      <c r="E1068" s="31"/>
      <c r="F1068" s="31"/>
      <c r="G1068" s="31"/>
      <c r="H1068" s="32"/>
      <c r="J1068" s="33"/>
      <c r="K1068" s="33"/>
      <c r="L1068" s="33"/>
      <c r="X1068" s="23"/>
      <c r="Y1068" s="23"/>
      <c r="Z1068" s="23"/>
      <c r="AA1068" s="23"/>
      <c r="AF1068" s="23"/>
      <c r="AG1068" s="23"/>
      <c r="AH1068" s="23"/>
      <c r="AI1068" s="23"/>
      <c r="AN1068" s="23"/>
      <c r="AO1068" s="23"/>
      <c r="AP1068" s="23"/>
      <c r="AQ1068" s="23"/>
      <c r="AR1068" s="35"/>
      <c r="AS1068" s="35"/>
      <c r="AT1068" s="35"/>
      <c r="AU1068" s="31"/>
      <c r="AV1068" s="36"/>
    </row>
    <row r="1069" spans="1:48">
      <c r="A1069" s="39"/>
      <c r="D1069" s="31"/>
      <c r="E1069" s="31"/>
      <c r="F1069" s="31"/>
      <c r="G1069" s="31"/>
      <c r="H1069" s="32"/>
      <c r="J1069" s="33"/>
      <c r="K1069" s="33"/>
      <c r="L1069" s="33"/>
      <c r="X1069" s="23"/>
      <c r="Y1069" s="23"/>
      <c r="Z1069" s="23"/>
      <c r="AA1069" s="23"/>
      <c r="AF1069" s="23"/>
      <c r="AG1069" s="23"/>
      <c r="AH1069" s="23"/>
      <c r="AI1069" s="23"/>
      <c r="AN1069" s="23"/>
      <c r="AO1069" s="23"/>
      <c r="AP1069" s="23"/>
      <c r="AQ1069" s="23"/>
      <c r="AR1069" s="35"/>
      <c r="AS1069" s="35"/>
      <c r="AT1069" s="35"/>
      <c r="AU1069" s="31"/>
      <c r="AV1069" s="36"/>
    </row>
    <row r="1070" spans="1:48">
      <c r="A1070" s="39"/>
      <c r="D1070" s="31"/>
      <c r="E1070" s="31"/>
      <c r="F1070" s="31"/>
      <c r="G1070" s="31"/>
      <c r="H1070" s="32"/>
      <c r="J1070" s="33"/>
      <c r="K1070" s="33"/>
      <c r="L1070" s="33"/>
      <c r="X1070" s="23"/>
      <c r="Y1070" s="23"/>
      <c r="Z1070" s="23"/>
      <c r="AA1070" s="23"/>
      <c r="AF1070" s="23"/>
      <c r="AG1070" s="23"/>
      <c r="AH1070" s="23"/>
      <c r="AI1070" s="23"/>
      <c r="AN1070" s="23"/>
      <c r="AO1070" s="23"/>
      <c r="AP1070" s="23"/>
      <c r="AQ1070" s="23"/>
      <c r="AR1070" s="35"/>
      <c r="AS1070" s="35"/>
      <c r="AT1070" s="35"/>
      <c r="AU1070" s="31"/>
      <c r="AV1070" s="36"/>
    </row>
    <row r="1071" spans="1:48">
      <c r="A1071" s="39"/>
      <c r="D1071" s="31"/>
      <c r="E1071" s="31"/>
      <c r="F1071" s="31"/>
      <c r="G1071" s="31"/>
      <c r="H1071" s="32"/>
      <c r="J1071" s="33"/>
      <c r="K1071" s="33"/>
      <c r="L1071" s="33"/>
      <c r="X1071" s="23"/>
      <c r="Y1071" s="23"/>
      <c r="Z1071" s="23"/>
      <c r="AA1071" s="23"/>
      <c r="AF1071" s="23"/>
      <c r="AG1071" s="23"/>
      <c r="AH1071" s="23"/>
      <c r="AI1071" s="23"/>
      <c r="AN1071" s="23"/>
      <c r="AO1071" s="23"/>
      <c r="AP1071" s="23"/>
      <c r="AQ1071" s="23"/>
      <c r="AR1071" s="35"/>
      <c r="AS1071" s="35"/>
      <c r="AT1071" s="35"/>
      <c r="AU1071" s="31"/>
      <c r="AV1071" s="36"/>
    </row>
    <row r="1072" spans="1:48">
      <c r="A1072" s="39"/>
      <c r="D1072" s="31"/>
      <c r="E1072" s="31"/>
      <c r="F1072" s="31"/>
      <c r="G1072" s="31"/>
      <c r="H1072" s="32"/>
      <c r="J1072" s="33"/>
      <c r="K1072" s="33"/>
      <c r="L1072" s="33"/>
      <c r="X1072" s="23"/>
      <c r="Y1072" s="23"/>
      <c r="Z1072" s="23"/>
      <c r="AA1072" s="23"/>
      <c r="AF1072" s="23"/>
      <c r="AG1072" s="23"/>
      <c r="AH1072" s="23"/>
      <c r="AI1072" s="23"/>
      <c r="AN1072" s="23"/>
      <c r="AO1072" s="23"/>
      <c r="AP1072" s="23"/>
      <c r="AQ1072" s="23"/>
      <c r="AR1072" s="35"/>
      <c r="AS1072" s="35"/>
      <c r="AT1072" s="35"/>
      <c r="AU1072" s="31"/>
      <c r="AV1072" s="36"/>
    </row>
    <row r="1073" spans="1:48">
      <c r="A1073" s="39"/>
      <c r="D1073" s="31"/>
      <c r="E1073" s="31"/>
      <c r="F1073" s="31"/>
      <c r="G1073" s="31"/>
      <c r="H1073" s="32"/>
      <c r="J1073" s="33"/>
      <c r="K1073" s="33"/>
      <c r="L1073" s="33"/>
      <c r="X1073" s="23"/>
      <c r="Y1073" s="23"/>
      <c r="Z1073" s="23"/>
      <c r="AA1073" s="23"/>
      <c r="AF1073" s="23"/>
      <c r="AG1073" s="23"/>
      <c r="AH1073" s="23"/>
      <c r="AI1073" s="23"/>
      <c r="AN1073" s="23"/>
      <c r="AO1073" s="23"/>
      <c r="AP1073" s="23"/>
      <c r="AQ1073" s="23"/>
      <c r="AR1073" s="35"/>
      <c r="AS1073" s="35"/>
      <c r="AT1073" s="35"/>
      <c r="AU1073" s="31"/>
      <c r="AV1073" s="36"/>
    </row>
    <row r="1074" spans="1:48">
      <c r="A1074" s="39"/>
      <c r="D1074" s="31"/>
      <c r="E1074" s="31"/>
      <c r="F1074" s="31"/>
      <c r="G1074" s="31"/>
      <c r="H1074" s="32"/>
      <c r="J1074" s="33"/>
      <c r="K1074" s="33"/>
      <c r="L1074" s="33"/>
      <c r="X1074" s="23"/>
      <c r="Y1074" s="23"/>
      <c r="Z1074" s="23"/>
      <c r="AA1074" s="23"/>
      <c r="AF1074" s="23"/>
      <c r="AG1074" s="23"/>
      <c r="AH1074" s="23"/>
      <c r="AI1074" s="23"/>
      <c r="AN1074" s="23"/>
      <c r="AO1074" s="23"/>
      <c r="AP1074" s="23"/>
      <c r="AQ1074" s="23"/>
      <c r="AR1074" s="35"/>
      <c r="AS1074" s="35"/>
      <c r="AT1074" s="35"/>
      <c r="AU1074" s="31"/>
      <c r="AV1074" s="36"/>
    </row>
    <row r="1075" spans="1:48">
      <c r="A1075" s="39"/>
      <c r="D1075" s="31"/>
      <c r="E1075" s="31"/>
      <c r="F1075" s="31"/>
      <c r="G1075" s="31"/>
      <c r="H1075" s="32"/>
      <c r="J1075" s="33"/>
      <c r="K1075" s="33"/>
      <c r="L1075" s="33"/>
      <c r="X1075" s="23"/>
      <c r="Y1075" s="23"/>
      <c r="Z1075" s="23"/>
      <c r="AA1075" s="23"/>
      <c r="AF1075" s="23"/>
      <c r="AG1075" s="23"/>
      <c r="AH1075" s="23"/>
      <c r="AI1075" s="23"/>
      <c r="AN1075" s="23"/>
      <c r="AO1075" s="23"/>
      <c r="AP1075" s="23"/>
      <c r="AQ1075" s="23"/>
      <c r="AR1075" s="35"/>
      <c r="AS1075" s="35"/>
      <c r="AT1075" s="35"/>
      <c r="AU1075" s="31"/>
      <c r="AV1075" s="36"/>
    </row>
    <row r="1076" spans="1:48">
      <c r="A1076" s="39"/>
      <c r="D1076" s="31"/>
      <c r="E1076" s="31"/>
      <c r="F1076" s="31"/>
      <c r="G1076" s="31"/>
      <c r="H1076" s="32"/>
      <c r="J1076" s="33"/>
      <c r="K1076" s="33"/>
      <c r="L1076" s="33"/>
      <c r="X1076" s="23"/>
      <c r="Y1076" s="23"/>
      <c r="Z1076" s="23"/>
      <c r="AA1076" s="23"/>
      <c r="AF1076" s="23"/>
      <c r="AG1076" s="23"/>
      <c r="AH1076" s="23"/>
      <c r="AI1076" s="23"/>
      <c r="AN1076" s="23"/>
      <c r="AO1076" s="23"/>
      <c r="AP1076" s="23"/>
      <c r="AQ1076" s="23"/>
      <c r="AR1076" s="35"/>
      <c r="AS1076" s="35"/>
      <c r="AT1076" s="35"/>
      <c r="AU1076" s="31"/>
      <c r="AV1076" s="36"/>
    </row>
    <row r="1077" spans="1:48">
      <c r="A1077" s="39"/>
      <c r="D1077" s="31"/>
      <c r="E1077" s="31"/>
      <c r="F1077" s="31"/>
      <c r="G1077" s="31"/>
      <c r="H1077" s="32"/>
      <c r="J1077" s="33"/>
      <c r="K1077" s="33"/>
      <c r="L1077" s="33"/>
      <c r="X1077" s="23"/>
      <c r="Y1077" s="23"/>
      <c r="Z1077" s="23"/>
      <c r="AA1077" s="23"/>
      <c r="AF1077" s="23"/>
      <c r="AG1077" s="23"/>
      <c r="AH1077" s="23"/>
      <c r="AI1077" s="23"/>
      <c r="AN1077" s="23"/>
      <c r="AO1077" s="23"/>
      <c r="AP1077" s="23"/>
      <c r="AQ1077" s="23"/>
      <c r="AR1077" s="35"/>
      <c r="AS1077" s="35"/>
      <c r="AT1077" s="35"/>
      <c r="AU1077" s="31"/>
      <c r="AV1077" s="36"/>
    </row>
    <row r="1078" spans="1:48">
      <c r="A1078" s="39"/>
      <c r="D1078" s="31"/>
      <c r="E1078" s="31"/>
      <c r="F1078" s="31"/>
      <c r="G1078" s="31"/>
      <c r="H1078" s="32"/>
      <c r="J1078" s="33"/>
      <c r="K1078" s="33"/>
      <c r="L1078" s="33"/>
      <c r="X1078" s="23"/>
      <c r="Y1078" s="23"/>
      <c r="Z1078" s="23"/>
      <c r="AA1078" s="23"/>
      <c r="AF1078" s="23"/>
      <c r="AG1078" s="23"/>
      <c r="AH1078" s="23"/>
      <c r="AI1078" s="23"/>
      <c r="AN1078" s="23"/>
      <c r="AO1078" s="23"/>
      <c r="AP1078" s="23"/>
      <c r="AQ1078" s="23"/>
      <c r="AR1078" s="35"/>
      <c r="AS1078" s="35"/>
      <c r="AT1078" s="35"/>
      <c r="AU1078" s="31"/>
      <c r="AV1078" s="36"/>
    </row>
    <row r="1079" spans="1:48">
      <c r="A1079" s="39"/>
      <c r="D1079" s="31"/>
      <c r="E1079" s="31"/>
      <c r="F1079" s="31"/>
      <c r="G1079" s="31"/>
      <c r="H1079" s="32"/>
      <c r="J1079" s="33"/>
      <c r="K1079" s="33"/>
      <c r="L1079" s="33"/>
      <c r="X1079" s="23"/>
      <c r="Y1079" s="23"/>
      <c r="Z1079" s="23"/>
      <c r="AA1079" s="23"/>
      <c r="AF1079" s="23"/>
      <c r="AG1079" s="23"/>
      <c r="AH1079" s="23"/>
      <c r="AI1079" s="23"/>
      <c r="AN1079" s="23"/>
      <c r="AO1079" s="23"/>
      <c r="AP1079" s="23"/>
      <c r="AQ1079" s="23"/>
      <c r="AR1079" s="35"/>
      <c r="AS1079" s="35"/>
      <c r="AT1079" s="35"/>
      <c r="AU1079" s="31"/>
      <c r="AV1079" s="36"/>
    </row>
    <row r="1080" spans="1:48">
      <c r="A1080" s="39"/>
      <c r="D1080" s="31"/>
      <c r="E1080" s="31"/>
      <c r="F1080" s="31"/>
      <c r="G1080" s="31"/>
      <c r="H1080" s="32"/>
      <c r="J1080" s="33"/>
      <c r="K1080" s="33"/>
      <c r="L1080" s="33"/>
      <c r="X1080" s="23"/>
      <c r="Y1080" s="23"/>
      <c r="Z1080" s="23"/>
      <c r="AA1080" s="23"/>
      <c r="AF1080" s="23"/>
      <c r="AG1080" s="23"/>
      <c r="AH1080" s="23"/>
      <c r="AI1080" s="23"/>
      <c r="AN1080" s="23"/>
      <c r="AO1080" s="23"/>
      <c r="AP1080" s="23"/>
      <c r="AQ1080" s="23"/>
      <c r="AR1080" s="35"/>
      <c r="AS1080" s="35"/>
      <c r="AT1080" s="35"/>
      <c r="AU1080" s="31"/>
      <c r="AV1080" s="36"/>
    </row>
    <row r="1081" spans="1:48">
      <c r="A1081" s="39"/>
      <c r="D1081" s="31"/>
      <c r="E1081" s="31"/>
      <c r="F1081" s="31"/>
      <c r="G1081" s="31"/>
      <c r="H1081" s="32"/>
      <c r="J1081" s="33"/>
      <c r="K1081" s="33"/>
      <c r="L1081" s="33"/>
      <c r="X1081" s="23"/>
      <c r="Y1081" s="23"/>
      <c r="Z1081" s="23"/>
      <c r="AA1081" s="23"/>
      <c r="AF1081" s="23"/>
      <c r="AG1081" s="23"/>
      <c r="AH1081" s="23"/>
      <c r="AI1081" s="23"/>
      <c r="AN1081" s="23"/>
      <c r="AO1081" s="23"/>
      <c r="AP1081" s="23"/>
      <c r="AQ1081" s="23"/>
      <c r="AR1081" s="35"/>
      <c r="AS1081" s="35"/>
      <c r="AT1081" s="35"/>
      <c r="AU1081" s="31"/>
      <c r="AV1081" s="36"/>
    </row>
    <row r="1082" spans="1:48">
      <c r="A1082" s="39"/>
      <c r="D1082" s="31"/>
      <c r="E1082" s="31"/>
      <c r="F1082" s="31"/>
      <c r="G1082" s="31"/>
      <c r="H1082" s="32"/>
      <c r="J1082" s="33"/>
      <c r="K1082" s="33"/>
      <c r="L1082" s="33"/>
      <c r="X1082" s="23"/>
      <c r="Y1082" s="23"/>
      <c r="Z1082" s="23"/>
      <c r="AA1082" s="23"/>
      <c r="AF1082" s="23"/>
      <c r="AG1082" s="23"/>
      <c r="AH1082" s="23"/>
      <c r="AI1082" s="23"/>
      <c r="AN1082" s="23"/>
      <c r="AO1082" s="23"/>
      <c r="AP1082" s="23"/>
      <c r="AQ1082" s="23"/>
      <c r="AR1082" s="35"/>
      <c r="AS1082" s="35"/>
      <c r="AT1082" s="35"/>
      <c r="AU1082" s="31"/>
      <c r="AV1082" s="36"/>
    </row>
    <row r="1083" spans="1:48">
      <c r="A1083" s="39"/>
      <c r="D1083" s="31"/>
      <c r="E1083" s="31"/>
      <c r="F1083" s="31"/>
      <c r="G1083" s="31"/>
      <c r="H1083" s="32"/>
      <c r="J1083" s="33"/>
      <c r="K1083" s="33"/>
      <c r="L1083" s="33"/>
      <c r="X1083" s="23"/>
      <c r="Y1083" s="23"/>
      <c r="Z1083" s="23"/>
      <c r="AA1083" s="23"/>
      <c r="AF1083" s="23"/>
      <c r="AG1083" s="23"/>
      <c r="AH1083" s="23"/>
      <c r="AI1083" s="23"/>
      <c r="AN1083" s="23"/>
      <c r="AO1083" s="23"/>
      <c r="AP1083" s="23"/>
      <c r="AQ1083" s="23"/>
      <c r="AR1083" s="35"/>
      <c r="AS1083" s="35"/>
      <c r="AT1083" s="35"/>
      <c r="AU1083" s="31"/>
      <c r="AV1083" s="36"/>
    </row>
    <row r="1084" spans="1:48">
      <c r="A1084" s="39"/>
      <c r="D1084" s="31"/>
      <c r="E1084" s="31"/>
      <c r="F1084" s="31"/>
      <c r="G1084" s="31"/>
      <c r="H1084" s="32"/>
      <c r="J1084" s="33"/>
      <c r="K1084" s="33"/>
      <c r="L1084" s="33"/>
      <c r="X1084" s="23"/>
      <c r="Y1084" s="23"/>
      <c r="Z1084" s="23"/>
      <c r="AA1084" s="23"/>
      <c r="AF1084" s="23"/>
      <c r="AG1084" s="23"/>
      <c r="AH1084" s="23"/>
      <c r="AI1084" s="23"/>
      <c r="AN1084" s="23"/>
      <c r="AO1084" s="23"/>
      <c r="AP1084" s="23"/>
      <c r="AQ1084" s="23"/>
      <c r="AR1084" s="35"/>
      <c r="AS1084" s="35"/>
      <c r="AT1084" s="35"/>
      <c r="AU1084" s="31"/>
      <c r="AV1084" s="36"/>
    </row>
    <row r="1085" spans="1:48">
      <c r="A1085" s="39"/>
      <c r="D1085" s="31"/>
      <c r="E1085" s="31"/>
      <c r="F1085" s="31"/>
      <c r="G1085" s="31"/>
      <c r="H1085" s="32"/>
      <c r="J1085" s="33"/>
      <c r="K1085" s="33"/>
      <c r="L1085" s="33"/>
      <c r="X1085" s="23"/>
      <c r="Y1085" s="23"/>
      <c r="Z1085" s="23"/>
      <c r="AA1085" s="23"/>
      <c r="AF1085" s="23"/>
      <c r="AG1085" s="23"/>
      <c r="AH1085" s="23"/>
      <c r="AI1085" s="23"/>
      <c r="AN1085" s="23"/>
      <c r="AO1085" s="23"/>
      <c r="AP1085" s="23"/>
      <c r="AQ1085" s="23"/>
      <c r="AR1085" s="35"/>
      <c r="AS1085" s="35"/>
      <c r="AT1085" s="35"/>
      <c r="AU1085" s="31"/>
      <c r="AV1085" s="36"/>
    </row>
    <row r="1086" spans="1:48">
      <c r="A1086" s="39"/>
      <c r="D1086" s="31"/>
      <c r="E1086" s="31"/>
      <c r="F1086" s="31"/>
      <c r="G1086" s="31"/>
      <c r="H1086" s="32"/>
      <c r="J1086" s="33"/>
      <c r="K1086" s="33"/>
      <c r="L1086" s="33"/>
      <c r="X1086" s="23"/>
      <c r="Y1086" s="23"/>
      <c r="Z1086" s="23"/>
      <c r="AA1086" s="23"/>
      <c r="AF1086" s="23"/>
      <c r="AG1086" s="23"/>
      <c r="AH1086" s="23"/>
      <c r="AI1086" s="23"/>
      <c r="AN1086" s="23"/>
      <c r="AO1086" s="23"/>
      <c r="AP1086" s="23"/>
      <c r="AQ1086" s="23"/>
      <c r="AR1086" s="35"/>
      <c r="AS1086" s="35"/>
      <c r="AT1086" s="35"/>
      <c r="AU1086" s="31"/>
      <c r="AV1086" s="36"/>
    </row>
    <row r="1087" spans="1:48">
      <c r="A1087" s="39"/>
      <c r="D1087" s="31"/>
      <c r="E1087" s="31"/>
      <c r="F1087" s="31"/>
      <c r="G1087" s="31"/>
      <c r="H1087" s="32"/>
      <c r="J1087" s="33"/>
      <c r="K1087" s="33"/>
      <c r="L1087" s="33"/>
      <c r="X1087" s="23"/>
      <c r="Y1087" s="23"/>
      <c r="Z1087" s="23"/>
      <c r="AA1087" s="23"/>
      <c r="AF1087" s="23"/>
      <c r="AG1087" s="23"/>
      <c r="AH1087" s="23"/>
      <c r="AI1087" s="23"/>
      <c r="AN1087" s="23"/>
      <c r="AO1087" s="23"/>
      <c r="AP1087" s="23"/>
      <c r="AQ1087" s="23"/>
      <c r="AR1087" s="35"/>
      <c r="AS1087" s="35"/>
      <c r="AT1087" s="35"/>
      <c r="AU1087" s="31"/>
      <c r="AV1087" s="36"/>
    </row>
    <row r="1088" spans="1:48">
      <c r="A1088" s="39"/>
      <c r="D1088" s="31"/>
      <c r="E1088" s="31"/>
      <c r="F1088" s="31"/>
      <c r="G1088" s="31"/>
      <c r="H1088" s="32"/>
      <c r="J1088" s="33"/>
      <c r="K1088" s="33"/>
      <c r="L1088" s="33"/>
      <c r="X1088" s="23"/>
      <c r="Y1088" s="23"/>
      <c r="Z1088" s="23"/>
      <c r="AA1088" s="23"/>
      <c r="AF1088" s="23"/>
      <c r="AG1088" s="23"/>
      <c r="AH1088" s="23"/>
      <c r="AI1088" s="23"/>
      <c r="AN1088" s="23"/>
      <c r="AO1088" s="23"/>
      <c r="AP1088" s="23"/>
      <c r="AQ1088" s="23"/>
      <c r="AR1088" s="35"/>
      <c r="AS1088" s="35"/>
      <c r="AT1088" s="35"/>
      <c r="AU1088" s="31"/>
      <c r="AV1088" s="36"/>
    </row>
    <row r="1089" spans="1:48">
      <c r="A1089" s="39"/>
      <c r="D1089" s="31"/>
      <c r="E1089" s="31"/>
      <c r="F1089" s="31"/>
      <c r="G1089" s="31"/>
      <c r="H1089" s="32"/>
      <c r="J1089" s="33"/>
      <c r="K1089" s="33"/>
      <c r="L1089" s="33"/>
      <c r="X1089" s="23"/>
      <c r="Y1089" s="23"/>
      <c r="Z1089" s="23"/>
      <c r="AA1089" s="23"/>
      <c r="AF1089" s="23"/>
      <c r="AG1089" s="23"/>
      <c r="AH1089" s="23"/>
      <c r="AI1089" s="23"/>
      <c r="AN1089" s="23"/>
      <c r="AO1089" s="23"/>
      <c r="AP1089" s="23"/>
      <c r="AQ1089" s="23"/>
      <c r="AR1089" s="35"/>
      <c r="AS1089" s="35"/>
      <c r="AT1089" s="35"/>
      <c r="AU1089" s="31"/>
      <c r="AV1089" s="36"/>
    </row>
    <row r="1090" spans="1:48">
      <c r="A1090" s="39"/>
      <c r="D1090" s="31"/>
      <c r="E1090" s="31"/>
      <c r="F1090" s="31"/>
      <c r="G1090" s="31"/>
      <c r="H1090" s="32"/>
      <c r="J1090" s="33"/>
      <c r="K1090" s="33"/>
      <c r="L1090" s="33"/>
      <c r="X1090" s="23"/>
      <c r="Y1090" s="23"/>
      <c r="Z1090" s="23"/>
      <c r="AA1090" s="23"/>
      <c r="AF1090" s="23"/>
      <c r="AG1090" s="23"/>
      <c r="AH1090" s="23"/>
      <c r="AI1090" s="23"/>
      <c r="AN1090" s="23"/>
      <c r="AO1090" s="23"/>
      <c r="AP1090" s="23"/>
      <c r="AQ1090" s="23"/>
      <c r="AR1090" s="35"/>
      <c r="AS1090" s="35"/>
      <c r="AT1090" s="35"/>
      <c r="AU1090" s="31"/>
      <c r="AV1090" s="36"/>
    </row>
    <row r="1091" spans="1:48">
      <c r="A1091" s="39"/>
      <c r="D1091" s="31"/>
      <c r="E1091" s="31"/>
      <c r="F1091" s="31"/>
      <c r="G1091" s="31"/>
      <c r="H1091" s="32"/>
      <c r="J1091" s="33"/>
      <c r="K1091" s="33"/>
      <c r="L1091" s="33"/>
      <c r="X1091" s="23"/>
      <c r="Y1091" s="23"/>
      <c r="Z1091" s="23"/>
      <c r="AA1091" s="23"/>
      <c r="AF1091" s="23"/>
      <c r="AG1091" s="23"/>
      <c r="AH1091" s="23"/>
      <c r="AI1091" s="23"/>
      <c r="AN1091" s="23"/>
      <c r="AO1091" s="23"/>
      <c r="AP1091" s="23"/>
      <c r="AQ1091" s="23"/>
      <c r="AR1091" s="35"/>
      <c r="AS1091" s="35"/>
      <c r="AT1091" s="35"/>
      <c r="AU1091" s="31"/>
      <c r="AV1091" s="36"/>
    </row>
    <row r="1092" spans="1:48">
      <c r="A1092" s="40"/>
      <c r="D1092" s="31"/>
      <c r="E1092" s="31"/>
      <c r="F1092" s="31"/>
      <c r="G1092" s="31"/>
      <c r="H1092" s="32"/>
      <c r="J1092" s="33"/>
      <c r="K1092" s="33"/>
      <c r="L1092" s="33"/>
      <c r="X1092" s="23"/>
      <c r="Y1092" s="23"/>
      <c r="Z1092" s="23"/>
      <c r="AA1092" s="23"/>
      <c r="AF1092" s="23"/>
      <c r="AG1092" s="23"/>
      <c r="AH1092" s="23"/>
      <c r="AI1092" s="23"/>
      <c r="AN1092" s="23"/>
      <c r="AO1092" s="23"/>
      <c r="AP1092" s="23"/>
      <c r="AQ1092" s="23"/>
      <c r="AR1092" s="35"/>
      <c r="AS1092" s="35"/>
      <c r="AT1092" s="35"/>
      <c r="AU1092" s="31"/>
      <c r="AV1092" s="36"/>
    </row>
    <row r="1093" spans="1:48">
      <c r="A1093" s="40"/>
      <c r="D1093" s="31"/>
      <c r="E1093" s="31"/>
      <c r="F1093" s="31"/>
      <c r="G1093" s="31"/>
      <c r="H1093" s="32"/>
      <c r="J1093" s="33"/>
      <c r="K1093" s="33"/>
      <c r="L1093" s="33"/>
      <c r="X1093" s="23"/>
      <c r="Y1093" s="23"/>
      <c r="Z1093" s="23"/>
      <c r="AA1093" s="23"/>
      <c r="AF1093" s="23"/>
      <c r="AG1093" s="23"/>
      <c r="AH1093" s="23"/>
      <c r="AI1093" s="23"/>
      <c r="AN1093" s="23"/>
      <c r="AO1093" s="23"/>
      <c r="AP1093" s="23"/>
      <c r="AQ1093" s="23"/>
      <c r="AR1093" s="35"/>
      <c r="AS1093" s="35"/>
      <c r="AT1093" s="35"/>
      <c r="AU1093" s="31"/>
      <c r="AV1093" s="36"/>
    </row>
    <row r="1094" spans="4:48">
      <c r="D1094" s="31"/>
      <c r="E1094" s="31"/>
      <c r="F1094" s="31"/>
      <c r="G1094" s="31"/>
      <c r="H1094" s="32"/>
      <c r="J1094" s="33"/>
      <c r="K1094" s="33"/>
      <c r="L1094" s="33"/>
      <c r="X1094" s="23"/>
      <c r="Y1094" s="23"/>
      <c r="Z1094" s="23"/>
      <c r="AA1094" s="23"/>
      <c r="AF1094" s="23"/>
      <c r="AG1094" s="23"/>
      <c r="AH1094" s="23"/>
      <c r="AI1094" s="23"/>
      <c r="AN1094" s="23"/>
      <c r="AO1094" s="23"/>
      <c r="AP1094" s="23"/>
      <c r="AQ1094" s="23"/>
      <c r="AR1094" s="35"/>
      <c r="AS1094" s="35"/>
      <c r="AT1094" s="35"/>
      <c r="AU1094" s="31"/>
      <c r="AV1094" s="36"/>
    </row>
    <row r="1095" spans="4:48">
      <c r="D1095" s="31"/>
      <c r="E1095" s="31"/>
      <c r="F1095" s="31"/>
      <c r="G1095" s="31"/>
      <c r="H1095" s="32"/>
      <c r="J1095" s="33"/>
      <c r="K1095" s="33"/>
      <c r="L1095" s="33"/>
      <c r="X1095" s="23"/>
      <c r="Y1095" s="23"/>
      <c r="Z1095" s="23"/>
      <c r="AA1095" s="23"/>
      <c r="AF1095" s="23"/>
      <c r="AG1095" s="23"/>
      <c r="AH1095" s="23"/>
      <c r="AI1095" s="23"/>
      <c r="AN1095" s="23"/>
      <c r="AO1095" s="23"/>
      <c r="AP1095" s="23"/>
      <c r="AQ1095" s="23"/>
      <c r="AR1095" s="35"/>
      <c r="AS1095" s="35"/>
      <c r="AT1095" s="35"/>
      <c r="AU1095" s="31"/>
      <c r="AV1095" s="36"/>
    </row>
    <row r="1096" spans="4:48">
      <c r="D1096" s="31"/>
      <c r="E1096" s="31"/>
      <c r="F1096" s="31"/>
      <c r="G1096" s="31"/>
      <c r="H1096" s="32"/>
      <c r="J1096" s="33"/>
      <c r="K1096" s="33"/>
      <c r="L1096" s="33"/>
      <c r="X1096" s="23"/>
      <c r="Y1096" s="23"/>
      <c r="Z1096" s="23"/>
      <c r="AA1096" s="23"/>
      <c r="AF1096" s="23"/>
      <c r="AG1096" s="23"/>
      <c r="AH1096" s="23"/>
      <c r="AI1096" s="23"/>
      <c r="AN1096" s="23"/>
      <c r="AO1096" s="23"/>
      <c r="AP1096" s="23"/>
      <c r="AQ1096" s="23"/>
      <c r="AR1096" s="35"/>
      <c r="AS1096" s="35"/>
      <c r="AT1096" s="35"/>
      <c r="AU1096" s="31"/>
      <c r="AV1096" s="36"/>
    </row>
    <row r="1097" spans="4:48">
      <c r="D1097" s="31"/>
      <c r="E1097" s="31"/>
      <c r="F1097" s="31"/>
      <c r="G1097" s="31"/>
      <c r="H1097" s="32"/>
      <c r="J1097" s="33"/>
      <c r="K1097" s="33"/>
      <c r="L1097" s="33"/>
      <c r="X1097" s="23"/>
      <c r="Y1097" s="23"/>
      <c r="Z1097" s="23"/>
      <c r="AA1097" s="23"/>
      <c r="AF1097" s="23"/>
      <c r="AG1097" s="23"/>
      <c r="AH1097" s="23"/>
      <c r="AI1097" s="23"/>
      <c r="AN1097" s="23"/>
      <c r="AO1097" s="23"/>
      <c r="AP1097" s="23"/>
      <c r="AQ1097" s="23"/>
      <c r="AR1097" s="35"/>
      <c r="AS1097" s="35"/>
      <c r="AT1097" s="35"/>
      <c r="AU1097" s="31"/>
      <c r="AV1097" s="36"/>
    </row>
    <row r="1098" spans="4:48">
      <c r="D1098" s="31"/>
      <c r="E1098" s="31"/>
      <c r="F1098" s="31"/>
      <c r="G1098" s="31"/>
      <c r="H1098" s="32"/>
      <c r="J1098" s="33"/>
      <c r="K1098" s="33"/>
      <c r="L1098" s="33"/>
      <c r="X1098" s="23"/>
      <c r="Y1098" s="23"/>
      <c r="Z1098" s="23"/>
      <c r="AA1098" s="23"/>
      <c r="AF1098" s="23"/>
      <c r="AG1098" s="23"/>
      <c r="AH1098" s="23"/>
      <c r="AI1098" s="23"/>
      <c r="AN1098" s="23"/>
      <c r="AO1098" s="23"/>
      <c r="AP1098" s="23"/>
      <c r="AQ1098" s="23"/>
      <c r="AR1098" s="35"/>
      <c r="AS1098" s="35"/>
      <c r="AT1098" s="35"/>
      <c r="AU1098" s="31"/>
      <c r="AV1098" s="36"/>
    </row>
    <row r="1099" spans="4:48">
      <c r="D1099" s="31"/>
      <c r="E1099" s="31"/>
      <c r="F1099" s="31"/>
      <c r="G1099" s="31"/>
      <c r="H1099" s="32"/>
      <c r="J1099" s="33"/>
      <c r="K1099" s="33"/>
      <c r="L1099" s="33"/>
      <c r="X1099" s="23"/>
      <c r="Y1099" s="23"/>
      <c r="Z1099" s="23"/>
      <c r="AA1099" s="23"/>
      <c r="AF1099" s="23"/>
      <c r="AG1099" s="23"/>
      <c r="AH1099" s="23"/>
      <c r="AI1099" s="23"/>
      <c r="AN1099" s="23"/>
      <c r="AO1099" s="23"/>
      <c r="AP1099" s="23"/>
      <c r="AQ1099" s="23"/>
      <c r="AR1099" s="35"/>
      <c r="AS1099" s="35"/>
      <c r="AT1099" s="35"/>
      <c r="AU1099" s="31"/>
      <c r="AV1099" s="36"/>
    </row>
    <row r="1100" spans="4:48">
      <c r="D1100" s="31"/>
      <c r="E1100" s="31"/>
      <c r="F1100" s="31"/>
      <c r="G1100" s="31"/>
      <c r="H1100" s="32"/>
      <c r="J1100" s="33"/>
      <c r="K1100" s="33"/>
      <c r="L1100" s="33"/>
      <c r="X1100" s="23"/>
      <c r="Y1100" s="23"/>
      <c r="Z1100" s="23"/>
      <c r="AA1100" s="23"/>
      <c r="AF1100" s="23"/>
      <c r="AG1100" s="23"/>
      <c r="AH1100" s="23"/>
      <c r="AI1100" s="23"/>
      <c r="AN1100" s="23"/>
      <c r="AO1100" s="23"/>
      <c r="AP1100" s="23"/>
      <c r="AQ1100" s="23"/>
      <c r="AR1100" s="35"/>
      <c r="AS1100" s="35"/>
      <c r="AT1100" s="35"/>
      <c r="AU1100" s="31"/>
      <c r="AV1100" s="36"/>
    </row>
    <row r="1101" spans="4:48">
      <c r="D1101" s="31"/>
      <c r="E1101" s="31"/>
      <c r="F1101" s="31"/>
      <c r="G1101" s="31"/>
      <c r="H1101" s="32"/>
      <c r="J1101" s="33"/>
      <c r="K1101" s="33"/>
      <c r="L1101" s="33"/>
      <c r="X1101" s="23"/>
      <c r="Y1101" s="23"/>
      <c r="Z1101" s="23"/>
      <c r="AA1101" s="23"/>
      <c r="AF1101" s="23"/>
      <c r="AG1101" s="23"/>
      <c r="AH1101" s="23"/>
      <c r="AI1101" s="23"/>
      <c r="AN1101" s="23"/>
      <c r="AO1101" s="23"/>
      <c r="AP1101" s="23"/>
      <c r="AQ1101" s="23"/>
      <c r="AR1101" s="35"/>
      <c r="AS1101" s="35"/>
      <c r="AT1101" s="35"/>
      <c r="AU1101" s="31"/>
      <c r="AV1101" s="36"/>
    </row>
    <row r="1102" spans="4:48">
      <c r="D1102" s="31"/>
      <c r="E1102" s="31"/>
      <c r="F1102" s="31"/>
      <c r="G1102" s="31"/>
      <c r="H1102" s="32"/>
      <c r="J1102" s="33"/>
      <c r="K1102" s="33"/>
      <c r="L1102" s="33"/>
      <c r="X1102" s="23"/>
      <c r="Y1102" s="23"/>
      <c r="Z1102" s="23"/>
      <c r="AA1102" s="23"/>
      <c r="AF1102" s="23"/>
      <c r="AG1102" s="23"/>
      <c r="AH1102" s="23"/>
      <c r="AI1102" s="23"/>
      <c r="AN1102" s="23"/>
      <c r="AO1102" s="23"/>
      <c r="AP1102" s="23"/>
      <c r="AQ1102" s="23"/>
      <c r="AR1102" s="35"/>
      <c r="AS1102" s="35"/>
      <c r="AT1102" s="35"/>
      <c r="AU1102" s="31"/>
      <c r="AV1102" s="36"/>
    </row>
    <row r="1103" spans="4:48">
      <c r="D1103" s="31"/>
      <c r="E1103" s="31"/>
      <c r="F1103" s="31"/>
      <c r="G1103" s="31"/>
      <c r="H1103" s="32"/>
      <c r="J1103" s="33"/>
      <c r="K1103" s="33"/>
      <c r="L1103" s="33"/>
      <c r="X1103" s="23"/>
      <c r="Y1103" s="23"/>
      <c r="Z1103" s="23"/>
      <c r="AA1103" s="23"/>
      <c r="AF1103" s="23"/>
      <c r="AG1103" s="23"/>
      <c r="AH1103" s="23"/>
      <c r="AI1103" s="23"/>
      <c r="AN1103" s="23"/>
      <c r="AO1103" s="23"/>
      <c r="AP1103" s="23"/>
      <c r="AQ1103" s="23"/>
      <c r="AR1103" s="35"/>
      <c r="AS1103" s="35"/>
      <c r="AT1103" s="35"/>
      <c r="AU1103" s="31"/>
      <c r="AV1103" s="36"/>
    </row>
    <row r="1104" spans="4:48">
      <c r="D1104" s="31"/>
      <c r="E1104" s="31"/>
      <c r="F1104" s="31"/>
      <c r="G1104" s="31"/>
      <c r="H1104" s="32"/>
      <c r="J1104" s="33"/>
      <c r="K1104" s="33"/>
      <c r="L1104" s="33"/>
      <c r="X1104" s="23"/>
      <c r="Y1104" s="23"/>
      <c r="Z1104" s="23"/>
      <c r="AA1104" s="23"/>
      <c r="AF1104" s="23"/>
      <c r="AG1104" s="23"/>
      <c r="AH1104" s="23"/>
      <c r="AI1104" s="23"/>
      <c r="AN1104" s="23"/>
      <c r="AO1104" s="23"/>
      <c r="AP1104" s="23"/>
      <c r="AQ1104" s="23"/>
      <c r="AR1104" s="35"/>
      <c r="AS1104" s="35"/>
      <c r="AT1104" s="35"/>
      <c r="AU1104" s="31"/>
      <c r="AV1104" s="36"/>
    </row>
    <row r="1105" spans="4:48">
      <c r="D1105" s="31"/>
      <c r="E1105" s="31"/>
      <c r="F1105" s="31"/>
      <c r="G1105" s="31"/>
      <c r="H1105" s="32"/>
      <c r="J1105" s="33"/>
      <c r="K1105" s="33"/>
      <c r="L1105" s="33"/>
      <c r="X1105" s="23"/>
      <c r="Y1105" s="23"/>
      <c r="Z1105" s="23"/>
      <c r="AA1105" s="23"/>
      <c r="AF1105" s="23"/>
      <c r="AG1105" s="23"/>
      <c r="AH1105" s="23"/>
      <c r="AI1105" s="23"/>
      <c r="AN1105" s="23"/>
      <c r="AO1105" s="23"/>
      <c r="AP1105" s="23"/>
      <c r="AQ1105" s="23"/>
      <c r="AR1105" s="35"/>
      <c r="AS1105" s="35"/>
      <c r="AT1105" s="35"/>
      <c r="AU1105" s="31"/>
      <c r="AV1105" s="36"/>
    </row>
    <row r="1106" spans="4:48">
      <c r="D1106" s="31"/>
      <c r="E1106" s="31"/>
      <c r="F1106" s="31"/>
      <c r="G1106" s="31"/>
      <c r="H1106" s="32"/>
      <c r="J1106" s="33"/>
      <c r="K1106" s="33"/>
      <c r="L1106" s="33"/>
      <c r="X1106" s="23"/>
      <c r="Y1106" s="23"/>
      <c r="Z1106" s="23"/>
      <c r="AA1106" s="23"/>
      <c r="AF1106" s="23"/>
      <c r="AG1106" s="23"/>
      <c r="AH1106" s="23"/>
      <c r="AI1106" s="23"/>
      <c r="AN1106" s="23"/>
      <c r="AO1106" s="23"/>
      <c r="AP1106" s="23"/>
      <c r="AQ1106" s="23"/>
      <c r="AR1106" s="35"/>
      <c r="AS1106" s="35"/>
      <c r="AT1106" s="35"/>
      <c r="AU1106" s="31"/>
      <c r="AV1106" s="36"/>
    </row>
    <row r="1107" spans="4:48">
      <c r="D1107" s="31"/>
      <c r="E1107" s="31"/>
      <c r="F1107" s="31"/>
      <c r="G1107" s="31"/>
      <c r="H1107" s="32"/>
      <c r="J1107" s="33"/>
      <c r="K1107" s="33"/>
      <c r="L1107" s="33"/>
      <c r="X1107" s="23"/>
      <c r="Y1107" s="23"/>
      <c r="Z1107" s="23"/>
      <c r="AA1107" s="23"/>
      <c r="AF1107" s="23"/>
      <c r="AG1107" s="23"/>
      <c r="AH1107" s="23"/>
      <c r="AI1107" s="23"/>
      <c r="AN1107" s="23"/>
      <c r="AO1107" s="23"/>
      <c r="AP1107" s="23"/>
      <c r="AQ1107" s="23"/>
      <c r="AR1107" s="35"/>
      <c r="AS1107" s="35"/>
      <c r="AT1107" s="35"/>
      <c r="AU1107" s="31"/>
      <c r="AV1107" s="36"/>
    </row>
    <row r="1108" spans="4:48">
      <c r="D1108" s="31"/>
      <c r="E1108" s="31"/>
      <c r="F1108" s="31"/>
      <c r="G1108" s="31"/>
      <c r="H1108" s="32"/>
      <c r="J1108" s="33"/>
      <c r="K1108" s="33"/>
      <c r="L1108" s="33"/>
      <c r="X1108" s="23"/>
      <c r="Y1108" s="23"/>
      <c r="Z1108" s="23"/>
      <c r="AA1108" s="23"/>
      <c r="AF1108" s="23"/>
      <c r="AG1108" s="23"/>
      <c r="AH1108" s="23"/>
      <c r="AI1108" s="23"/>
      <c r="AN1108" s="23"/>
      <c r="AO1108" s="23"/>
      <c r="AP1108" s="23"/>
      <c r="AQ1108" s="23"/>
      <c r="AR1108" s="35"/>
      <c r="AS1108" s="35"/>
      <c r="AT1108" s="35"/>
      <c r="AU1108" s="31"/>
      <c r="AV1108" s="36"/>
    </row>
    <row r="1109" spans="4:48">
      <c r="D1109" s="31"/>
      <c r="E1109" s="31"/>
      <c r="F1109" s="31"/>
      <c r="G1109" s="31"/>
      <c r="H1109" s="32"/>
      <c r="J1109" s="33"/>
      <c r="K1109" s="33"/>
      <c r="L1109" s="33"/>
      <c r="X1109" s="23"/>
      <c r="Y1109" s="23"/>
      <c r="Z1109" s="23"/>
      <c r="AA1109" s="23"/>
      <c r="AF1109" s="23"/>
      <c r="AG1109" s="23"/>
      <c r="AH1109" s="23"/>
      <c r="AI1109" s="23"/>
      <c r="AN1109" s="23"/>
      <c r="AO1109" s="23"/>
      <c r="AP1109" s="23"/>
      <c r="AQ1109" s="23"/>
      <c r="AR1109" s="35"/>
      <c r="AS1109" s="35"/>
      <c r="AT1109" s="35"/>
      <c r="AU1109" s="31"/>
      <c r="AV1109" s="36"/>
    </row>
    <row r="1110" spans="4:48">
      <c r="D1110" s="31"/>
      <c r="E1110" s="31"/>
      <c r="F1110" s="31"/>
      <c r="G1110" s="31"/>
      <c r="H1110" s="32"/>
      <c r="J1110" s="33"/>
      <c r="K1110" s="33"/>
      <c r="L1110" s="33"/>
      <c r="X1110" s="23"/>
      <c r="Y1110" s="23"/>
      <c r="Z1110" s="23"/>
      <c r="AA1110" s="23"/>
      <c r="AF1110" s="23"/>
      <c r="AG1110" s="23"/>
      <c r="AH1110" s="23"/>
      <c r="AI1110" s="23"/>
      <c r="AN1110" s="23"/>
      <c r="AO1110" s="23"/>
      <c r="AP1110" s="23"/>
      <c r="AQ1110" s="23"/>
      <c r="AR1110" s="35"/>
      <c r="AS1110" s="35"/>
      <c r="AT1110" s="35"/>
      <c r="AU1110" s="31"/>
      <c r="AV1110" s="36"/>
    </row>
    <row r="1111" spans="4:48">
      <c r="D1111" s="31"/>
      <c r="E1111" s="31"/>
      <c r="F1111" s="31"/>
      <c r="G1111" s="31"/>
      <c r="H1111" s="32"/>
      <c r="J1111" s="33"/>
      <c r="K1111" s="33"/>
      <c r="L1111" s="33"/>
      <c r="X1111" s="23"/>
      <c r="Y1111" s="23"/>
      <c r="Z1111" s="23"/>
      <c r="AA1111" s="23"/>
      <c r="AF1111" s="23"/>
      <c r="AG1111" s="23"/>
      <c r="AH1111" s="23"/>
      <c r="AI1111" s="23"/>
      <c r="AN1111" s="23"/>
      <c r="AO1111" s="23"/>
      <c r="AP1111" s="23"/>
      <c r="AQ1111" s="23"/>
      <c r="AR1111" s="35"/>
      <c r="AS1111" s="35"/>
      <c r="AT1111" s="35"/>
      <c r="AU1111" s="31"/>
      <c r="AV1111" s="36"/>
    </row>
    <row r="1112" spans="4:48">
      <c r="D1112" s="31"/>
      <c r="E1112" s="31"/>
      <c r="F1112" s="31"/>
      <c r="G1112" s="31"/>
      <c r="H1112" s="32"/>
      <c r="J1112" s="33"/>
      <c r="K1112" s="33"/>
      <c r="L1112" s="33"/>
      <c r="X1112" s="23"/>
      <c r="Y1112" s="23"/>
      <c r="Z1112" s="23"/>
      <c r="AA1112" s="23"/>
      <c r="AF1112" s="23"/>
      <c r="AG1112" s="23"/>
      <c r="AH1112" s="23"/>
      <c r="AI1112" s="23"/>
      <c r="AN1112" s="23"/>
      <c r="AO1112" s="23"/>
      <c r="AP1112" s="23"/>
      <c r="AQ1112" s="23"/>
      <c r="AR1112" s="35"/>
      <c r="AS1112" s="35"/>
      <c r="AT1112" s="35"/>
      <c r="AU1112" s="31"/>
      <c r="AV1112" s="36"/>
    </row>
    <row r="1113" spans="4:48">
      <c r="D1113" s="31"/>
      <c r="E1113" s="31"/>
      <c r="F1113" s="31"/>
      <c r="G1113" s="31"/>
      <c r="H1113" s="32"/>
      <c r="J1113" s="33"/>
      <c r="K1113" s="33"/>
      <c r="L1113" s="33"/>
      <c r="X1113" s="23"/>
      <c r="Y1113" s="23"/>
      <c r="Z1113" s="23"/>
      <c r="AA1113" s="23"/>
      <c r="AF1113" s="23"/>
      <c r="AG1113" s="23"/>
      <c r="AH1113" s="23"/>
      <c r="AI1113" s="23"/>
      <c r="AN1113" s="23"/>
      <c r="AO1113" s="23"/>
      <c r="AP1113" s="23"/>
      <c r="AQ1113" s="23"/>
      <c r="AR1113" s="35"/>
      <c r="AS1113" s="35"/>
      <c r="AT1113" s="35"/>
      <c r="AU1113" s="31"/>
      <c r="AV1113" s="36"/>
    </row>
    <row r="1114" spans="4:48">
      <c r="D1114" s="31"/>
      <c r="E1114" s="31"/>
      <c r="F1114" s="31"/>
      <c r="G1114" s="31"/>
      <c r="H1114" s="32"/>
      <c r="J1114" s="33"/>
      <c r="K1114" s="33"/>
      <c r="L1114" s="33"/>
      <c r="X1114" s="23"/>
      <c r="Y1114" s="23"/>
      <c r="Z1114" s="23"/>
      <c r="AA1114" s="23"/>
      <c r="AF1114" s="23"/>
      <c r="AG1114" s="23"/>
      <c r="AH1114" s="23"/>
      <c r="AI1114" s="23"/>
      <c r="AN1114" s="23"/>
      <c r="AO1114" s="23"/>
      <c r="AP1114" s="23"/>
      <c r="AQ1114" s="23"/>
      <c r="AR1114" s="35"/>
      <c r="AS1114" s="35"/>
      <c r="AT1114" s="35"/>
      <c r="AU1114" s="31"/>
      <c r="AV1114" s="36"/>
    </row>
    <row r="1115" spans="4:48">
      <c r="D1115" s="31"/>
      <c r="E1115" s="31"/>
      <c r="F1115" s="31"/>
      <c r="G1115" s="31"/>
      <c r="H1115" s="32"/>
      <c r="J1115" s="33"/>
      <c r="K1115" s="33"/>
      <c r="L1115" s="33"/>
      <c r="X1115" s="23"/>
      <c r="Y1115" s="23"/>
      <c r="Z1115" s="23"/>
      <c r="AA1115" s="23"/>
      <c r="AF1115" s="23"/>
      <c r="AG1115" s="23"/>
      <c r="AH1115" s="23"/>
      <c r="AI1115" s="23"/>
      <c r="AN1115" s="23"/>
      <c r="AO1115" s="23"/>
      <c r="AP1115" s="23"/>
      <c r="AQ1115" s="23"/>
      <c r="AR1115" s="35"/>
      <c r="AS1115" s="35"/>
      <c r="AT1115" s="35"/>
      <c r="AU1115" s="31"/>
      <c r="AV1115" s="36"/>
    </row>
    <row r="1116" spans="4:48">
      <c r="D1116" s="31"/>
      <c r="E1116" s="31"/>
      <c r="F1116" s="31"/>
      <c r="G1116" s="31"/>
      <c r="H1116" s="32"/>
      <c r="J1116" s="33"/>
      <c r="K1116" s="33"/>
      <c r="L1116" s="33"/>
      <c r="X1116" s="23"/>
      <c r="Y1116" s="23"/>
      <c r="Z1116" s="23"/>
      <c r="AA1116" s="23"/>
      <c r="AF1116" s="23"/>
      <c r="AG1116" s="23"/>
      <c r="AH1116" s="23"/>
      <c r="AI1116" s="23"/>
      <c r="AN1116" s="23"/>
      <c r="AO1116" s="23"/>
      <c r="AP1116" s="23"/>
      <c r="AQ1116" s="23"/>
      <c r="AR1116" s="35"/>
      <c r="AS1116" s="35"/>
      <c r="AT1116" s="35"/>
      <c r="AU1116" s="31"/>
      <c r="AV1116" s="36"/>
    </row>
    <row r="1117" spans="4:48">
      <c r="D1117" s="31"/>
      <c r="E1117" s="31"/>
      <c r="F1117" s="31"/>
      <c r="G1117" s="31"/>
      <c r="H1117" s="32"/>
      <c r="J1117" s="33"/>
      <c r="K1117" s="33"/>
      <c r="L1117" s="33"/>
      <c r="X1117" s="23"/>
      <c r="Y1117" s="23"/>
      <c r="Z1117" s="23"/>
      <c r="AA1117" s="23"/>
      <c r="AF1117" s="23"/>
      <c r="AG1117" s="23"/>
      <c r="AH1117" s="23"/>
      <c r="AI1117" s="23"/>
      <c r="AN1117" s="23"/>
      <c r="AO1117" s="23"/>
      <c r="AP1117" s="23"/>
      <c r="AQ1117" s="23"/>
      <c r="AR1117" s="35"/>
      <c r="AS1117" s="35"/>
      <c r="AT1117" s="35"/>
      <c r="AU1117" s="31"/>
      <c r="AV1117" s="36"/>
    </row>
    <row r="1118" spans="4:48">
      <c r="D1118" s="31"/>
      <c r="E1118" s="31"/>
      <c r="F1118" s="31"/>
      <c r="G1118" s="31"/>
      <c r="H1118" s="32"/>
      <c r="J1118" s="33"/>
      <c r="K1118" s="33"/>
      <c r="L1118" s="33"/>
      <c r="X1118" s="23"/>
      <c r="Y1118" s="23"/>
      <c r="Z1118" s="23"/>
      <c r="AA1118" s="23"/>
      <c r="AF1118" s="23"/>
      <c r="AG1118" s="23"/>
      <c r="AH1118" s="23"/>
      <c r="AI1118" s="23"/>
      <c r="AN1118" s="23"/>
      <c r="AO1118" s="23"/>
      <c r="AP1118" s="23"/>
      <c r="AQ1118" s="23"/>
      <c r="AR1118" s="35"/>
      <c r="AS1118" s="35"/>
      <c r="AT1118" s="35"/>
      <c r="AU1118" s="31"/>
      <c r="AV1118" s="36"/>
    </row>
    <row r="1119" spans="4:48">
      <c r="D1119" s="31"/>
      <c r="E1119" s="31"/>
      <c r="F1119" s="31"/>
      <c r="G1119" s="31"/>
      <c r="H1119" s="32"/>
      <c r="J1119" s="33"/>
      <c r="K1119" s="33"/>
      <c r="L1119" s="33"/>
      <c r="X1119" s="23"/>
      <c r="Y1119" s="23"/>
      <c r="Z1119" s="23"/>
      <c r="AA1119" s="23"/>
      <c r="AF1119" s="23"/>
      <c r="AG1119" s="23"/>
      <c r="AH1119" s="23"/>
      <c r="AI1119" s="23"/>
      <c r="AN1119" s="23"/>
      <c r="AO1119" s="23"/>
      <c r="AP1119" s="23"/>
      <c r="AQ1119" s="23"/>
      <c r="AR1119" s="35"/>
      <c r="AS1119" s="35"/>
      <c r="AT1119" s="35"/>
      <c r="AU1119" s="31"/>
      <c r="AV1119" s="36"/>
    </row>
    <row r="1120" spans="4:48">
      <c r="D1120" s="31"/>
      <c r="E1120" s="31"/>
      <c r="F1120" s="31"/>
      <c r="G1120" s="31"/>
      <c r="H1120" s="32"/>
      <c r="J1120" s="33"/>
      <c r="K1120" s="33"/>
      <c r="L1120" s="33"/>
      <c r="X1120" s="23"/>
      <c r="Y1120" s="23"/>
      <c r="Z1120" s="23"/>
      <c r="AA1120" s="23"/>
      <c r="AF1120" s="23"/>
      <c r="AG1120" s="23"/>
      <c r="AH1120" s="23"/>
      <c r="AI1120" s="23"/>
      <c r="AN1120" s="23"/>
      <c r="AO1120" s="23"/>
      <c r="AP1120" s="23"/>
      <c r="AQ1120" s="23"/>
      <c r="AR1120" s="35"/>
      <c r="AS1120" s="35"/>
      <c r="AT1120" s="35"/>
      <c r="AU1120" s="31"/>
      <c r="AV1120" s="36"/>
    </row>
    <row r="1121" spans="4:48">
      <c r="D1121" s="31"/>
      <c r="E1121" s="31"/>
      <c r="F1121" s="31"/>
      <c r="G1121" s="31"/>
      <c r="H1121" s="32"/>
      <c r="J1121" s="33"/>
      <c r="K1121" s="33"/>
      <c r="L1121" s="33"/>
      <c r="X1121" s="23"/>
      <c r="Y1121" s="23"/>
      <c r="Z1121" s="23"/>
      <c r="AA1121" s="23"/>
      <c r="AF1121" s="23"/>
      <c r="AG1121" s="23"/>
      <c r="AH1121" s="23"/>
      <c r="AI1121" s="23"/>
      <c r="AN1121" s="23"/>
      <c r="AO1121" s="23"/>
      <c r="AP1121" s="23"/>
      <c r="AQ1121" s="23"/>
      <c r="AR1121" s="35"/>
      <c r="AS1121" s="35"/>
      <c r="AT1121" s="35"/>
      <c r="AU1121" s="31"/>
      <c r="AV1121" s="36"/>
    </row>
    <row r="1122" spans="4:48">
      <c r="D1122" s="31"/>
      <c r="E1122" s="31"/>
      <c r="F1122" s="31"/>
      <c r="G1122" s="31"/>
      <c r="H1122" s="32"/>
      <c r="J1122" s="33"/>
      <c r="K1122" s="33"/>
      <c r="L1122" s="33"/>
      <c r="X1122" s="23"/>
      <c r="Y1122" s="23"/>
      <c r="Z1122" s="23"/>
      <c r="AA1122" s="23"/>
      <c r="AF1122" s="23"/>
      <c r="AG1122" s="23"/>
      <c r="AH1122" s="23"/>
      <c r="AI1122" s="23"/>
      <c r="AN1122" s="23"/>
      <c r="AO1122" s="23"/>
      <c r="AP1122" s="23"/>
      <c r="AQ1122" s="23"/>
      <c r="AR1122" s="35"/>
      <c r="AS1122" s="35"/>
      <c r="AT1122" s="35"/>
      <c r="AU1122" s="31"/>
      <c r="AV1122" s="36"/>
    </row>
    <row r="1123" spans="4:48">
      <c r="D1123" s="31"/>
      <c r="E1123" s="31"/>
      <c r="F1123" s="31"/>
      <c r="G1123" s="31"/>
      <c r="H1123" s="32"/>
      <c r="J1123" s="33"/>
      <c r="K1123" s="33"/>
      <c r="L1123" s="33"/>
      <c r="X1123" s="23"/>
      <c r="Y1123" s="23"/>
      <c r="Z1123" s="23"/>
      <c r="AA1123" s="23"/>
      <c r="AF1123" s="23"/>
      <c r="AG1123" s="23"/>
      <c r="AH1123" s="23"/>
      <c r="AI1123" s="23"/>
      <c r="AN1123" s="23"/>
      <c r="AO1123" s="23"/>
      <c r="AP1123" s="23"/>
      <c r="AQ1123" s="23"/>
      <c r="AR1123" s="35"/>
      <c r="AS1123" s="35"/>
      <c r="AT1123" s="35"/>
      <c r="AU1123" s="31"/>
      <c r="AV1123" s="36"/>
    </row>
    <row r="1124" spans="4:48">
      <c r="D1124" s="31"/>
      <c r="E1124" s="31"/>
      <c r="F1124" s="31"/>
      <c r="G1124" s="31"/>
      <c r="H1124" s="32"/>
      <c r="J1124" s="33"/>
      <c r="K1124" s="33"/>
      <c r="L1124" s="33"/>
      <c r="X1124" s="23"/>
      <c r="Y1124" s="23"/>
      <c r="Z1124" s="23"/>
      <c r="AA1124" s="23"/>
      <c r="AF1124" s="23"/>
      <c r="AG1124" s="23"/>
      <c r="AH1124" s="23"/>
      <c r="AI1124" s="23"/>
      <c r="AN1124" s="23"/>
      <c r="AO1124" s="23"/>
      <c r="AP1124" s="23"/>
      <c r="AQ1124" s="23"/>
      <c r="AR1124" s="35"/>
      <c r="AS1124" s="35"/>
      <c r="AT1124" s="35"/>
      <c r="AU1124" s="31"/>
      <c r="AV1124" s="36"/>
    </row>
    <row r="1125" spans="4:48">
      <c r="D1125" s="31"/>
      <c r="E1125" s="31"/>
      <c r="F1125" s="31"/>
      <c r="G1125" s="31"/>
      <c r="H1125" s="32"/>
      <c r="J1125" s="33"/>
      <c r="K1125" s="33"/>
      <c r="L1125" s="33"/>
      <c r="X1125" s="23"/>
      <c r="Y1125" s="23"/>
      <c r="Z1125" s="23"/>
      <c r="AA1125" s="23"/>
      <c r="AF1125" s="23"/>
      <c r="AG1125" s="23"/>
      <c r="AH1125" s="23"/>
      <c r="AI1125" s="23"/>
      <c r="AN1125" s="23"/>
      <c r="AO1125" s="23"/>
      <c r="AP1125" s="23"/>
      <c r="AQ1125" s="23"/>
      <c r="AR1125" s="35"/>
      <c r="AS1125" s="35"/>
      <c r="AT1125" s="35"/>
      <c r="AU1125" s="31"/>
      <c r="AV1125" s="36"/>
    </row>
    <row r="1126" spans="4:48">
      <c r="D1126" s="31"/>
      <c r="E1126" s="31"/>
      <c r="F1126" s="31"/>
      <c r="G1126" s="31"/>
      <c r="H1126" s="32"/>
      <c r="J1126" s="33"/>
      <c r="K1126" s="33"/>
      <c r="L1126" s="33"/>
      <c r="X1126" s="23"/>
      <c r="Y1126" s="23"/>
      <c r="Z1126" s="23"/>
      <c r="AA1126" s="23"/>
      <c r="AF1126" s="23"/>
      <c r="AG1126" s="23"/>
      <c r="AH1126" s="23"/>
      <c r="AI1126" s="23"/>
      <c r="AN1126" s="23"/>
      <c r="AO1126" s="23"/>
      <c r="AP1126" s="23"/>
      <c r="AQ1126" s="23"/>
      <c r="AR1126" s="35"/>
      <c r="AS1126" s="35"/>
      <c r="AT1126" s="35"/>
      <c r="AU1126" s="31"/>
      <c r="AV1126" s="36"/>
    </row>
    <row r="1127" spans="4:48">
      <c r="D1127" s="31"/>
      <c r="E1127" s="31"/>
      <c r="F1127" s="31"/>
      <c r="G1127" s="31"/>
      <c r="H1127" s="32"/>
      <c r="J1127" s="33"/>
      <c r="K1127" s="33"/>
      <c r="L1127" s="33"/>
      <c r="X1127" s="23"/>
      <c r="Y1127" s="23"/>
      <c r="Z1127" s="23"/>
      <c r="AA1127" s="23"/>
      <c r="AF1127" s="23"/>
      <c r="AG1127" s="23"/>
      <c r="AH1127" s="23"/>
      <c r="AI1127" s="23"/>
      <c r="AN1127" s="23"/>
      <c r="AO1127" s="23"/>
      <c r="AP1127" s="23"/>
      <c r="AQ1127" s="23"/>
      <c r="AR1127" s="35"/>
      <c r="AS1127" s="35"/>
      <c r="AT1127" s="35"/>
      <c r="AU1127" s="31"/>
      <c r="AV1127" s="36"/>
    </row>
    <row r="1128" spans="4:48">
      <c r="D1128" s="31"/>
      <c r="E1128" s="31"/>
      <c r="F1128" s="31"/>
      <c r="G1128" s="31"/>
      <c r="H1128" s="32"/>
      <c r="J1128" s="33"/>
      <c r="K1128" s="33"/>
      <c r="L1128" s="33"/>
      <c r="X1128" s="23"/>
      <c r="Y1128" s="23"/>
      <c r="Z1128" s="23"/>
      <c r="AA1128" s="23"/>
      <c r="AF1128" s="23"/>
      <c r="AG1128" s="23"/>
      <c r="AH1128" s="23"/>
      <c r="AI1128" s="23"/>
      <c r="AN1128" s="23"/>
      <c r="AO1128" s="23"/>
      <c r="AP1128" s="23"/>
      <c r="AQ1128" s="23"/>
      <c r="AR1128" s="35"/>
      <c r="AS1128" s="35"/>
      <c r="AT1128" s="35"/>
      <c r="AU1128" s="31"/>
      <c r="AV1128" s="36"/>
    </row>
    <row r="1129" spans="4:48">
      <c r="D1129" s="31"/>
      <c r="E1129" s="31"/>
      <c r="F1129" s="31"/>
      <c r="G1129" s="31"/>
      <c r="H1129" s="32"/>
      <c r="J1129" s="33"/>
      <c r="K1129" s="33"/>
      <c r="L1129" s="33"/>
      <c r="X1129" s="23"/>
      <c r="Y1129" s="23"/>
      <c r="Z1129" s="23"/>
      <c r="AA1129" s="23"/>
      <c r="AF1129" s="23"/>
      <c r="AG1129" s="23"/>
      <c r="AH1129" s="23"/>
      <c r="AI1129" s="23"/>
      <c r="AN1129" s="23"/>
      <c r="AO1129" s="23"/>
      <c r="AP1129" s="23"/>
      <c r="AQ1129" s="23"/>
      <c r="AR1129" s="35"/>
      <c r="AS1129" s="35"/>
      <c r="AT1129" s="35"/>
      <c r="AU1129" s="31"/>
      <c r="AV1129" s="36"/>
    </row>
    <row r="1130" spans="4:48">
      <c r="D1130" s="31"/>
      <c r="E1130" s="31"/>
      <c r="F1130" s="31"/>
      <c r="G1130" s="31"/>
      <c r="H1130" s="32"/>
      <c r="J1130" s="33"/>
      <c r="K1130" s="33"/>
      <c r="L1130" s="33"/>
      <c r="X1130" s="23"/>
      <c r="Y1130" s="23"/>
      <c r="Z1130" s="23"/>
      <c r="AA1130" s="23"/>
      <c r="AF1130" s="23"/>
      <c r="AG1130" s="23"/>
      <c r="AH1130" s="23"/>
      <c r="AI1130" s="23"/>
      <c r="AN1130" s="23"/>
      <c r="AO1130" s="23"/>
      <c r="AP1130" s="23"/>
      <c r="AQ1130" s="23"/>
      <c r="AR1130" s="35"/>
      <c r="AS1130" s="35"/>
      <c r="AT1130" s="35"/>
      <c r="AU1130" s="31"/>
      <c r="AV1130" s="36"/>
    </row>
    <row r="1131" spans="4:48">
      <c r="D1131" s="31"/>
      <c r="E1131" s="31"/>
      <c r="F1131" s="31"/>
      <c r="G1131" s="31"/>
      <c r="H1131" s="32"/>
      <c r="J1131" s="33"/>
      <c r="K1131" s="33"/>
      <c r="L1131" s="33"/>
      <c r="X1131" s="23"/>
      <c r="Y1131" s="23"/>
      <c r="Z1131" s="23"/>
      <c r="AA1131" s="23"/>
      <c r="AF1131" s="23"/>
      <c r="AG1131" s="23"/>
      <c r="AH1131" s="23"/>
      <c r="AI1131" s="23"/>
      <c r="AN1131" s="23"/>
      <c r="AO1131" s="23"/>
      <c r="AP1131" s="23"/>
      <c r="AQ1131" s="23"/>
      <c r="AR1131" s="35"/>
      <c r="AS1131" s="35"/>
      <c r="AT1131" s="35"/>
      <c r="AU1131" s="31"/>
      <c r="AV1131" s="36"/>
    </row>
    <row r="1132" spans="4:48">
      <c r="D1132" s="31"/>
      <c r="E1132" s="31"/>
      <c r="F1132" s="31"/>
      <c r="G1132" s="31"/>
      <c r="H1132" s="32"/>
      <c r="J1132" s="33"/>
      <c r="K1132" s="33"/>
      <c r="L1132" s="33"/>
      <c r="X1132" s="23"/>
      <c r="Y1132" s="23"/>
      <c r="Z1132" s="23"/>
      <c r="AA1132" s="23"/>
      <c r="AF1132" s="23"/>
      <c r="AG1132" s="23"/>
      <c r="AH1132" s="23"/>
      <c r="AI1132" s="23"/>
      <c r="AN1132" s="23"/>
      <c r="AO1132" s="23"/>
      <c r="AP1132" s="23"/>
      <c r="AQ1132" s="23"/>
      <c r="AR1132" s="35"/>
      <c r="AS1132" s="35"/>
      <c r="AT1132" s="35"/>
      <c r="AU1132" s="31"/>
      <c r="AV1132" s="36"/>
    </row>
    <row r="1133" spans="4:48">
      <c r="D1133" s="31"/>
      <c r="E1133" s="31"/>
      <c r="F1133" s="31"/>
      <c r="G1133" s="31"/>
      <c r="H1133" s="32"/>
      <c r="J1133" s="33"/>
      <c r="K1133" s="33"/>
      <c r="L1133" s="33"/>
      <c r="X1133" s="23"/>
      <c r="Y1133" s="23"/>
      <c r="Z1133" s="23"/>
      <c r="AA1133" s="23"/>
      <c r="AF1133" s="23"/>
      <c r="AG1133" s="23"/>
      <c r="AH1133" s="23"/>
      <c r="AI1133" s="23"/>
      <c r="AN1133" s="23"/>
      <c r="AO1133" s="23"/>
      <c r="AP1133" s="23"/>
      <c r="AQ1133" s="23"/>
      <c r="AR1133" s="35"/>
      <c r="AS1133" s="35"/>
      <c r="AT1133" s="35"/>
      <c r="AU1133" s="31"/>
      <c r="AV1133" s="36"/>
    </row>
    <row r="1134" spans="4:48">
      <c r="D1134" s="31"/>
      <c r="E1134" s="31"/>
      <c r="F1134" s="31"/>
      <c r="G1134" s="31"/>
      <c r="H1134" s="32"/>
      <c r="J1134" s="33"/>
      <c r="K1134" s="33"/>
      <c r="L1134" s="33"/>
      <c r="X1134" s="23"/>
      <c r="Y1134" s="23"/>
      <c r="Z1134" s="23"/>
      <c r="AA1134" s="23"/>
      <c r="AF1134" s="23"/>
      <c r="AG1134" s="23"/>
      <c r="AH1134" s="23"/>
      <c r="AI1134" s="23"/>
      <c r="AN1134" s="23"/>
      <c r="AO1134" s="23"/>
      <c r="AP1134" s="23"/>
      <c r="AQ1134" s="23"/>
      <c r="AR1134" s="35"/>
      <c r="AS1134" s="35"/>
      <c r="AT1134" s="35"/>
      <c r="AU1134" s="31"/>
      <c r="AV1134" s="36"/>
    </row>
    <row r="1135" spans="4:48">
      <c r="D1135" s="31"/>
      <c r="E1135" s="31"/>
      <c r="F1135" s="31"/>
      <c r="G1135" s="31"/>
      <c r="H1135" s="32"/>
      <c r="J1135" s="33"/>
      <c r="K1135" s="33"/>
      <c r="L1135" s="33"/>
      <c r="X1135" s="23"/>
      <c r="Y1135" s="23"/>
      <c r="Z1135" s="23"/>
      <c r="AA1135" s="23"/>
      <c r="AF1135" s="23"/>
      <c r="AG1135" s="23"/>
      <c r="AH1135" s="23"/>
      <c r="AI1135" s="23"/>
      <c r="AN1135" s="23"/>
      <c r="AO1135" s="23"/>
      <c r="AP1135" s="23"/>
      <c r="AQ1135" s="23"/>
      <c r="AR1135" s="35"/>
      <c r="AS1135" s="35"/>
      <c r="AT1135" s="35"/>
      <c r="AU1135" s="31"/>
      <c r="AV1135" s="36"/>
    </row>
    <row r="1136" spans="4:48">
      <c r="D1136" s="31"/>
      <c r="E1136" s="31"/>
      <c r="F1136" s="31"/>
      <c r="G1136" s="31"/>
      <c r="H1136" s="32"/>
      <c r="J1136" s="33"/>
      <c r="K1136" s="33"/>
      <c r="L1136" s="33"/>
      <c r="X1136" s="23"/>
      <c r="Y1136" s="23"/>
      <c r="Z1136" s="23"/>
      <c r="AA1136" s="23"/>
      <c r="AF1136" s="23"/>
      <c r="AG1136" s="23"/>
      <c r="AH1136" s="23"/>
      <c r="AI1136" s="23"/>
      <c r="AN1136" s="23"/>
      <c r="AO1136" s="23"/>
      <c r="AP1136" s="23"/>
      <c r="AQ1136" s="23"/>
      <c r="AR1136" s="35"/>
      <c r="AS1136" s="35"/>
      <c r="AT1136" s="35"/>
      <c r="AU1136" s="31"/>
      <c r="AV1136" s="36"/>
    </row>
    <row r="1137" spans="4:48">
      <c r="D1137" s="31"/>
      <c r="E1137" s="31"/>
      <c r="F1137" s="31"/>
      <c r="G1137" s="31"/>
      <c r="H1137" s="32"/>
      <c r="J1137" s="33"/>
      <c r="K1137" s="33"/>
      <c r="L1137" s="33"/>
      <c r="X1137" s="23"/>
      <c r="Y1137" s="23"/>
      <c r="Z1137" s="23"/>
      <c r="AA1137" s="23"/>
      <c r="AF1137" s="23"/>
      <c r="AG1137" s="23"/>
      <c r="AH1137" s="23"/>
      <c r="AI1137" s="23"/>
      <c r="AN1137" s="23"/>
      <c r="AO1137" s="23"/>
      <c r="AP1137" s="23"/>
      <c r="AQ1137" s="23"/>
      <c r="AR1137" s="35"/>
      <c r="AS1137" s="35"/>
      <c r="AT1137" s="35"/>
      <c r="AU1137" s="31"/>
      <c r="AV1137" s="36"/>
    </row>
    <row r="1138" spans="4:48">
      <c r="D1138" s="31"/>
      <c r="E1138" s="31"/>
      <c r="F1138" s="31"/>
      <c r="G1138" s="31"/>
      <c r="H1138" s="32"/>
      <c r="J1138" s="33"/>
      <c r="K1138" s="33"/>
      <c r="L1138" s="33"/>
      <c r="X1138" s="23"/>
      <c r="Y1138" s="23"/>
      <c r="Z1138" s="23"/>
      <c r="AA1138" s="23"/>
      <c r="AF1138" s="23"/>
      <c r="AG1138" s="23"/>
      <c r="AH1138" s="23"/>
      <c r="AI1138" s="23"/>
      <c r="AN1138" s="23"/>
      <c r="AO1138" s="23"/>
      <c r="AP1138" s="23"/>
      <c r="AQ1138" s="23"/>
      <c r="AR1138" s="35"/>
      <c r="AS1138" s="35"/>
      <c r="AT1138" s="35"/>
      <c r="AU1138" s="31"/>
      <c r="AV1138" s="36"/>
    </row>
    <row r="1139" spans="4:48">
      <c r="D1139" s="31"/>
      <c r="E1139" s="31"/>
      <c r="F1139" s="31"/>
      <c r="G1139" s="31"/>
      <c r="H1139" s="32"/>
      <c r="J1139" s="33"/>
      <c r="K1139" s="33"/>
      <c r="L1139" s="33"/>
      <c r="X1139" s="23"/>
      <c r="Y1139" s="23"/>
      <c r="Z1139" s="23"/>
      <c r="AA1139" s="23"/>
      <c r="AF1139" s="23"/>
      <c r="AG1139" s="23"/>
      <c r="AH1139" s="23"/>
      <c r="AI1139" s="23"/>
      <c r="AN1139" s="23"/>
      <c r="AO1139" s="23"/>
      <c r="AP1139" s="23"/>
      <c r="AQ1139" s="23"/>
      <c r="AR1139" s="35"/>
      <c r="AS1139" s="35"/>
      <c r="AT1139" s="35"/>
      <c r="AU1139" s="31"/>
      <c r="AV1139" s="36"/>
    </row>
    <row r="1140" spans="4:48">
      <c r="D1140" s="31"/>
      <c r="E1140" s="31"/>
      <c r="F1140" s="31"/>
      <c r="G1140" s="31"/>
      <c r="H1140" s="32"/>
      <c r="J1140" s="33"/>
      <c r="K1140" s="33"/>
      <c r="L1140" s="33"/>
      <c r="X1140" s="23"/>
      <c r="Y1140" s="23"/>
      <c r="Z1140" s="23"/>
      <c r="AA1140" s="23"/>
      <c r="AF1140" s="23"/>
      <c r="AG1140" s="23"/>
      <c r="AH1140" s="23"/>
      <c r="AI1140" s="23"/>
      <c r="AN1140" s="23"/>
      <c r="AO1140" s="23"/>
      <c r="AP1140" s="23"/>
      <c r="AQ1140" s="23"/>
      <c r="AR1140" s="35"/>
      <c r="AS1140" s="35"/>
      <c r="AT1140" s="35"/>
      <c r="AU1140" s="31"/>
      <c r="AV1140" s="36"/>
    </row>
    <row r="1141" spans="4:48">
      <c r="D1141" s="31"/>
      <c r="E1141" s="31"/>
      <c r="F1141" s="31"/>
      <c r="G1141" s="31"/>
      <c r="H1141" s="32"/>
      <c r="J1141" s="33"/>
      <c r="K1141" s="33"/>
      <c r="L1141" s="33"/>
      <c r="X1141" s="23"/>
      <c r="Y1141" s="23"/>
      <c r="Z1141" s="23"/>
      <c r="AA1141" s="23"/>
      <c r="AF1141" s="23"/>
      <c r="AG1141" s="23"/>
      <c r="AH1141" s="23"/>
      <c r="AI1141" s="23"/>
      <c r="AN1141" s="23"/>
      <c r="AO1141" s="23"/>
      <c r="AP1141" s="23"/>
      <c r="AQ1141" s="23"/>
      <c r="AR1141" s="35"/>
      <c r="AS1141" s="35"/>
      <c r="AT1141" s="35"/>
      <c r="AU1141" s="31"/>
      <c r="AV1141" s="36"/>
    </row>
    <row r="1142" spans="4:48">
      <c r="D1142" s="31"/>
      <c r="E1142" s="31"/>
      <c r="F1142" s="31"/>
      <c r="G1142" s="31"/>
      <c r="H1142" s="32"/>
      <c r="J1142" s="33"/>
      <c r="K1142" s="33"/>
      <c r="L1142" s="33"/>
      <c r="X1142" s="23"/>
      <c r="Y1142" s="23"/>
      <c r="Z1142" s="23"/>
      <c r="AA1142" s="23"/>
      <c r="AF1142" s="23"/>
      <c r="AG1142" s="23"/>
      <c r="AH1142" s="23"/>
      <c r="AI1142" s="23"/>
      <c r="AN1142" s="23"/>
      <c r="AO1142" s="23"/>
      <c r="AP1142" s="23"/>
      <c r="AQ1142" s="23"/>
      <c r="AR1142" s="35"/>
      <c r="AS1142" s="35"/>
      <c r="AT1142" s="35"/>
      <c r="AU1142" s="31"/>
      <c r="AV1142" s="36"/>
    </row>
    <row r="1143" spans="4:48">
      <c r="D1143" s="31"/>
      <c r="E1143" s="31"/>
      <c r="F1143" s="31"/>
      <c r="G1143" s="31"/>
      <c r="H1143" s="32"/>
      <c r="J1143" s="33"/>
      <c r="K1143" s="33"/>
      <c r="L1143" s="33"/>
      <c r="X1143" s="23"/>
      <c r="Y1143" s="23"/>
      <c r="Z1143" s="23"/>
      <c r="AA1143" s="23"/>
      <c r="AF1143" s="23"/>
      <c r="AG1143" s="23"/>
      <c r="AH1143" s="23"/>
      <c r="AI1143" s="23"/>
      <c r="AN1143" s="23"/>
      <c r="AO1143" s="23"/>
      <c r="AP1143" s="23"/>
      <c r="AQ1143" s="23"/>
      <c r="AR1143" s="35"/>
      <c r="AS1143" s="35"/>
      <c r="AT1143" s="35"/>
      <c r="AU1143" s="31"/>
      <c r="AV1143" s="36"/>
    </row>
    <row r="1144" spans="4:48">
      <c r="D1144" s="31"/>
      <c r="E1144" s="31"/>
      <c r="F1144" s="31"/>
      <c r="G1144" s="31"/>
      <c r="H1144" s="32"/>
      <c r="J1144" s="33"/>
      <c r="K1144" s="33"/>
      <c r="L1144" s="33"/>
      <c r="X1144" s="23"/>
      <c r="Y1144" s="23"/>
      <c r="Z1144" s="23"/>
      <c r="AA1144" s="23"/>
      <c r="AF1144" s="23"/>
      <c r="AG1144" s="23"/>
      <c r="AH1144" s="23"/>
      <c r="AI1144" s="23"/>
      <c r="AN1144" s="23"/>
      <c r="AO1144" s="23"/>
      <c r="AP1144" s="23"/>
      <c r="AQ1144" s="23"/>
      <c r="AR1144" s="35"/>
      <c r="AS1144" s="35"/>
      <c r="AT1144" s="35"/>
      <c r="AU1144" s="31"/>
      <c r="AV1144" s="36"/>
    </row>
    <row r="1145" spans="4:48">
      <c r="D1145" s="31"/>
      <c r="E1145" s="31"/>
      <c r="F1145" s="31"/>
      <c r="G1145" s="31"/>
      <c r="H1145" s="32"/>
      <c r="J1145" s="33"/>
      <c r="K1145" s="33"/>
      <c r="L1145" s="33"/>
      <c r="X1145" s="23"/>
      <c r="Y1145" s="23"/>
      <c r="Z1145" s="23"/>
      <c r="AA1145" s="23"/>
      <c r="AF1145" s="23"/>
      <c r="AG1145" s="23"/>
      <c r="AH1145" s="23"/>
      <c r="AI1145" s="23"/>
      <c r="AN1145" s="23"/>
      <c r="AO1145" s="23"/>
      <c r="AP1145" s="23"/>
      <c r="AQ1145" s="23"/>
      <c r="AR1145" s="35"/>
      <c r="AS1145" s="35"/>
      <c r="AT1145" s="35"/>
      <c r="AU1145" s="31"/>
      <c r="AV1145" s="36"/>
    </row>
    <row r="1146" spans="4:48">
      <c r="D1146" s="31"/>
      <c r="E1146" s="31"/>
      <c r="F1146" s="31"/>
      <c r="G1146" s="31"/>
      <c r="H1146" s="32"/>
      <c r="J1146" s="33"/>
      <c r="K1146" s="33"/>
      <c r="L1146" s="33"/>
      <c r="X1146" s="23"/>
      <c r="Y1146" s="23"/>
      <c r="Z1146" s="23"/>
      <c r="AA1146" s="23"/>
      <c r="AF1146" s="23"/>
      <c r="AG1146" s="23"/>
      <c r="AH1146" s="23"/>
      <c r="AI1146" s="23"/>
      <c r="AN1146" s="23"/>
      <c r="AO1146" s="23"/>
      <c r="AP1146" s="23"/>
      <c r="AQ1146" s="23"/>
      <c r="AR1146" s="35"/>
      <c r="AS1146" s="35"/>
      <c r="AT1146" s="35"/>
      <c r="AU1146" s="31"/>
      <c r="AV1146" s="36"/>
    </row>
    <row r="1147" spans="4:48">
      <c r="D1147" s="31"/>
      <c r="E1147" s="31"/>
      <c r="F1147" s="31"/>
      <c r="G1147" s="31"/>
      <c r="H1147" s="32"/>
      <c r="J1147" s="33"/>
      <c r="K1147" s="33"/>
      <c r="L1147" s="33"/>
      <c r="X1147" s="23"/>
      <c r="Y1147" s="23"/>
      <c r="Z1147" s="23"/>
      <c r="AA1147" s="23"/>
      <c r="AF1147" s="23"/>
      <c r="AG1147" s="23"/>
      <c r="AH1147" s="23"/>
      <c r="AI1147" s="23"/>
      <c r="AN1147" s="23"/>
      <c r="AO1147" s="23"/>
      <c r="AP1147" s="23"/>
      <c r="AQ1147" s="23"/>
      <c r="AR1147" s="35"/>
      <c r="AS1147" s="35"/>
      <c r="AT1147" s="35"/>
      <c r="AU1147" s="31"/>
      <c r="AV1147" s="36"/>
    </row>
    <row r="1148" spans="4:48">
      <c r="D1148" s="31"/>
      <c r="E1148" s="31"/>
      <c r="F1148" s="31"/>
      <c r="G1148" s="31"/>
      <c r="H1148" s="32"/>
      <c r="J1148" s="33"/>
      <c r="K1148" s="33"/>
      <c r="L1148" s="33"/>
      <c r="X1148" s="23"/>
      <c r="Y1148" s="23"/>
      <c r="Z1148" s="23"/>
      <c r="AA1148" s="23"/>
      <c r="AF1148" s="23"/>
      <c r="AG1148" s="23"/>
      <c r="AH1148" s="23"/>
      <c r="AI1148" s="23"/>
      <c r="AN1148" s="23"/>
      <c r="AO1148" s="23"/>
      <c r="AP1148" s="23"/>
      <c r="AQ1148" s="23"/>
      <c r="AR1148" s="35"/>
      <c r="AS1148" s="35"/>
      <c r="AT1148" s="35"/>
      <c r="AU1148" s="31"/>
      <c r="AV1148" s="36"/>
    </row>
    <row r="1149" spans="4:48">
      <c r="D1149" s="31"/>
      <c r="E1149" s="31"/>
      <c r="F1149" s="31"/>
      <c r="G1149" s="31"/>
      <c r="H1149" s="32"/>
      <c r="J1149" s="33"/>
      <c r="K1149" s="33"/>
      <c r="L1149" s="33"/>
      <c r="X1149" s="23"/>
      <c r="Y1149" s="23"/>
      <c r="Z1149" s="23"/>
      <c r="AA1149" s="23"/>
      <c r="AF1149" s="23"/>
      <c r="AG1149" s="23"/>
      <c r="AH1149" s="23"/>
      <c r="AI1149" s="23"/>
      <c r="AN1149" s="23"/>
      <c r="AO1149" s="23"/>
      <c r="AP1149" s="23"/>
      <c r="AQ1149" s="23"/>
      <c r="AR1149" s="35"/>
      <c r="AS1149" s="35"/>
      <c r="AT1149" s="35"/>
      <c r="AU1149" s="31"/>
      <c r="AV1149" s="36"/>
    </row>
    <row r="1150" spans="4:48">
      <c r="D1150" s="31"/>
      <c r="E1150" s="31"/>
      <c r="F1150" s="31"/>
      <c r="G1150" s="31"/>
      <c r="H1150" s="32"/>
      <c r="J1150" s="33"/>
      <c r="K1150" s="33"/>
      <c r="L1150" s="33"/>
      <c r="X1150" s="23"/>
      <c r="Y1150" s="23"/>
      <c r="Z1150" s="23"/>
      <c r="AA1150" s="23"/>
      <c r="AF1150" s="23"/>
      <c r="AG1150" s="23"/>
      <c r="AH1150" s="23"/>
      <c r="AI1150" s="23"/>
      <c r="AN1150" s="23"/>
      <c r="AO1150" s="23"/>
      <c r="AP1150" s="23"/>
      <c r="AQ1150" s="23"/>
      <c r="AR1150" s="35"/>
      <c r="AS1150" s="35"/>
      <c r="AT1150" s="35"/>
      <c r="AU1150" s="31"/>
      <c r="AV1150" s="36"/>
    </row>
    <row r="1151" spans="4:48">
      <c r="D1151" s="31"/>
      <c r="E1151" s="31"/>
      <c r="F1151" s="31"/>
      <c r="G1151" s="31"/>
      <c r="H1151" s="32"/>
      <c r="J1151" s="33"/>
      <c r="K1151" s="33"/>
      <c r="L1151" s="33"/>
      <c r="X1151" s="23"/>
      <c r="Y1151" s="23"/>
      <c r="Z1151" s="23"/>
      <c r="AA1151" s="23"/>
      <c r="AF1151" s="23"/>
      <c r="AG1151" s="23"/>
      <c r="AH1151" s="23"/>
      <c r="AI1151" s="23"/>
      <c r="AN1151" s="23"/>
      <c r="AO1151" s="23"/>
      <c r="AP1151" s="23"/>
      <c r="AQ1151" s="23"/>
      <c r="AR1151" s="35"/>
      <c r="AS1151" s="35"/>
      <c r="AT1151" s="35"/>
      <c r="AU1151" s="31"/>
      <c r="AV1151" s="36"/>
    </row>
    <row r="1152" spans="4:48">
      <c r="D1152" s="31"/>
      <c r="E1152" s="31"/>
      <c r="F1152" s="31"/>
      <c r="G1152" s="31"/>
      <c r="H1152" s="32"/>
      <c r="J1152" s="33"/>
      <c r="K1152" s="33"/>
      <c r="L1152" s="33"/>
      <c r="X1152" s="23"/>
      <c r="Y1152" s="23"/>
      <c r="Z1152" s="23"/>
      <c r="AA1152" s="23"/>
      <c r="AF1152" s="23"/>
      <c r="AG1152" s="23"/>
      <c r="AH1152" s="23"/>
      <c r="AI1152" s="23"/>
      <c r="AN1152" s="23"/>
      <c r="AO1152" s="23"/>
      <c r="AP1152" s="23"/>
      <c r="AQ1152" s="23"/>
      <c r="AR1152" s="35"/>
      <c r="AS1152" s="35"/>
      <c r="AT1152" s="35"/>
      <c r="AU1152" s="31"/>
      <c r="AV1152" s="36"/>
    </row>
    <row r="1153" spans="4:48">
      <c r="D1153" s="31"/>
      <c r="E1153" s="31"/>
      <c r="F1153" s="31"/>
      <c r="G1153" s="31"/>
      <c r="H1153" s="32"/>
      <c r="J1153" s="33"/>
      <c r="K1153" s="33"/>
      <c r="L1153" s="33"/>
      <c r="X1153" s="23"/>
      <c r="Y1153" s="23"/>
      <c r="Z1153" s="23"/>
      <c r="AA1153" s="23"/>
      <c r="AF1153" s="23"/>
      <c r="AG1153" s="23"/>
      <c r="AH1153" s="23"/>
      <c r="AI1153" s="23"/>
      <c r="AN1153" s="23"/>
      <c r="AO1153" s="23"/>
      <c r="AP1153" s="23"/>
      <c r="AQ1153" s="23"/>
      <c r="AR1153" s="35"/>
      <c r="AS1153" s="35"/>
      <c r="AT1153" s="35"/>
      <c r="AU1153" s="31"/>
      <c r="AV1153" s="36"/>
    </row>
    <row r="1154" spans="4:48">
      <c r="D1154" s="31"/>
      <c r="E1154" s="31"/>
      <c r="F1154" s="31"/>
      <c r="G1154" s="31"/>
      <c r="H1154" s="32"/>
      <c r="J1154" s="33"/>
      <c r="K1154" s="33"/>
      <c r="L1154" s="33"/>
      <c r="X1154" s="23"/>
      <c r="Y1154" s="23"/>
      <c r="Z1154" s="23"/>
      <c r="AA1154" s="23"/>
      <c r="AF1154" s="23"/>
      <c r="AG1154" s="23"/>
      <c r="AH1154" s="23"/>
      <c r="AI1154" s="23"/>
      <c r="AN1154" s="23"/>
      <c r="AO1154" s="23"/>
      <c r="AP1154" s="23"/>
      <c r="AQ1154" s="23"/>
      <c r="AR1154" s="35"/>
      <c r="AS1154" s="35"/>
      <c r="AT1154" s="35"/>
      <c r="AU1154" s="31"/>
      <c r="AV1154" s="36"/>
    </row>
    <row r="1155" spans="4:48">
      <c r="D1155" s="31"/>
      <c r="E1155" s="31"/>
      <c r="F1155" s="31"/>
      <c r="G1155" s="31"/>
      <c r="H1155" s="32"/>
      <c r="J1155" s="33"/>
      <c r="K1155" s="33"/>
      <c r="L1155" s="33"/>
      <c r="X1155" s="23"/>
      <c r="Y1155" s="23"/>
      <c r="Z1155" s="23"/>
      <c r="AA1155" s="23"/>
      <c r="AF1155" s="23"/>
      <c r="AG1155" s="23"/>
      <c r="AH1155" s="23"/>
      <c r="AI1155" s="23"/>
      <c r="AN1155" s="23"/>
      <c r="AO1155" s="23"/>
      <c r="AP1155" s="23"/>
      <c r="AQ1155" s="23"/>
      <c r="AR1155" s="35"/>
      <c r="AS1155" s="35"/>
      <c r="AT1155" s="35"/>
      <c r="AU1155" s="31"/>
      <c r="AV1155" s="36"/>
    </row>
    <row r="1156" spans="4:48">
      <c r="D1156" s="31"/>
      <c r="E1156" s="31"/>
      <c r="F1156" s="31"/>
      <c r="G1156" s="31"/>
      <c r="H1156" s="32"/>
      <c r="J1156" s="33"/>
      <c r="K1156" s="33"/>
      <c r="L1156" s="33"/>
      <c r="X1156" s="23"/>
      <c r="Y1156" s="23"/>
      <c r="Z1156" s="23"/>
      <c r="AA1156" s="23"/>
      <c r="AF1156" s="23"/>
      <c r="AG1156" s="23"/>
      <c r="AH1156" s="23"/>
      <c r="AI1156" s="23"/>
      <c r="AN1156" s="23"/>
      <c r="AO1156" s="23"/>
      <c r="AP1156" s="23"/>
      <c r="AQ1156" s="23"/>
      <c r="AR1156" s="35"/>
      <c r="AS1156" s="35"/>
      <c r="AT1156" s="35"/>
      <c r="AU1156" s="31"/>
      <c r="AV1156" s="36"/>
    </row>
    <row r="1157" spans="4:48">
      <c r="D1157" s="31"/>
      <c r="E1157" s="31"/>
      <c r="F1157" s="31"/>
      <c r="G1157" s="31"/>
      <c r="H1157" s="32"/>
      <c r="J1157" s="33"/>
      <c r="K1157" s="33"/>
      <c r="L1157" s="33"/>
      <c r="X1157" s="23"/>
      <c r="Y1157" s="23"/>
      <c r="Z1157" s="23"/>
      <c r="AA1157" s="23"/>
      <c r="AF1157" s="23"/>
      <c r="AG1157" s="23"/>
      <c r="AH1157" s="23"/>
      <c r="AI1157" s="23"/>
      <c r="AN1157" s="23"/>
      <c r="AO1157" s="23"/>
      <c r="AP1157" s="23"/>
      <c r="AQ1157" s="23"/>
      <c r="AR1157" s="35"/>
      <c r="AS1157" s="35"/>
      <c r="AT1157" s="35"/>
      <c r="AU1157" s="31"/>
      <c r="AV1157" s="36"/>
    </row>
    <row r="1158" spans="4:48">
      <c r="D1158" s="31"/>
      <c r="E1158" s="31"/>
      <c r="F1158" s="31"/>
      <c r="G1158" s="31"/>
      <c r="H1158" s="32"/>
      <c r="J1158" s="33"/>
      <c r="K1158" s="33"/>
      <c r="L1158" s="33"/>
      <c r="X1158" s="23"/>
      <c r="Y1158" s="23"/>
      <c r="Z1158" s="23"/>
      <c r="AA1158" s="23"/>
      <c r="AF1158" s="23"/>
      <c r="AG1158" s="23"/>
      <c r="AH1158" s="23"/>
      <c r="AI1158" s="23"/>
      <c r="AN1158" s="23"/>
      <c r="AO1158" s="23"/>
      <c r="AP1158" s="23"/>
      <c r="AQ1158" s="23"/>
      <c r="AR1158" s="35"/>
      <c r="AS1158" s="35"/>
      <c r="AT1158" s="35"/>
      <c r="AU1158" s="31"/>
      <c r="AV1158" s="36"/>
    </row>
    <row r="1159" spans="4:48">
      <c r="D1159" s="31"/>
      <c r="E1159" s="31"/>
      <c r="F1159" s="31"/>
      <c r="G1159" s="31"/>
      <c r="H1159" s="32"/>
      <c r="J1159" s="33"/>
      <c r="K1159" s="33"/>
      <c r="L1159" s="33"/>
      <c r="X1159" s="23"/>
      <c r="Y1159" s="23"/>
      <c r="Z1159" s="23"/>
      <c r="AA1159" s="23"/>
      <c r="AF1159" s="23"/>
      <c r="AG1159" s="23"/>
      <c r="AH1159" s="23"/>
      <c r="AI1159" s="23"/>
      <c r="AN1159" s="23"/>
      <c r="AO1159" s="23"/>
      <c r="AP1159" s="23"/>
      <c r="AQ1159" s="23"/>
      <c r="AR1159" s="35"/>
      <c r="AS1159" s="35"/>
      <c r="AT1159" s="35"/>
      <c r="AU1159" s="31"/>
      <c r="AV1159" s="36"/>
    </row>
    <row r="1160" spans="4:48">
      <c r="D1160" s="31"/>
      <c r="E1160" s="31"/>
      <c r="F1160" s="31"/>
      <c r="G1160" s="31"/>
      <c r="H1160" s="32"/>
      <c r="J1160" s="33"/>
      <c r="K1160" s="33"/>
      <c r="L1160" s="33"/>
      <c r="X1160" s="23"/>
      <c r="Y1160" s="23"/>
      <c r="Z1160" s="23"/>
      <c r="AA1160" s="23"/>
      <c r="AF1160" s="23"/>
      <c r="AG1160" s="23"/>
      <c r="AH1160" s="23"/>
      <c r="AI1160" s="23"/>
      <c r="AN1160" s="23"/>
      <c r="AO1160" s="23"/>
      <c r="AP1160" s="23"/>
      <c r="AQ1160" s="23"/>
      <c r="AR1160" s="35"/>
      <c r="AS1160" s="35"/>
      <c r="AT1160" s="35"/>
      <c r="AU1160" s="31"/>
      <c r="AV1160" s="36"/>
    </row>
    <row r="1161" spans="4:48">
      <c r="D1161" s="31"/>
      <c r="E1161" s="31"/>
      <c r="F1161" s="31"/>
      <c r="G1161" s="31"/>
      <c r="H1161" s="32"/>
      <c r="J1161" s="33"/>
      <c r="K1161" s="33"/>
      <c r="L1161" s="33"/>
      <c r="X1161" s="23"/>
      <c r="Y1161" s="23"/>
      <c r="Z1161" s="23"/>
      <c r="AA1161" s="23"/>
      <c r="AF1161" s="23"/>
      <c r="AG1161" s="23"/>
      <c r="AH1161" s="23"/>
      <c r="AI1161" s="23"/>
      <c r="AN1161" s="23"/>
      <c r="AO1161" s="23"/>
      <c r="AP1161" s="23"/>
      <c r="AQ1161" s="23"/>
      <c r="AR1161" s="35"/>
      <c r="AS1161" s="35"/>
      <c r="AT1161" s="35"/>
      <c r="AU1161" s="31"/>
      <c r="AV1161" s="36"/>
    </row>
    <row r="1162" spans="4:48">
      <c r="D1162" s="31"/>
      <c r="E1162" s="31"/>
      <c r="F1162" s="31"/>
      <c r="G1162" s="31"/>
      <c r="H1162" s="32"/>
      <c r="J1162" s="33"/>
      <c r="K1162" s="33"/>
      <c r="L1162" s="33"/>
      <c r="X1162" s="23"/>
      <c r="Y1162" s="23"/>
      <c r="Z1162" s="23"/>
      <c r="AA1162" s="23"/>
      <c r="AF1162" s="23"/>
      <c r="AG1162" s="23"/>
      <c r="AH1162" s="23"/>
      <c r="AI1162" s="23"/>
      <c r="AN1162" s="23"/>
      <c r="AO1162" s="23"/>
      <c r="AP1162" s="23"/>
      <c r="AQ1162" s="23"/>
      <c r="AR1162" s="35"/>
      <c r="AS1162" s="35"/>
      <c r="AT1162" s="35"/>
      <c r="AU1162" s="31"/>
      <c r="AV1162" s="36"/>
    </row>
    <row r="1163" spans="4:48">
      <c r="D1163" s="31"/>
      <c r="E1163" s="31"/>
      <c r="F1163" s="31"/>
      <c r="G1163" s="31"/>
      <c r="H1163" s="32"/>
      <c r="J1163" s="33"/>
      <c r="K1163" s="33"/>
      <c r="L1163" s="33"/>
      <c r="X1163" s="23"/>
      <c r="Y1163" s="23"/>
      <c r="Z1163" s="23"/>
      <c r="AA1163" s="23"/>
      <c r="AF1163" s="23"/>
      <c r="AG1163" s="23"/>
      <c r="AH1163" s="23"/>
      <c r="AI1163" s="23"/>
      <c r="AN1163" s="23"/>
      <c r="AO1163" s="23"/>
      <c r="AP1163" s="23"/>
      <c r="AQ1163" s="23"/>
      <c r="AR1163" s="35"/>
      <c r="AS1163" s="35"/>
      <c r="AT1163" s="35"/>
      <c r="AU1163" s="31"/>
      <c r="AV1163" s="36"/>
    </row>
    <row r="1164" spans="4:48">
      <c r="D1164" s="31"/>
      <c r="E1164" s="31"/>
      <c r="F1164" s="31"/>
      <c r="G1164" s="31"/>
      <c r="H1164" s="32"/>
      <c r="J1164" s="33"/>
      <c r="K1164" s="33"/>
      <c r="L1164" s="33"/>
      <c r="X1164" s="23"/>
      <c r="Y1164" s="23"/>
      <c r="Z1164" s="23"/>
      <c r="AA1164" s="23"/>
      <c r="AF1164" s="23"/>
      <c r="AG1164" s="23"/>
      <c r="AH1164" s="23"/>
      <c r="AI1164" s="23"/>
      <c r="AN1164" s="23"/>
      <c r="AO1164" s="23"/>
      <c r="AP1164" s="23"/>
      <c r="AQ1164" s="23"/>
      <c r="AR1164" s="35"/>
      <c r="AS1164" s="35"/>
      <c r="AT1164" s="35"/>
      <c r="AU1164" s="31"/>
      <c r="AV1164" s="36"/>
    </row>
    <row r="1165" spans="4:48">
      <c r="D1165" s="31"/>
      <c r="E1165" s="31"/>
      <c r="F1165" s="31"/>
      <c r="G1165" s="31"/>
      <c r="H1165" s="32"/>
      <c r="J1165" s="33"/>
      <c r="K1165" s="33"/>
      <c r="L1165" s="33"/>
      <c r="X1165" s="23"/>
      <c r="Y1165" s="23"/>
      <c r="Z1165" s="23"/>
      <c r="AA1165" s="23"/>
      <c r="AF1165" s="23"/>
      <c r="AG1165" s="23"/>
      <c r="AH1165" s="23"/>
      <c r="AI1165" s="23"/>
      <c r="AN1165" s="23"/>
      <c r="AO1165" s="23"/>
      <c r="AP1165" s="23"/>
      <c r="AQ1165" s="23"/>
      <c r="AR1165" s="35"/>
      <c r="AS1165" s="35"/>
      <c r="AT1165" s="35"/>
      <c r="AU1165" s="31"/>
      <c r="AV1165" s="36"/>
    </row>
    <row r="1166" spans="4:48">
      <c r="D1166" s="31"/>
      <c r="E1166" s="31"/>
      <c r="F1166" s="31"/>
      <c r="G1166" s="31"/>
      <c r="H1166" s="32"/>
      <c r="J1166" s="33"/>
      <c r="K1166" s="33"/>
      <c r="L1166" s="33"/>
      <c r="X1166" s="23"/>
      <c r="Y1166" s="23"/>
      <c r="Z1166" s="23"/>
      <c r="AA1166" s="23"/>
      <c r="AF1166" s="23"/>
      <c r="AG1166" s="23"/>
      <c r="AH1166" s="23"/>
      <c r="AI1166" s="23"/>
      <c r="AN1166" s="23"/>
      <c r="AO1166" s="23"/>
      <c r="AP1166" s="23"/>
      <c r="AQ1166" s="23"/>
      <c r="AR1166" s="35"/>
      <c r="AS1166" s="35"/>
      <c r="AT1166" s="35"/>
      <c r="AU1166" s="31"/>
      <c r="AV1166" s="36"/>
    </row>
    <row r="1167" spans="4:48">
      <c r="D1167" s="31"/>
      <c r="E1167" s="31"/>
      <c r="F1167" s="31"/>
      <c r="G1167" s="31"/>
      <c r="H1167" s="32"/>
      <c r="J1167" s="33"/>
      <c r="K1167" s="33"/>
      <c r="L1167" s="33"/>
      <c r="X1167" s="23"/>
      <c r="Y1167" s="23"/>
      <c r="Z1167" s="23"/>
      <c r="AA1167" s="23"/>
      <c r="AF1167" s="23"/>
      <c r="AG1167" s="23"/>
      <c r="AH1167" s="23"/>
      <c r="AI1167" s="23"/>
      <c r="AN1167" s="23"/>
      <c r="AO1167" s="23"/>
      <c r="AP1167" s="23"/>
      <c r="AQ1167" s="23"/>
      <c r="AR1167" s="35"/>
      <c r="AS1167" s="35"/>
      <c r="AT1167" s="35"/>
      <c r="AU1167" s="31"/>
      <c r="AV1167" s="36"/>
    </row>
    <row r="1168" spans="4:48">
      <c r="D1168" s="31"/>
      <c r="E1168" s="31"/>
      <c r="F1168" s="31"/>
      <c r="G1168" s="31"/>
      <c r="H1168" s="32"/>
      <c r="J1168" s="33"/>
      <c r="K1168" s="33"/>
      <c r="L1168" s="33"/>
      <c r="X1168" s="23"/>
      <c r="Y1168" s="23"/>
      <c r="Z1168" s="23"/>
      <c r="AA1168" s="23"/>
      <c r="AF1168" s="23"/>
      <c r="AG1168" s="23"/>
      <c r="AH1168" s="23"/>
      <c r="AI1168" s="23"/>
      <c r="AN1168" s="23"/>
      <c r="AO1168" s="23"/>
      <c r="AP1168" s="23"/>
      <c r="AQ1168" s="23"/>
      <c r="AR1168" s="35"/>
      <c r="AS1168" s="35"/>
      <c r="AT1168" s="35"/>
      <c r="AU1168" s="31"/>
      <c r="AV1168" s="36"/>
    </row>
    <row r="1169" spans="4:48">
      <c r="D1169" s="31"/>
      <c r="E1169" s="31"/>
      <c r="F1169" s="31"/>
      <c r="G1169" s="31"/>
      <c r="H1169" s="32"/>
      <c r="J1169" s="33"/>
      <c r="K1169" s="33"/>
      <c r="L1169" s="33"/>
      <c r="X1169" s="23"/>
      <c r="Y1169" s="23"/>
      <c r="Z1169" s="23"/>
      <c r="AA1169" s="23"/>
      <c r="AF1169" s="23"/>
      <c r="AG1169" s="23"/>
      <c r="AH1169" s="23"/>
      <c r="AI1169" s="23"/>
      <c r="AN1169" s="23"/>
      <c r="AO1169" s="23"/>
      <c r="AP1169" s="23"/>
      <c r="AQ1169" s="23"/>
      <c r="AR1169" s="35"/>
      <c r="AS1169" s="35"/>
      <c r="AT1169" s="35"/>
      <c r="AU1169" s="31"/>
      <c r="AV1169" s="36"/>
    </row>
    <row r="1170" spans="4:48">
      <c r="D1170" s="31"/>
      <c r="E1170" s="31"/>
      <c r="F1170" s="31"/>
      <c r="G1170" s="31"/>
      <c r="H1170" s="32"/>
      <c r="J1170" s="33"/>
      <c r="K1170" s="33"/>
      <c r="L1170" s="33"/>
      <c r="X1170" s="23"/>
      <c r="Y1170" s="23"/>
      <c r="Z1170" s="23"/>
      <c r="AA1170" s="23"/>
      <c r="AF1170" s="23"/>
      <c r="AG1170" s="23"/>
      <c r="AH1170" s="23"/>
      <c r="AI1170" s="23"/>
      <c r="AN1170" s="23"/>
      <c r="AO1170" s="23"/>
      <c r="AP1170" s="23"/>
      <c r="AQ1170" s="23"/>
      <c r="AR1170" s="35"/>
      <c r="AS1170" s="35"/>
      <c r="AT1170" s="35"/>
      <c r="AU1170" s="31"/>
      <c r="AV1170" s="36"/>
    </row>
    <row r="1171" spans="4:48">
      <c r="D1171" s="31"/>
      <c r="E1171" s="31"/>
      <c r="F1171" s="31"/>
      <c r="G1171" s="31"/>
      <c r="H1171" s="32"/>
      <c r="J1171" s="33"/>
      <c r="K1171" s="33"/>
      <c r="L1171" s="33"/>
      <c r="X1171" s="23"/>
      <c r="Y1171" s="23"/>
      <c r="Z1171" s="23"/>
      <c r="AA1171" s="23"/>
      <c r="AF1171" s="23"/>
      <c r="AG1171" s="23"/>
      <c r="AH1171" s="23"/>
      <c r="AI1171" s="23"/>
      <c r="AN1171" s="23"/>
      <c r="AO1171" s="23"/>
      <c r="AP1171" s="23"/>
      <c r="AQ1171" s="23"/>
      <c r="AR1171" s="35"/>
      <c r="AS1171" s="35"/>
      <c r="AT1171" s="35"/>
      <c r="AU1171" s="31"/>
      <c r="AV1171" s="36"/>
    </row>
    <row r="1172" spans="4:48">
      <c r="D1172" s="31"/>
      <c r="E1172" s="31"/>
      <c r="F1172" s="31"/>
      <c r="G1172" s="31"/>
      <c r="H1172" s="32"/>
      <c r="J1172" s="33"/>
      <c r="K1172" s="33"/>
      <c r="L1172" s="33"/>
      <c r="X1172" s="23"/>
      <c r="Y1172" s="23"/>
      <c r="Z1172" s="23"/>
      <c r="AA1172" s="23"/>
      <c r="AF1172" s="23"/>
      <c r="AG1172" s="23"/>
      <c r="AH1172" s="23"/>
      <c r="AI1172" s="23"/>
      <c r="AN1172" s="23"/>
      <c r="AO1172" s="23"/>
      <c r="AP1172" s="23"/>
      <c r="AQ1172" s="23"/>
      <c r="AR1172" s="35"/>
      <c r="AS1172" s="35"/>
      <c r="AT1172" s="35"/>
      <c r="AU1172" s="31"/>
      <c r="AV1172" s="36"/>
    </row>
    <row r="1173" spans="4:48">
      <c r="D1173" s="31"/>
      <c r="E1173" s="31"/>
      <c r="F1173" s="31"/>
      <c r="G1173" s="31"/>
      <c r="H1173" s="32"/>
      <c r="J1173" s="33"/>
      <c r="K1173" s="33"/>
      <c r="L1173" s="33"/>
      <c r="X1173" s="23"/>
      <c r="Y1173" s="23"/>
      <c r="Z1173" s="23"/>
      <c r="AA1173" s="23"/>
      <c r="AF1173" s="23"/>
      <c r="AG1173" s="23"/>
      <c r="AH1173" s="23"/>
      <c r="AI1173" s="23"/>
      <c r="AN1173" s="23"/>
      <c r="AO1173" s="23"/>
      <c r="AP1173" s="23"/>
      <c r="AQ1173" s="23"/>
      <c r="AR1173" s="35"/>
      <c r="AS1173" s="35"/>
      <c r="AT1173" s="35"/>
      <c r="AU1173" s="31"/>
      <c r="AV1173" s="36"/>
    </row>
    <row r="1174" spans="4:48">
      <c r="D1174" s="31"/>
      <c r="E1174" s="31"/>
      <c r="F1174" s="31"/>
      <c r="G1174" s="31"/>
      <c r="H1174" s="32"/>
      <c r="J1174" s="33"/>
      <c r="K1174" s="33"/>
      <c r="L1174" s="33"/>
      <c r="X1174" s="23"/>
      <c r="Y1174" s="23"/>
      <c r="Z1174" s="23"/>
      <c r="AA1174" s="23"/>
      <c r="AF1174" s="23"/>
      <c r="AG1174" s="23"/>
      <c r="AH1174" s="23"/>
      <c r="AI1174" s="23"/>
      <c r="AN1174" s="23"/>
      <c r="AO1174" s="23"/>
      <c r="AP1174" s="23"/>
      <c r="AQ1174" s="23"/>
      <c r="AR1174" s="35"/>
      <c r="AS1174" s="35"/>
      <c r="AT1174" s="35"/>
      <c r="AU1174" s="31"/>
      <c r="AV1174" s="36"/>
    </row>
    <row r="1175" spans="4:48">
      <c r="D1175" s="31"/>
      <c r="E1175" s="31"/>
      <c r="F1175" s="31"/>
      <c r="G1175" s="31"/>
      <c r="H1175" s="32"/>
      <c r="J1175" s="33"/>
      <c r="K1175" s="33"/>
      <c r="L1175" s="33"/>
      <c r="X1175" s="23"/>
      <c r="Y1175" s="23"/>
      <c r="Z1175" s="23"/>
      <c r="AA1175" s="23"/>
      <c r="AF1175" s="23"/>
      <c r="AG1175" s="23"/>
      <c r="AH1175" s="23"/>
      <c r="AI1175" s="23"/>
      <c r="AN1175" s="23"/>
      <c r="AO1175" s="23"/>
      <c r="AP1175" s="23"/>
      <c r="AQ1175" s="23"/>
      <c r="AR1175" s="35"/>
      <c r="AS1175" s="35"/>
      <c r="AT1175" s="35"/>
      <c r="AU1175" s="31"/>
      <c r="AV1175" s="36"/>
    </row>
    <row r="1176" spans="4:48">
      <c r="D1176" s="31"/>
      <c r="E1176" s="31"/>
      <c r="F1176" s="31"/>
      <c r="G1176" s="31"/>
      <c r="H1176" s="32"/>
      <c r="J1176" s="33"/>
      <c r="K1176" s="33"/>
      <c r="L1176" s="33"/>
      <c r="X1176" s="23"/>
      <c r="Y1176" s="23"/>
      <c r="Z1176" s="23"/>
      <c r="AA1176" s="23"/>
      <c r="AF1176" s="23"/>
      <c r="AG1176" s="23"/>
      <c r="AH1176" s="23"/>
      <c r="AI1176" s="23"/>
      <c r="AN1176" s="23"/>
      <c r="AO1176" s="23"/>
      <c r="AP1176" s="23"/>
      <c r="AQ1176" s="23"/>
      <c r="AR1176" s="35"/>
      <c r="AS1176" s="35"/>
      <c r="AT1176" s="35"/>
      <c r="AU1176" s="31"/>
      <c r="AV1176" s="36"/>
    </row>
    <row r="1177" spans="4:48">
      <c r="D1177" s="31"/>
      <c r="E1177" s="31"/>
      <c r="F1177" s="31"/>
      <c r="G1177" s="31"/>
      <c r="H1177" s="32"/>
      <c r="J1177" s="33"/>
      <c r="K1177" s="33"/>
      <c r="L1177" s="33"/>
      <c r="X1177" s="23"/>
      <c r="Y1177" s="23"/>
      <c r="Z1177" s="23"/>
      <c r="AA1177" s="23"/>
      <c r="AF1177" s="23"/>
      <c r="AG1177" s="23"/>
      <c r="AH1177" s="23"/>
      <c r="AI1177" s="23"/>
      <c r="AN1177" s="23"/>
      <c r="AO1177" s="23"/>
      <c r="AP1177" s="23"/>
      <c r="AQ1177" s="23"/>
      <c r="AR1177" s="35"/>
      <c r="AS1177" s="35"/>
      <c r="AT1177" s="35"/>
      <c r="AU1177" s="31"/>
      <c r="AV1177" s="36"/>
    </row>
    <row r="1178" spans="4:48">
      <c r="D1178" s="31"/>
      <c r="E1178" s="31"/>
      <c r="F1178" s="31"/>
      <c r="G1178" s="31"/>
      <c r="H1178" s="32"/>
      <c r="J1178" s="33"/>
      <c r="K1178" s="33"/>
      <c r="L1178" s="33"/>
      <c r="X1178" s="23"/>
      <c r="Y1178" s="23"/>
      <c r="Z1178" s="23"/>
      <c r="AA1178" s="23"/>
      <c r="AF1178" s="23"/>
      <c r="AG1178" s="23"/>
      <c r="AH1178" s="23"/>
      <c r="AI1178" s="23"/>
      <c r="AN1178" s="23"/>
      <c r="AO1178" s="23"/>
      <c r="AP1178" s="23"/>
      <c r="AQ1178" s="23"/>
      <c r="AR1178" s="35"/>
      <c r="AS1178" s="35"/>
      <c r="AT1178" s="35"/>
      <c r="AU1178" s="31"/>
      <c r="AV1178" s="36"/>
    </row>
    <row r="1179" spans="4:48">
      <c r="D1179" s="31"/>
      <c r="E1179" s="31"/>
      <c r="F1179" s="31"/>
      <c r="G1179" s="31"/>
      <c r="H1179" s="32"/>
      <c r="J1179" s="33"/>
      <c r="K1179" s="33"/>
      <c r="L1179" s="33"/>
      <c r="X1179" s="23"/>
      <c r="Y1179" s="23"/>
      <c r="Z1179" s="23"/>
      <c r="AA1179" s="23"/>
      <c r="AF1179" s="23"/>
      <c r="AG1179" s="23"/>
      <c r="AH1179" s="23"/>
      <c r="AI1179" s="23"/>
      <c r="AN1179" s="23"/>
      <c r="AO1179" s="23"/>
      <c r="AP1179" s="23"/>
      <c r="AQ1179" s="23"/>
      <c r="AR1179" s="35"/>
      <c r="AS1179" s="35"/>
      <c r="AT1179" s="35"/>
      <c r="AU1179" s="31"/>
      <c r="AV1179" s="36"/>
    </row>
    <row r="1180" spans="4:48">
      <c r="D1180" s="31"/>
      <c r="E1180" s="31"/>
      <c r="F1180" s="31"/>
      <c r="G1180" s="31"/>
      <c r="H1180" s="32"/>
      <c r="J1180" s="33"/>
      <c r="K1180" s="33"/>
      <c r="L1180" s="33"/>
      <c r="X1180" s="23"/>
      <c r="Y1180" s="23"/>
      <c r="Z1180" s="23"/>
      <c r="AA1180" s="23"/>
      <c r="AF1180" s="23"/>
      <c r="AG1180" s="23"/>
      <c r="AH1180" s="23"/>
      <c r="AI1180" s="23"/>
      <c r="AN1180" s="23"/>
      <c r="AO1180" s="23"/>
      <c r="AP1180" s="23"/>
      <c r="AQ1180" s="23"/>
      <c r="AR1180" s="35"/>
      <c r="AS1180" s="35"/>
      <c r="AT1180" s="35"/>
      <c r="AU1180" s="31"/>
      <c r="AV1180" s="36"/>
    </row>
    <row r="1181" spans="4:48">
      <c r="D1181" s="31"/>
      <c r="E1181" s="31"/>
      <c r="F1181" s="31"/>
      <c r="G1181" s="31"/>
      <c r="H1181" s="32"/>
      <c r="J1181" s="33"/>
      <c r="K1181" s="33"/>
      <c r="L1181" s="33"/>
      <c r="X1181" s="23"/>
      <c r="Y1181" s="23"/>
      <c r="Z1181" s="23"/>
      <c r="AA1181" s="23"/>
      <c r="AF1181" s="23"/>
      <c r="AG1181" s="23"/>
      <c r="AH1181" s="23"/>
      <c r="AI1181" s="23"/>
      <c r="AN1181" s="23"/>
      <c r="AO1181" s="23"/>
      <c r="AP1181" s="23"/>
      <c r="AQ1181" s="23"/>
      <c r="AR1181" s="35"/>
      <c r="AS1181" s="35"/>
      <c r="AT1181" s="35"/>
      <c r="AU1181" s="31"/>
      <c r="AV1181" s="36"/>
    </row>
    <row r="1182" spans="4:48">
      <c r="D1182" s="31"/>
      <c r="E1182" s="31"/>
      <c r="F1182" s="31"/>
      <c r="G1182" s="31"/>
      <c r="H1182" s="32"/>
      <c r="J1182" s="33"/>
      <c r="K1182" s="33"/>
      <c r="L1182" s="33"/>
      <c r="X1182" s="23"/>
      <c r="Y1182" s="23"/>
      <c r="Z1182" s="23"/>
      <c r="AA1182" s="23"/>
      <c r="AF1182" s="23"/>
      <c r="AG1182" s="23"/>
      <c r="AH1182" s="23"/>
      <c r="AI1182" s="23"/>
      <c r="AN1182" s="23"/>
      <c r="AO1182" s="23"/>
      <c r="AP1182" s="23"/>
      <c r="AQ1182" s="23"/>
      <c r="AR1182" s="35"/>
      <c r="AS1182" s="35"/>
      <c r="AT1182" s="35"/>
      <c r="AU1182" s="31"/>
      <c r="AV1182" s="36"/>
    </row>
    <row r="1183" spans="4:48">
      <c r="D1183" s="31"/>
      <c r="E1183" s="31"/>
      <c r="F1183" s="31"/>
      <c r="G1183" s="31"/>
      <c r="H1183" s="32"/>
      <c r="J1183" s="33"/>
      <c r="K1183" s="33"/>
      <c r="L1183" s="33"/>
      <c r="X1183" s="23"/>
      <c r="Y1183" s="23"/>
      <c r="Z1183" s="23"/>
      <c r="AA1183" s="23"/>
      <c r="AF1183" s="23"/>
      <c r="AG1183" s="23"/>
      <c r="AH1183" s="23"/>
      <c r="AI1183" s="23"/>
      <c r="AN1183" s="23"/>
      <c r="AO1183" s="23"/>
      <c r="AP1183" s="23"/>
      <c r="AQ1183" s="23"/>
      <c r="AR1183" s="35"/>
      <c r="AS1183" s="35"/>
      <c r="AT1183" s="35"/>
      <c r="AU1183" s="31"/>
      <c r="AV1183" s="36"/>
    </row>
    <row r="1184" spans="4:48">
      <c r="D1184" s="31"/>
      <c r="E1184" s="31"/>
      <c r="F1184" s="31"/>
      <c r="G1184" s="31"/>
      <c r="H1184" s="32"/>
      <c r="J1184" s="33"/>
      <c r="K1184" s="33"/>
      <c r="L1184" s="33"/>
      <c r="X1184" s="23"/>
      <c r="Y1184" s="23"/>
      <c r="Z1184" s="23"/>
      <c r="AA1184" s="23"/>
      <c r="AF1184" s="23"/>
      <c r="AG1184" s="23"/>
      <c r="AH1184" s="23"/>
      <c r="AI1184" s="23"/>
      <c r="AN1184" s="23"/>
      <c r="AO1184" s="23"/>
      <c r="AP1184" s="23"/>
      <c r="AQ1184" s="23"/>
      <c r="AR1184" s="35"/>
      <c r="AS1184" s="35"/>
      <c r="AT1184" s="35"/>
      <c r="AU1184" s="31"/>
      <c r="AV1184" s="36"/>
    </row>
    <row r="1185" spans="4:48">
      <c r="D1185" s="31"/>
      <c r="E1185" s="31"/>
      <c r="F1185" s="31"/>
      <c r="G1185" s="31"/>
      <c r="H1185" s="32"/>
      <c r="J1185" s="33"/>
      <c r="K1185" s="33"/>
      <c r="L1185" s="33"/>
      <c r="X1185" s="23"/>
      <c r="Y1185" s="23"/>
      <c r="Z1185" s="23"/>
      <c r="AA1185" s="23"/>
      <c r="AF1185" s="23"/>
      <c r="AG1185" s="23"/>
      <c r="AH1185" s="23"/>
      <c r="AI1185" s="23"/>
      <c r="AN1185" s="23"/>
      <c r="AO1185" s="23"/>
      <c r="AP1185" s="23"/>
      <c r="AQ1185" s="23"/>
      <c r="AR1185" s="35"/>
      <c r="AS1185" s="35"/>
      <c r="AT1185" s="35"/>
      <c r="AU1185" s="31"/>
      <c r="AV1185" s="36"/>
    </row>
    <row r="1186" spans="4:48">
      <c r="D1186" s="31"/>
      <c r="E1186" s="31"/>
      <c r="F1186" s="31"/>
      <c r="G1186" s="31"/>
      <c r="H1186" s="32"/>
      <c r="J1186" s="33"/>
      <c r="K1186" s="33"/>
      <c r="L1186" s="33"/>
      <c r="X1186" s="23"/>
      <c r="Y1186" s="23"/>
      <c r="Z1186" s="23"/>
      <c r="AA1186" s="23"/>
      <c r="AF1186" s="23"/>
      <c r="AG1186" s="23"/>
      <c r="AH1186" s="23"/>
      <c r="AI1186" s="23"/>
      <c r="AN1186" s="23"/>
      <c r="AO1186" s="23"/>
      <c r="AP1186" s="23"/>
      <c r="AQ1186" s="23"/>
      <c r="AR1186" s="35"/>
      <c r="AS1186" s="35"/>
      <c r="AT1186" s="35"/>
      <c r="AU1186" s="31"/>
      <c r="AV1186" s="36"/>
    </row>
    <row r="1187" spans="4:48">
      <c r="D1187" s="31"/>
      <c r="E1187" s="31"/>
      <c r="F1187" s="31"/>
      <c r="G1187" s="31"/>
      <c r="H1187" s="32"/>
      <c r="J1187" s="33"/>
      <c r="K1187" s="33"/>
      <c r="L1187" s="33"/>
      <c r="X1187" s="23"/>
      <c r="Y1187" s="23"/>
      <c r="Z1187" s="23"/>
      <c r="AA1187" s="23"/>
      <c r="AF1187" s="23"/>
      <c r="AG1187" s="23"/>
      <c r="AH1187" s="23"/>
      <c r="AI1187" s="23"/>
      <c r="AN1187" s="23"/>
      <c r="AO1187" s="23"/>
      <c r="AP1187" s="23"/>
      <c r="AQ1187" s="23"/>
      <c r="AR1187" s="35"/>
      <c r="AS1187" s="35"/>
      <c r="AT1187" s="35"/>
      <c r="AU1187" s="31"/>
      <c r="AV1187" s="36"/>
    </row>
    <row r="1188" spans="4:48">
      <c r="D1188" s="31"/>
      <c r="E1188" s="31"/>
      <c r="F1188" s="31"/>
      <c r="G1188" s="31"/>
      <c r="H1188" s="32"/>
      <c r="J1188" s="33"/>
      <c r="K1188" s="33"/>
      <c r="L1188" s="33"/>
      <c r="X1188" s="23"/>
      <c r="Y1188" s="23"/>
      <c r="Z1188" s="23"/>
      <c r="AA1188" s="23"/>
      <c r="AF1188" s="23"/>
      <c r="AG1188" s="23"/>
      <c r="AH1188" s="23"/>
      <c r="AI1188" s="23"/>
      <c r="AN1188" s="23"/>
      <c r="AO1188" s="23"/>
      <c r="AP1188" s="23"/>
      <c r="AQ1188" s="23"/>
      <c r="AR1188" s="35"/>
      <c r="AS1188" s="35"/>
      <c r="AT1188" s="35"/>
      <c r="AU1188" s="31"/>
      <c r="AV1188" s="36"/>
    </row>
    <row r="1189" spans="4:48">
      <c r="D1189" s="31"/>
      <c r="E1189" s="31"/>
      <c r="F1189" s="31"/>
      <c r="G1189" s="31"/>
      <c r="H1189" s="32"/>
      <c r="J1189" s="33"/>
      <c r="K1189" s="33"/>
      <c r="L1189" s="33"/>
      <c r="X1189" s="23"/>
      <c r="Y1189" s="23"/>
      <c r="Z1189" s="23"/>
      <c r="AA1189" s="23"/>
      <c r="AF1189" s="23"/>
      <c r="AG1189" s="23"/>
      <c r="AH1189" s="23"/>
      <c r="AI1189" s="23"/>
      <c r="AN1189" s="23"/>
      <c r="AO1189" s="23"/>
      <c r="AP1189" s="23"/>
      <c r="AQ1189" s="23"/>
      <c r="AR1189" s="35"/>
      <c r="AS1189" s="35"/>
      <c r="AT1189" s="35"/>
      <c r="AU1189" s="31"/>
      <c r="AV1189" s="36"/>
    </row>
    <row r="1190" spans="4:48">
      <c r="D1190" s="31"/>
      <c r="E1190" s="31"/>
      <c r="F1190" s="31"/>
      <c r="G1190" s="31"/>
      <c r="H1190" s="32"/>
      <c r="J1190" s="33"/>
      <c r="K1190" s="33"/>
      <c r="L1190" s="33"/>
      <c r="X1190" s="23"/>
      <c r="Y1190" s="23"/>
      <c r="Z1190" s="23"/>
      <c r="AA1190" s="23"/>
      <c r="AF1190" s="23"/>
      <c r="AG1190" s="23"/>
      <c r="AH1190" s="23"/>
      <c r="AI1190" s="23"/>
      <c r="AN1190" s="23"/>
      <c r="AO1190" s="23"/>
      <c r="AP1190" s="23"/>
      <c r="AQ1190" s="23"/>
      <c r="AR1190" s="35"/>
      <c r="AS1190" s="35"/>
      <c r="AT1190" s="35"/>
      <c r="AU1190" s="31"/>
      <c r="AV1190" s="36"/>
    </row>
    <row r="1191" spans="4:48">
      <c r="D1191" s="31"/>
      <c r="E1191" s="31"/>
      <c r="F1191" s="31"/>
      <c r="G1191" s="31"/>
      <c r="H1191" s="32"/>
      <c r="J1191" s="33"/>
      <c r="K1191" s="33"/>
      <c r="L1191" s="33"/>
      <c r="X1191" s="23"/>
      <c r="Y1191" s="23"/>
      <c r="Z1191" s="23"/>
      <c r="AA1191" s="23"/>
      <c r="AF1191" s="23"/>
      <c r="AG1191" s="23"/>
      <c r="AH1191" s="23"/>
      <c r="AI1191" s="23"/>
      <c r="AN1191" s="23"/>
      <c r="AO1191" s="23"/>
      <c r="AP1191" s="23"/>
      <c r="AQ1191" s="23"/>
      <c r="AR1191" s="35"/>
      <c r="AS1191" s="35"/>
      <c r="AT1191" s="35"/>
      <c r="AU1191" s="31"/>
      <c r="AV1191" s="36"/>
    </row>
    <row r="1192" spans="4:48">
      <c r="D1192" s="31"/>
      <c r="E1192" s="31"/>
      <c r="F1192" s="31"/>
      <c r="G1192" s="31"/>
      <c r="H1192" s="32"/>
      <c r="J1192" s="33"/>
      <c r="K1192" s="33"/>
      <c r="L1192" s="33"/>
      <c r="X1192" s="23"/>
      <c r="Y1192" s="23"/>
      <c r="Z1192" s="23"/>
      <c r="AA1192" s="23"/>
      <c r="AF1192" s="23"/>
      <c r="AG1192" s="23"/>
      <c r="AH1192" s="23"/>
      <c r="AI1192" s="23"/>
      <c r="AN1192" s="23"/>
      <c r="AO1192" s="23"/>
      <c r="AP1192" s="23"/>
      <c r="AQ1192" s="23"/>
      <c r="AR1192" s="35"/>
      <c r="AS1192" s="35"/>
      <c r="AT1192" s="35"/>
      <c r="AU1192" s="31"/>
      <c r="AV1192" s="36"/>
    </row>
    <row r="1193" spans="4:48">
      <c r="D1193" s="31"/>
      <c r="E1193" s="31"/>
      <c r="F1193" s="31"/>
      <c r="G1193" s="31"/>
      <c r="H1193" s="32"/>
      <c r="J1193" s="33"/>
      <c r="K1193" s="33"/>
      <c r="L1193" s="33"/>
      <c r="X1193" s="23"/>
      <c r="Y1193" s="23"/>
      <c r="Z1193" s="23"/>
      <c r="AA1193" s="23"/>
      <c r="AF1193" s="23"/>
      <c r="AG1193" s="23"/>
      <c r="AH1193" s="23"/>
      <c r="AI1193" s="23"/>
      <c r="AN1193" s="23"/>
      <c r="AO1193" s="23"/>
      <c r="AP1193" s="23"/>
      <c r="AQ1193" s="23"/>
      <c r="AR1193" s="35"/>
      <c r="AS1193" s="35"/>
      <c r="AT1193" s="35"/>
      <c r="AU1193" s="31"/>
      <c r="AV1193" s="36"/>
    </row>
    <row r="1194" spans="4:48">
      <c r="D1194" s="31"/>
      <c r="E1194" s="31"/>
      <c r="F1194" s="31"/>
      <c r="G1194" s="31"/>
      <c r="H1194" s="32"/>
      <c r="J1194" s="33"/>
      <c r="K1194" s="33"/>
      <c r="L1194" s="33"/>
      <c r="X1194" s="23"/>
      <c r="Y1194" s="23"/>
      <c r="Z1194" s="23"/>
      <c r="AA1194" s="23"/>
      <c r="AF1194" s="23"/>
      <c r="AG1194" s="23"/>
      <c r="AH1194" s="23"/>
      <c r="AI1194" s="23"/>
      <c r="AN1194" s="23"/>
      <c r="AO1194" s="23"/>
      <c r="AP1194" s="23"/>
      <c r="AQ1194" s="23"/>
      <c r="AR1194" s="35"/>
      <c r="AS1194" s="35"/>
      <c r="AT1194" s="35"/>
      <c r="AU1194" s="31"/>
      <c r="AV1194" s="36"/>
    </row>
    <row r="1195" spans="4:48">
      <c r="D1195" s="31"/>
      <c r="E1195" s="31"/>
      <c r="F1195" s="31"/>
      <c r="G1195" s="31"/>
      <c r="H1195" s="32"/>
      <c r="J1195" s="33"/>
      <c r="K1195" s="33"/>
      <c r="L1195" s="33"/>
      <c r="X1195" s="23"/>
      <c r="Y1195" s="23"/>
      <c r="Z1195" s="23"/>
      <c r="AA1195" s="23"/>
      <c r="AF1195" s="23"/>
      <c r="AG1195" s="23"/>
      <c r="AH1195" s="23"/>
      <c r="AI1195" s="23"/>
      <c r="AN1195" s="23"/>
      <c r="AO1195" s="23"/>
      <c r="AP1195" s="23"/>
      <c r="AQ1195" s="23"/>
      <c r="AR1195" s="35"/>
      <c r="AS1195" s="35"/>
      <c r="AT1195" s="35"/>
      <c r="AU1195" s="31"/>
      <c r="AV1195" s="36"/>
    </row>
    <row r="1196" spans="4:48">
      <c r="D1196" s="31"/>
      <c r="E1196" s="31"/>
      <c r="F1196" s="31"/>
      <c r="G1196" s="31"/>
      <c r="H1196" s="32"/>
      <c r="J1196" s="33"/>
      <c r="K1196" s="33"/>
      <c r="L1196" s="33"/>
      <c r="X1196" s="23"/>
      <c r="Y1196" s="23"/>
      <c r="Z1196" s="23"/>
      <c r="AA1196" s="23"/>
      <c r="AF1196" s="23"/>
      <c r="AG1196" s="23"/>
      <c r="AH1196" s="23"/>
      <c r="AI1196" s="23"/>
      <c r="AN1196" s="23"/>
      <c r="AO1196" s="23"/>
      <c r="AP1196" s="23"/>
      <c r="AQ1196" s="23"/>
      <c r="AR1196" s="35"/>
      <c r="AS1196" s="35"/>
      <c r="AT1196" s="35"/>
      <c r="AU1196" s="31"/>
      <c r="AV1196" s="36"/>
    </row>
    <row r="1197" spans="4:48">
      <c r="D1197" s="31"/>
      <c r="E1197" s="31"/>
      <c r="F1197" s="31"/>
      <c r="G1197" s="31"/>
      <c r="H1197" s="32"/>
      <c r="J1197" s="33"/>
      <c r="K1197" s="33"/>
      <c r="L1197" s="33"/>
      <c r="X1197" s="23"/>
      <c r="Y1197" s="23"/>
      <c r="Z1197" s="23"/>
      <c r="AA1197" s="23"/>
      <c r="AF1197" s="23"/>
      <c r="AG1197" s="23"/>
      <c r="AH1197" s="23"/>
      <c r="AI1197" s="23"/>
      <c r="AN1197" s="23"/>
      <c r="AO1197" s="23"/>
      <c r="AP1197" s="23"/>
      <c r="AQ1197" s="23"/>
      <c r="AR1197" s="35"/>
      <c r="AS1197" s="35"/>
      <c r="AT1197" s="35"/>
      <c r="AU1197" s="31"/>
      <c r="AV1197" s="36"/>
    </row>
    <row r="1198" spans="4:48">
      <c r="D1198" s="31"/>
      <c r="E1198" s="31"/>
      <c r="F1198" s="31"/>
      <c r="G1198" s="31"/>
      <c r="H1198" s="32"/>
      <c r="J1198" s="33"/>
      <c r="K1198" s="33"/>
      <c r="L1198" s="33"/>
      <c r="X1198" s="23"/>
      <c r="Y1198" s="23"/>
      <c r="Z1198" s="23"/>
      <c r="AA1198" s="23"/>
      <c r="AF1198" s="23"/>
      <c r="AG1198" s="23"/>
      <c r="AH1198" s="23"/>
      <c r="AI1198" s="23"/>
      <c r="AN1198" s="23"/>
      <c r="AO1198" s="23"/>
      <c r="AP1198" s="23"/>
      <c r="AQ1198" s="23"/>
      <c r="AR1198" s="35"/>
      <c r="AS1198" s="35"/>
      <c r="AT1198" s="35"/>
      <c r="AU1198" s="31"/>
      <c r="AV1198" s="36"/>
    </row>
    <row r="1199" spans="4:48">
      <c r="D1199" s="31"/>
      <c r="E1199" s="31"/>
      <c r="F1199" s="31"/>
      <c r="G1199" s="31"/>
      <c r="H1199" s="32"/>
      <c r="J1199" s="33"/>
      <c r="K1199" s="33"/>
      <c r="L1199" s="33"/>
      <c r="X1199" s="23"/>
      <c r="Y1199" s="23"/>
      <c r="Z1199" s="23"/>
      <c r="AA1199" s="23"/>
      <c r="AF1199" s="23"/>
      <c r="AG1199" s="23"/>
      <c r="AH1199" s="23"/>
      <c r="AI1199" s="23"/>
      <c r="AN1199" s="23"/>
      <c r="AO1199" s="23"/>
      <c r="AP1199" s="23"/>
      <c r="AQ1199" s="23"/>
      <c r="AR1199" s="35"/>
      <c r="AS1199" s="35"/>
      <c r="AT1199" s="35"/>
      <c r="AU1199" s="31"/>
      <c r="AV1199" s="36"/>
    </row>
    <row r="1200" spans="4:48">
      <c r="D1200" s="31"/>
      <c r="E1200" s="31"/>
      <c r="F1200" s="31"/>
      <c r="G1200" s="31"/>
      <c r="H1200" s="32"/>
      <c r="J1200" s="33"/>
      <c r="K1200" s="33"/>
      <c r="L1200" s="33"/>
      <c r="X1200" s="23"/>
      <c r="Y1200" s="23"/>
      <c r="Z1200" s="23"/>
      <c r="AA1200" s="23"/>
      <c r="AF1200" s="23"/>
      <c r="AG1200" s="23"/>
      <c r="AH1200" s="23"/>
      <c r="AI1200" s="23"/>
      <c r="AN1200" s="23"/>
      <c r="AO1200" s="23"/>
      <c r="AP1200" s="23"/>
      <c r="AQ1200" s="23"/>
      <c r="AR1200" s="35"/>
      <c r="AS1200" s="35"/>
      <c r="AT1200" s="35"/>
      <c r="AU1200" s="31"/>
      <c r="AV1200" s="36"/>
    </row>
    <row r="1201" spans="4:48">
      <c r="D1201" s="31"/>
      <c r="E1201" s="31"/>
      <c r="F1201" s="31"/>
      <c r="G1201" s="31"/>
      <c r="H1201" s="32"/>
      <c r="J1201" s="33"/>
      <c r="K1201" s="33"/>
      <c r="L1201" s="33"/>
      <c r="X1201" s="23"/>
      <c r="Y1201" s="23"/>
      <c r="Z1201" s="23"/>
      <c r="AA1201" s="23"/>
      <c r="AF1201" s="23"/>
      <c r="AG1201" s="23"/>
      <c r="AH1201" s="23"/>
      <c r="AI1201" s="23"/>
      <c r="AN1201" s="23"/>
      <c r="AO1201" s="23"/>
      <c r="AP1201" s="23"/>
      <c r="AQ1201" s="23"/>
      <c r="AR1201" s="35"/>
      <c r="AS1201" s="35"/>
      <c r="AT1201" s="35"/>
      <c r="AU1201" s="31"/>
      <c r="AV1201" s="36"/>
    </row>
    <row r="1202" spans="4:48">
      <c r="D1202" s="31"/>
      <c r="E1202" s="31"/>
      <c r="F1202" s="31"/>
      <c r="G1202" s="31"/>
      <c r="H1202" s="32"/>
      <c r="J1202" s="33"/>
      <c r="K1202" s="33"/>
      <c r="L1202" s="33"/>
      <c r="X1202" s="23"/>
      <c r="Y1202" s="23"/>
      <c r="Z1202" s="23"/>
      <c r="AA1202" s="23"/>
      <c r="AF1202" s="23"/>
      <c r="AG1202" s="23"/>
      <c r="AH1202" s="23"/>
      <c r="AI1202" s="23"/>
      <c r="AN1202" s="23"/>
      <c r="AO1202" s="23"/>
      <c r="AP1202" s="23"/>
      <c r="AQ1202" s="23"/>
      <c r="AR1202" s="35"/>
      <c r="AS1202" s="35"/>
      <c r="AT1202" s="35"/>
      <c r="AU1202" s="31"/>
      <c r="AV1202" s="36"/>
    </row>
    <row r="1203" spans="4:48">
      <c r="D1203" s="31"/>
      <c r="E1203" s="31"/>
      <c r="F1203" s="31"/>
      <c r="G1203" s="31"/>
      <c r="H1203" s="32"/>
      <c r="J1203" s="33"/>
      <c r="K1203" s="33"/>
      <c r="L1203" s="33"/>
      <c r="X1203" s="23"/>
      <c r="Y1203" s="23"/>
      <c r="Z1203" s="23"/>
      <c r="AA1203" s="23"/>
      <c r="AF1203" s="23"/>
      <c r="AG1203" s="23"/>
      <c r="AH1203" s="23"/>
      <c r="AI1203" s="23"/>
      <c r="AN1203" s="23"/>
      <c r="AO1203" s="23"/>
      <c r="AP1203" s="23"/>
      <c r="AQ1203" s="23"/>
      <c r="AR1203" s="35"/>
      <c r="AS1203" s="35"/>
      <c r="AT1203" s="35"/>
      <c r="AU1203" s="31"/>
      <c r="AV1203" s="36"/>
    </row>
    <row r="1204" spans="4:48">
      <c r="D1204" s="31"/>
      <c r="E1204" s="31"/>
      <c r="F1204" s="31"/>
      <c r="G1204" s="31"/>
      <c r="H1204" s="32"/>
      <c r="J1204" s="33"/>
      <c r="K1204" s="33"/>
      <c r="L1204" s="33"/>
      <c r="X1204" s="23"/>
      <c r="Y1204" s="23"/>
      <c r="Z1204" s="23"/>
      <c r="AA1204" s="23"/>
      <c r="AF1204" s="23"/>
      <c r="AG1204" s="23"/>
      <c r="AH1204" s="23"/>
      <c r="AI1204" s="23"/>
      <c r="AN1204" s="23"/>
      <c r="AO1204" s="23"/>
      <c r="AP1204" s="23"/>
      <c r="AQ1204" s="23"/>
      <c r="AR1204" s="35"/>
      <c r="AS1204" s="35"/>
      <c r="AT1204" s="35"/>
      <c r="AU1204" s="31"/>
      <c r="AV1204" s="36"/>
    </row>
    <row r="1205" spans="4:48">
      <c r="D1205" s="31"/>
      <c r="E1205" s="31"/>
      <c r="F1205" s="31"/>
      <c r="G1205" s="31"/>
      <c r="H1205" s="32"/>
      <c r="J1205" s="33"/>
      <c r="K1205" s="33"/>
      <c r="L1205" s="33"/>
      <c r="X1205" s="23"/>
      <c r="Y1205" s="23"/>
      <c r="Z1205" s="23"/>
      <c r="AA1205" s="23"/>
      <c r="AF1205" s="23"/>
      <c r="AG1205" s="23"/>
      <c r="AH1205" s="23"/>
      <c r="AI1205" s="23"/>
      <c r="AN1205" s="23"/>
      <c r="AO1205" s="23"/>
      <c r="AP1205" s="23"/>
      <c r="AQ1205" s="23"/>
      <c r="AR1205" s="35"/>
      <c r="AS1205" s="35"/>
      <c r="AT1205" s="35"/>
      <c r="AU1205" s="31"/>
      <c r="AV1205" s="36"/>
    </row>
    <row r="1206" spans="4:48">
      <c r="D1206" s="31"/>
      <c r="E1206" s="31"/>
      <c r="F1206" s="31"/>
      <c r="G1206" s="31"/>
      <c r="H1206" s="32"/>
      <c r="J1206" s="33"/>
      <c r="K1206" s="33"/>
      <c r="L1206" s="33"/>
      <c r="X1206" s="23"/>
      <c r="Y1206" s="23"/>
      <c r="Z1206" s="23"/>
      <c r="AA1206" s="23"/>
      <c r="AF1206" s="23"/>
      <c r="AG1206" s="23"/>
      <c r="AH1206" s="23"/>
      <c r="AI1206" s="23"/>
      <c r="AN1206" s="23"/>
      <c r="AO1206" s="23"/>
      <c r="AP1206" s="23"/>
      <c r="AQ1206" s="23"/>
      <c r="AR1206" s="35"/>
      <c r="AS1206" s="35"/>
      <c r="AT1206" s="35"/>
      <c r="AU1206" s="31"/>
      <c r="AV1206" s="36"/>
    </row>
    <row r="1207" spans="4:48">
      <c r="D1207" s="31"/>
      <c r="E1207" s="31"/>
      <c r="F1207" s="31"/>
      <c r="G1207" s="31"/>
      <c r="H1207" s="32"/>
      <c r="J1207" s="33"/>
      <c r="K1207" s="33"/>
      <c r="L1207" s="33"/>
      <c r="X1207" s="23"/>
      <c r="Y1207" s="23"/>
      <c r="Z1207" s="23"/>
      <c r="AA1207" s="23"/>
      <c r="AF1207" s="23"/>
      <c r="AG1207" s="23"/>
      <c r="AH1207" s="23"/>
      <c r="AI1207" s="23"/>
      <c r="AN1207" s="23"/>
      <c r="AO1207" s="23"/>
      <c r="AP1207" s="23"/>
      <c r="AQ1207" s="23"/>
      <c r="AR1207" s="35"/>
      <c r="AS1207" s="35"/>
      <c r="AT1207" s="35"/>
      <c r="AU1207" s="31"/>
      <c r="AV1207" s="36"/>
    </row>
    <row r="1208" spans="4:48">
      <c r="D1208" s="31"/>
      <c r="E1208" s="31"/>
      <c r="F1208" s="31"/>
      <c r="G1208" s="31"/>
      <c r="H1208" s="32"/>
      <c r="J1208" s="33"/>
      <c r="K1208" s="33"/>
      <c r="L1208" s="33"/>
      <c r="X1208" s="23"/>
      <c r="Y1208" s="23"/>
      <c r="Z1208" s="23"/>
      <c r="AA1208" s="23"/>
      <c r="AF1208" s="23"/>
      <c r="AG1208" s="23"/>
      <c r="AH1208" s="23"/>
      <c r="AI1208" s="23"/>
      <c r="AN1208" s="23"/>
      <c r="AO1208" s="23"/>
      <c r="AP1208" s="23"/>
      <c r="AQ1208" s="23"/>
      <c r="AR1208" s="35"/>
      <c r="AS1208" s="35"/>
      <c r="AT1208" s="35"/>
      <c r="AU1208" s="31"/>
      <c r="AV1208" s="36"/>
    </row>
    <row r="1209" spans="4:48">
      <c r="D1209" s="31"/>
      <c r="E1209" s="31"/>
      <c r="F1209" s="31"/>
      <c r="G1209" s="31"/>
      <c r="H1209" s="32"/>
      <c r="J1209" s="33"/>
      <c r="K1209" s="33"/>
      <c r="L1209" s="33"/>
      <c r="X1209" s="23"/>
      <c r="Y1209" s="23"/>
      <c r="Z1209" s="23"/>
      <c r="AA1209" s="23"/>
      <c r="AF1209" s="23"/>
      <c r="AG1209" s="23"/>
      <c r="AH1209" s="23"/>
      <c r="AI1209" s="23"/>
      <c r="AN1209" s="23"/>
      <c r="AO1209" s="23"/>
      <c r="AP1209" s="23"/>
      <c r="AQ1209" s="23"/>
      <c r="AR1209" s="35"/>
      <c r="AS1209" s="35"/>
      <c r="AT1209" s="35"/>
      <c r="AU1209" s="31"/>
      <c r="AV1209" s="36"/>
    </row>
    <row r="1210" spans="4:48">
      <c r="D1210" s="31"/>
      <c r="E1210" s="31"/>
      <c r="F1210" s="31"/>
      <c r="G1210" s="31"/>
      <c r="H1210" s="32"/>
      <c r="J1210" s="33"/>
      <c r="K1210" s="33"/>
      <c r="L1210" s="33"/>
      <c r="X1210" s="23"/>
      <c r="Y1210" s="23"/>
      <c r="Z1210" s="23"/>
      <c r="AA1210" s="23"/>
      <c r="AF1210" s="23"/>
      <c r="AG1210" s="23"/>
      <c r="AH1210" s="23"/>
      <c r="AI1210" s="23"/>
      <c r="AN1210" s="23"/>
      <c r="AO1210" s="23"/>
      <c r="AP1210" s="23"/>
      <c r="AQ1210" s="23"/>
      <c r="AR1210" s="35"/>
      <c r="AS1210" s="35"/>
      <c r="AT1210" s="35"/>
      <c r="AU1210" s="31"/>
      <c r="AV1210" s="36"/>
    </row>
    <row r="1211" spans="4:48">
      <c r="D1211" s="31"/>
      <c r="E1211" s="31"/>
      <c r="F1211" s="31"/>
      <c r="G1211" s="31"/>
      <c r="H1211" s="32"/>
      <c r="J1211" s="33"/>
      <c r="K1211" s="33"/>
      <c r="L1211" s="33"/>
      <c r="X1211" s="23"/>
      <c r="Y1211" s="23"/>
      <c r="Z1211" s="23"/>
      <c r="AA1211" s="23"/>
      <c r="AF1211" s="23"/>
      <c r="AG1211" s="23"/>
      <c r="AH1211" s="23"/>
      <c r="AI1211" s="23"/>
      <c r="AN1211" s="23"/>
      <c r="AO1211" s="23"/>
      <c r="AP1211" s="23"/>
      <c r="AQ1211" s="23"/>
      <c r="AR1211" s="35"/>
      <c r="AS1211" s="35"/>
      <c r="AT1211" s="35"/>
      <c r="AU1211" s="31"/>
      <c r="AV1211" s="36"/>
    </row>
    <row r="1212" spans="4:48">
      <c r="D1212" s="31"/>
      <c r="E1212" s="31"/>
      <c r="F1212" s="31"/>
      <c r="G1212" s="31"/>
      <c r="H1212" s="32"/>
      <c r="J1212" s="33"/>
      <c r="K1212" s="33"/>
      <c r="L1212" s="33"/>
      <c r="X1212" s="23"/>
      <c r="Y1212" s="23"/>
      <c r="Z1212" s="23"/>
      <c r="AA1212" s="23"/>
      <c r="AF1212" s="23"/>
      <c r="AG1212" s="23"/>
      <c r="AH1212" s="23"/>
      <c r="AI1212" s="23"/>
      <c r="AN1212" s="23"/>
      <c r="AO1212" s="23"/>
      <c r="AP1212" s="23"/>
      <c r="AQ1212" s="23"/>
      <c r="AR1212" s="35"/>
      <c r="AS1212" s="35"/>
      <c r="AT1212" s="35"/>
      <c r="AU1212" s="31"/>
      <c r="AV1212" s="36"/>
    </row>
    <row r="1213" spans="4:48">
      <c r="D1213" s="31"/>
      <c r="E1213" s="31"/>
      <c r="F1213" s="31"/>
      <c r="G1213" s="31"/>
      <c r="H1213" s="32"/>
      <c r="J1213" s="33"/>
      <c r="K1213" s="33"/>
      <c r="L1213" s="33"/>
      <c r="X1213" s="23"/>
      <c r="Y1213" s="23"/>
      <c r="Z1213" s="23"/>
      <c r="AA1213" s="23"/>
      <c r="AF1213" s="23"/>
      <c r="AG1213" s="23"/>
      <c r="AH1213" s="23"/>
      <c r="AI1213" s="23"/>
      <c r="AN1213" s="23"/>
      <c r="AO1213" s="23"/>
      <c r="AP1213" s="23"/>
      <c r="AQ1213" s="23"/>
      <c r="AR1213" s="35"/>
      <c r="AS1213" s="35"/>
      <c r="AT1213" s="35"/>
      <c r="AU1213" s="31"/>
      <c r="AV1213" s="36"/>
    </row>
    <row r="1214" spans="4:48">
      <c r="D1214" s="31"/>
      <c r="E1214" s="31"/>
      <c r="F1214" s="31"/>
      <c r="G1214" s="31"/>
      <c r="H1214" s="32"/>
      <c r="J1214" s="33"/>
      <c r="K1214" s="33"/>
      <c r="L1214" s="33"/>
      <c r="X1214" s="23"/>
      <c r="Y1214" s="23"/>
      <c r="Z1214" s="23"/>
      <c r="AA1214" s="23"/>
      <c r="AF1214" s="23"/>
      <c r="AG1214" s="23"/>
      <c r="AH1214" s="23"/>
      <c r="AI1214" s="23"/>
      <c r="AN1214" s="23"/>
      <c r="AO1214" s="23"/>
      <c r="AP1214" s="23"/>
      <c r="AQ1214" s="23"/>
      <c r="AR1214" s="35"/>
      <c r="AS1214" s="35"/>
      <c r="AT1214" s="35"/>
      <c r="AU1214" s="31"/>
      <c r="AV1214" s="36"/>
    </row>
    <row r="1215" spans="4:48">
      <c r="D1215" s="31"/>
      <c r="E1215" s="31"/>
      <c r="F1215" s="31"/>
      <c r="G1215" s="31"/>
      <c r="H1215" s="32"/>
      <c r="J1215" s="33"/>
      <c r="K1215" s="33"/>
      <c r="L1215" s="33"/>
      <c r="X1215" s="23"/>
      <c r="Y1215" s="23"/>
      <c r="Z1215" s="23"/>
      <c r="AA1215" s="23"/>
      <c r="AF1215" s="23"/>
      <c r="AG1215" s="23"/>
      <c r="AH1215" s="23"/>
      <c r="AI1215" s="23"/>
      <c r="AN1215" s="23"/>
      <c r="AO1215" s="23"/>
      <c r="AP1215" s="23"/>
      <c r="AQ1215" s="23"/>
      <c r="AR1215" s="35"/>
      <c r="AS1215" s="35"/>
      <c r="AT1215" s="35"/>
      <c r="AU1215" s="31"/>
      <c r="AV1215" s="36"/>
    </row>
    <row r="1216" spans="4:48">
      <c r="D1216" s="31"/>
      <c r="E1216" s="31"/>
      <c r="F1216" s="31"/>
      <c r="G1216" s="31"/>
      <c r="H1216" s="32"/>
      <c r="J1216" s="33"/>
      <c r="K1216" s="33"/>
      <c r="L1216" s="33"/>
      <c r="X1216" s="23"/>
      <c r="Y1216" s="23"/>
      <c r="Z1216" s="23"/>
      <c r="AA1216" s="23"/>
      <c r="AF1216" s="23"/>
      <c r="AG1216" s="23"/>
      <c r="AH1216" s="23"/>
      <c r="AI1216" s="23"/>
      <c r="AN1216" s="23"/>
      <c r="AO1216" s="23"/>
      <c r="AP1216" s="23"/>
      <c r="AQ1216" s="23"/>
      <c r="AR1216" s="35"/>
      <c r="AS1216" s="35"/>
      <c r="AT1216" s="35"/>
      <c r="AU1216" s="31"/>
      <c r="AV1216" s="36"/>
    </row>
    <row r="1217" spans="4:48">
      <c r="D1217" s="31"/>
      <c r="E1217" s="31"/>
      <c r="F1217" s="31"/>
      <c r="G1217" s="31"/>
      <c r="H1217" s="32"/>
      <c r="J1217" s="33"/>
      <c r="K1217" s="33"/>
      <c r="L1217" s="33"/>
      <c r="X1217" s="23"/>
      <c r="Y1217" s="23"/>
      <c r="Z1217" s="23"/>
      <c r="AA1217" s="23"/>
      <c r="AF1217" s="23"/>
      <c r="AG1217" s="23"/>
      <c r="AH1217" s="23"/>
      <c r="AI1217" s="23"/>
      <c r="AN1217" s="23"/>
      <c r="AO1217" s="23"/>
      <c r="AP1217" s="23"/>
      <c r="AQ1217" s="23"/>
      <c r="AR1217" s="35"/>
      <c r="AS1217" s="35"/>
      <c r="AT1217" s="35"/>
      <c r="AU1217" s="31"/>
      <c r="AV1217" s="36"/>
    </row>
    <row r="1218" spans="4:48">
      <c r="D1218" s="31"/>
      <c r="E1218" s="31"/>
      <c r="F1218" s="31"/>
      <c r="G1218" s="31"/>
      <c r="H1218" s="32"/>
      <c r="J1218" s="33"/>
      <c r="K1218" s="33"/>
      <c r="L1218" s="33"/>
      <c r="X1218" s="23"/>
      <c r="Y1218" s="23"/>
      <c r="Z1218" s="23"/>
      <c r="AA1218" s="23"/>
      <c r="AF1218" s="23"/>
      <c r="AG1218" s="23"/>
      <c r="AH1218" s="23"/>
      <c r="AI1218" s="23"/>
      <c r="AN1218" s="23"/>
      <c r="AO1218" s="23"/>
      <c r="AP1218" s="23"/>
      <c r="AQ1218" s="23"/>
      <c r="AR1218" s="35"/>
      <c r="AS1218" s="35"/>
      <c r="AT1218" s="35"/>
      <c r="AU1218" s="31"/>
      <c r="AV1218" s="36"/>
    </row>
    <row r="1219" spans="4:48">
      <c r="D1219" s="31"/>
      <c r="E1219" s="31"/>
      <c r="F1219" s="31"/>
      <c r="G1219" s="31"/>
      <c r="H1219" s="32"/>
      <c r="J1219" s="33"/>
      <c r="K1219" s="33"/>
      <c r="L1219" s="33"/>
      <c r="X1219" s="23"/>
      <c r="Y1219" s="23"/>
      <c r="Z1219" s="23"/>
      <c r="AA1219" s="23"/>
      <c r="AF1219" s="23"/>
      <c r="AG1219" s="23"/>
      <c r="AH1219" s="23"/>
      <c r="AI1219" s="23"/>
      <c r="AN1219" s="23"/>
      <c r="AO1219" s="23"/>
      <c r="AP1219" s="23"/>
      <c r="AQ1219" s="23"/>
      <c r="AR1219" s="35"/>
      <c r="AS1219" s="35"/>
      <c r="AT1219" s="35"/>
      <c r="AU1219" s="31"/>
      <c r="AV1219" s="36"/>
    </row>
    <row r="1220" spans="4:48">
      <c r="D1220" s="31"/>
      <c r="E1220" s="31"/>
      <c r="F1220" s="31"/>
      <c r="G1220" s="31"/>
      <c r="H1220" s="32"/>
      <c r="J1220" s="33"/>
      <c r="K1220" s="33"/>
      <c r="L1220" s="33"/>
      <c r="X1220" s="23"/>
      <c r="Y1220" s="23"/>
      <c r="Z1220" s="23"/>
      <c r="AA1220" s="23"/>
      <c r="AF1220" s="23"/>
      <c r="AG1220" s="23"/>
      <c r="AH1220" s="23"/>
      <c r="AI1220" s="23"/>
      <c r="AN1220" s="23"/>
      <c r="AO1220" s="23"/>
      <c r="AP1220" s="23"/>
      <c r="AQ1220" s="23"/>
      <c r="AR1220" s="35"/>
      <c r="AS1220" s="35"/>
      <c r="AT1220" s="35"/>
      <c r="AU1220" s="31"/>
      <c r="AV1220" s="36"/>
    </row>
    <row r="1221" spans="4:48">
      <c r="D1221" s="31"/>
      <c r="E1221" s="31"/>
      <c r="F1221" s="31"/>
      <c r="G1221" s="31"/>
      <c r="H1221" s="32"/>
      <c r="J1221" s="33"/>
      <c r="K1221" s="33"/>
      <c r="L1221" s="33"/>
      <c r="X1221" s="23"/>
      <c r="Y1221" s="23"/>
      <c r="Z1221" s="23"/>
      <c r="AA1221" s="23"/>
      <c r="AF1221" s="23"/>
      <c r="AG1221" s="23"/>
      <c r="AH1221" s="23"/>
      <c r="AI1221" s="23"/>
      <c r="AN1221" s="23"/>
      <c r="AO1221" s="23"/>
      <c r="AP1221" s="23"/>
      <c r="AQ1221" s="23"/>
      <c r="AR1221" s="35"/>
      <c r="AS1221" s="35"/>
      <c r="AT1221" s="35"/>
      <c r="AU1221" s="31"/>
      <c r="AV1221" s="36"/>
    </row>
    <row r="1222" spans="4:48">
      <c r="D1222" s="31"/>
      <c r="E1222" s="31"/>
      <c r="F1222" s="31"/>
      <c r="G1222" s="31"/>
      <c r="H1222" s="32"/>
      <c r="J1222" s="33"/>
      <c r="K1222" s="33"/>
      <c r="L1222" s="33"/>
      <c r="X1222" s="23"/>
      <c r="Y1222" s="23"/>
      <c r="Z1222" s="23"/>
      <c r="AA1222" s="23"/>
      <c r="AF1222" s="23"/>
      <c r="AG1222" s="23"/>
      <c r="AH1222" s="23"/>
      <c r="AI1222" s="23"/>
      <c r="AN1222" s="23"/>
      <c r="AO1222" s="23"/>
      <c r="AP1222" s="23"/>
      <c r="AQ1222" s="23"/>
      <c r="AR1222" s="35"/>
      <c r="AS1222" s="35"/>
      <c r="AT1222" s="35"/>
      <c r="AU1222" s="31"/>
      <c r="AV1222" s="36"/>
    </row>
    <row r="1223" spans="4:48">
      <c r="D1223" s="31"/>
      <c r="E1223" s="31"/>
      <c r="F1223" s="31"/>
      <c r="G1223" s="31"/>
      <c r="H1223" s="32"/>
      <c r="J1223" s="33"/>
      <c r="K1223" s="33"/>
      <c r="L1223" s="33"/>
      <c r="X1223" s="23"/>
      <c r="Y1223" s="23"/>
      <c r="Z1223" s="23"/>
      <c r="AA1223" s="23"/>
      <c r="AF1223" s="23"/>
      <c r="AG1223" s="23"/>
      <c r="AH1223" s="23"/>
      <c r="AI1223" s="23"/>
      <c r="AN1223" s="23"/>
      <c r="AO1223" s="23"/>
      <c r="AP1223" s="23"/>
      <c r="AQ1223" s="23"/>
      <c r="AR1223" s="35"/>
      <c r="AS1223" s="35"/>
      <c r="AT1223" s="35"/>
      <c r="AU1223" s="31"/>
      <c r="AV1223" s="36"/>
    </row>
    <row r="1224" spans="4:48">
      <c r="D1224" s="31"/>
      <c r="E1224" s="31"/>
      <c r="F1224" s="31"/>
      <c r="G1224" s="31"/>
      <c r="H1224" s="32"/>
      <c r="J1224" s="33"/>
      <c r="K1224" s="33"/>
      <c r="L1224" s="33"/>
      <c r="X1224" s="23"/>
      <c r="Y1224" s="23"/>
      <c r="Z1224" s="23"/>
      <c r="AA1224" s="23"/>
      <c r="AF1224" s="23"/>
      <c r="AG1224" s="23"/>
      <c r="AH1224" s="23"/>
      <c r="AI1224" s="23"/>
      <c r="AN1224" s="23"/>
      <c r="AO1224" s="23"/>
      <c r="AP1224" s="23"/>
      <c r="AQ1224" s="23"/>
      <c r="AR1224" s="35"/>
      <c r="AS1224" s="35"/>
      <c r="AT1224" s="35"/>
      <c r="AU1224" s="31"/>
      <c r="AV1224" s="36"/>
    </row>
    <row r="1225" spans="4:48">
      <c r="D1225" s="31"/>
      <c r="E1225" s="31"/>
      <c r="F1225" s="31"/>
      <c r="G1225" s="31"/>
      <c r="H1225" s="32"/>
      <c r="J1225" s="33"/>
      <c r="K1225" s="33"/>
      <c r="L1225" s="33"/>
      <c r="X1225" s="23"/>
      <c r="Y1225" s="23"/>
      <c r="Z1225" s="23"/>
      <c r="AA1225" s="23"/>
      <c r="AF1225" s="23"/>
      <c r="AG1225" s="23"/>
      <c r="AH1225" s="23"/>
      <c r="AI1225" s="23"/>
      <c r="AN1225" s="23"/>
      <c r="AO1225" s="23"/>
      <c r="AP1225" s="23"/>
      <c r="AQ1225" s="23"/>
      <c r="AR1225" s="35"/>
      <c r="AS1225" s="35"/>
      <c r="AT1225" s="35"/>
      <c r="AU1225" s="31"/>
      <c r="AV1225" s="36"/>
    </row>
    <row r="1226" spans="4:48">
      <c r="D1226" s="31"/>
      <c r="E1226" s="31"/>
      <c r="F1226" s="31"/>
      <c r="G1226" s="31"/>
      <c r="H1226" s="32"/>
      <c r="J1226" s="33"/>
      <c r="K1226" s="33"/>
      <c r="L1226" s="33"/>
      <c r="X1226" s="23"/>
      <c r="Y1226" s="23"/>
      <c r="Z1226" s="23"/>
      <c r="AA1226" s="23"/>
      <c r="AF1226" s="23"/>
      <c r="AG1226" s="23"/>
      <c r="AH1226" s="23"/>
      <c r="AI1226" s="23"/>
      <c r="AN1226" s="23"/>
      <c r="AO1226" s="23"/>
      <c r="AP1226" s="23"/>
      <c r="AQ1226" s="23"/>
      <c r="AR1226" s="35"/>
      <c r="AS1226" s="35"/>
      <c r="AT1226" s="35"/>
      <c r="AU1226" s="31"/>
      <c r="AV1226" s="36"/>
    </row>
    <row r="1227" spans="4:48">
      <c r="D1227" s="31"/>
      <c r="E1227" s="31"/>
      <c r="F1227" s="31"/>
      <c r="G1227" s="31"/>
      <c r="H1227" s="32"/>
      <c r="J1227" s="33"/>
      <c r="K1227" s="33"/>
      <c r="L1227" s="33"/>
      <c r="X1227" s="23"/>
      <c r="Y1227" s="23"/>
      <c r="Z1227" s="23"/>
      <c r="AA1227" s="23"/>
      <c r="AF1227" s="23"/>
      <c r="AG1227" s="23"/>
      <c r="AH1227" s="23"/>
      <c r="AI1227" s="23"/>
      <c r="AN1227" s="23"/>
      <c r="AO1227" s="23"/>
      <c r="AP1227" s="23"/>
      <c r="AQ1227" s="23"/>
      <c r="AR1227" s="35"/>
      <c r="AS1227" s="35"/>
      <c r="AT1227" s="35"/>
      <c r="AU1227" s="31"/>
      <c r="AV1227" s="36"/>
    </row>
    <row r="1228" spans="4:48">
      <c r="D1228" s="31"/>
      <c r="E1228" s="31"/>
      <c r="F1228" s="31"/>
      <c r="G1228" s="31"/>
      <c r="H1228" s="32"/>
      <c r="J1228" s="33"/>
      <c r="K1228" s="33"/>
      <c r="L1228" s="33"/>
      <c r="X1228" s="23"/>
      <c r="Y1228" s="23"/>
      <c r="Z1228" s="23"/>
      <c r="AA1228" s="23"/>
      <c r="AF1228" s="23"/>
      <c r="AG1228" s="23"/>
      <c r="AH1228" s="23"/>
      <c r="AI1228" s="23"/>
      <c r="AN1228" s="23"/>
      <c r="AO1228" s="23"/>
      <c r="AP1228" s="23"/>
      <c r="AQ1228" s="23"/>
      <c r="AR1228" s="35"/>
      <c r="AS1228" s="35"/>
      <c r="AT1228" s="35"/>
      <c r="AU1228" s="31"/>
      <c r="AV1228" s="36"/>
    </row>
    <row r="1229" spans="4:48">
      <c r="D1229" s="31"/>
      <c r="E1229" s="31"/>
      <c r="F1229" s="31"/>
      <c r="G1229" s="31"/>
      <c r="H1229" s="32"/>
      <c r="J1229" s="33"/>
      <c r="K1229" s="33"/>
      <c r="L1229" s="33"/>
      <c r="X1229" s="23"/>
      <c r="Y1229" s="23"/>
      <c r="Z1229" s="23"/>
      <c r="AA1229" s="23"/>
      <c r="AF1229" s="23"/>
      <c r="AG1229" s="23"/>
      <c r="AH1229" s="23"/>
      <c r="AI1229" s="23"/>
      <c r="AN1229" s="23"/>
      <c r="AO1229" s="23"/>
      <c r="AP1229" s="23"/>
      <c r="AQ1229" s="23"/>
      <c r="AR1229" s="35"/>
      <c r="AS1229" s="35"/>
      <c r="AT1229" s="35"/>
      <c r="AU1229" s="31"/>
      <c r="AV1229" s="36"/>
    </row>
    <row r="1230" spans="4:48">
      <c r="D1230" s="31"/>
      <c r="E1230" s="31"/>
      <c r="F1230" s="31"/>
      <c r="G1230" s="31"/>
      <c r="H1230" s="32"/>
      <c r="J1230" s="33"/>
      <c r="K1230" s="33"/>
      <c r="L1230" s="33"/>
      <c r="X1230" s="23"/>
      <c r="Y1230" s="23"/>
      <c r="Z1230" s="23"/>
      <c r="AA1230" s="23"/>
      <c r="AF1230" s="23"/>
      <c r="AG1230" s="23"/>
      <c r="AH1230" s="23"/>
      <c r="AI1230" s="23"/>
      <c r="AN1230" s="23"/>
      <c r="AO1230" s="23"/>
      <c r="AP1230" s="23"/>
      <c r="AQ1230" s="23"/>
      <c r="AR1230" s="35"/>
      <c r="AS1230" s="35"/>
      <c r="AT1230" s="35"/>
      <c r="AU1230" s="31"/>
      <c r="AV1230" s="36"/>
    </row>
    <row r="1231" spans="4:48">
      <c r="D1231" s="31"/>
      <c r="E1231" s="31"/>
      <c r="F1231" s="31"/>
      <c r="G1231" s="31"/>
      <c r="H1231" s="32"/>
      <c r="J1231" s="33"/>
      <c r="K1231" s="33"/>
      <c r="L1231" s="33"/>
      <c r="X1231" s="23"/>
      <c r="Y1231" s="23"/>
      <c r="Z1231" s="23"/>
      <c r="AA1231" s="23"/>
      <c r="AF1231" s="23"/>
      <c r="AG1231" s="23"/>
      <c r="AH1231" s="23"/>
      <c r="AI1231" s="23"/>
      <c r="AN1231" s="23"/>
      <c r="AO1231" s="23"/>
      <c r="AP1231" s="23"/>
      <c r="AQ1231" s="23"/>
      <c r="AR1231" s="35"/>
      <c r="AS1231" s="35"/>
      <c r="AT1231" s="35"/>
      <c r="AU1231" s="31"/>
      <c r="AV1231" s="36"/>
    </row>
    <row r="1232" spans="4:48">
      <c r="D1232" s="31"/>
      <c r="E1232" s="31"/>
      <c r="F1232" s="31"/>
      <c r="G1232" s="31"/>
      <c r="H1232" s="32"/>
      <c r="J1232" s="33"/>
      <c r="K1232" s="33"/>
      <c r="L1232" s="33"/>
      <c r="X1232" s="23"/>
      <c r="Y1232" s="23"/>
      <c r="Z1232" s="23"/>
      <c r="AA1232" s="23"/>
      <c r="AF1232" s="23"/>
      <c r="AG1232" s="23"/>
      <c r="AH1232" s="23"/>
      <c r="AI1232" s="23"/>
      <c r="AN1232" s="23"/>
      <c r="AO1232" s="23"/>
      <c r="AP1232" s="23"/>
      <c r="AQ1232" s="23"/>
      <c r="AR1232" s="35"/>
      <c r="AS1232" s="35"/>
      <c r="AT1232" s="35"/>
      <c r="AU1232" s="31"/>
      <c r="AV1232" s="36"/>
    </row>
    <row r="1233" spans="4:48">
      <c r="D1233" s="31"/>
      <c r="E1233" s="31"/>
      <c r="F1233" s="31"/>
      <c r="G1233" s="31"/>
      <c r="H1233" s="32"/>
      <c r="J1233" s="33"/>
      <c r="K1233" s="33"/>
      <c r="L1233" s="33"/>
      <c r="X1233" s="23"/>
      <c r="Y1233" s="23"/>
      <c r="Z1233" s="23"/>
      <c r="AA1233" s="23"/>
      <c r="AF1233" s="23"/>
      <c r="AG1233" s="23"/>
      <c r="AH1233" s="23"/>
      <c r="AI1233" s="23"/>
      <c r="AN1233" s="23"/>
      <c r="AO1233" s="23"/>
      <c r="AP1233" s="23"/>
      <c r="AQ1233" s="23"/>
      <c r="AR1233" s="35"/>
      <c r="AS1233" s="35"/>
      <c r="AT1233" s="35"/>
      <c r="AU1233" s="31"/>
      <c r="AV1233" s="36"/>
    </row>
    <row r="1234" spans="4:48">
      <c r="D1234" s="31"/>
      <c r="E1234" s="31"/>
      <c r="F1234" s="31"/>
      <c r="G1234" s="31"/>
      <c r="H1234" s="32"/>
      <c r="J1234" s="33"/>
      <c r="K1234" s="33"/>
      <c r="L1234" s="33"/>
      <c r="X1234" s="23"/>
      <c r="Y1234" s="23"/>
      <c r="Z1234" s="23"/>
      <c r="AA1234" s="23"/>
      <c r="AF1234" s="23"/>
      <c r="AG1234" s="23"/>
      <c r="AH1234" s="23"/>
      <c r="AI1234" s="23"/>
      <c r="AN1234" s="23"/>
      <c r="AO1234" s="23"/>
      <c r="AP1234" s="23"/>
      <c r="AQ1234" s="23"/>
      <c r="AR1234" s="35"/>
      <c r="AS1234" s="35"/>
      <c r="AT1234" s="35"/>
      <c r="AU1234" s="31"/>
      <c r="AV1234" s="36"/>
    </row>
    <row r="1235" spans="4:48">
      <c r="D1235" s="31"/>
      <c r="E1235" s="31"/>
      <c r="F1235" s="31"/>
      <c r="G1235" s="31"/>
      <c r="H1235" s="32"/>
      <c r="J1235" s="33"/>
      <c r="K1235" s="33"/>
      <c r="L1235" s="33"/>
      <c r="X1235" s="23"/>
      <c r="Y1235" s="23"/>
      <c r="Z1235" s="23"/>
      <c r="AA1235" s="23"/>
      <c r="AF1235" s="23"/>
      <c r="AG1235" s="23"/>
      <c r="AH1235" s="23"/>
      <c r="AI1235" s="23"/>
      <c r="AN1235" s="23"/>
      <c r="AO1235" s="23"/>
      <c r="AP1235" s="23"/>
      <c r="AQ1235" s="23"/>
      <c r="AR1235" s="35"/>
      <c r="AS1235" s="35"/>
      <c r="AT1235" s="35"/>
      <c r="AU1235" s="31"/>
      <c r="AV1235" s="36"/>
    </row>
    <row r="1236" spans="4:48">
      <c r="D1236" s="31"/>
      <c r="E1236" s="31"/>
      <c r="F1236" s="31"/>
      <c r="G1236" s="31"/>
      <c r="H1236" s="32"/>
      <c r="J1236" s="33"/>
      <c r="K1236" s="33"/>
      <c r="L1236" s="33"/>
      <c r="X1236" s="23"/>
      <c r="Y1236" s="23"/>
      <c r="Z1236" s="23"/>
      <c r="AA1236" s="23"/>
      <c r="AF1236" s="23"/>
      <c r="AG1236" s="23"/>
      <c r="AH1236" s="23"/>
      <c r="AI1236" s="23"/>
      <c r="AN1236" s="23"/>
      <c r="AO1236" s="23"/>
      <c r="AP1236" s="23"/>
      <c r="AQ1236" s="23"/>
      <c r="AR1236" s="35"/>
      <c r="AS1236" s="35"/>
      <c r="AT1236" s="35"/>
      <c r="AU1236" s="31"/>
      <c r="AV1236" s="36"/>
    </row>
    <row r="1237" spans="4:48">
      <c r="D1237" s="31"/>
      <c r="E1237" s="31"/>
      <c r="F1237" s="31"/>
      <c r="G1237" s="31"/>
      <c r="H1237" s="32"/>
      <c r="J1237" s="33"/>
      <c r="K1237" s="33"/>
      <c r="L1237" s="33"/>
      <c r="X1237" s="23"/>
      <c r="Y1237" s="23"/>
      <c r="Z1237" s="23"/>
      <c r="AA1237" s="23"/>
      <c r="AF1237" s="23"/>
      <c r="AG1237" s="23"/>
      <c r="AH1237" s="23"/>
      <c r="AI1237" s="23"/>
      <c r="AN1237" s="23"/>
      <c r="AO1237" s="23"/>
      <c r="AP1237" s="23"/>
      <c r="AQ1237" s="23"/>
      <c r="AR1237" s="35"/>
      <c r="AS1237" s="35"/>
      <c r="AT1237" s="35"/>
      <c r="AU1237" s="31"/>
      <c r="AV1237" s="36"/>
    </row>
    <row r="1238" spans="4:48">
      <c r="D1238" s="31"/>
      <c r="E1238" s="31"/>
      <c r="F1238" s="31"/>
      <c r="G1238" s="31"/>
      <c r="H1238" s="32"/>
      <c r="J1238" s="33"/>
      <c r="K1238" s="33"/>
      <c r="L1238" s="33"/>
      <c r="X1238" s="23"/>
      <c r="Y1238" s="23"/>
      <c r="Z1238" s="23"/>
      <c r="AA1238" s="23"/>
      <c r="AF1238" s="23"/>
      <c r="AG1238" s="23"/>
      <c r="AH1238" s="23"/>
      <c r="AI1238" s="23"/>
      <c r="AN1238" s="23"/>
      <c r="AO1238" s="23"/>
      <c r="AP1238" s="23"/>
      <c r="AQ1238" s="23"/>
      <c r="AR1238" s="35"/>
      <c r="AS1238" s="35"/>
      <c r="AT1238" s="35"/>
      <c r="AU1238" s="31"/>
      <c r="AV1238" s="36"/>
    </row>
    <row r="1239" spans="4:48">
      <c r="D1239" s="31"/>
      <c r="E1239" s="31"/>
      <c r="F1239" s="31"/>
      <c r="G1239" s="31"/>
      <c r="H1239" s="32"/>
      <c r="J1239" s="33"/>
      <c r="K1239" s="33"/>
      <c r="L1239" s="33"/>
      <c r="X1239" s="23"/>
      <c r="Y1239" s="23"/>
      <c r="Z1239" s="23"/>
      <c r="AA1239" s="23"/>
      <c r="AF1239" s="23"/>
      <c r="AG1239" s="23"/>
      <c r="AH1239" s="23"/>
      <c r="AI1239" s="23"/>
      <c r="AN1239" s="23"/>
      <c r="AO1239" s="23"/>
      <c r="AP1239" s="23"/>
      <c r="AQ1239" s="23"/>
      <c r="AR1239" s="35"/>
      <c r="AS1239" s="35"/>
      <c r="AT1239" s="35"/>
      <c r="AU1239" s="31"/>
      <c r="AV1239" s="36"/>
    </row>
    <row r="1240" spans="4:48">
      <c r="D1240" s="31"/>
      <c r="E1240" s="31"/>
      <c r="F1240" s="31"/>
      <c r="G1240" s="31"/>
      <c r="H1240" s="32"/>
      <c r="J1240" s="33"/>
      <c r="K1240" s="33"/>
      <c r="L1240" s="33"/>
      <c r="X1240" s="23"/>
      <c r="Y1240" s="23"/>
      <c r="Z1240" s="23"/>
      <c r="AA1240" s="23"/>
      <c r="AF1240" s="23"/>
      <c r="AG1240" s="23"/>
      <c r="AH1240" s="23"/>
      <c r="AI1240" s="23"/>
      <c r="AN1240" s="23"/>
      <c r="AO1240" s="23"/>
      <c r="AP1240" s="23"/>
      <c r="AQ1240" s="23"/>
      <c r="AR1240" s="35"/>
      <c r="AS1240" s="35"/>
      <c r="AT1240" s="35"/>
      <c r="AU1240" s="31"/>
      <c r="AV1240" s="36"/>
    </row>
    <row r="1241" spans="4:48">
      <c r="D1241" s="31"/>
      <c r="E1241" s="31"/>
      <c r="F1241" s="31"/>
      <c r="G1241" s="31"/>
      <c r="H1241" s="32"/>
      <c r="J1241" s="33"/>
      <c r="K1241" s="33"/>
      <c r="L1241" s="33"/>
      <c r="X1241" s="23"/>
      <c r="Y1241" s="23"/>
      <c r="Z1241" s="23"/>
      <c r="AA1241" s="23"/>
      <c r="AF1241" s="23"/>
      <c r="AG1241" s="23"/>
      <c r="AH1241" s="23"/>
      <c r="AI1241" s="23"/>
      <c r="AN1241" s="23"/>
      <c r="AO1241" s="23"/>
      <c r="AP1241" s="23"/>
      <c r="AQ1241" s="23"/>
      <c r="AR1241" s="35"/>
      <c r="AS1241" s="35"/>
      <c r="AT1241" s="35"/>
      <c r="AU1241" s="31"/>
      <c r="AV1241" s="36"/>
    </row>
    <row r="1242" spans="4:48">
      <c r="D1242" s="31"/>
      <c r="E1242" s="31"/>
      <c r="F1242" s="31"/>
      <c r="G1242" s="31"/>
      <c r="H1242" s="32"/>
      <c r="J1242" s="33"/>
      <c r="K1242" s="33"/>
      <c r="L1242" s="33"/>
      <c r="X1242" s="23"/>
      <c r="Y1242" s="23"/>
      <c r="Z1242" s="23"/>
      <c r="AA1242" s="23"/>
      <c r="AF1242" s="23"/>
      <c r="AG1242" s="23"/>
      <c r="AH1242" s="23"/>
      <c r="AI1242" s="23"/>
      <c r="AN1242" s="23"/>
      <c r="AO1242" s="23"/>
      <c r="AP1242" s="23"/>
      <c r="AQ1242" s="23"/>
      <c r="AR1242" s="35"/>
      <c r="AS1242" s="35"/>
      <c r="AT1242" s="35"/>
      <c r="AU1242" s="31"/>
      <c r="AV1242" s="36"/>
    </row>
    <row r="1243" spans="4:48">
      <c r="D1243" s="31"/>
      <c r="E1243" s="31"/>
      <c r="F1243" s="31"/>
      <c r="G1243" s="31"/>
      <c r="H1243" s="32"/>
      <c r="J1243" s="33"/>
      <c r="K1243" s="33"/>
      <c r="L1243" s="33"/>
      <c r="X1243" s="23"/>
      <c r="Y1243" s="23"/>
      <c r="Z1243" s="23"/>
      <c r="AA1243" s="23"/>
      <c r="AF1243" s="23"/>
      <c r="AG1243" s="23"/>
      <c r="AH1243" s="23"/>
      <c r="AI1243" s="23"/>
      <c r="AN1243" s="23"/>
      <c r="AO1243" s="23"/>
      <c r="AP1243" s="23"/>
      <c r="AQ1243" s="23"/>
      <c r="AR1243" s="35"/>
      <c r="AS1243" s="35"/>
      <c r="AT1243" s="35"/>
      <c r="AU1243" s="31"/>
      <c r="AV1243" s="36"/>
    </row>
    <row r="1244" spans="4:48">
      <c r="D1244" s="31"/>
      <c r="E1244" s="31"/>
      <c r="F1244" s="31"/>
      <c r="G1244" s="31"/>
      <c r="H1244" s="32"/>
      <c r="J1244" s="33"/>
      <c r="K1244" s="33"/>
      <c r="L1244" s="33"/>
      <c r="X1244" s="23"/>
      <c r="Y1244" s="23"/>
      <c r="Z1244" s="23"/>
      <c r="AA1244" s="23"/>
      <c r="AF1244" s="23"/>
      <c r="AG1244" s="23"/>
      <c r="AH1244" s="23"/>
      <c r="AI1244" s="23"/>
      <c r="AN1244" s="23"/>
      <c r="AO1244" s="23"/>
      <c r="AP1244" s="23"/>
      <c r="AQ1244" s="23"/>
      <c r="AR1244" s="35"/>
      <c r="AS1244" s="35"/>
      <c r="AT1244" s="35"/>
      <c r="AU1244" s="31"/>
      <c r="AV1244" s="36"/>
    </row>
    <row r="1245" spans="4:48">
      <c r="D1245" s="31"/>
      <c r="E1245" s="31"/>
      <c r="F1245" s="31"/>
      <c r="G1245" s="31"/>
      <c r="H1245" s="32"/>
      <c r="J1245" s="33"/>
      <c r="K1245" s="33"/>
      <c r="L1245" s="33"/>
      <c r="X1245" s="23"/>
      <c r="Y1245" s="23"/>
      <c r="Z1245" s="23"/>
      <c r="AA1245" s="23"/>
      <c r="AF1245" s="23"/>
      <c r="AG1245" s="23"/>
      <c r="AH1245" s="23"/>
      <c r="AI1245" s="23"/>
      <c r="AN1245" s="23"/>
      <c r="AO1245" s="23"/>
      <c r="AP1245" s="23"/>
      <c r="AQ1245" s="23"/>
      <c r="AR1245" s="35"/>
      <c r="AS1245" s="35"/>
      <c r="AT1245" s="35"/>
      <c r="AU1245" s="31"/>
      <c r="AV1245" s="36"/>
    </row>
    <row r="1246" spans="4:48">
      <c r="D1246" s="31"/>
      <c r="E1246" s="31"/>
      <c r="F1246" s="31"/>
      <c r="G1246" s="31"/>
      <c r="H1246" s="32"/>
      <c r="J1246" s="33"/>
      <c r="K1246" s="33"/>
      <c r="L1246" s="33"/>
      <c r="X1246" s="23"/>
      <c r="Y1246" s="23"/>
      <c r="Z1246" s="23"/>
      <c r="AA1246" s="23"/>
      <c r="AF1246" s="23"/>
      <c r="AG1246" s="23"/>
      <c r="AH1246" s="23"/>
      <c r="AI1246" s="23"/>
      <c r="AN1246" s="23"/>
      <c r="AO1246" s="23"/>
      <c r="AP1246" s="23"/>
      <c r="AQ1246" s="23"/>
      <c r="AR1246" s="35"/>
      <c r="AS1246" s="35"/>
      <c r="AT1246" s="35"/>
      <c r="AU1246" s="31"/>
      <c r="AV1246" s="36"/>
    </row>
    <row r="1247" spans="4:48">
      <c r="D1247" s="31"/>
      <c r="E1247" s="31"/>
      <c r="F1247" s="31"/>
      <c r="G1247" s="31"/>
      <c r="H1247" s="32"/>
      <c r="J1247" s="33"/>
      <c r="K1247" s="33"/>
      <c r="L1247" s="33"/>
      <c r="X1247" s="23"/>
      <c r="Y1247" s="23"/>
      <c r="Z1247" s="23"/>
      <c r="AA1247" s="23"/>
      <c r="AF1247" s="23"/>
      <c r="AG1247" s="23"/>
      <c r="AH1247" s="23"/>
      <c r="AI1247" s="23"/>
      <c r="AN1247" s="23"/>
      <c r="AO1247" s="23"/>
      <c r="AP1247" s="23"/>
      <c r="AQ1247" s="23"/>
      <c r="AR1247" s="35"/>
      <c r="AS1247" s="35"/>
      <c r="AT1247" s="35"/>
      <c r="AU1247" s="31"/>
      <c r="AV1247" s="36"/>
    </row>
    <row r="1248" spans="4:48">
      <c r="D1248" s="31"/>
      <c r="E1248" s="31"/>
      <c r="F1248" s="31"/>
      <c r="G1248" s="31"/>
      <c r="H1248" s="32"/>
      <c r="J1248" s="33"/>
      <c r="K1248" s="33"/>
      <c r="L1248" s="33"/>
      <c r="X1248" s="23"/>
      <c r="Y1248" s="23"/>
      <c r="Z1248" s="23"/>
      <c r="AA1248" s="23"/>
      <c r="AF1248" s="23"/>
      <c r="AG1248" s="23"/>
      <c r="AH1248" s="23"/>
      <c r="AI1248" s="23"/>
      <c r="AN1248" s="23"/>
      <c r="AO1248" s="23"/>
      <c r="AP1248" s="23"/>
      <c r="AQ1248" s="23"/>
      <c r="AR1248" s="35"/>
      <c r="AS1248" s="35"/>
      <c r="AT1248" s="35"/>
      <c r="AU1248" s="31"/>
      <c r="AV1248" s="36"/>
    </row>
    <row r="1249" spans="4:48">
      <c r="D1249" s="31"/>
      <c r="E1249" s="31"/>
      <c r="F1249" s="31"/>
      <c r="G1249" s="31"/>
      <c r="H1249" s="32"/>
      <c r="J1249" s="33"/>
      <c r="K1249" s="33"/>
      <c r="L1249" s="33"/>
      <c r="X1249" s="23"/>
      <c r="Y1249" s="23"/>
      <c r="Z1249" s="23"/>
      <c r="AA1249" s="23"/>
      <c r="AF1249" s="23"/>
      <c r="AG1249" s="23"/>
      <c r="AH1249" s="23"/>
      <c r="AI1249" s="23"/>
      <c r="AN1249" s="23"/>
      <c r="AO1249" s="23"/>
      <c r="AP1249" s="23"/>
      <c r="AQ1249" s="23"/>
      <c r="AR1249" s="35"/>
      <c r="AS1249" s="35"/>
      <c r="AT1249" s="35"/>
      <c r="AU1249" s="31"/>
      <c r="AV1249" s="36"/>
    </row>
    <row r="1250" spans="4:48">
      <c r="D1250" s="31"/>
      <c r="E1250" s="31"/>
      <c r="F1250" s="31"/>
      <c r="G1250" s="31"/>
      <c r="H1250" s="32"/>
      <c r="J1250" s="33"/>
      <c r="K1250" s="33"/>
      <c r="L1250" s="33"/>
      <c r="X1250" s="23"/>
      <c r="Y1250" s="23"/>
      <c r="Z1250" s="23"/>
      <c r="AA1250" s="23"/>
      <c r="AF1250" s="23"/>
      <c r="AG1250" s="23"/>
      <c r="AH1250" s="23"/>
      <c r="AI1250" s="23"/>
      <c r="AN1250" s="23"/>
      <c r="AO1250" s="23"/>
      <c r="AP1250" s="23"/>
      <c r="AQ1250" s="23"/>
      <c r="AR1250" s="35"/>
      <c r="AS1250" s="35"/>
      <c r="AT1250" s="35"/>
      <c r="AU1250" s="31"/>
      <c r="AV1250" s="36"/>
    </row>
    <row r="1251" spans="4:48">
      <c r="D1251" s="31"/>
      <c r="E1251" s="31"/>
      <c r="F1251" s="31"/>
      <c r="G1251" s="31"/>
      <c r="H1251" s="32"/>
      <c r="J1251" s="33"/>
      <c r="K1251" s="33"/>
      <c r="L1251" s="33"/>
      <c r="X1251" s="23"/>
      <c r="Y1251" s="23"/>
      <c r="Z1251" s="23"/>
      <c r="AA1251" s="23"/>
      <c r="AF1251" s="23"/>
      <c r="AG1251" s="23"/>
      <c r="AH1251" s="23"/>
      <c r="AI1251" s="23"/>
      <c r="AN1251" s="23"/>
      <c r="AO1251" s="23"/>
      <c r="AP1251" s="23"/>
      <c r="AQ1251" s="23"/>
      <c r="AR1251" s="35"/>
      <c r="AS1251" s="35"/>
      <c r="AT1251" s="35"/>
      <c r="AU1251" s="31"/>
      <c r="AV1251" s="36"/>
    </row>
    <row r="1252" spans="4:48">
      <c r="D1252" s="31"/>
      <c r="E1252" s="31"/>
      <c r="F1252" s="31"/>
      <c r="G1252" s="31"/>
      <c r="H1252" s="32"/>
      <c r="J1252" s="33"/>
      <c r="K1252" s="33"/>
      <c r="L1252" s="33"/>
      <c r="X1252" s="23"/>
      <c r="Y1252" s="23"/>
      <c r="Z1252" s="23"/>
      <c r="AA1252" s="23"/>
      <c r="AF1252" s="23"/>
      <c r="AG1252" s="23"/>
      <c r="AH1252" s="23"/>
      <c r="AI1252" s="23"/>
      <c r="AN1252" s="23"/>
      <c r="AO1252" s="23"/>
      <c r="AP1252" s="23"/>
      <c r="AQ1252" s="23"/>
      <c r="AR1252" s="35"/>
      <c r="AS1252" s="35"/>
      <c r="AT1252" s="35"/>
      <c r="AU1252" s="31"/>
      <c r="AV1252" s="36"/>
    </row>
    <row r="1253" spans="4:48">
      <c r="D1253" s="31"/>
      <c r="E1253" s="31"/>
      <c r="F1253" s="31"/>
      <c r="G1253" s="31"/>
      <c r="H1253" s="32"/>
      <c r="J1253" s="33"/>
      <c r="K1253" s="33"/>
      <c r="L1253" s="33"/>
      <c r="X1253" s="23"/>
      <c r="Y1253" s="23"/>
      <c r="Z1253" s="23"/>
      <c r="AA1253" s="23"/>
      <c r="AF1253" s="23"/>
      <c r="AG1253" s="23"/>
      <c r="AH1253" s="23"/>
      <c r="AI1253" s="23"/>
      <c r="AN1253" s="23"/>
      <c r="AO1253" s="23"/>
      <c r="AP1253" s="23"/>
      <c r="AQ1253" s="23"/>
      <c r="AR1253" s="35"/>
      <c r="AS1253" s="35"/>
      <c r="AT1253" s="35"/>
      <c r="AU1253" s="31"/>
      <c r="AV1253" s="36"/>
    </row>
    <row r="1254" spans="4:48">
      <c r="D1254" s="31"/>
      <c r="E1254" s="31"/>
      <c r="F1254" s="31"/>
      <c r="G1254" s="31"/>
      <c r="H1254" s="32"/>
      <c r="J1254" s="33"/>
      <c r="K1254" s="33"/>
      <c r="L1254" s="33"/>
      <c r="X1254" s="23"/>
      <c r="Y1254" s="23"/>
      <c r="Z1254" s="23"/>
      <c r="AA1254" s="23"/>
      <c r="AF1254" s="23"/>
      <c r="AG1254" s="23"/>
      <c r="AH1254" s="23"/>
      <c r="AI1254" s="23"/>
      <c r="AN1254" s="23"/>
      <c r="AO1254" s="23"/>
      <c r="AP1254" s="23"/>
      <c r="AQ1254" s="23"/>
      <c r="AR1254" s="35"/>
      <c r="AS1254" s="35"/>
      <c r="AT1254" s="35"/>
      <c r="AU1254" s="31"/>
      <c r="AV1254" s="36"/>
    </row>
    <row r="1255" spans="4:48">
      <c r="D1255" s="31"/>
      <c r="E1255" s="31"/>
      <c r="F1255" s="31"/>
      <c r="G1255" s="31"/>
      <c r="H1255" s="32"/>
      <c r="J1255" s="33"/>
      <c r="K1255" s="33"/>
      <c r="L1255" s="33"/>
      <c r="X1255" s="23"/>
      <c r="Y1255" s="23"/>
      <c r="Z1255" s="23"/>
      <c r="AA1255" s="23"/>
      <c r="AF1255" s="23"/>
      <c r="AG1255" s="23"/>
      <c r="AH1255" s="23"/>
      <c r="AI1255" s="23"/>
      <c r="AN1255" s="23"/>
      <c r="AO1255" s="23"/>
      <c r="AP1255" s="23"/>
      <c r="AQ1255" s="23"/>
      <c r="AR1255" s="35"/>
      <c r="AS1255" s="35"/>
      <c r="AT1255" s="35"/>
      <c r="AU1255" s="31"/>
      <c r="AV1255" s="36"/>
    </row>
    <row r="1256" spans="4:48">
      <c r="D1256" s="31"/>
      <c r="E1256" s="31"/>
      <c r="F1256" s="31"/>
      <c r="G1256" s="31"/>
      <c r="H1256" s="32"/>
      <c r="J1256" s="33"/>
      <c r="K1256" s="33"/>
      <c r="L1256" s="33"/>
      <c r="X1256" s="23"/>
      <c r="Y1256" s="23"/>
      <c r="Z1256" s="23"/>
      <c r="AA1256" s="23"/>
      <c r="AF1256" s="23"/>
      <c r="AG1256" s="23"/>
      <c r="AH1256" s="23"/>
      <c r="AI1256" s="23"/>
      <c r="AN1256" s="23"/>
      <c r="AO1256" s="23"/>
      <c r="AP1256" s="23"/>
      <c r="AQ1256" s="23"/>
      <c r="AR1256" s="35"/>
      <c r="AS1256" s="35"/>
      <c r="AT1256" s="35"/>
      <c r="AU1256" s="31"/>
      <c r="AV1256" s="36"/>
    </row>
    <row r="1257" spans="4:48">
      <c r="D1257" s="31"/>
      <c r="E1257" s="31"/>
      <c r="F1257" s="31"/>
      <c r="G1257" s="31"/>
      <c r="H1257" s="32"/>
      <c r="J1257" s="33"/>
      <c r="K1257" s="33"/>
      <c r="L1257" s="33"/>
      <c r="X1257" s="23"/>
      <c r="Y1257" s="23"/>
      <c r="Z1257" s="23"/>
      <c r="AA1257" s="23"/>
      <c r="AF1257" s="23"/>
      <c r="AG1257" s="23"/>
      <c r="AH1257" s="23"/>
      <c r="AI1257" s="23"/>
      <c r="AN1257" s="23"/>
      <c r="AO1257" s="23"/>
      <c r="AP1257" s="23"/>
      <c r="AQ1257" s="23"/>
      <c r="AR1257" s="35"/>
      <c r="AS1257" s="35"/>
      <c r="AT1257" s="35"/>
      <c r="AU1257" s="31"/>
      <c r="AV1257" s="36"/>
    </row>
    <row r="1258" spans="4:48">
      <c r="D1258" s="31"/>
      <c r="E1258" s="31"/>
      <c r="F1258" s="31"/>
      <c r="G1258" s="31"/>
      <c r="H1258" s="32"/>
      <c r="J1258" s="33"/>
      <c r="K1258" s="33"/>
      <c r="L1258" s="33"/>
      <c r="X1258" s="23"/>
      <c r="Y1258" s="23"/>
      <c r="Z1258" s="23"/>
      <c r="AA1258" s="23"/>
      <c r="AF1258" s="23"/>
      <c r="AG1258" s="23"/>
      <c r="AH1258" s="23"/>
      <c r="AI1258" s="23"/>
      <c r="AN1258" s="23"/>
      <c r="AO1258" s="23"/>
      <c r="AP1258" s="23"/>
      <c r="AQ1258" s="23"/>
      <c r="AR1258" s="35"/>
      <c r="AS1258" s="35"/>
      <c r="AT1258" s="35"/>
      <c r="AU1258" s="31"/>
      <c r="AV1258" s="36"/>
    </row>
    <row r="1259" spans="4:48">
      <c r="D1259" s="31"/>
      <c r="E1259" s="31"/>
      <c r="F1259" s="31"/>
      <c r="G1259" s="31"/>
      <c r="H1259" s="32"/>
      <c r="J1259" s="33"/>
      <c r="K1259" s="33"/>
      <c r="L1259" s="33"/>
      <c r="X1259" s="23"/>
      <c r="Y1259" s="23"/>
      <c r="Z1259" s="23"/>
      <c r="AA1259" s="23"/>
      <c r="AF1259" s="23"/>
      <c r="AG1259" s="23"/>
      <c r="AH1259" s="23"/>
      <c r="AI1259" s="23"/>
      <c r="AN1259" s="23"/>
      <c r="AO1259" s="23"/>
      <c r="AP1259" s="23"/>
      <c r="AQ1259" s="23"/>
      <c r="AR1259" s="35"/>
      <c r="AS1259" s="35"/>
      <c r="AT1259" s="35"/>
      <c r="AU1259" s="31"/>
      <c r="AV1259" s="36"/>
    </row>
    <row r="1260" spans="4:48">
      <c r="D1260" s="31"/>
      <c r="E1260" s="31"/>
      <c r="F1260" s="31"/>
      <c r="G1260" s="31"/>
      <c r="H1260" s="32"/>
      <c r="J1260" s="33"/>
      <c r="K1260" s="33"/>
      <c r="L1260" s="33"/>
      <c r="X1260" s="23"/>
      <c r="Y1260" s="23"/>
      <c r="Z1260" s="23"/>
      <c r="AA1260" s="23"/>
      <c r="AF1260" s="23"/>
      <c r="AG1260" s="23"/>
      <c r="AH1260" s="23"/>
      <c r="AI1260" s="23"/>
      <c r="AN1260" s="23"/>
      <c r="AO1260" s="23"/>
      <c r="AP1260" s="23"/>
      <c r="AQ1260" s="23"/>
      <c r="AR1260" s="35"/>
      <c r="AS1260" s="35"/>
      <c r="AT1260" s="35"/>
      <c r="AU1260" s="31"/>
      <c r="AV1260" s="36"/>
    </row>
    <row r="1261" spans="4:48">
      <c r="D1261" s="31"/>
      <c r="E1261" s="31"/>
      <c r="F1261" s="31"/>
      <c r="G1261" s="31"/>
      <c r="H1261" s="32"/>
      <c r="J1261" s="33"/>
      <c r="K1261" s="33"/>
      <c r="L1261" s="33"/>
      <c r="X1261" s="23"/>
      <c r="Y1261" s="23"/>
      <c r="Z1261" s="23"/>
      <c r="AA1261" s="23"/>
      <c r="AF1261" s="23"/>
      <c r="AG1261" s="23"/>
      <c r="AH1261" s="23"/>
      <c r="AI1261" s="23"/>
      <c r="AN1261" s="23"/>
      <c r="AO1261" s="23"/>
      <c r="AP1261" s="23"/>
      <c r="AQ1261" s="23"/>
      <c r="AR1261" s="35"/>
      <c r="AS1261" s="35"/>
      <c r="AT1261" s="35"/>
      <c r="AU1261" s="31"/>
      <c r="AV1261" s="36"/>
    </row>
    <row r="1262" spans="4:48">
      <c r="D1262" s="31"/>
      <c r="E1262" s="31"/>
      <c r="F1262" s="31"/>
      <c r="G1262" s="31"/>
      <c r="H1262" s="32"/>
      <c r="J1262" s="33"/>
      <c r="K1262" s="33"/>
      <c r="L1262" s="33"/>
      <c r="X1262" s="23"/>
      <c r="Y1262" s="23"/>
      <c r="Z1262" s="23"/>
      <c r="AA1262" s="23"/>
      <c r="AF1262" s="23"/>
      <c r="AG1262" s="23"/>
      <c r="AH1262" s="23"/>
      <c r="AI1262" s="23"/>
      <c r="AN1262" s="23"/>
      <c r="AO1262" s="23"/>
      <c r="AP1262" s="23"/>
      <c r="AQ1262" s="23"/>
      <c r="AR1262" s="35"/>
      <c r="AS1262" s="35"/>
      <c r="AT1262" s="35"/>
      <c r="AU1262" s="31"/>
      <c r="AV1262" s="36"/>
    </row>
    <row r="1263" spans="4:48">
      <c r="D1263" s="31"/>
      <c r="E1263" s="31"/>
      <c r="F1263" s="31"/>
      <c r="G1263" s="31"/>
      <c r="H1263" s="32"/>
      <c r="J1263" s="33"/>
      <c r="K1263" s="33"/>
      <c r="L1263" s="33"/>
      <c r="X1263" s="23"/>
      <c r="Y1263" s="23"/>
      <c r="Z1263" s="23"/>
      <c r="AA1263" s="23"/>
      <c r="AF1263" s="23"/>
      <c r="AG1263" s="23"/>
      <c r="AH1263" s="23"/>
      <c r="AI1263" s="23"/>
      <c r="AN1263" s="23"/>
      <c r="AO1263" s="23"/>
      <c r="AP1263" s="23"/>
      <c r="AQ1263" s="23"/>
      <c r="AR1263" s="35"/>
      <c r="AS1263" s="35"/>
      <c r="AT1263" s="35"/>
      <c r="AU1263" s="31"/>
      <c r="AV1263" s="36"/>
    </row>
    <row r="1264" spans="4:48">
      <c r="D1264" s="31"/>
      <c r="E1264" s="31"/>
      <c r="F1264" s="31"/>
      <c r="G1264" s="31"/>
      <c r="H1264" s="32"/>
      <c r="J1264" s="33"/>
      <c r="K1264" s="33"/>
      <c r="L1264" s="33"/>
      <c r="X1264" s="23"/>
      <c r="Y1264" s="23"/>
      <c r="Z1264" s="23"/>
      <c r="AA1264" s="23"/>
      <c r="AF1264" s="23"/>
      <c r="AG1264" s="23"/>
      <c r="AH1264" s="23"/>
      <c r="AI1264" s="23"/>
      <c r="AN1264" s="23"/>
      <c r="AO1264" s="23"/>
      <c r="AP1264" s="23"/>
      <c r="AQ1264" s="23"/>
      <c r="AR1264" s="35"/>
      <c r="AS1264" s="35"/>
      <c r="AT1264" s="35"/>
      <c r="AU1264" s="31"/>
      <c r="AV1264" s="36"/>
    </row>
    <row r="1265" spans="4:48">
      <c r="D1265" s="31"/>
      <c r="E1265" s="31"/>
      <c r="F1265" s="31"/>
      <c r="G1265" s="31"/>
      <c r="H1265" s="32"/>
      <c r="J1265" s="33"/>
      <c r="K1265" s="33"/>
      <c r="L1265" s="33"/>
      <c r="X1265" s="23"/>
      <c r="Y1265" s="23"/>
      <c r="Z1265" s="23"/>
      <c r="AA1265" s="23"/>
      <c r="AF1265" s="23"/>
      <c r="AG1265" s="23"/>
      <c r="AH1265" s="23"/>
      <c r="AI1265" s="23"/>
      <c r="AN1265" s="23"/>
      <c r="AO1265" s="23"/>
      <c r="AP1265" s="23"/>
      <c r="AQ1265" s="23"/>
      <c r="AR1265" s="35"/>
      <c r="AS1265" s="35"/>
      <c r="AT1265" s="35"/>
      <c r="AU1265" s="31"/>
      <c r="AV1265" s="36"/>
    </row>
    <row r="1266" spans="4:48">
      <c r="D1266" s="31"/>
      <c r="E1266" s="31"/>
      <c r="F1266" s="31"/>
      <c r="G1266" s="31"/>
      <c r="H1266" s="32"/>
      <c r="J1266" s="33"/>
      <c r="K1266" s="33"/>
      <c r="L1266" s="33"/>
      <c r="X1266" s="23"/>
      <c r="Y1266" s="23"/>
      <c r="Z1266" s="23"/>
      <c r="AA1266" s="23"/>
      <c r="AF1266" s="23"/>
      <c r="AG1266" s="23"/>
      <c r="AH1266" s="23"/>
      <c r="AI1266" s="23"/>
      <c r="AN1266" s="23"/>
      <c r="AO1266" s="23"/>
      <c r="AP1266" s="23"/>
      <c r="AQ1266" s="23"/>
      <c r="AR1266" s="35"/>
      <c r="AS1266" s="35"/>
      <c r="AT1266" s="35"/>
      <c r="AU1266" s="31"/>
      <c r="AV1266" s="36"/>
    </row>
    <row r="1267" spans="4:48">
      <c r="D1267" s="31"/>
      <c r="E1267" s="31"/>
      <c r="F1267" s="31"/>
      <c r="G1267" s="31"/>
      <c r="H1267" s="32"/>
      <c r="J1267" s="33"/>
      <c r="K1267" s="33"/>
      <c r="L1267" s="33"/>
      <c r="X1267" s="23"/>
      <c r="Y1267" s="23"/>
      <c r="Z1267" s="23"/>
      <c r="AA1267" s="23"/>
      <c r="AF1267" s="23"/>
      <c r="AG1267" s="23"/>
      <c r="AH1267" s="23"/>
      <c r="AI1267" s="23"/>
      <c r="AN1267" s="23"/>
      <c r="AO1267" s="23"/>
      <c r="AP1267" s="23"/>
      <c r="AQ1267" s="23"/>
      <c r="AR1267" s="35"/>
      <c r="AS1267" s="35"/>
      <c r="AT1267" s="35"/>
      <c r="AU1267" s="31"/>
      <c r="AV1267" s="36"/>
    </row>
    <row r="1268" spans="4:48">
      <c r="D1268" s="31"/>
      <c r="E1268" s="31"/>
      <c r="F1268" s="31"/>
      <c r="G1268" s="31"/>
      <c r="H1268" s="32"/>
      <c r="J1268" s="33"/>
      <c r="K1268" s="33"/>
      <c r="L1268" s="33"/>
      <c r="X1268" s="23"/>
      <c r="Y1268" s="23"/>
      <c r="Z1268" s="23"/>
      <c r="AA1268" s="23"/>
      <c r="AF1268" s="23"/>
      <c r="AG1268" s="23"/>
      <c r="AH1268" s="23"/>
      <c r="AI1268" s="23"/>
      <c r="AN1268" s="23"/>
      <c r="AO1268" s="23"/>
      <c r="AP1268" s="23"/>
      <c r="AQ1268" s="23"/>
      <c r="AR1268" s="35"/>
      <c r="AS1268" s="35"/>
      <c r="AT1268" s="35"/>
      <c r="AU1268" s="31"/>
      <c r="AV1268" s="36"/>
    </row>
    <row r="1269" spans="4:48">
      <c r="D1269" s="31"/>
      <c r="E1269" s="31"/>
      <c r="F1269" s="31"/>
      <c r="G1269" s="31"/>
      <c r="H1269" s="32"/>
      <c r="J1269" s="33"/>
      <c r="K1269" s="33"/>
      <c r="L1269" s="33"/>
      <c r="X1269" s="23"/>
      <c r="Y1269" s="23"/>
      <c r="Z1269" s="23"/>
      <c r="AA1269" s="23"/>
      <c r="AF1269" s="23"/>
      <c r="AG1269" s="23"/>
      <c r="AH1269" s="23"/>
      <c r="AI1269" s="23"/>
      <c r="AN1269" s="23"/>
      <c r="AO1269" s="23"/>
      <c r="AP1269" s="23"/>
      <c r="AQ1269" s="23"/>
      <c r="AR1269" s="35"/>
      <c r="AS1269" s="35"/>
      <c r="AT1269" s="35"/>
      <c r="AU1269" s="31"/>
      <c r="AV1269" s="36"/>
    </row>
    <row r="1270" spans="4:48">
      <c r="D1270" s="31"/>
      <c r="E1270" s="31"/>
      <c r="F1270" s="31"/>
      <c r="G1270" s="31"/>
      <c r="H1270" s="32"/>
      <c r="J1270" s="33"/>
      <c r="K1270" s="33"/>
      <c r="L1270" s="33"/>
      <c r="X1270" s="23"/>
      <c r="Y1270" s="23"/>
      <c r="Z1270" s="23"/>
      <c r="AA1270" s="23"/>
      <c r="AF1270" s="23"/>
      <c r="AG1270" s="23"/>
      <c r="AH1270" s="23"/>
      <c r="AI1270" s="23"/>
      <c r="AN1270" s="23"/>
      <c r="AO1270" s="23"/>
      <c r="AP1270" s="23"/>
      <c r="AQ1270" s="23"/>
      <c r="AR1270" s="35"/>
      <c r="AS1270" s="35"/>
      <c r="AT1270" s="35"/>
      <c r="AU1270" s="31"/>
      <c r="AV1270" s="36"/>
    </row>
    <row r="1271" spans="4:48">
      <c r="D1271" s="31"/>
      <c r="E1271" s="31"/>
      <c r="F1271" s="31"/>
      <c r="G1271" s="31"/>
      <c r="H1271" s="32"/>
      <c r="J1271" s="33"/>
      <c r="K1271" s="33"/>
      <c r="L1271" s="33"/>
      <c r="X1271" s="23"/>
      <c r="Y1271" s="23"/>
      <c r="Z1271" s="23"/>
      <c r="AA1271" s="23"/>
      <c r="AF1271" s="23"/>
      <c r="AG1271" s="23"/>
      <c r="AH1271" s="23"/>
      <c r="AI1271" s="23"/>
      <c r="AN1271" s="23"/>
      <c r="AO1271" s="23"/>
      <c r="AP1271" s="23"/>
      <c r="AQ1271" s="23"/>
      <c r="AR1271" s="35"/>
      <c r="AS1271" s="35"/>
      <c r="AT1271" s="35"/>
      <c r="AU1271" s="31"/>
      <c r="AV1271" s="36"/>
    </row>
    <row r="1272" spans="4:48">
      <c r="D1272" s="31"/>
      <c r="E1272" s="31"/>
      <c r="F1272" s="31"/>
      <c r="G1272" s="31"/>
      <c r="H1272" s="32"/>
      <c r="J1272" s="33"/>
      <c r="K1272" s="33"/>
      <c r="L1272" s="33"/>
      <c r="X1272" s="23"/>
      <c r="Y1272" s="23"/>
      <c r="Z1272" s="23"/>
      <c r="AA1272" s="23"/>
      <c r="AF1272" s="23"/>
      <c r="AG1272" s="23"/>
      <c r="AH1272" s="23"/>
      <c r="AI1272" s="23"/>
      <c r="AN1272" s="23"/>
      <c r="AO1272" s="23"/>
      <c r="AP1272" s="23"/>
      <c r="AQ1272" s="23"/>
      <c r="AR1272" s="35"/>
      <c r="AS1272" s="35"/>
      <c r="AT1272" s="35"/>
      <c r="AU1272" s="31"/>
      <c r="AV1272" s="36"/>
    </row>
    <row r="1273" spans="4:48">
      <c r="D1273" s="31"/>
      <c r="E1273" s="31"/>
      <c r="F1273" s="31"/>
      <c r="G1273" s="31"/>
      <c r="H1273" s="32"/>
      <c r="J1273" s="33"/>
      <c r="K1273" s="33"/>
      <c r="L1273" s="33"/>
      <c r="X1273" s="23"/>
      <c r="Y1273" s="23"/>
      <c r="Z1273" s="23"/>
      <c r="AA1273" s="23"/>
      <c r="AF1273" s="23"/>
      <c r="AG1273" s="23"/>
      <c r="AH1273" s="23"/>
      <c r="AI1273" s="23"/>
      <c r="AN1273" s="23"/>
      <c r="AO1273" s="23"/>
      <c r="AP1273" s="23"/>
      <c r="AQ1273" s="23"/>
      <c r="AR1273" s="35"/>
      <c r="AS1273" s="35"/>
      <c r="AT1273" s="35"/>
      <c r="AU1273" s="31"/>
      <c r="AV1273" s="36"/>
    </row>
    <row r="1274" spans="4:48">
      <c r="D1274" s="31"/>
      <c r="E1274" s="31"/>
      <c r="F1274" s="31"/>
      <c r="G1274" s="31"/>
      <c r="H1274" s="32"/>
      <c r="J1274" s="33"/>
      <c r="K1274" s="33"/>
      <c r="L1274" s="33"/>
      <c r="X1274" s="23"/>
      <c r="Y1274" s="23"/>
      <c r="Z1274" s="23"/>
      <c r="AA1274" s="23"/>
      <c r="AF1274" s="23"/>
      <c r="AG1274" s="23"/>
      <c r="AH1274" s="23"/>
      <c r="AI1274" s="23"/>
      <c r="AN1274" s="23"/>
      <c r="AO1274" s="23"/>
      <c r="AP1274" s="23"/>
      <c r="AQ1274" s="23"/>
      <c r="AR1274" s="35"/>
      <c r="AS1274" s="35"/>
      <c r="AT1274" s="35"/>
      <c r="AU1274" s="31"/>
      <c r="AV1274" s="36"/>
    </row>
    <row r="1275" spans="4:48">
      <c r="D1275" s="31"/>
      <c r="E1275" s="31"/>
      <c r="F1275" s="31"/>
      <c r="G1275" s="31"/>
      <c r="H1275" s="32"/>
      <c r="J1275" s="33"/>
      <c r="K1275" s="33"/>
      <c r="L1275" s="33"/>
      <c r="X1275" s="23"/>
      <c r="Y1275" s="23"/>
      <c r="Z1275" s="23"/>
      <c r="AA1275" s="23"/>
      <c r="AF1275" s="23"/>
      <c r="AG1275" s="23"/>
      <c r="AH1275" s="23"/>
      <c r="AI1275" s="23"/>
      <c r="AN1275" s="23"/>
      <c r="AO1275" s="23"/>
      <c r="AP1275" s="23"/>
      <c r="AQ1275" s="23"/>
      <c r="AR1275" s="35"/>
      <c r="AS1275" s="35"/>
      <c r="AT1275" s="35"/>
      <c r="AU1275" s="31"/>
      <c r="AV1275" s="36"/>
    </row>
    <row r="1276" spans="4:48">
      <c r="D1276" s="31"/>
      <c r="E1276" s="31"/>
      <c r="F1276" s="31"/>
      <c r="G1276" s="31"/>
      <c r="H1276" s="32"/>
      <c r="J1276" s="33"/>
      <c r="K1276" s="33"/>
      <c r="L1276" s="33"/>
      <c r="X1276" s="23"/>
      <c r="Y1276" s="23"/>
      <c r="Z1276" s="23"/>
      <c r="AA1276" s="23"/>
      <c r="AF1276" s="23"/>
      <c r="AG1276" s="23"/>
      <c r="AH1276" s="23"/>
      <c r="AI1276" s="23"/>
      <c r="AN1276" s="23"/>
      <c r="AO1276" s="23"/>
      <c r="AP1276" s="23"/>
      <c r="AQ1276" s="23"/>
      <c r="AR1276" s="35"/>
      <c r="AS1276" s="35"/>
      <c r="AT1276" s="35"/>
      <c r="AU1276" s="31"/>
      <c r="AV1276" s="36"/>
    </row>
    <row r="1277" spans="4:48">
      <c r="D1277" s="31"/>
      <c r="E1277" s="31"/>
      <c r="F1277" s="31"/>
      <c r="G1277" s="31"/>
      <c r="H1277" s="32"/>
      <c r="J1277" s="33"/>
      <c r="K1277" s="33"/>
      <c r="L1277" s="33"/>
      <c r="X1277" s="23"/>
      <c r="Y1277" s="23"/>
      <c r="Z1277" s="23"/>
      <c r="AA1277" s="23"/>
      <c r="AF1277" s="23"/>
      <c r="AG1277" s="23"/>
      <c r="AH1277" s="23"/>
      <c r="AI1277" s="23"/>
      <c r="AN1277" s="23"/>
      <c r="AO1277" s="23"/>
      <c r="AP1277" s="23"/>
      <c r="AQ1277" s="23"/>
      <c r="AR1277" s="35"/>
      <c r="AS1277" s="35"/>
      <c r="AT1277" s="35"/>
      <c r="AU1277" s="31"/>
      <c r="AV1277" s="36"/>
    </row>
    <row r="1278" spans="4:48">
      <c r="D1278" s="31"/>
      <c r="E1278" s="31"/>
      <c r="F1278" s="31"/>
      <c r="G1278" s="31"/>
      <c r="H1278" s="32"/>
      <c r="J1278" s="33"/>
      <c r="K1278" s="33"/>
      <c r="L1278" s="33"/>
      <c r="X1278" s="23"/>
      <c r="Y1278" s="23"/>
      <c r="Z1278" s="23"/>
      <c r="AA1278" s="23"/>
      <c r="AF1278" s="23"/>
      <c r="AG1278" s="23"/>
      <c r="AH1278" s="23"/>
      <c r="AI1278" s="23"/>
      <c r="AN1278" s="23"/>
      <c r="AO1278" s="23"/>
      <c r="AP1278" s="23"/>
      <c r="AQ1278" s="23"/>
      <c r="AR1278" s="35"/>
      <c r="AS1278" s="35"/>
      <c r="AT1278" s="35"/>
      <c r="AU1278" s="31"/>
      <c r="AV1278" s="36"/>
    </row>
    <row r="1279" spans="4:48">
      <c r="D1279" s="31"/>
      <c r="E1279" s="31"/>
      <c r="F1279" s="31"/>
      <c r="G1279" s="31"/>
      <c r="H1279" s="32"/>
      <c r="J1279" s="33"/>
      <c r="K1279" s="33"/>
      <c r="L1279" s="33"/>
      <c r="X1279" s="23"/>
      <c r="Y1279" s="23"/>
      <c r="Z1279" s="23"/>
      <c r="AA1279" s="23"/>
      <c r="AF1279" s="23"/>
      <c r="AG1279" s="23"/>
      <c r="AH1279" s="23"/>
      <c r="AI1279" s="23"/>
      <c r="AN1279" s="23"/>
      <c r="AO1279" s="23"/>
      <c r="AP1279" s="23"/>
      <c r="AQ1279" s="23"/>
      <c r="AR1279" s="35"/>
      <c r="AS1279" s="35"/>
      <c r="AT1279" s="35"/>
      <c r="AU1279" s="31"/>
      <c r="AV1279" s="36"/>
    </row>
    <row r="1280" spans="4:48">
      <c r="D1280" s="31"/>
      <c r="E1280" s="31"/>
      <c r="F1280" s="31"/>
      <c r="G1280" s="31"/>
      <c r="H1280" s="32"/>
      <c r="J1280" s="33"/>
      <c r="K1280" s="33"/>
      <c r="L1280" s="33"/>
      <c r="X1280" s="23"/>
      <c r="Y1280" s="23"/>
      <c r="Z1280" s="23"/>
      <c r="AA1280" s="23"/>
      <c r="AF1280" s="23"/>
      <c r="AG1280" s="23"/>
      <c r="AH1280" s="23"/>
      <c r="AI1280" s="23"/>
      <c r="AN1280" s="23"/>
      <c r="AO1280" s="23"/>
      <c r="AP1280" s="23"/>
      <c r="AQ1280" s="23"/>
      <c r="AR1280" s="35"/>
      <c r="AS1280" s="35"/>
      <c r="AT1280" s="35"/>
      <c r="AU1280" s="31"/>
      <c r="AV1280" s="36"/>
    </row>
    <row r="1281" spans="4:48">
      <c r="D1281" s="31"/>
      <c r="E1281" s="31"/>
      <c r="F1281" s="31"/>
      <c r="G1281" s="31"/>
      <c r="H1281" s="32"/>
      <c r="J1281" s="33"/>
      <c r="K1281" s="33"/>
      <c r="L1281" s="33"/>
      <c r="X1281" s="23"/>
      <c r="Y1281" s="23"/>
      <c r="Z1281" s="23"/>
      <c r="AA1281" s="23"/>
      <c r="AF1281" s="23"/>
      <c r="AG1281" s="23"/>
      <c r="AH1281" s="23"/>
      <c r="AI1281" s="23"/>
      <c r="AN1281" s="23"/>
      <c r="AO1281" s="23"/>
      <c r="AP1281" s="23"/>
      <c r="AQ1281" s="23"/>
      <c r="AR1281" s="35"/>
      <c r="AS1281" s="35"/>
      <c r="AT1281" s="35"/>
      <c r="AU1281" s="31"/>
      <c r="AV1281" s="36"/>
    </row>
    <row r="1282" spans="4:48">
      <c r="D1282" s="31"/>
      <c r="E1282" s="31"/>
      <c r="F1282" s="31"/>
      <c r="G1282" s="31"/>
      <c r="H1282" s="32"/>
      <c r="J1282" s="33"/>
      <c r="K1282" s="33"/>
      <c r="L1282" s="33"/>
      <c r="X1282" s="23"/>
      <c r="Y1282" s="23"/>
      <c r="Z1282" s="23"/>
      <c r="AA1282" s="23"/>
      <c r="AF1282" s="23"/>
      <c r="AG1282" s="23"/>
      <c r="AH1282" s="23"/>
      <c r="AI1282" s="23"/>
      <c r="AN1282" s="23"/>
      <c r="AO1282" s="23"/>
      <c r="AP1282" s="23"/>
      <c r="AQ1282" s="23"/>
      <c r="AR1282" s="35"/>
      <c r="AS1282" s="35"/>
      <c r="AT1282" s="35"/>
      <c r="AU1282" s="31"/>
      <c r="AV1282" s="36"/>
    </row>
    <row r="1283" spans="4:48">
      <c r="D1283" s="31"/>
      <c r="E1283" s="31"/>
      <c r="F1283" s="31"/>
      <c r="G1283" s="31"/>
      <c r="H1283" s="32"/>
      <c r="J1283" s="33"/>
      <c r="K1283" s="33"/>
      <c r="L1283" s="33"/>
      <c r="X1283" s="23"/>
      <c r="Y1283" s="23"/>
      <c r="Z1283" s="23"/>
      <c r="AA1283" s="23"/>
      <c r="AF1283" s="23"/>
      <c r="AG1283" s="23"/>
      <c r="AH1283" s="23"/>
      <c r="AI1283" s="23"/>
      <c r="AN1283" s="23"/>
      <c r="AO1283" s="23"/>
      <c r="AP1283" s="23"/>
      <c r="AQ1283" s="23"/>
      <c r="AR1283" s="35"/>
      <c r="AS1283" s="35"/>
      <c r="AT1283" s="35"/>
      <c r="AU1283" s="31"/>
      <c r="AV1283" s="36"/>
    </row>
    <row r="1284" spans="4:48">
      <c r="D1284" s="31"/>
      <c r="E1284" s="31"/>
      <c r="F1284" s="31"/>
      <c r="G1284" s="31"/>
      <c r="H1284" s="32"/>
      <c r="J1284" s="33"/>
      <c r="K1284" s="33"/>
      <c r="L1284" s="33"/>
      <c r="X1284" s="23"/>
      <c r="Y1284" s="23"/>
      <c r="Z1284" s="23"/>
      <c r="AA1284" s="23"/>
      <c r="AF1284" s="23"/>
      <c r="AG1284" s="23"/>
      <c r="AH1284" s="23"/>
      <c r="AI1284" s="23"/>
      <c r="AN1284" s="23"/>
      <c r="AO1284" s="23"/>
      <c r="AP1284" s="23"/>
      <c r="AQ1284" s="23"/>
      <c r="AR1284" s="35"/>
      <c r="AS1284" s="35"/>
      <c r="AT1284" s="35"/>
      <c r="AU1284" s="31"/>
      <c r="AV1284" s="36"/>
    </row>
    <row r="1285" spans="4:48">
      <c r="D1285" s="31"/>
      <c r="E1285" s="31"/>
      <c r="F1285" s="31"/>
      <c r="G1285" s="31"/>
      <c r="H1285" s="32"/>
      <c r="J1285" s="33"/>
      <c r="K1285" s="33"/>
      <c r="L1285" s="33"/>
      <c r="X1285" s="23"/>
      <c r="Y1285" s="23"/>
      <c r="Z1285" s="23"/>
      <c r="AA1285" s="23"/>
      <c r="AF1285" s="23"/>
      <c r="AG1285" s="23"/>
      <c r="AH1285" s="23"/>
      <c r="AI1285" s="23"/>
      <c r="AN1285" s="23"/>
      <c r="AO1285" s="23"/>
      <c r="AP1285" s="23"/>
      <c r="AQ1285" s="23"/>
      <c r="AR1285" s="35"/>
      <c r="AS1285" s="35"/>
      <c r="AT1285" s="35"/>
      <c r="AU1285" s="31"/>
      <c r="AV1285" s="36"/>
    </row>
    <row r="1286" spans="4:48">
      <c r="D1286" s="31"/>
      <c r="E1286" s="31"/>
      <c r="F1286" s="31"/>
      <c r="G1286" s="31"/>
      <c r="H1286" s="32"/>
      <c r="J1286" s="33"/>
      <c r="K1286" s="33"/>
      <c r="L1286" s="33"/>
      <c r="X1286" s="23"/>
      <c r="Y1286" s="23"/>
      <c r="Z1286" s="23"/>
      <c r="AA1286" s="23"/>
      <c r="AF1286" s="23"/>
      <c r="AG1286" s="23"/>
      <c r="AH1286" s="23"/>
      <c r="AI1286" s="23"/>
      <c r="AN1286" s="23"/>
      <c r="AO1286" s="23"/>
      <c r="AP1286" s="23"/>
      <c r="AQ1286" s="23"/>
      <c r="AR1286" s="35"/>
      <c r="AS1286" s="35"/>
      <c r="AT1286" s="35"/>
      <c r="AU1286" s="31"/>
      <c r="AV1286" s="36"/>
    </row>
    <row r="1287" spans="4:48">
      <c r="D1287" s="31"/>
      <c r="E1287" s="31"/>
      <c r="F1287" s="31"/>
      <c r="G1287" s="31"/>
      <c r="H1287" s="32"/>
      <c r="J1287" s="33"/>
      <c r="K1287" s="33"/>
      <c r="L1287" s="33"/>
      <c r="X1287" s="23"/>
      <c r="Y1287" s="23"/>
      <c r="Z1287" s="23"/>
      <c r="AA1287" s="23"/>
      <c r="AF1287" s="23"/>
      <c r="AG1287" s="23"/>
      <c r="AH1287" s="23"/>
      <c r="AI1287" s="23"/>
      <c r="AN1287" s="23"/>
      <c r="AO1287" s="23"/>
      <c r="AP1287" s="23"/>
      <c r="AQ1287" s="23"/>
      <c r="AR1287" s="35"/>
      <c r="AS1287" s="35"/>
      <c r="AT1287" s="35"/>
      <c r="AU1287" s="31"/>
      <c r="AV1287" s="36"/>
    </row>
    <row r="1288" spans="4:48">
      <c r="D1288" s="31"/>
      <c r="E1288" s="31"/>
      <c r="F1288" s="31"/>
      <c r="G1288" s="31"/>
      <c r="H1288" s="32"/>
      <c r="J1288" s="33"/>
      <c r="K1288" s="33"/>
      <c r="L1288" s="33"/>
      <c r="X1288" s="23"/>
      <c r="Y1288" s="23"/>
      <c r="Z1288" s="23"/>
      <c r="AA1288" s="23"/>
      <c r="AF1288" s="23"/>
      <c r="AG1288" s="23"/>
      <c r="AH1288" s="23"/>
      <c r="AI1288" s="23"/>
      <c r="AN1288" s="23"/>
      <c r="AO1288" s="23"/>
      <c r="AP1288" s="23"/>
      <c r="AQ1288" s="23"/>
      <c r="AR1288" s="35"/>
      <c r="AS1288" s="35"/>
      <c r="AT1288" s="35"/>
      <c r="AU1288" s="31"/>
      <c r="AV1288" s="36"/>
    </row>
    <row r="1289" spans="4:48">
      <c r="D1289" s="31"/>
      <c r="E1289" s="31"/>
      <c r="F1289" s="31"/>
      <c r="G1289" s="31"/>
      <c r="H1289" s="32"/>
      <c r="J1289" s="33"/>
      <c r="K1289" s="33"/>
      <c r="L1289" s="33"/>
      <c r="X1289" s="23"/>
      <c r="Y1289" s="23"/>
      <c r="Z1289" s="23"/>
      <c r="AA1289" s="23"/>
      <c r="AF1289" s="23"/>
      <c r="AG1289" s="23"/>
      <c r="AH1289" s="23"/>
      <c r="AI1289" s="23"/>
      <c r="AN1289" s="23"/>
      <c r="AO1289" s="23"/>
      <c r="AP1289" s="23"/>
      <c r="AQ1289" s="23"/>
      <c r="AR1289" s="35"/>
      <c r="AS1289" s="35"/>
      <c r="AT1289" s="35"/>
      <c r="AU1289" s="31"/>
      <c r="AV1289" s="36"/>
    </row>
    <row r="1290" spans="4:48">
      <c r="D1290" s="31"/>
      <c r="E1290" s="31"/>
      <c r="F1290" s="31"/>
      <c r="G1290" s="31"/>
      <c r="H1290" s="32"/>
      <c r="J1290" s="33"/>
      <c r="K1290" s="33"/>
      <c r="L1290" s="33"/>
      <c r="X1290" s="23"/>
      <c r="Y1290" s="23"/>
      <c r="Z1290" s="23"/>
      <c r="AA1290" s="23"/>
      <c r="AF1290" s="23"/>
      <c r="AG1290" s="23"/>
      <c r="AH1290" s="23"/>
      <c r="AI1290" s="23"/>
      <c r="AN1290" s="23"/>
      <c r="AO1290" s="23"/>
      <c r="AP1290" s="23"/>
      <c r="AQ1290" s="23"/>
      <c r="AR1290" s="35"/>
      <c r="AS1290" s="35"/>
      <c r="AT1290" s="35"/>
      <c r="AU1290" s="31"/>
      <c r="AV1290" s="36"/>
    </row>
    <row r="1291" spans="4:48">
      <c r="D1291" s="31"/>
      <c r="E1291" s="31"/>
      <c r="F1291" s="31"/>
      <c r="G1291" s="31"/>
      <c r="H1291" s="32"/>
      <c r="J1291" s="33"/>
      <c r="K1291" s="33"/>
      <c r="L1291" s="33"/>
      <c r="X1291" s="23"/>
      <c r="Y1291" s="23"/>
      <c r="Z1291" s="23"/>
      <c r="AA1291" s="23"/>
      <c r="AF1291" s="23"/>
      <c r="AG1291" s="23"/>
      <c r="AH1291" s="23"/>
      <c r="AI1291" s="23"/>
      <c r="AN1291" s="23"/>
      <c r="AO1291" s="23"/>
      <c r="AP1291" s="23"/>
      <c r="AQ1291" s="23"/>
      <c r="AR1291" s="35"/>
      <c r="AS1291" s="35"/>
      <c r="AT1291" s="35"/>
      <c r="AU1291" s="31"/>
      <c r="AV1291" s="36"/>
    </row>
    <row r="1292" spans="4:48">
      <c r="D1292" s="31"/>
      <c r="E1292" s="31"/>
      <c r="F1292" s="31"/>
      <c r="G1292" s="31"/>
      <c r="H1292" s="32"/>
      <c r="J1292" s="33"/>
      <c r="K1292" s="33"/>
      <c r="L1292" s="33"/>
      <c r="X1292" s="23"/>
      <c r="Y1292" s="23"/>
      <c r="Z1292" s="23"/>
      <c r="AA1292" s="23"/>
      <c r="AF1292" s="23"/>
      <c r="AG1292" s="23"/>
      <c r="AH1292" s="23"/>
      <c r="AI1292" s="23"/>
      <c r="AN1292" s="23"/>
      <c r="AO1292" s="23"/>
      <c r="AP1292" s="23"/>
      <c r="AQ1292" s="23"/>
      <c r="AR1292" s="35"/>
      <c r="AS1292" s="35"/>
      <c r="AT1292" s="35"/>
      <c r="AU1292" s="31"/>
      <c r="AV1292" s="36"/>
    </row>
    <row r="1293" spans="4:48">
      <c r="D1293" s="31"/>
      <c r="E1293" s="31"/>
      <c r="F1293" s="31"/>
      <c r="G1293" s="31"/>
      <c r="H1293" s="32"/>
      <c r="J1293" s="33"/>
      <c r="K1293" s="33"/>
      <c r="L1293" s="33"/>
      <c r="X1293" s="23"/>
      <c r="Y1293" s="23"/>
      <c r="Z1293" s="23"/>
      <c r="AA1293" s="23"/>
      <c r="AF1293" s="23"/>
      <c r="AG1293" s="23"/>
      <c r="AH1293" s="23"/>
      <c r="AI1293" s="23"/>
      <c r="AN1293" s="23"/>
      <c r="AO1293" s="23"/>
      <c r="AP1293" s="23"/>
      <c r="AQ1293" s="23"/>
      <c r="AR1293" s="35"/>
      <c r="AS1293" s="35"/>
      <c r="AT1293" s="35"/>
      <c r="AU1293" s="31"/>
      <c r="AV1293" s="36"/>
    </row>
    <row r="1294" spans="4:48">
      <c r="D1294" s="31"/>
      <c r="E1294" s="31"/>
      <c r="F1294" s="31"/>
      <c r="G1294" s="31"/>
      <c r="H1294" s="32"/>
      <c r="J1294" s="33"/>
      <c r="K1294" s="33"/>
      <c r="L1294" s="33"/>
      <c r="X1294" s="23"/>
      <c r="Y1294" s="23"/>
      <c r="Z1294" s="23"/>
      <c r="AA1294" s="23"/>
      <c r="AF1294" s="23"/>
      <c r="AG1294" s="23"/>
      <c r="AH1294" s="23"/>
      <c r="AI1294" s="23"/>
      <c r="AN1294" s="23"/>
      <c r="AO1294" s="23"/>
      <c r="AP1294" s="23"/>
      <c r="AQ1294" s="23"/>
      <c r="AR1294" s="35"/>
      <c r="AS1294" s="35"/>
      <c r="AT1294" s="35"/>
      <c r="AU1294" s="31"/>
      <c r="AV1294" s="36"/>
    </row>
    <row r="1295" spans="4:48">
      <c r="D1295" s="31"/>
      <c r="E1295" s="31"/>
      <c r="F1295" s="31"/>
      <c r="G1295" s="31"/>
      <c r="H1295" s="32"/>
      <c r="J1295" s="33"/>
      <c r="K1295" s="33"/>
      <c r="L1295" s="33"/>
      <c r="X1295" s="23"/>
      <c r="Y1295" s="23"/>
      <c r="Z1295" s="23"/>
      <c r="AA1295" s="23"/>
      <c r="AF1295" s="23"/>
      <c r="AG1295" s="23"/>
      <c r="AH1295" s="23"/>
      <c r="AI1295" s="23"/>
      <c r="AN1295" s="23"/>
      <c r="AO1295" s="23"/>
      <c r="AP1295" s="23"/>
      <c r="AQ1295" s="23"/>
      <c r="AR1295" s="35"/>
      <c r="AS1295" s="35"/>
      <c r="AT1295" s="35"/>
      <c r="AU1295" s="31"/>
      <c r="AV1295" s="36"/>
    </row>
    <row r="1296" spans="4:48">
      <c r="D1296" s="31"/>
      <c r="E1296" s="31"/>
      <c r="F1296" s="31"/>
      <c r="G1296" s="31"/>
      <c r="H1296" s="32"/>
      <c r="J1296" s="33"/>
      <c r="K1296" s="33"/>
      <c r="L1296" s="33"/>
      <c r="X1296" s="23"/>
      <c r="Y1296" s="23"/>
      <c r="Z1296" s="23"/>
      <c r="AA1296" s="23"/>
      <c r="AF1296" s="23"/>
      <c r="AG1296" s="23"/>
      <c r="AH1296" s="23"/>
      <c r="AI1296" s="23"/>
      <c r="AN1296" s="23"/>
      <c r="AO1296" s="23"/>
      <c r="AP1296" s="23"/>
      <c r="AQ1296" s="23"/>
      <c r="AR1296" s="35"/>
      <c r="AS1296" s="35"/>
      <c r="AT1296" s="35"/>
      <c r="AU1296" s="31"/>
      <c r="AV1296" s="36"/>
    </row>
    <row r="1297" spans="4:48">
      <c r="D1297" s="31"/>
      <c r="E1297" s="31"/>
      <c r="F1297" s="31"/>
      <c r="G1297" s="31"/>
      <c r="H1297" s="32"/>
      <c r="J1297" s="33"/>
      <c r="K1297" s="33"/>
      <c r="L1297" s="33"/>
      <c r="X1297" s="23"/>
      <c r="Y1297" s="23"/>
      <c r="Z1297" s="23"/>
      <c r="AA1297" s="23"/>
      <c r="AF1297" s="23"/>
      <c r="AG1297" s="23"/>
      <c r="AH1297" s="23"/>
      <c r="AI1297" s="23"/>
      <c r="AN1297" s="23"/>
      <c r="AO1297" s="23"/>
      <c r="AP1297" s="23"/>
      <c r="AQ1297" s="23"/>
      <c r="AR1297" s="35"/>
      <c r="AS1297" s="35"/>
      <c r="AT1297" s="35"/>
      <c r="AU1297" s="31"/>
      <c r="AV1297" s="36"/>
    </row>
    <row r="1298" spans="4:48">
      <c r="D1298" s="31"/>
      <c r="E1298" s="31"/>
      <c r="F1298" s="31"/>
      <c r="G1298" s="31"/>
      <c r="H1298" s="32"/>
      <c r="J1298" s="33"/>
      <c r="K1298" s="33"/>
      <c r="L1298" s="33"/>
      <c r="X1298" s="23"/>
      <c r="Y1298" s="23"/>
      <c r="Z1298" s="23"/>
      <c r="AA1298" s="23"/>
      <c r="AF1298" s="23"/>
      <c r="AG1298" s="23"/>
      <c r="AH1298" s="23"/>
      <c r="AI1298" s="23"/>
      <c r="AN1298" s="23"/>
      <c r="AO1298" s="23"/>
      <c r="AP1298" s="23"/>
      <c r="AQ1298" s="23"/>
      <c r="AR1298" s="35"/>
      <c r="AS1298" s="35"/>
      <c r="AT1298" s="35"/>
      <c r="AU1298" s="31"/>
      <c r="AV1298" s="36"/>
    </row>
    <row r="1299" spans="4:48">
      <c r="D1299" s="31"/>
      <c r="E1299" s="31"/>
      <c r="F1299" s="31"/>
      <c r="G1299" s="31"/>
      <c r="H1299" s="32"/>
      <c r="J1299" s="33"/>
      <c r="K1299" s="33"/>
      <c r="L1299" s="33"/>
      <c r="X1299" s="23"/>
      <c r="Y1299" s="23"/>
      <c r="Z1299" s="23"/>
      <c r="AA1299" s="23"/>
      <c r="AF1299" s="23"/>
      <c r="AG1299" s="23"/>
      <c r="AH1299" s="23"/>
      <c r="AI1299" s="23"/>
      <c r="AN1299" s="23"/>
      <c r="AO1299" s="23"/>
      <c r="AP1299" s="23"/>
      <c r="AQ1299" s="23"/>
      <c r="AR1299" s="35"/>
      <c r="AS1299" s="35"/>
      <c r="AT1299" s="35"/>
      <c r="AU1299" s="31"/>
      <c r="AV1299" s="36"/>
    </row>
    <row r="1300" spans="4:48">
      <c r="D1300" s="31"/>
      <c r="E1300" s="31"/>
      <c r="F1300" s="31"/>
      <c r="G1300" s="31"/>
      <c r="H1300" s="32"/>
      <c r="J1300" s="33"/>
      <c r="K1300" s="33"/>
      <c r="L1300" s="33"/>
      <c r="X1300" s="23"/>
      <c r="Y1300" s="23"/>
      <c r="Z1300" s="23"/>
      <c r="AA1300" s="23"/>
      <c r="AF1300" s="23"/>
      <c r="AG1300" s="23"/>
      <c r="AH1300" s="23"/>
      <c r="AI1300" s="23"/>
      <c r="AN1300" s="23"/>
      <c r="AO1300" s="23"/>
      <c r="AP1300" s="23"/>
      <c r="AQ1300" s="23"/>
      <c r="AR1300" s="35"/>
      <c r="AS1300" s="35"/>
      <c r="AT1300" s="35"/>
      <c r="AU1300" s="31"/>
      <c r="AV1300" s="36"/>
    </row>
    <row r="1301" spans="4:48">
      <c r="D1301" s="31"/>
      <c r="E1301" s="31"/>
      <c r="F1301" s="31"/>
      <c r="G1301" s="31"/>
      <c r="H1301" s="32"/>
      <c r="J1301" s="33"/>
      <c r="K1301" s="33"/>
      <c r="L1301" s="33"/>
      <c r="X1301" s="23"/>
      <c r="Y1301" s="23"/>
      <c r="Z1301" s="23"/>
      <c r="AA1301" s="23"/>
      <c r="AF1301" s="23"/>
      <c r="AG1301" s="23"/>
      <c r="AH1301" s="23"/>
      <c r="AI1301" s="23"/>
      <c r="AN1301" s="23"/>
      <c r="AO1301" s="23"/>
      <c r="AP1301" s="23"/>
      <c r="AQ1301" s="23"/>
      <c r="AR1301" s="35"/>
      <c r="AS1301" s="35"/>
      <c r="AT1301" s="35"/>
      <c r="AU1301" s="31"/>
      <c r="AV1301" s="36"/>
    </row>
    <row r="1302" spans="4:48">
      <c r="D1302" s="31"/>
      <c r="E1302" s="31"/>
      <c r="F1302" s="31"/>
      <c r="G1302" s="31"/>
      <c r="H1302" s="32"/>
      <c r="J1302" s="33"/>
      <c r="K1302" s="33"/>
      <c r="L1302" s="33"/>
      <c r="X1302" s="23"/>
      <c r="Y1302" s="23"/>
      <c r="Z1302" s="23"/>
      <c r="AA1302" s="23"/>
      <c r="AF1302" s="23"/>
      <c r="AG1302" s="23"/>
      <c r="AH1302" s="23"/>
      <c r="AI1302" s="23"/>
      <c r="AN1302" s="23"/>
      <c r="AO1302" s="23"/>
      <c r="AP1302" s="23"/>
      <c r="AQ1302" s="23"/>
      <c r="AR1302" s="35"/>
      <c r="AS1302" s="35"/>
      <c r="AT1302" s="35"/>
      <c r="AU1302" s="31"/>
      <c r="AV1302" s="36"/>
    </row>
    <row r="1303" spans="4:48">
      <c r="D1303" s="31"/>
      <c r="E1303" s="31"/>
      <c r="F1303" s="31"/>
      <c r="G1303" s="31"/>
      <c r="H1303" s="32"/>
      <c r="J1303" s="33"/>
      <c r="K1303" s="33"/>
      <c r="L1303" s="33"/>
      <c r="X1303" s="23"/>
      <c r="Y1303" s="23"/>
      <c r="Z1303" s="23"/>
      <c r="AA1303" s="23"/>
      <c r="AF1303" s="23"/>
      <c r="AG1303" s="23"/>
      <c r="AH1303" s="23"/>
      <c r="AI1303" s="23"/>
      <c r="AN1303" s="23"/>
      <c r="AO1303" s="23"/>
      <c r="AP1303" s="23"/>
      <c r="AQ1303" s="23"/>
      <c r="AR1303" s="35"/>
      <c r="AS1303" s="35"/>
      <c r="AT1303" s="35"/>
      <c r="AU1303" s="31"/>
      <c r="AV1303" s="36"/>
    </row>
    <row r="1304" spans="4:48">
      <c r="D1304" s="31"/>
      <c r="E1304" s="31"/>
      <c r="F1304" s="31"/>
      <c r="G1304" s="31"/>
      <c r="H1304" s="32"/>
      <c r="J1304" s="33"/>
      <c r="K1304" s="33"/>
      <c r="L1304" s="33"/>
      <c r="X1304" s="23"/>
      <c r="Y1304" s="23"/>
      <c r="Z1304" s="23"/>
      <c r="AA1304" s="23"/>
      <c r="AF1304" s="23"/>
      <c r="AG1304" s="23"/>
      <c r="AH1304" s="23"/>
      <c r="AI1304" s="23"/>
      <c r="AN1304" s="23"/>
      <c r="AO1304" s="23"/>
      <c r="AP1304" s="23"/>
      <c r="AQ1304" s="23"/>
      <c r="AR1304" s="35"/>
      <c r="AS1304" s="35"/>
      <c r="AT1304" s="35"/>
      <c r="AU1304" s="31"/>
      <c r="AV1304" s="36"/>
    </row>
    <row r="1305" spans="4:48">
      <c r="D1305" s="31"/>
      <c r="E1305" s="31"/>
      <c r="F1305" s="31"/>
      <c r="G1305" s="31"/>
      <c r="H1305" s="32"/>
      <c r="J1305" s="33"/>
      <c r="K1305" s="33"/>
      <c r="L1305" s="33"/>
      <c r="X1305" s="23"/>
      <c r="Y1305" s="23"/>
      <c r="Z1305" s="23"/>
      <c r="AA1305" s="23"/>
      <c r="AF1305" s="23"/>
      <c r="AG1305" s="23"/>
      <c r="AH1305" s="23"/>
      <c r="AI1305" s="23"/>
      <c r="AN1305" s="23"/>
      <c r="AO1305" s="23"/>
      <c r="AP1305" s="23"/>
      <c r="AQ1305" s="23"/>
      <c r="AR1305" s="35"/>
      <c r="AS1305" s="35"/>
      <c r="AT1305" s="35"/>
      <c r="AU1305" s="31"/>
      <c r="AV1305" s="36"/>
    </row>
    <row r="1306" spans="4:48">
      <c r="D1306" s="31"/>
      <c r="E1306" s="31"/>
      <c r="F1306" s="31"/>
      <c r="G1306" s="31"/>
      <c r="H1306" s="32"/>
      <c r="J1306" s="33"/>
      <c r="K1306" s="33"/>
      <c r="L1306" s="33"/>
      <c r="X1306" s="23"/>
      <c r="Y1306" s="23"/>
      <c r="Z1306" s="23"/>
      <c r="AA1306" s="23"/>
      <c r="AF1306" s="23"/>
      <c r="AG1306" s="23"/>
      <c r="AH1306" s="23"/>
      <c r="AI1306" s="23"/>
      <c r="AN1306" s="23"/>
      <c r="AO1306" s="23"/>
      <c r="AP1306" s="23"/>
      <c r="AQ1306" s="23"/>
      <c r="AR1306" s="35"/>
      <c r="AS1306" s="35"/>
      <c r="AT1306" s="35"/>
      <c r="AU1306" s="31"/>
      <c r="AV1306" s="36"/>
    </row>
    <row r="1307" spans="4:48">
      <c r="D1307" s="31"/>
      <c r="E1307" s="31"/>
      <c r="F1307" s="31"/>
      <c r="G1307" s="31"/>
      <c r="H1307" s="32"/>
      <c r="J1307" s="33"/>
      <c r="K1307" s="33"/>
      <c r="L1307" s="33"/>
      <c r="X1307" s="23"/>
      <c r="Y1307" s="23"/>
      <c r="Z1307" s="23"/>
      <c r="AA1307" s="23"/>
      <c r="AF1307" s="23"/>
      <c r="AG1307" s="23"/>
      <c r="AH1307" s="23"/>
      <c r="AI1307" s="23"/>
      <c r="AN1307" s="23"/>
      <c r="AO1307" s="23"/>
      <c r="AP1307" s="23"/>
      <c r="AQ1307" s="23"/>
      <c r="AR1307" s="35"/>
      <c r="AS1307" s="35"/>
      <c r="AT1307" s="35"/>
      <c r="AU1307" s="31"/>
      <c r="AV1307" s="36"/>
    </row>
    <row r="1308" spans="4:48">
      <c r="D1308" s="31"/>
      <c r="E1308" s="31"/>
      <c r="F1308" s="31"/>
      <c r="G1308" s="31"/>
      <c r="H1308" s="32"/>
      <c r="J1308" s="33"/>
      <c r="K1308" s="33"/>
      <c r="L1308" s="33"/>
      <c r="X1308" s="23"/>
      <c r="Y1308" s="23"/>
      <c r="Z1308" s="23"/>
      <c r="AA1308" s="23"/>
      <c r="AF1308" s="23"/>
      <c r="AG1308" s="23"/>
      <c r="AH1308" s="23"/>
      <c r="AI1308" s="23"/>
      <c r="AN1308" s="23"/>
      <c r="AO1308" s="23"/>
      <c r="AP1308" s="23"/>
      <c r="AQ1308" s="23"/>
      <c r="AR1308" s="35"/>
      <c r="AS1308" s="35"/>
      <c r="AT1308" s="35"/>
      <c r="AU1308" s="31"/>
      <c r="AV1308" s="36"/>
    </row>
    <row r="1309" spans="4:48">
      <c r="D1309" s="31"/>
      <c r="E1309" s="31"/>
      <c r="F1309" s="31"/>
      <c r="G1309" s="31"/>
      <c r="H1309" s="32"/>
      <c r="J1309" s="33"/>
      <c r="K1309" s="33"/>
      <c r="L1309" s="33"/>
      <c r="X1309" s="23"/>
      <c r="Y1309" s="23"/>
      <c r="Z1309" s="23"/>
      <c r="AA1309" s="23"/>
      <c r="AF1309" s="23"/>
      <c r="AG1309" s="23"/>
      <c r="AH1309" s="23"/>
      <c r="AI1309" s="23"/>
      <c r="AN1309" s="23"/>
      <c r="AO1309" s="23"/>
      <c r="AP1309" s="23"/>
      <c r="AQ1309" s="23"/>
      <c r="AR1309" s="35"/>
      <c r="AS1309" s="35"/>
      <c r="AT1309" s="35"/>
      <c r="AU1309" s="31"/>
      <c r="AV1309" s="36"/>
    </row>
    <row r="1310" spans="4:48">
      <c r="D1310" s="31"/>
      <c r="E1310" s="31"/>
      <c r="F1310" s="31"/>
      <c r="G1310" s="31"/>
      <c r="H1310" s="32"/>
      <c r="J1310" s="33"/>
      <c r="K1310" s="33"/>
      <c r="L1310" s="33"/>
      <c r="X1310" s="23"/>
      <c r="Y1310" s="23"/>
      <c r="Z1310" s="23"/>
      <c r="AA1310" s="23"/>
      <c r="AF1310" s="23"/>
      <c r="AG1310" s="23"/>
      <c r="AH1310" s="23"/>
      <c r="AI1310" s="23"/>
      <c r="AN1310" s="23"/>
      <c r="AO1310" s="23"/>
      <c r="AP1310" s="23"/>
      <c r="AQ1310" s="23"/>
      <c r="AR1310" s="35"/>
      <c r="AS1310" s="35"/>
      <c r="AT1310" s="35"/>
      <c r="AU1310" s="31"/>
      <c r="AV1310" s="36"/>
    </row>
    <row r="1311" spans="4:48">
      <c r="D1311" s="31"/>
      <c r="E1311" s="31"/>
      <c r="F1311" s="31"/>
      <c r="G1311" s="31"/>
      <c r="H1311" s="32"/>
      <c r="J1311" s="33"/>
      <c r="K1311" s="33"/>
      <c r="L1311" s="33"/>
      <c r="X1311" s="23"/>
      <c r="Y1311" s="23"/>
      <c r="Z1311" s="23"/>
      <c r="AA1311" s="23"/>
      <c r="AF1311" s="23"/>
      <c r="AG1311" s="23"/>
      <c r="AH1311" s="23"/>
      <c r="AI1311" s="23"/>
      <c r="AN1311" s="23"/>
      <c r="AO1311" s="23"/>
      <c r="AP1311" s="23"/>
      <c r="AQ1311" s="23"/>
      <c r="AR1311" s="35"/>
      <c r="AS1311" s="35"/>
      <c r="AT1311" s="35"/>
      <c r="AU1311" s="31"/>
      <c r="AV1311" s="36"/>
    </row>
    <row r="1312" spans="4:48">
      <c r="D1312" s="31"/>
      <c r="E1312" s="31"/>
      <c r="F1312" s="31"/>
      <c r="G1312" s="31"/>
      <c r="H1312" s="32"/>
      <c r="J1312" s="33"/>
      <c r="K1312" s="33"/>
      <c r="L1312" s="33"/>
      <c r="X1312" s="23"/>
      <c r="Y1312" s="23"/>
      <c r="Z1312" s="23"/>
      <c r="AA1312" s="23"/>
      <c r="AF1312" s="23"/>
      <c r="AG1312" s="23"/>
      <c r="AH1312" s="23"/>
      <c r="AI1312" s="23"/>
      <c r="AN1312" s="23"/>
      <c r="AO1312" s="23"/>
      <c r="AP1312" s="23"/>
      <c r="AQ1312" s="23"/>
      <c r="AR1312" s="35"/>
      <c r="AS1312" s="35"/>
      <c r="AT1312" s="35"/>
      <c r="AU1312" s="31"/>
      <c r="AV1312" s="36"/>
    </row>
    <row r="1313" spans="4:48">
      <c r="D1313" s="31"/>
      <c r="E1313" s="31"/>
      <c r="F1313" s="31"/>
      <c r="G1313" s="31"/>
      <c r="H1313" s="32"/>
      <c r="J1313" s="33"/>
      <c r="K1313" s="33"/>
      <c r="L1313" s="33"/>
      <c r="X1313" s="23"/>
      <c r="Y1313" s="23"/>
      <c r="Z1313" s="23"/>
      <c r="AA1313" s="23"/>
      <c r="AF1313" s="23"/>
      <c r="AG1313" s="23"/>
      <c r="AH1313" s="23"/>
      <c r="AI1313" s="23"/>
      <c r="AN1313" s="23"/>
      <c r="AO1313" s="23"/>
      <c r="AP1313" s="23"/>
      <c r="AQ1313" s="23"/>
      <c r="AR1313" s="35"/>
      <c r="AS1313" s="35"/>
      <c r="AT1313" s="35"/>
      <c r="AU1313" s="31"/>
      <c r="AV1313" s="36"/>
    </row>
    <row r="1314" spans="4:48">
      <c r="D1314" s="31"/>
      <c r="E1314" s="31"/>
      <c r="F1314" s="31"/>
      <c r="G1314" s="31"/>
      <c r="H1314" s="32"/>
      <c r="J1314" s="33"/>
      <c r="K1314" s="33"/>
      <c r="L1314" s="33"/>
      <c r="X1314" s="23"/>
      <c r="Y1314" s="23"/>
      <c r="Z1314" s="23"/>
      <c r="AA1314" s="23"/>
      <c r="AF1314" s="23"/>
      <c r="AG1314" s="23"/>
      <c r="AH1314" s="23"/>
      <c r="AI1314" s="23"/>
      <c r="AN1314" s="23"/>
      <c r="AO1314" s="23"/>
      <c r="AP1314" s="23"/>
      <c r="AQ1314" s="23"/>
      <c r="AR1314" s="35"/>
      <c r="AS1314" s="35"/>
      <c r="AT1314" s="35"/>
      <c r="AU1314" s="31"/>
      <c r="AV1314" s="36"/>
    </row>
    <row r="1315" spans="4:48">
      <c r="D1315" s="31"/>
      <c r="E1315" s="31"/>
      <c r="F1315" s="31"/>
      <c r="G1315" s="31"/>
      <c r="H1315" s="32"/>
      <c r="J1315" s="33"/>
      <c r="K1315" s="33"/>
      <c r="L1315" s="33"/>
      <c r="X1315" s="23"/>
      <c r="Y1315" s="23"/>
      <c r="Z1315" s="23"/>
      <c r="AA1315" s="23"/>
      <c r="AF1315" s="23"/>
      <c r="AG1315" s="23"/>
      <c r="AH1315" s="23"/>
      <c r="AI1315" s="23"/>
      <c r="AN1315" s="23"/>
      <c r="AO1315" s="23"/>
      <c r="AP1315" s="23"/>
      <c r="AQ1315" s="23"/>
      <c r="AR1315" s="35"/>
      <c r="AS1315" s="35"/>
      <c r="AT1315" s="35"/>
      <c r="AU1315" s="31"/>
      <c r="AV1315" s="36"/>
    </row>
    <row r="1316" spans="4:48">
      <c r="D1316" s="31"/>
      <c r="E1316" s="31"/>
      <c r="F1316" s="31"/>
      <c r="G1316" s="31"/>
      <c r="H1316" s="32"/>
      <c r="J1316" s="33"/>
      <c r="K1316" s="33"/>
      <c r="L1316" s="33"/>
      <c r="X1316" s="23"/>
      <c r="Y1316" s="23"/>
      <c r="Z1316" s="23"/>
      <c r="AA1316" s="23"/>
      <c r="AF1316" s="23"/>
      <c r="AG1316" s="23"/>
      <c r="AH1316" s="23"/>
      <c r="AI1316" s="23"/>
      <c r="AN1316" s="23"/>
      <c r="AO1316" s="23"/>
      <c r="AP1316" s="23"/>
      <c r="AQ1316" s="23"/>
      <c r="AR1316" s="35"/>
      <c r="AS1316" s="35"/>
      <c r="AT1316" s="35"/>
      <c r="AU1316" s="31"/>
      <c r="AV1316" s="36"/>
    </row>
    <row r="1317" spans="4:48">
      <c r="D1317" s="31"/>
      <c r="E1317" s="31"/>
      <c r="F1317" s="31"/>
      <c r="G1317" s="31"/>
      <c r="H1317" s="32"/>
      <c r="J1317" s="33"/>
      <c r="K1317" s="33"/>
      <c r="L1317" s="33"/>
      <c r="X1317" s="23"/>
      <c r="Y1317" s="23"/>
      <c r="Z1317" s="23"/>
      <c r="AA1317" s="23"/>
      <c r="AF1317" s="23"/>
      <c r="AG1317" s="23"/>
      <c r="AH1317" s="23"/>
      <c r="AI1317" s="23"/>
      <c r="AN1317" s="23"/>
      <c r="AO1317" s="23"/>
      <c r="AP1317" s="23"/>
      <c r="AQ1317" s="23"/>
      <c r="AR1317" s="35"/>
      <c r="AS1317" s="35"/>
      <c r="AT1317" s="35"/>
      <c r="AU1317" s="31"/>
      <c r="AV1317" s="36"/>
    </row>
    <row r="1318" spans="4:48">
      <c r="D1318" s="31"/>
      <c r="E1318" s="31"/>
      <c r="F1318" s="31"/>
      <c r="G1318" s="31"/>
      <c r="H1318" s="32"/>
      <c r="J1318" s="33"/>
      <c r="K1318" s="33"/>
      <c r="L1318" s="33"/>
      <c r="X1318" s="23"/>
      <c r="Y1318" s="23"/>
      <c r="Z1318" s="23"/>
      <c r="AA1318" s="23"/>
      <c r="AF1318" s="23"/>
      <c r="AG1318" s="23"/>
      <c r="AH1318" s="23"/>
      <c r="AI1318" s="23"/>
      <c r="AN1318" s="23"/>
      <c r="AO1318" s="23"/>
      <c r="AP1318" s="23"/>
      <c r="AQ1318" s="23"/>
      <c r="AR1318" s="35"/>
      <c r="AS1318" s="35"/>
      <c r="AT1318" s="35"/>
      <c r="AU1318" s="31"/>
      <c r="AV1318" s="36"/>
    </row>
    <row r="1319" spans="4:48">
      <c r="D1319" s="31"/>
      <c r="E1319" s="31"/>
      <c r="F1319" s="31"/>
      <c r="G1319" s="31"/>
      <c r="H1319" s="32"/>
      <c r="J1319" s="33"/>
      <c r="K1319" s="33"/>
      <c r="L1319" s="33"/>
      <c r="X1319" s="23"/>
      <c r="Y1319" s="23"/>
      <c r="Z1319" s="23"/>
      <c r="AA1319" s="23"/>
      <c r="AF1319" s="23"/>
      <c r="AG1319" s="23"/>
      <c r="AH1319" s="23"/>
      <c r="AI1319" s="23"/>
      <c r="AN1319" s="23"/>
      <c r="AO1319" s="23"/>
      <c r="AP1319" s="23"/>
      <c r="AQ1319" s="23"/>
      <c r="AR1319" s="35"/>
      <c r="AS1319" s="35"/>
      <c r="AT1319" s="35"/>
      <c r="AU1319" s="31"/>
      <c r="AV1319" s="36"/>
    </row>
    <row r="1320" spans="4:48">
      <c r="D1320" s="31"/>
      <c r="E1320" s="31"/>
      <c r="F1320" s="31"/>
      <c r="G1320" s="31"/>
      <c r="H1320" s="32"/>
      <c r="J1320" s="33"/>
      <c r="K1320" s="33"/>
      <c r="L1320" s="33"/>
      <c r="X1320" s="23"/>
      <c r="Y1320" s="23"/>
      <c r="Z1320" s="23"/>
      <c r="AA1320" s="23"/>
      <c r="AF1320" s="23"/>
      <c r="AG1320" s="23"/>
      <c r="AH1320" s="23"/>
      <c r="AI1320" s="23"/>
      <c r="AN1320" s="23"/>
      <c r="AO1320" s="23"/>
      <c r="AP1320" s="23"/>
      <c r="AQ1320" s="23"/>
      <c r="AR1320" s="35"/>
      <c r="AS1320" s="35"/>
      <c r="AT1320" s="35"/>
      <c r="AU1320" s="31"/>
      <c r="AV1320" s="36"/>
    </row>
    <row r="1321" spans="4:48">
      <c r="D1321" s="31"/>
      <c r="E1321" s="31"/>
      <c r="F1321" s="31"/>
      <c r="G1321" s="31"/>
      <c r="H1321" s="32"/>
      <c r="J1321" s="33"/>
      <c r="K1321" s="33"/>
      <c r="L1321" s="33"/>
      <c r="X1321" s="23"/>
      <c r="Y1321" s="23"/>
      <c r="Z1321" s="23"/>
      <c r="AA1321" s="23"/>
      <c r="AF1321" s="23"/>
      <c r="AG1321" s="23"/>
      <c r="AH1321" s="23"/>
      <c r="AI1321" s="23"/>
      <c r="AN1321" s="23"/>
      <c r="AO1321" s="23"/>
      <c r="AP1321" s="23"/>
      <c r="AQ1321" s="23"/>
      <c r="AR1321" s="35"/>
      <c r="AS1321" s="35"/>
      <c r="AT1321" s="35"/>
      <c r="AU1321" s="31"/>
      <c r="AV1321" s="36"/>
    </row>
    <row r="1322" spans="4:48">
      <c r="D1322" s="31"/>
      <c r="E1322" s="31"/>
      <c r="F1322" s="31"/>
      <c r="G1322" s="31"/>
      <c r="H1322" s="32"/>
      <c r="J1322" s="33"/>
      <c r="K1322" s="33"/>
      <c r="L1322" s="33"/>
      <c r="X1322" s="23"/>
      <c r="Y1322" s="23"/>
      <c r="Z1322" s="23"/>
      <c r="AA1322" s="23"/>
      <c r="AF1322" s="23"/>
      <c r="AG1322" s="23"/>
      <c r="AH1322" s="23"/>
      <c r="AI1322" s="23"/>
      <c r="AN1322" s="23"/>
      <c r="AO1322" s="23"/>
      <c r="AP1322" s="23"/>
      <c r="AQ1322" s="23"/>
      <c r="AR1322" s="35"/>
      <c r="AS1322" s="35"/>
      <c r="AT1322" s="35"/>
      <c r="AU1322" s="31"/>
      <c r="AV1322" s="36"/>
    </row>
    <row r="1323" spans="4:48">
      <c r="D1323" s="31"/>
      <c r="E1323" s="31"/>
      <c r="F1323" s="31"/>
      <c r="G1323" s="31"/>
      <c r="H1323" s="32"/>
      <c r="J1323" s="33"/>
      <c r="K1323" s="33"/>
      <c r="L1323" s="33"/>
      <c r="X1323" s="23"/>
      <c r="Y1323" s="23"/>
      <c r="Z1323" s="23"/>
      <c r="AA1323" s="23"/>
      <c r="AF1323" s="23"/>
      <c r="AG1323" s="23"/>
      <c r="AH1323" s="23"/>
      <c r="AI1323" s="23"/>
      <c r="AN1323" s="23"/>
      <c r="AO1323" s="23"/>
      <c r="AP1323" s="23"/>
      <c r="AQ1323" s="23"/>
      <c r="AR1323" s="35"/>
      <c r="AS1323" s="35"/>
      <c r="AT1323" s="35"/>
      <c r="AU1323" s="31"/>
      <c r="AV1323" s="36"/>
    </row>
    <row r="1324" spans="4:48">
      <c r="D1324" s="31"/>
      <c r="E1324" s="31"/>
      <c r="F1324" s="31"/>
      <c r="G1324" s="31"/>
      <c r="H1324" s="32"/>
      <c r="J1324" s="33"/>
      <c r="K1324" s="33"/>
      <c r="L1324" s="33"/>
      <c r="X1324" s="23"/>
      <c r="Y1324" s="23"/>
      <c r="Z1324" s="23"/>
      <c r="AA1324" s="23"/>
      <c r="AF1324" s="23"/>
      <c r="AG1324" s="23"/>
      <c r="AH1324" s="23"/>
      <c r="AI1324" s="23"/>
      <c r="AN1324" s="23"/>
      <c r="AO1324" s="23"/>
      <c r="AP1324" s="23"/>
      <c r="AQ1324" s="23"/>
      <c r="AR1324" s="35"/>
      <c r="AS1324" s="35"/>
      <c r="AT1324" s="35"/>
      <c r="AU1324" s="31"/>
      <c r="AV1324" s="36"/>
    </row>
    <row r="1325" spans="4:48">
      <c r="D1325" s="31"/>
      <c r="E1325" s="31"/>
      <c r="F1325" s="31"/>
      <c r="G1325" s="31"/>
      <c r="H1325" s="32"/>
      <c r="J1325" s="33"/>
      <c r="K1325" s="33"/>
      <c r="L1325" s="33"/>
      <c r="X1325" s="23"/>
      <c r="Y1325" s="23"/>
      <c r="Z1325" s="23"/>
      <c r="AA1325" s="23"/>
      <c r="AF1325" s="23"/>
      <c r="AG1325" s="23"/>
      <c r="AH1325" s="23"/>
      <c r="AI1325" s="23"/>
      <c r="AN1325" s="23"/>
      <c r="AO1325" s="23"/>
      <c r="AP1325" s="23"/>
      <c r="AQ1325" s="23"/>
      <c r="AR1325" s="35"/>
      <c r="AS1325" s="35"/>
      <c r="AT1325" s="35"/>
      <c r="AU1325" s="31"/>
      <c r="AV1325" s="36"/>
    </row>
    <row r="1326" spans="4:48">
      <c r="D1326" s="31"/>
      <c r="E1326" s="31"/>
      <c r="F1326" s="31"/>
      <c r="G1326" s="31"/>
      <c r="H1326" s="32"/>
      <c r="J1326" s="33"/>
      <c r="K1326" s="33"/>
      <c r="L1326" s="33"/>
      <c r="X1326" s="23"/>
      <c r="Y1326" s="23"/>
      <c r="Z1326" s="23"/>
      <c r="AA1326" s="23"/>
      <c r="AF1326" s="23"/>
      <c r="AG1326" s="23"/>
      <c r="AH1326" s="23"/>
      <c r="AI1326" s="23"/>
      <c r="AN1326" s="23"/>
      <c r="AO1326" s="23"/>
      <c r="AP1326" s="23"/>
      <c r="AQ1326" s="23"/>
      <c r="AR1326" s="35"/>
      <c r="AS1326" s="35"/>
      <c r="AT1326" s="35"/>
      <c r="AU1326" s="31"/>
      <c r="AV1326" s="36"/>
    </row>
    <row r="1327" spans="4:48">
      <c r="D1327" s="31"/>
      <c r="E1327" s="31"/>
      <c r="F1327" s="31"/>
      <c r="G1327" s="31"/>
      <c r="H1327" s="32"/>
      <c r="J1327" s="33"/>
      <c r="K1327" s="33"/>
      <c r="L1327" s="33"/>
      <c r="X1327" s="23"/>
      <c r="Y1327" s="23"/>
      <c r="Z1327" s="23"/>
      <c r="AA1327" s="23"/>
      <c r="AF1327" s="23"/>
      <c r="AG1327" s="23"/>
      <c r="AH1327" s="23"/>
      <c r="AI1327" s="23"/>
      <c r="AN1327" s="23"/>
      <c r="AO1327" s="23"/>
      <c r="AP1327" s="23"/>
      <c r="AQ1327" s="23"/>
      <c r="AR1327" s="35"/>
      <c r="AS1327" s="35"/>
      <c r="AT1327" s="35"/>
      <c r="AU1327" s="31"/>
      <c r="AV1327" s="36"/>
    </row>
    <row r="1328" spans="4:48">
      <c r="D1328" s="31"/>
      <c r="E1328" s="31"/>
      <c r="F1328" s="31"/>
      <c r="G1328" s="31"/>
      <c r="H1328" s="32"/>
      <c r="J1328" s="33"/>
      <c r="K1328" s="33"/>
      <c r="L1328" s="33"/>
      <c r="X1328" s="23"/>
      <c r="Y1328" s="23"/>
      <c r="Z1328" s="23"/>
      <c r="AA1328" s="23"/>
      <c r="AF1328" s="23"/>
      <c r="AG1328" s="23"/>
      <c r="AH1328" s="23"/>
      <c r="AI1328" s="23"/>
      <c r="AN1328" s="23"/>
      <c r="AO1328" s="23"/>
      <c r="AP1328" s="23"/>
      <c r="AQ1328" s="23"/>
      <c r="AR1328" s="35"/>
      <c r="AS1328" s="35"/>
      <c r="AT1328" s="35"/>
      <c r="AU1328" s="31"/>
      <c r="AV1328" s="36"/>
    </row>
    <row r="1329" spans="4:48">
      <c r="D1329" s="31"/>
      <c r="E1329" s="31"/>
      <c r="F1329" s="31"/>
      <c r="G1329" s="31"/>
      <c r="H1329" s="32"/>
      <c r="J1329" s="33"/>
      <c r="K1329" s="33"/>
      <c r="L1329" s="33"/>
      <c r="X1329" s="23"/>
      <c r="Y1329" s="23"/>
      <c r="Z1329" s="23"/>
      <c r="AA1329" s="23"/>
      <c r="AF1329" s="23"/>
      <c r="AG1329" s="23"/>
      <c r="AH1329" s="23"/>
      <c r="AI1329" s="23"/>
      <c r="AN1329" s="23"/>
      <c r="AO1329" s="23"/>
      <c r="AP1329" s="23"/>
      <c r="AQ1329" s="23"/>
      <c r="AR1329" s="35"/>
      <c r="AS1329" s="35"/>
      <c r="AT1329" s="35"/>
      <c r="AU1329" s="31"/>
      <c r="AV1329" s="36"/>
    </row>
    <row r="1330" spans="4:48">
      <c r="D1330" s="31"/>
      <c r="E1330" s="31"/>
      <c r="F1330" s="31"/>
      <c r="G1330" s="31"/>
      <c r="H1330" s="32"/>
      <c r="J1330" s="33"/>
      <c r="K1330" s="33"/>
      <c r="L1330" s="33"/>
      <c r="X1330" s="23"/>
      <c r="Y1330" s="23"/>
      <c r="Z1330" s="23"/>
      <c r="AA1330" s="23"/>
      <c r="AF1330" s="23"/>
      <c r="AG1330" s="23"/>
      <c r="AH1330" s="23"/>
      <c r="AI1330" s="23"/>
      <c r="AN1330" s="23"/>
      <c r="AO1330" s="23"/>
      <c r="AP1330" s="23"/>
      <c r="AQ1330" s="23"/>
      <c r="AR1330" s="35"/>
      <c r="AS1330" s="35"/>
      <c r="AT1330" s="35"/>
      <c r="AU1330" s="31"/>
      <c r="AV1330" s="36"/>
    </row>
    <row r="1331" spans="4:48">
      <c r="D1331" s="31"/>
      <c r="E1331" s="31"/>
      <c r="F1331" s="31"/>
      <c r="G1331" s="31"/>
      <c r="H1331" s="32"/>
      <c r="J1331" s="33"/>
      <c r="K1331" s="33"/>
      <c r="L1331" s="33"/>
      <c r="X1331" s="23"/>
      <c r="Y1331" s="23"/>
      <c r="Z1331" s="23"/>
      <c r="AA1331" s="23"/>
      <c r="AF1331" s="23"/>
      <c r="AG1331" s="23"/>
      <c r="AH1331" s="23"/>
      <c r="AI1331" s="23"/>
      <c r="AN1331" s="23"/>
      <c r="AO1331" s="23"/>
      <c r="AP1331" s="23"/>
      <c r="AQ1331" s="23"/>
      <c r="AR1331" s="35"/>
      <c r="AS1331" s="35"/>
      <c r="AT1331" s="35"/>
      <c r="AU1331" s="31"/>
      <c r="AV1331" s="36"/>
    </row>
    <row r="1332" spans="4:48">
      <c r="D1332" s="31"/>
      <c r="E1332" s="31"/>
      <c r="F1332" s="31"/>
      <c r="G1332" s="31"/>
      <c r="H1332" s="32"/>
      <c r="J1332" s="33"/>
      <c r="K1332" s="33"/>
      <c r="L1332" s="33"/>
      <c r="X1332" s="23"/>
      <c r="Y1332" s="23"/>
      <c r="Z1332" s="23"/>
      <c r="AA1332" s="23"/>
      <c r="AF1332" s="23"/>
      <c r="AG1332" s="23"/>
      <c r="AH1332" s="23"/>
      <c r="AI1332" s="23"/>
      <c r="AN1332" s="23"/>
      <c r="AO1332" s="23"/>
      <c r="AP1332" s="23"/>
      <c r="AQ1332" s="23"/>
      <c r="AR1332" s="35"/>
      <c r="AS1332" s="35"/>
      <c r="AT1332" s="35"/>
      <c r="AU1332" s="31"/>
      <c r="AV1332" s="36"/>
    </row>
    <row r="1333" spans="4:48">
      <c r="D1333" s="31"/>
      <c r="E1333" s="31"/>
      <c r="F1333" s="31"/>
      <c r="G1333" s="31"/>
      <c r="H1333" s="32"/>
      <c r="J1333" s="33"/>
      <c r="K1333" s="33"/>
      <c r="L1333" s="33"/>
      <c r="X1333" s="23"/>
      <c r="Y1333" s="23"/>
      <c r="Z1333" s="23"/>
      <c r="AA1333" s="23"/>
      <c r="AF1333" s="23"/>
      <c r="AG1333" s="23"/>
      <c r="AH1333" s="23"/>
      <c r="AI1333" s="23"/>
      <c r="AN1333" s="23"/>
      <c r="AO1333" s="23"/>
      <c r="AP1333" s="23"/>
      <c r="AQ1333" s="23"/>
      <c r="AR1333" s="35"/>
      <c r="AS1333" s="35"/>
      <c r="AT1333" s="35"/>
      <c r="AU1333" s="31"/>
      <c r="AV1333" s="36"/>
    </row>
    <row r="1334" spans="4:48">
      <c r="D1334" s="31"/>
      <c r="E1334" s="31"/>
      <c r="F1334" s="31"/>
      <c r="G1334" s="31"/>
      <c r="H1334" s="32"/>
      <c r="J1334" s="33"/>
      <c r="K1334" s="33"/>
      <c r="L1334" s="33"/>
      <c r="X1334" s="23"/>
      <c r="Y1334" s="23"/>
      <c r="Z1334" s="23"/>
      <c r="AA1334" s="23"/>
      <c r="AF1334" s="23"/>
      <c r="AG1334" s="23"/>
      <c r="AH1334" s="23"/>
      <c r="AI1334" s="23"/>
      <c r="AN1334" s="23"/>
      <c r="AO1334" s="23"/>
      <c r="AP1334" s="23"/>
      <c r="AQ1334" s="23"/>
      <c r="AR1334" s="35"/>
      <c r="AS1334" s="35"/>
      <c r="AT1334" s="35"/>
      <c r="AU1334" s="31"/>
      <c r="AV1334" s="36"/>
    </row>
    <row r="1335" spans="4:48">
      <c r="D1335" s="31"/>
      <c r="E1335" s="31"/>
      <c r="F1335" s="31"/>
      <c r="G1335" s="31"/>
      <c r="H1335" s="32"/>
      <c r="J1335" s="33"/>
      <c r="K1335" s="33"/>
      <c r="L1335" s="33"/>
      <c r="X1335" s="23"/>
      <c r="Y1335" s="23"/>
      <c r="Z1335" s="23"/>
      <c r="AA1335" s="23"/>
      <c r="AF1335" s="23"/>
      <c r="AG1335" s="23"/>
      <c r="AH1335" s="23"/>
      <c r="AI1335" s="23"/>
      <c r="AN1335" s="23"/>
      <c r="AO1335" s="23"/>
      <c r="AP1335" s="23"/>
      <c r="AQ1335" s="23"/>
      <c r="AR1335" s="35"/>
      <c r="AS1335" s="35"/>
      <c r="AT1335" s="35"/>
      <c r="AU1335" s="31"/>
      <c r="AV1335" s="36"/>
    </row>
    <row r="1336" spans="4:48">
      <c r="D1336" s="31"/>
      <c r="E1336" s="31"/>
      <c r="F1336" s="31"/>
      <c r="G1336" s="31"/>
      <c r="H1336" s="32"/>
      <c r="J1336" s="33"/>
      <c r="K1336" s="33"/>
      <c r="L1336" s="33"/>
      <c r="X1336" s="23"/>
      <c r="Y1336" s="23"/>
      <c r="Z1336" s="23"/>
      <c r="AA1336" s="23"/>
      <c r="AF1336" s="23"/>
      <c r="AG1336" s="23"/>
      <c r="AH1336" s="23"/>
      <c r="AI1336" s="23"/>
      <c r="AN1336" s="23"/>
      <c r="AO1336" s="23"/>
      <c r="AP1336" s="23"/>
      <c r="AQ1336" s="23"/>
      <c r="AR1336" s="35"/>
      <c r="AS1336" s="35"/>
      <c r="AT1336" s="35"/>
      <c r="AU1336" s="31"/>
      <c r="AV1336" s="36"/>
    </row>
    <row r="1337" spans="4:48">
      <c r="D1337" s="31"/>
      <c r="E1337" s="31"/>
      <c r="F1337" s="31"/>
      <c r="G1337" s="31"/>
      <c r="H1337" s="32"/>
      <c r="J1337" s="33"/>
      <c r="K1337" s="33"/>
      <c r="L1337" s="33"/>
      <c r="X1337" s="23"/>
      <c r="Y1337" s="23"/>
      <c r="Z1337" s="23"/>
      <c r="AA1337" s="23"/>
      <c r="AF1337" s="23"/>
      <c r="AG1337" s="23"/>
      <c r="AH1337" s="23"/>
      <c r="AI1337" s="23"/>
      <c r="AN1337" s="23"/>
      <c r="AO1337" s="23"/>
      <c r="AP1337" s="23"/>
      <c r="AQ1337" s="23"/>
      <c r="AR1337" s="35"/>
      <c r="AS1337" s="35"/>
      <c r="AT1337" s="35"/>
      <c r="AU1337" s="31"/>
      <c r="AV1337" s="36"/>
    </row>
    <row r="1338" spans="4:48">
      <c r="D1338" s="31"/>
      <c r="E1338" s="31"/>
      <c r="F1338" s="31"/>
      <c r="G1338" s="31"/>
      <c r="H1338" s="32"/>
      <c r="J1338" s="33"/>
      <c r="K1338" s="33"/>
      <c r="L1338" s="33"/>
      <c r="X1338" s="23"/>
      <c r="Y1338" s="23"/>
      <c r="Z1338" s="23"/>
      <c r="AA1338" s="23"/>
      <c r="AF1338" s="23"/>
      <c r="AG1338" s="23"/>
      <c r="AH1338" s="23"/>
      <c r="AI1338" s="23"/>
      <c r="AN1338" s="23"/>
      <c r="AO1338" s="23"/>
      <c r="AP1338" s="23"/>
      <c r="AQ1338" s="23"/>
      <c r="AR1338" s="35"/>
      <c r="AS1338" s="35"/>
      <c r="AT1338" s="35"/>
      <c r="AU1338" s="31"/>
      <c r="AV1338" s="36"/>
    </row>
    <row r="1339" spans="4:48">
      <c r="D1339" s="31"/>
      <c r="E1339" s="31"/>
      <c r="F1339" s="31"/>
      <c r="G1339" s="31"/>
      <c r="H1339" s="32"/>
      <c r="J1339" s="33"/>
      <c r="K1339" s="33"/>
      <c r="L1339" s="33"/>
      <c r="X1339" s="23"/>
      <c r="Y1339" s="23"/>
      <c r="Z1339" s="23"/>
      <c r="AA1339" s="23"/>
      <c r="AF1339" s="23"/>
      <c r="AG1339" s="23"/>
      <c r="AH1339" s="23"/>
      <c r="AI1339" s="23"/>
      <c r="AN1339" s="23"/>
      <c r="AO1339" s="23"/>
      <c r="AP1339" s="23"/>
      <c r="AQ1339" s="23"/>
      <c r="AR1339" s="35"/>
      <c r="AS1339" s="35"/>
      <c r="AT1339" s="35"/>
      <c r="AU1339" s="31"/>
      <c r="AV1339" s="36"/>
    </row>
    <row r="1340" spans="4:48">
      <c r="D1340" s="31"/>
      <c r="E1340" s="31"/>
      <c r="F1340" s="31"/>
      <c r="G1340" s="31"/>
      <c r="H1340" s="32"/>
      <c r="J1340" s="33"/>
      <c r="K1340" s="33"/>
      <c r="L1340" s="33"/>
      <c r="X1340" s="23"/>
      <c r="Y1340" s="23"/>
      <c r="Z1340" s="23"/>
      <c r="AA1340" s="23"/>
      <c r="AF1340" s="23"/>
      <c r="AG1340" s="23"/>
      <c r="AH1340" s="23"/>
      <c r="AI1340" s="23"/>
      <c r="AN1340" s="23"/>
      <c r="AO1340" s="23"/>
      <c r="AP1340" s="23"/>
      <c r="AQ1340" s="23"/>
      <c r="AR1340" s="35"/>
      <c r="AS1340" s="35"/>
      <c r="AT1340" s="35"/>
      <c r="AU1340" s="31"/>
      <c r="AV1340" s="36"/>
    </row>
    <row r="1341" spans="4:48">
      <c r="D1341" s="31"/>
      <c r="E1341" s="31"/>
      <c r="F1341" s="31"/>
      <c r="G1341" s="31"/>
      <c r="H1341" s="32"/>
      <c r="J1341" s="33"/>
      <c r="K1341" s="33"/>
      <c r="L1341" s="33"/>
      <c r="X1341" s="23"/>
      <c r="Y1341" s="23"/>
      <c r="Z1341" s="23"/>
      <c r="AA1341" s="23"/>
      <c r="AF1341" s="23"/>
      <c r="AG1341" s="23"/>
      <c r="AH1341" s="23"/>
      <c r="AI1341" s="23"/>
      <c r="AN1341" s="23"/>
      <c r="AO1341" s="23"/>
      <c r="AP1341" s="23"/>
      <c r="AQ1341" s="23"/>
      <c r="AR1341" s="35"/>
      <c r="AS1341" s="35"/>
      <c r="AT1341" s="35"/>
      <c r="AU1341" s="31"/>
      <c r="AV1341" s="36"/>
    </row>
    <row r="1342" spans="4:48">
      <c r="D1342" s="31"/>
      <c r="E1342" s="31"/>
      <c r="F1342" s="31"/>
      <c r="G1342" s="31"/>
      <c r="H1342" s="32"/>
      <c r="J1342" s="33"/>
      <c r="K1342" s="33"/>
      <c r="L1342" s="33"/>
      <c r="X1342" s="23"/>
      <c r="Y1342" s="23"/>
      <c r="Z1342" s="23"/>
      <c r="AA1342" s="23"/>
      <c r="AF1342" s="23"/>
      <c r="AG1342" s="23"/>
      <c r="AH1342" s="23"/>
      <c r="AI1342" s="23"/>
      <c r="AN1342" s="23"/>
      <c r="AO1342" s="23"/>
      <c r="AP1342" s="23"/>
      <c r="AQ1342" s="23"/>
      <c r="AR1342" s="35"/>
      <c r="AS1342" s="35"/>
      <c r="AT1342" s="35"/>
      <c r="AU1342" s="31"/>
      <c r="AV1342" s="36"/>
    </row>
    <row r="1343" spans="4:48">
      <c r="D1343" s="31"/>
      <c r="E1343" s="31"/>
      <c r="F1343" s="31"/>
      <c r="G1343" s="31"/>
      <c r="H1343" s="32"/>
      <c r="J1343" s="33"/>
      <c r="K1343" s="33"/>
      <c r="L1343" s="33"/>
      <c r="X1343" s="23"/>
      <c r="Y1343" s="23"/>
      <c r="Z1343" s="23"/>
      <c r="AA1343" s="23"/>
      <c r="AF1343" s="23"/>
      <c r="AG1343" s="23"/>
      <c r="AH1343" s="23"/>
      <c r="AI1343" s="23"/>
      <c r="AN1343" s="23"/>
      <c r="AO1343" s="23"/>
      <c r="AP1343" s="23"/>
      <c r="AQ1343" s="23"/>
      <c r="AR1343" s="35"/>
      <c r="AS1343" s="35"/>
      <c r="AT1343" s="35"/>
      <c r="AU1343" s="31"/>
      <c r="AV1343" s="36"/>
    </row>
    <row r="1344" spans="4:48">
      <c r="D1344" s="31"/>
      <c r="E1344" s="31"/>
      <c r="F1344" s="31"/>
      <c r="G1344" s="31"/>
      <c r="H1344" s="32"/>
      <c r="J1344" s="33"/>
      <c r="K1344" s="33"/>
      <c r="L1344" s="33"/>
      <c r="X1344" s="23"/>
      <c r="Y1344" s="23"/>
      <c r="Z1344" s="23"/>
      <c r="AA1344" s="23"/>
      <c r="AF1344" s="23"/>
      <c r="AG1344" s="23"/>
      <c r="AH1344" s="23"/>
      <c r="AI1344" s="23"/>
      <c r="AN1344" s="23"/>
      <c r="AO1344" s="23"/>
      <c r="AP1344" s="23"/>
      <c r="AQ1344" s="23"/>
      <c r="AR1344" s="35"/>
      <c r="AS1344" s="35"/>
      <c r="AT1344" s="35"/>
      <c r="AU1344" s="31"/>
      <c r="AV1344" s="36"/>
    </row>
    <row r="1345" spans="4:48">
      <c r="D1345" s="31"/>
      <c r="E1345" s="31"/>
      <c r="F1345" s="31"/>
      <c r="G1345" s="31"/>
      <c r="H1345" s="32"/>
      <c r="J1345" s="33"/>
      <c r="K1345" s="33"/>
      <c r="L1345" s="33"/>
      <c r="X1345" s="23"/>
      <c r="Y1345" s="23"/>
      <c r="Z1345" s="23"/>
      <c r="AA1345" s="23"/>
      <c r="AF1345" s="23"/>
      <c r="AG1345" s="23"/>
      <c r="AH1345" s="23"/>
      <c r="AI1345" s="23"/>
      <c r="AN1345" s="23"/>
      <c r="AO1345" s="23"/>
      <c r="AP1345" s="23"/>
      <c r="AQ1345" s="23"/>
      <c r="AR1345" s="35"/>
      <c r="AS1345" s="35"/>
      <c r="AT1345" s="35"/>
      <c r="AU1345" s="31"/>
      <c r="AV1345" s="36"/>
    </row>
    <row r="1346" spans="4:48">
      <c r="D1346" s="31"/>
      <c r="E1346" s="31"/>
      <c r="F1346" s="31"/>
      <c r="G1346" s="31"/>
      <c r="H1346" s="32"/>
      <c r="J1346" s="33"/>
      <c r="K1346" s="33"/>
      <c r="L1346" s="33"/>
      <c r="X1346" s="23"/>
      <c r="Y1346" s="23"/>
      <c r="Z1346" s="23"/>
      <c r="AA1346" s="23"/>
      <c r="AF1346" s="23"/>
      <c r="AG1346" s="23"/>
      <c r="AH1346" s="23"/>
      <c r="AI1346" s="23"/>
      <c r="AN1346" s="23"/>
      <c r="AO1346" s="23"/>
      <c r="AP1346" s="23"/>
      <c r="AQ1346" s="23"/>
      <c r="AR1346" s="35"/>
      <c r="AS1346" s="35"/>
      <c r="AT1346" s="35"/>
      <c r="AU1346" s="31"/>
      <c r="AV1346" s="36"/>
    </row>
    <row r="1347" spans="4:48">
      <c r="D1347" s="31"/>
      <c r="E1347" s="31"/>
      <c r="F1347" s="31"/>
      <c r="G1347" s="31"/>
      <c r="H1347" s="32"/>
      <c r="J1347" s="33"/>
      <c r="K1347" s="33"/>
      <c r="L1347" s="33"/>
      <c r="X1347" s="23"/>
      <c r="Y1347" s="23"/>
      <c r="Z1347" s="23"/>
      <c r="AA1347" s="23"/>
      <c r="AF1347" s="23"/>
      <c r="AG1347" s="23"/>
      <c r="AH1347" s="23"/>
      <c r="AI1347" s="23"/>
      <c r="AN1347" s="23"/>
      <c r="AO1347" s="23"/>
      <c r="AP1347" s="23"/>
      <c r="AQ1347" s="23"/>
      <c r="AR1347" s="35"/>
      <c r="AS1347" s="35"/>
      <c r="AT1347" s="35"/>
      <c r="AU1347" s="31"/>
      <c r="AV1347" s="36"/>
    </row>
    <row r="1348" spans="4:48">
      <c r="D1348" s="31"/>
      <c r="E1348" s="31"/>
      <c r="F1348" s="31"/>
      <c r="G1348" s="31"/>
      <c r="H1348" s="32"/>
      <c r="J1348" s="33"/>
      <c r="K1348" s="33"/>
      <c r="L1348" s="33"/>
      <c r="X1348" s="23"/>
      <c r="Y1348" s="23"/>
      <c r="Z1348" s="23"/>
      <c r="AA1348" s="23"/>
      <c r="AF1348" s="23"/>
      <c r="AG1348" s="23"/>
      <c r="AH1348" s="23"/>
      <c r="AI1348" s="23"/>
      <c r="AN1348" s="23"/>
      <c r="AO1348" s="23"/>
      <c r="AP1348" s="23"/>
      <c r="AQ1348" s="23"/>
      <c r="AR1348" s="35"/>
      <c r="AS1348" s="35"/>
      <c r="AT1348" s="35"/>
      <c r="AU1348" s="31"/>
      <c r="AV1348" s="36"/>
    </row>
    <row r="1349" spans="4:48">
      <c r="D1349" s="31"/>
      <c r="E1349" s="31"/>
      <c r="F1349" s="31"/>
      <c r="G1349" s="31"/>
      <c r="H1349" s="32"/>
      <c r="J1349" s="33"/>
      <c r="K1349" s="33"/>
      <c r="L1349" s="33"/>
      <c r="X1349" s="23"/>
      <c r="Y1349" s="23"/>
      <c r="Z1349" s="23"/>
      <c r="AA1349" s="23"/>
      <c r="AF1349" s="23"/>
      <c r="AG1349" s="23"/>
      <c r="AH1349" s="23"/>
      <c r="AI1349" s="23"/>
      <c r="AN1349" s="23"/>
      <c r="AO1349" s="23"/>
      <c r="AP1349" s="23"/>
      <c r="AQ1349" s="23"/>
      <c r="AR1349" s="35"/>
      <c r="AS1349" s="35"/>
      <c r="AT1349" s="35"/>
      <c r="AU1349" s="31"/>
      <c r="AV1349" s="36"/>
    </row>
    <row r="1350" spans="4:48">
      <c r="D1350" s="31"/>
      <c r="E1350" s="31"/>
      <c r="F1350" s="31"/>
      <c r="G1350" s="31"/>
      <c r="H1350" s="32"/>
      <c r="J1350" s="33"/>
      <c r="K1350" s="33"/>
      <c r="L1350" s="33"/>
      <c r="X1350" s="23"/>
      <c r="Y1350" s="23"/>
      <c r="Z1350" s="23"/>
      <c r="AA1350" s="23"/>
      <c r="AF1350" s="23"/>
      <c r="AG1350" s="23"/>
      <c r="AH1350" s="23"/>
      <c r="AI1350" s="23"/>
      <c r="AN1350" s="23"/>
      <c r="AO1350" s="23"/>
      <c r="AP1350" s="23"/>
      <c r="AQ1350" s="23"/>
      <c r="AR1350" s="35"/>
      <c r="AS1350" s="35"/>
      <c r="AT1350" s="35"/>
      <c r="AU1350" s="31"/>
      <c r="AV1350" s="36"/>
    </row>
    <row r="1351" spans="4:48">
      <c r="D1351" s="31"/>
      <c r="E1351" s="31"/>
      <c r="F1351" s="31"/>
      <c r="G1351" s="31"/>
      <c r="H1351" s="32"/>
      <c r="J1351" s="33"/>
      <c r="K1351" s="33"/>
      <c r="L1351" s="33"/>
      <c r="X1351" s="23"/>
      <c r="Y1351" s="23"/>
      <c r="Z1351" s="23"/>
      <c r="AA1351" s="23"/>
      <c r="AF1351" s="23"/>
      <c r="AG1351" s="23"/>
      <c r="AH1351" s="23"/>
      <c r="AI1351" s="23"/>
      <c r="AN1351" s="23"/>
      <c r="AO1351" s="23"/>
      <c r="AP1351" s="23"/>
      <c r="AQ1351" s="23"/>
      <c r="AR1351" s="35"/>
      <c r="AS1351" s="35"/>
      <c r="AT1351" s="35"/>
      <c r="AU1351" s="31"/>
      <c r="AV1351" s="36"/>
    </row>
    <row r="1352" spans="4:48">
      <c r="D1352" s="31"/>
      <c r="E1352" s="31"/>
      <c r="F1352" s="31"/>
      <c r="G1352" s="31"/>
      <c r="H1352" s="32"/>
      <c r="J1352" s="33"/>
      <c r="K1352" s="33"/>
      <c r="L1352" s="33"/>
      <c r="X1352" s="23"/>
      <c r="Y1352" s="23"/>
      <c r="Z1352" s="23"/>
      <c r="AA1352" s="23"/>
      <c r="AF1352" s="23"/>
      <c r="AG1352" s="23"/>
      <c r="AH1352" s="23"/>
      <c r="AI1352" s="23"/>
      <c r="AN1352" s="23"/>
      <c r="AO1352" s="23"/>
      <c r="AP1352" s="23"/>
      <c r="AQ1352" s="23"/>
      <c r="AR1352" s="35"/>
      <c r="AS1352" s="35"/>
      <c r="AT1352" s="35"/>
      <c r="AU1352" s="31"/>
      <c r="AV1352" s="36"/>
    </row>
    <row r="1353" spans="4:48">
      <c r="D1353" s="31"/>
      <c r="E1353" s="31"/>
      <c r="F1353" s="31"/>
      <c r="G1353" s="31"/>
      <c r="H1353" s="32"/>
      <c r="J1353" s="33"/>
      <c r="K1353" s="33"/>
      <c r="L1353" s="33"/>
      <c r="X1353" s="23"/>
      <c r="Y1353" s="23"/>
      <c r="Z1353" s="23"/>
      <c r="AA1353" s="23"/>
      <c r="AF1353" s="23"/>
      <c r="AG1353" s="23"/>
      <c r="AH1353" s="23"/>
      <c r="AI1353" s="23"/>
      <c r="AN1353" s="23"/>
      <c r="AO1353" s="23"/>
      <c r="AP1353" s="23"/>
      <c r="AQ1353" s="23"/>
      <c r="AR1353" s="35"/>
      <c r="AS1353" s="35"/>
      <c r="AT1353" s="35"/>
      <c r="AU1353" s="31"/>
      <c r="AV1353" s="36"/>
    </row>
    <row r="1354" spans="4:48">
      <c r="D1354" s="31"/>
      <c r="E1354" s="31"/>
      <c r="F1354" s="31"/>
      <c r="G1354" s="31"/>
      <c r="H1354" s="32"/>
      <c r="J1354" s="33"/>
      <c r="K1354" s="33"/>
      <c r="L1354" s="33"/>
      <c r="X1354" s="23"/>
      <c r="Y1354" s="23"/>
      <c r="Z1354" s="23"/>
      <c r="AA1354" s="23"/>
      <c r="AF1354" s="23"/>
      <c r="AG1354" s="23"/>
      <c r="AH1354" s="23"/>
      <c r="AI1354" s="23"/>
      <c r="AN1354" s="23"/>
      <c r="AO1354" s="23"/>
      <c r="AP1354" s="23"/>
      <c r="AQ1354" s="23"/>
      <c r="AR1354" s="35"/>
      <c r="AS1354" s="35"/>
      <c r="AT1354" s="35"/>
      <c r="AU1354" s="31"/>
      <c r="AV1354" s="36"/>
    </row>
    <row r="1355" spans="4:48">
      <c r="D1355" s="31"/>
      <c r="E1355" s="31"/>
      <c r="F1355" s="31"/>
      <c r="G1355" s="31"/>
      <c r="H1355" s="32"/>
      <c r="J1355" s="33"/>
      <c r="K1355" s="33"/>
      <c r="L1355" s="33"/>
      <c r="X1355" s="23"/>
      <c r="Y1355" s="23"/>
      <c r="Z1355" s="23"/>
      <c r="AA1355" s="23"/>
      <c r="AF1355" s="23"/>
      <c r="AG1355" s="23"/>
      <c r="AH1355" s="23"/>
      <c r="AI1355" s="23"/>
      <c r="AN1355" s="23"/>
      <c r="AO1355" s="23"/>
      <c r="AP1355" s="23"/>
      <c r="AQ1355" s="23"/>
      <c r="AR1355" s="35"/>
      <c r="AS1355" s="35"/>
      <c r="AT1355" s="35"/>
      <c r="AU1355" s="31"/>
      <c r="AV1355" s="36"/>
    </row>
    <row r="1356" spans="4:48">
      <c r="D1356" s="31"/>
      <c r="E1356" s="31"/>
      <c r="F1356" s="31"/>
      <c r="G1356" s="31"/>
      <c r="H1356" s="32"/>
      <c r="J1356" s="33"/>
      <c r="K1356" s="33"/>
      <c r="L1356" s="33"/>
      <c r="X1356" s="23"/>
      <c r="Y1356" s="23"/>
      <c r="Z1356" s="23"/>
      <c r="AA1356" s="23"/>
      <c r="AF1356" s="23"/>
      <c r="AG1356" s="23"/>
      <c r="AH1356" s="23"/>
      <c r="AI1356" s="23"/>
      <c r="AN1356" s="23"/>
      <c r="AO1356" s="23"/>
      <c r="AP1356" s="23"/>
      <c r="AQ1356" s="23"/>
      <c r="AR1356" s="35"/>
      <c r="AS1356" s="35"/>
      <c r="AT1356" s="35"/>
      <c r="AU1356" s="31"/>
      <c r="AV1356" s="36"/>
    </row>
    <row r="1357" spans="4:48">
      <c r="D1357" s="31"/>
      <c r="E1357" s="31"/>
      <c r="F1357" s="31"/>
      <c r="G1357" s="31"/>
      <c r="H1357" s="32"/>
      <c r="J1357" s="33"/>
      <c r="K1357" s="33"/>
      <c r="L1357" s="33"/>
      <c r="X1357" s="23"/>
      <c r="Y1357" s="23"/>
      <c r="Z1357" s="23"/>
      <c r="AA1357" s="23"/>
      <c r="AF1357" s="23"/>
      <c r="AG1357" s="23"/>
      <c r="AH1357" s="23"/>
      <c r="AI1357" s="23"/>
      <c r="AN1357" s="23"/>
      <c r="AO1357" s="23"/>
      <c r="AP1357" s="23"/>
      <c r="AQ1357" s="23"/>
      <c r="AR1357" s="35"/>
      <c r="AS1357" s="35"/>
      <c r="AT1357" s="35"/>
      <c r="AU1357" s="31"/>
      <c r="AV1357" s="36"/>
    </row>
    <row r="1358" spans="4:48">
      <c r="D1358" s="31"/>
      <c r="E1358" s="31"/>
      <c r="F1358" s="31"/>
      <c r="G1358" s="31"/>
      <c r="H1358" s="32"/>
      <c r="J1358" s="33"/>
      <c r="K1358" s="33"/>
      <c r="L1358" s="33"/>
      <c r="X1358" s="23"/>
      <c r="Y1358" s="23"/>
      <c r="Z1358" s="23"/>
      <c r="AA1358" s="23"/>
      <c r="AF1358" s="23"/>
      <c r="AG1358" s="23"/>
      <c r="AH1358" s="23"/>
      <c r="AI1358" s="23"/>
      <c r="AN1358" s="23"/>
      <c r="AO1358" s="23"/>
      <c r="AP1358" s="23"/>
      <c r="AQ1358" s="23"/>
      <c r="AR1358" s="35"/>
      <c r="AS1358" s="35"/>
      <c r="AT1358" s="35"/>
      <c r="AU1358" s="31"/>
      <c r="AV1358" s="36"/>
    </row>
    <row r="1359" spans="4:48">
      <c r="D1359" s="31"/>
      <c r="E1359" s="31"/>
      <c r="F1359" s="31"/>
      <c r="G1359" s="31"/>
      <c r="H1359" s="32"/>
      <c r="J1359" s="33"/>
      <c r="K1359" s="33"/>
      <c r="L1359" s="33"/>
      <c r="X1359" s="23"/>
      <c r="Y1359" s="23"/>
      <c r="Z1359" s="23"/>
      <c r="AA1359" s="23"/>
      <c r="AF1359" s="23"/>
      <c r="AG1359" s="23"/>
      <c r="AH1359" s="23"/>
      <c r="AI1359" s="23"/>
      <c r="AN1359" s="23"/>
      <c r="AO1359" s="23"/>
      <c r="AP1359" s="23"/>
      <c r="AQ1359" s="23"/>
      <c r="AR1359" s="35"/>
      <c r="AS1359" s="35"/>
      <c r="AT1359" s="35"/>
      <c r="AU1359" s="31"/>
      <c r="AV1359" s="36"/>
    </row>
    <row r="1360" spans="4:48">
      <c r="D1360" s="31"/>
      <c r="E1360" s="31"/>
      <c r="F1360" s="31"/>
      <c r="G1360" s="31"/>
      <c r="H1360" s="32"/>
      <c r="J1360" s="33"/>
      <c r="K1360" s="33"/>
      <c r="L1360" s="33"/>
      <c r="X1360" s="23"/>
      <c r="Y1360" s="23"/>
      <c r="Z1360" s="23"/>
      <c r="AA1360" s="23"/>
      <c r="AF1360" s="23"/>
      <c r="AG1360" s="23"/>
      <c r="AH1360" s="23"/>
      <c r="AI1360" s="23"/>
      <c r="AN1360" s="23"/>
      <c r="AO1360" s="23"/>
      <c r="AP1360" s="23"/>
      <c r="AQ1360" s="23"/>
      <c r="AR1360" s="35"/>
      <c r="AS1360" s="35"/>
      <c r="AT1360" s="35"/>
      <c r="AU1360" s="31"/>
      <c r="AV1360" s="36"/>
    </row>
    <row r="1361" spans="4:48">
      <c r="D1361" s="31"/>
      <c r="E1361" s="31"/>
      <c r="F1361" s="31"/>
      <c r="G1361" s="31"/>
      <c r="H1361" s="32"/>
      <c r="J1361" s="33"/>
      <c r="K1361" s="33"/>
      <c r="L1361" s="33"/>
      <c r="X1361" s="23"/>
      <c r="Y1361" s="23"/>
      <c r="Z1361" s="23"/>
      <c r="AA1361" s="23"/>
      <c r="AF1361" s="23"/>
      <c r="AG1361" s="23"/>
      <c r="AH1361" s="23"/>
      <c r="AI1361" s="23"/>
      <c r="AN1361" s="23"/>
      <c r="AO1361" s="23"/>
      <c r="AP1361" s="23"/>
      <c r="AQ1361" s="23"/>
      <c r="AR1361" s="35"/>
      <c r="AS1361" s="35"/>
      <c r="AT1361" s="35"/>
      <c r="AU1361" s="31"/>
      <c r="AV1361" s="36"/>
    </row>
    <row r="1362" spans="4:48">
      <c r="D1362" s="31"/>
      <c r="E1362" s="31"/>
      <c r="F1362" s="31"/>
      <c r="G1362" s="31"/>
      <c r="H1362" s="32"/>
      <c r="J1362" s="33"/>
      <c r="K1362" s="33"/>
      <c r="L1362" s="33"/>
      <c r="X1362" s="23"/>
      <c r="Y1362" s="23"/>
      <c r="Z1362" s="23"/>
      <c r="AA1362" s="23"/>
      <c r="AF1362" s="23"/>
      <c r="AG1362" s="23"/>
      <c r="AH1362" s="23"/>
      <c r="AI1362" s="23"/>
      <c r="AN1362" s="23"/>
      <c r="AO1362" s="23"/>
      <c r="AP1362" s="23"/>
      <c r="AQ1362" s="23"/>
      <c r="AR1362" s="35"/>
      <c r="AS1362" s="35"/>
      <c r="AT1362" s="35"/>
      <c r="AU1362" s="31"/>
      <c r="AV1362" s="36"/>
    </row>
    <row r="1363" spans="4:48">
      <c r="D1363" s="31"/>
      <c r="E1363" s="31"/>
      <c r="F1363" s="31"/>
      <c r="G1363" s="31"/>
      <c r="H1363" s="32"/>
      <c r="J1363" s="33"/>
      <c r="K1363" s="33"/>
      <c r="L1363" s="33"/>
      <c r="X1363" s="23"/>
      <c r="Y1363" s="23"/>
      <c r="Z1363" s="23"/>
      <c r="AA1363" s="23"/>
      <c r="AF1363" s="23"/>
      <c r="AG1363" s="23"/>
      <c r="AH1363" s="23"/>
      <c r="AI1363" s="23"/>
      <c r="AN1363" s="23"/>
      <c r="AO1363" s="23"/>
      <c r="AP1363" s="23"/>
      <c r="AQ1363" s="23"/>
      <c r="AR1363" s="35"/>
      <c r="AS1363" s="35"/>
      <c r="AT1363" s="35"/>
      <c r="AU1363" s="31"/>
      <c r="AV1363" s="36"/>
    </row>
    <row r="1364" spans="4:48">
      <c r="D1364" s="31"/>
      <c r="E1364" s="31"/>
      <c r="F1364" s="31"/>
      <c r="G1364" s="31"/>
      <c r="H1364" s="32"/>
      <c r="J1364" s="33"/>
      <c r="K1364" s="33"/>
      <c r="L1364" s="33"/>
      <c r="X1364" s="23"/>
      <c r="Y1364" s="23"/>
      <c r="Z1364" s="23"/>
      <c r="AA1364" s="23"/>
      <c r="AF1364" s="23"/>
      <c r="AG1364" s="23"/>
      <c r="AH1364" s="23"/>
      <c r="AI1364" s="23"/>
      <c r="AN1364" s="23"/>
      <c r="AO1364" s="23"/>
      <c r="AP1364" s="23"/>
      <c r="AQ1364" s="23"/>
      <c r="AR1364" s="35"/>
      <c r="AS1364" s="35"/>
      <c r="AT1364" s="35"/>
      <c r="AU1364" s="31"/>
      <c r="AV1364" s="36"/>
    </row>
    <row r="1365" spans="4:48">
      <c r="D1365" s="31"/>
      <c r="E1365" s="31"/>
      <c r="F1365" s="31"/>
      <c r="G1365" s="31"/>
      <c r="H1365" s="32"/>
      <c r="J1365" s="33"/>
      <c r="K1365" s="33"/>
      <c r="L1365" s="33"/>
      <c r="X1365" s="23"/>
      <c r="Y1365" s="23"/>
      <c r="Z1365" s="23"/>
      <c r="AA1365" s="23"/>
      <c r="AF1365" s="23"/>
      <c r="AG1365" s="23"/>
      <c r="AH1365" s="23"/>
      <c r="AI1365" s="23"/>
      <c r="AN1365" s="23"/>
      <c r="AO1365" s="23"/>
      <c r="AP1365" s="23"/>
      <c r="AQ1365" s="23"/>
      <c r="AR1365" s="35"/>
      <c r="AS1365" s="35"/>
      <c r="AT1365" s="35"/>
      <c r="AU1365" s="31"/>
      <c r="AV1365" s="36"/>
    </row>
    <row r="1366" spans="4:48">
      <c r="D1366" s="31"/>
      <c r="E1366" s="31"/>
      <c r="F1366" s="31"/>
      <c r="G1366" s="31"/>
      <c r="H1366" s="32"/>
      <c r="J1366" s="33"/>
      <c r="K1366" s="33"/>
      <c r="L1366" s="33"/>
      <c r="X1366" s="23"/>
      <c r="Y1366" s="23"/>
      <c r="Z1366" s="23"/>
      <c r="AA1366" s="23"/>
      <c r="AF1366" s="23"/>
      <c r="AG1366" s="23"/>
      <c r="AH1366" s="23"/>
      <c r="AI1366" s="23"/>
      <c r="AN1366" s="23"/>
      <c r="AO1366" s="23"/>
      <c r="AP1366" s="23"/>
      <c r="AQ1366" s="23"/>
      <c r="AR1366" s="35"/>
      <c r="AS1366" s="35"/>
      <c r="AT1366" s="35"/>
      <c r="AU1366" s="31"/>
      <c r="AV1366" s="36"/>
    </row>
    <row r="1367" spans="4:48">
      <c r="D1367" s="31"/>
      <c r="E1367" s="31"/>
      <c r="F1367" s="31"/>
      <c r="G1367" s="31"/>
      <c r="H1367" s="32"/>
      <c r="J1367" s="33"/>
      <c r="K1367" s="33"/>
      <c r="L1367" s="33"/>
      <c r="X1367" s="23"/>
      <c r="Y1367" s="23"/>
      <c r="Z1367" s="23"/>
      <c r="AA1367" s="23"/>
      <c r="AF1367" s="23"/>
      <c r="AG1367" s="23"/>
      <c r="AH1367" s="23"/>
      <c r="AI1367" s="23"/>
      <c r="AN1367" s="23"/>
      <c r="AO1367" s="23"/>
      <c r="AP1367" s="23"/>
      <c r="AQ1367" s="23"/>
      <c r="AR1367" s="35"/>
      <c r="AS1367" s="35"/>
      <c r="AT1367" s="35"/>
      <c r="AU1367" s="31"/>
      <c r="AV1367" s="36"/>
    </row>
    <row r="1368" spans="4:48">
      <c r="D1368" s="31"/>
      <c r="E1368" s="31"/>
      <c r="F1368" s="31"/>
      <c r="G1368" s="31"/>
      <c r="H1368" s="32"/>
      <c r="J1368" s="33"/>
      <c r="K1368" s="33"/>
      <c r="L1368" s="33"/>
      <c r="X1368" s="23"/>
      <c r="Y1368" s="23"/>
      <c r="Z1368" s="23"/>
      <c r="AA1368" s="23"/>
      <c r="AF1368" s="23"/>
      <c r="AG1368" s="23"/>
      <c r="AH1368" s="23"/>
      <c r="AI1368" s="23"/>
      <c r="AN1368" s="23"/>
      <c r="AO1368" s="23"/>
      <c r="AP1368" s="23"/>
      <c r="AQ1368" s="23"/>
      <c r="AR1368" s="35"/>
      <c r="AS1368" s="35"/>
      <c r="AT1368" s="35"/>
      <c r="AU1368" s="31"/>
      <c r="AV1368" s="36"/>
    </row>
    <row r="1369" spans="4:48">
      <c r="D1369" s="31"/>
      <c r="E1369" s="31"/>
      <c r="F1369" s="31"/>
      <c r="G1369" s="31"/>
      <c r="H1369" s="32"/>
      <c r="J1369" s="33"/>
      <c r="K1369" s="33"/>
      <c r="L1369" s="33"/>
      <c r="X1369" s="23"/>
      <c r="Y1369" s="23"/>
      <c r="Z1369" s="23"/>
      <c r="AA1369" s="23"/>
      <c r="AF1369" s="23"/>
      <c r="AG1369" s="23"/>
      <c r="AH1369" s="23"/>
      <c r="AI1369" s="23"/>
      <c r="AN1369" s="23"/>
      <c r="AO1369" s="23"/>
      <c r="AP1369" s="23"/>
      <c r="AQ1369" s="23"/>
      <c r="AR1369" s="35"/>
      <c r="AS1369" s="35"/>
      <c r="AT1369" s="35"/>
      <c r="AU1369" s="31"/>
      <c r="AV1369" s="36"/>
    </row>
    <row r="1370" spans="4:48">
      <c r="D1370" s="31"/>
      <c r="E1370" s="31"/>
      <c r="F1370" s="31"/>
      <c r="G1370" s="31"/>
      <c r="H1370" s="32"/>
      <c r="J1370" s="33"/>
      <c r="K1370" s="33"/>
      <c r="L1370" s="33"/>
      <c r="X1370" s="23"/>
      <c r="Y1370" s="23"/>
      <c r="Z1370" s="23"/>
      <c r="AA1370" s="23"/>
      <c r="AF1370" s="23"/>
      <c r="AG1370" s="23"/>
      <c r="AH1370" s="23"/>
      <c r="AI1370" s="23"/>
      <c r="AN1370" s="23"/>
      <c r="AO1370" s="23"/>
      <c r="AP1370" s="23"/>
      <c r="AQ1370" s="23"/>
      <c r="AR1370" s="35"/>
      <c r="AS1370" s="35"/>
      <c r="AT1370" s="35"/>
      <c r="AU1370" s="31"/>
      <c r="AV1370" s="36"/>
    </row>
    <row r="1371" spans="4:48">
      <c r="D1371" s="31"/>
      <c r="E1371" s="31"/>
      <c r="F1371" s="31"/>
      <c r="G1371" s="31"/>
      <c r="H1371" s="32"/>
      <c r="J1371" s="33"/>
      <c r="K1371" s="33"/>
      <c r="L1371" s="33"/>
      <c r="X1371" s="23"/>
      <c r="Y1371" s="23"/>
      <c r="Z1371" s="23"/>
      <c r="AA1371" s="23"/>
      <c r="AF1371" s="23"/>
      <c r="AG1371" s="23"/>
      <c r="AH1371" s="23"/>
      <c r="AI1371" s="23"/>
      <c r="AN1371" s="23"/>
      <c r="AO1371" s="23"/>
      <c r="AP1371" s="23"/>
      <c r="AQ1371" s="23"/>
      <c r="AR1371" s="35"/>
      <c r="AS1371" s="35"/>
      <c r="AT1371" s="35"/>
      <c r="AU1371" s="31"/>
      <c r="AV1371" s="36"/>
    </row>
    <row r="1372" spans="4:48">
      <c r="D1372" s="31"/>
      <c r="E1372" s="31"/>
      <c r="F1372" s="31"/>
      <c r="G1372" s="31"/>
      <c r="H1372" s="32"/>
      <c r="J1372" s="33"/>
      <c r="K1372" s="33"/>
      <c r="L1372" s="33"/>
      <c r="X1372" s="23"/>
      <c r="Y1372" s="23"/>
      <c r="Z1372" s="23"/>
      <c r="AA1372" s="23"/>
      <c r="AF1372" s="23"/>
      <c r="AG1372" s="23"/>
      <c r="AH1372" s="23"/>
      <c r="AI1372" s="23"/>
      <c r="AN1372" s="23"/>
      <c r="AO1372" s="23"/>
      <c r="AP1372" s="23"/>
      <c r="AQ1372" s="23"/>
      <c r="AR1372" s="35"/>
      <c r="AS1372" s="35"/>
      <c r="AT1372" s="35"/>
      <c r="AU1372" s="31"/>
      <c r="AV1372" s="36"/>
    </row>
    <row r="1373" spans="4:48">
      <c r="D1373" s="31"/>
      <c r="E1373" s="31"/>
      <c r="F1373" s="31"/>
      <c r="G1373" s="31"/>
      <c r="H1373" s="32"/>
      <c r="J1373" s="33"/>
      <c r="K1373" s="33"/>
      <c r="L1373" s="33"/>
      <c r="X1373" s="23"/>
      <c r="Y1373" s="23"/>
      <c r="Z1373" s="23"/>
      <c r="AA1373" s="23"/>
      <c r="AF1373" s="23"/>
      <c r="AG1373" s="23"/>
      <c r="AH1373" s="23"/>
      <c r="AI1373" s="23"/>
      <c r="AN1373" s="23"/>
      <c r="AO1373" s="23"/>
      <c r="AP1373" s="23"/>
      <c r="AQ1373" s="23"/>
      <c r="AR1373" s="35"/>
      <c r="AS1373" s="35"/>
      <c r="AT1373" s="35"/>
      <c r="AU1373" s="31"/>
      <c r="AV1373" s="36"/>
    </row>
    <row r="1374" spans="4:48">
      <c r="D1374" s="31"/>
      <c r="E1374" s="31"/>
      <c r="F1374" s="31"/>
      <c r="G1374" s="31"/>
      <c r="H1374" s="32"/>
      <c r="J1374" s="33"/>
      <c r="K1374" s="33"/>
      <c r="L1374" s="33"/>
      <c r="X1374" s="23"/>
      <c r="Y1374" s="23"/>
      <c r="Z1374" s="23"/>
      <c r="AA1374" s="23"/>
      <c r="AF1374" s="23"/>
      <c r="AG1374" s="23"/>
      <c r="AH1374" s="23"/>
      <c r="AI1374" s="23"/>
      <c r="AN1374" s="23"/>
      <c r="AO1374" s="23"/>
      <c r="AP1374" s="23"/>
      <c r="AQ1374" s="23"/>
      <c r="AR1374" s="35"/>
      <c r="AS1374" s="35"/>
      <c r="AT1374" s="35"/>
      <c r="AU1374" s="31"/>
      <c r="AV1374" s="36"/>
    </row>
    <row r="1375" spans="4:48">
      <c r="D1375" s="31"/>
      <c r="E1375" s="31"/>
      <c r="F1375" s="31"/>
      <c r="G1375" s="31"/>
      <c r="H1375" s="32"/>
      <c r="J1375" s="33"/>
      <c r="K1375" s="33"/>
      <c r="L1375" s="33"/>
      <c r="X1375" s="23"/>
      <c r="Y1375" s="23"/>
      <c r="Z1375" s="23"/>
      <c r="AA1375" s="23"/>
      <c r="AF1375" s="23"/>
      <c r="AG1375" s="23"/>
      <c r="AH1375" s="23"/>
      <c r="AI1375" s="23"/>
      <c r="AN1375" s="23"/>
      <c r="AO1375" s="23"/>
      <c r="AP1375" s="23"/>
      <c r="AQ1375" s="23"/>
      <c r="AR1375" s="35"/>
      <c r="AS1375" s="35"/>
      <c r="AT1375" s="35"/>
      <c r="AU1375" s="31"/>
      <c r="AV1375" s="36"/>
    </row>
    <row r="1376" spans="4:48">
      <c r="D1376" s="31"/>
      <c r="E1376" s="31"/>
      <c r="F1376" s="31"/>
      <c r="G1376" s="31"/>
      <c r="H1376" s="32"/>
      <c r="J1376" s="33"/>
      <c r="K1376" s="33"/>
      <c r="L1376" s="33"/>
      <c r="X1376" s="23"/>
      <c r="Y1376" s="23"/>
      <c r="Z1376" s="23"/>
      <c r="AA1376" s="23"/>
      <c r="AF1376" s="23"/>
      <c r="AG1376" s="23"/>
      <c r="AH1376" s="23"/>
      <c r="AI1376" s="23"/>
      <c r="AN1376" s="23"/>
      <c r="AO1376" s="23"/>
      <c r="AP1376" s="23"/>
      <c r="AQ1376" s="23"/>
      <c r="AR1376" s="35"/>
      <c r="AS1376" s="35"/>
      <c r="AT1376" s="35"/>
      <c r="AU1376" s="31"/>
      <c r="AV1376" s="36"/>
    </row>
    <row r="1377" spans="4:48">
      <c r="D1377" s="31"/>
      <c r="E1377" s="31"/>
      <c r="F1377" s="31"/>
      <c r="G1377" s="31"/>
      <c r="H1377" s="32"/>
      <c r="J1377" s="33"/>
      <c r="K1377" s="33"/>
      <c r="L1377" s="33"/>
      <c r="X1377" s="23"/>
      <c r="Y1377" s="23"/>
      <c r="Z1377" s="23"/>
      <c r="AA1377" s="23"/>
      <c r="AF1377" s="23"/>
      <c r="AG1377" s="23"/>
      <c r="AH1377" s="23"/>
      <c r="AI1377" s="23"/>
      <c r="AN1377" s="23"/>
      <c r="AO1377" s="23"/>
      <c r="AP1377" s="23"/>
      <c r="AQ1377" s="23"/>
      <c r="AR1377" s="35"/>
      <c r="AS1377" s="35"/>
      <c r="AT1377" s="35"/>
      <c r="AU1377" s="31"/>
      <c r="AV1377" s="36"/>
    </row>
    <row r="1378" spans="4:48">
      <c r="D1378" s="31"/>
      <c r="E1378" s="31"/>
      <c r="F1378" s="31"/>
      <c r="G1378" s="31"/>
      <c r="H1378" s="32"/>
      <c r="J1378" s="33"/>
      <c r="K1378" s="33"/>
      <c r="L1378" s="33"/>
      <c r="X1378" s="23"/>
      <c r="Y1378" s="23"/>
      <c r="Z1378" s="23"/>
      <c r="AA1378" s="23"/>
      <c r="AF1378" s="23"/>
      <c r="AG1378" s="23"/>
      <c r="AH1378" s="23"/>
      <c r="AI1378" s="23"/>
      <c r="AN1378" s="23"/>
      <c r="AO1378" s="23"/>
      <c r="AP1378" s="23"/>
      <c r="AQ1378" s="23"/>
      <c r="AR1378" s="35"/>
      <c r="AS1378" s="35"/>
      <c r="AT1378" s="35"/>
      <c r="AU1378" s="31"/>
      <c r="AV1378" s="36"/>
    </row>
    <row r="1379" spans="4:48">
      <c r="D1379" s="31"/>
      <c r="E1379" s="31"/>
      <c r="F1379" s="31"/>
      <c r="G1379" s="31"/>
      <c r="H1379" s="32"/>
      <c r="J1379" s="33"/>
      <c r="K1379" s="33"/>
      <c r="L1379" s="33"/>
      <c r="X1379" s="23"/>
      <c r="Y1379" s="23"/>
      <c r="Z1379" s="23"/>
      <c r="AA1379" s="23"/>
      <c r="AF1379" s="23"/>
      <c r="AG1379" s="23"/>
      <c r="AH1379" s="23"/>
      <c r="AI1379" s="23"/>
      <c r="AN1379" s="23"/>
      <c r="AO1379" s="23"/>
      <c r="AP1379" s="23"/>
      <c r="AQ1379" s="23"/>
      <c r="AR1379" s="35"/>
      <c r="AS1379" s="35"/>
      <c r="AT1379" s="35"/>
      <c r="AU1379" s="31"/>
      <c r="AV1379" s="36"/>
    </row>
    <row r="1380" spans="4:48">
      <c r="D1380" s="31"/>
      <c r="E1380" s="31"/>
      <c r="F1380" s="31"/>
      <c r="G1380" s="31"/>
      <c r="H1380" s="32"/>
      <c r="J1380" s="33"/>
      <c r="K1380" s="33"/>
      <c r="L1380" s="33"/>
      <c r="X1380" s="23"/>
      <c r="Y1380" s="23"/>
      <c r="Z1380" s="23"/>
      <c r="AA1380" s="23"/>
      <c r="AF1380" s="23"/>
      <c r="AG1380" s="23"/>
      <c r="AH1380" s="23"/>
      <c r="AI1380" s="23"/>
      <c r="AN1380" s="23"/>
      <c r="AO1380" s="23"/>
      <c r="AP1380" s="23"/>
      <c r="AQ1380" s="23"/>
      <c r="AR1380" s="35"/>
      <c r="AS1380" s="35"/>
      <c r="AT1380" s="35"/>
      <c r="AU1380" s="31"/>
      <c r="AV1380" s="36"/>
    </row>
    <row r="1381" spans="4:48">
      <c r="D1381" s="31"/>
      <c r="E1381" s="31"/>
      <c r="F1381" s="31"/>
      <c r="G1381" s="31"/>
      <c r="H1381" s="32"/>
      <c r="J1381" s="33"/>
      <c r="K1381" s="33"/>
      <c r="L1381" s="33"/>
      <c r="X1381" s="23"/>
      <c r="Y1381" s="23"/>
      <c r="Z1381" s="23"/>
      <c r="AA1381" s="23"/>
      <c r="AF1381" s="23"/>
      <c r="AG1381" s="23"/>
      <c r="AH1381" s="23"/>
      <c r="AI1381" s="23"/>
      <c r="AN1381" s="23"/>
      <c r="AO1381" s="23"/>
      <c r="AP1381" s="23"/>
      <c r="AQ1381" s="23"/>
      <c r="AR1381" s="35"/>
      <c r="AS1381" s="35"/>
      <c r="AT1381" s="35"/>
      <c r="AU1381" s="31"/>
      <c r="AV1381" s="36"/>
    </row>
    <row r="1382" spans="4:48">
      <c r="D1382" s="31"/>
      <c r="E1382" s="31"/>
      <c r="F1382" s="31"/>
      <c r="G1382" s="31"/>
      <c r="H1382" s="32"/>
      <c r="J1382" s="33"/>
      <c r="K1382" s="33"/>
      <c r="L1382" s="33"/>
      <c r="X1382" s="23"/>
      <c r="Y1382" s="23"/>
      <c r="Z1382" s="23"/>
      <c r="AA1382" s="23"/>
      <c r="AF1382" s="23"/>
      <c r="AG1382" s="23"/>
      <c r="AH1382" s="23"/>
      <c r="AI1382" s="23"/>
      <c r="AN1382" s="23"/>
      <c r="AO1382" s="23"/>
      <c r="AP1382" s="23"/>
      <c r="AQ1382" s="23"/>
      <c r="AR1382" s="35"/>
      <c r="AS1382" s="35"/>
      <c r="AT1382" s="35"/>
      <c r="AU1382" s="31"/>
      <c r="AV1382" s="36"/>
    </row>
    <row r="1383" spans="4:48">
      <c r="D1383" s="31"/>
      <c r="E1383" s="31"/>
      <c r="F1383" s="31"/>
      <c r="G1383" s="31"/>
      <c r="H1383" s="32"/>
      <c r="J1383" s="33"/>
      <c r="K1383" s="33"/>
      <c r="L1383" s="33"/>
      <c r="X1383" s="23"/>
      <c r="Y1383" s="23"/>
      <c r="Z1383" s="23"/>
      <c r="AA1383" s="23"/>
      <c r="AF1383" s="23"/>
      <c r="AG1383" s="23"/>
      <c r="AH1383" s="23"/>
      <c r="AI1383" s="23"/>
      <c r="AN1383" s="23"/>
      <c r="AO1383" s="23"/>
      <c r="AP1383" s="23"/>
      <c r="AQ1383" s="23"/>
      <c r="AR1383" s="35"/>
      <c r="AS1383" s="35"/>
      <c r="AT1383" s="35"/>
      <c r="AU1383" s="31"/>
      <c r="AV1383" s="36"/>
    </row>
    <row r="1384" spans="4:48">
      <c r="D1384" s="31"/>
      <c r="E1384" s="31"/>
      <c r="F1384" s="31"/>
      <c r="G1384" s="31"/>
      <c r="H1384" s="32"/>
      <c r="J1384" s="33"/>
      <c r="K1384" s="33"/>
      <c r="L1384" s="33"/>
      <c r="X1384" s="23"/>
      <c r="Y1384" s="23"/>
      <c r="Z1384" s="23"/>
      <c r="AA1384" s="23"/>
      <c r="AF1384" s="23"/>
      <c r="AG1384" s="23"/>
      <c r="AH1384" s="23"/>
      <c r="AI1384" s="23"/>
      <c r="AN1384" s="23"/>
      <c r="AO1384" s="23"/>
      <c r="AP1384" s="23"/>
      <c r="AQ1384" s="23"/>
      <c r="AR1384" s="35"/>
      <c r="AS1384" s="35"/>
      <c r="AT1384" s="35"/>
      <c r="AU1384" s="31"/>
      <c r="AV1384" s="36"/>
    </row>
    <row r="1385" spans="4:48">
      <c r="D1385" s="31"/>
      <c r="E1385" s="31"/>
      <c r="F1385" s="31"/>
      <c r="G1385" s="31"/>
      <c r="H1385" s="32"/>
      <c r="J1385" s="33"/>
      <c r="K1385" s="33"/>
      <c r="L1385" s="33"/>
      <c r="X1385" s="23"/>
      <c r="Y1385" s="23"/>
      <c r="Z1385" s="23"/>
      <c r="AA1385" s="23"/>
      <c r="AF1385" s="23"/>
      <c r="AG1385" s="23"/>
      <c r="AH1385" s="23"/>
      <c r="AI1385" s="23"/>
      <c r="AN1385" s="23"/>
      <c r="AO1385" s="23"/>
      <c r="AP1385" s="23"/>
      <c r="AQ1385" s="23"/>
      <c r="AR1385" s="35"/>
      <c r="AS1385" s="35"/>
      <c r="AT1385" s="35"/>
      <c r="AU1385" s="31"/>
      <c r="AV1385" s="36"/>
    </row>
    <row r="1386" spans="4:48">
      <c r="D1386" s="31"/>
      <c r="E1386" s="31"/>
      <c r="F1386" s="31"/>
      <c r="G1386" s="31"/>
      <c r="H1386" s="32"/>
      <c r="J1386" s="33"/>
      <c r="K1386" s="33"/>
      <c r="L1386" s="33"/>
      <c r="X1386" s="23"/>
      <c r="Y1386" s="23"/>
      <c r="Z1386" s="23"/>
      <c r="AA1386" s="23"/>
      <c r="AF1386" s="23"/>
      <c r="AG1386" s="23"/>
      <c r="AH1386" s="23"/>
      <c r="AI1386" s="23"/>
      <c r="AN1386" s="23"/>
      <c r="AO1386" s="23"/>
      <c r="AP1386" s="23"/>
      <c r="AQ1386" s="23"/>
      <c r="AR1386" s="35"/>
      <c r="AS1386" s="35"/>
      <c r="AT1386" s="35"/>
      <c r="AU1386" s="31"/>
      <c r="AV1386" s="36"/>
    </row>
    <row r="1387" spans="4:48">
      <c r="D1387" s="31"/>
      <c r="E1387" s="31"/>
      <c r="F1387" s="31"/>
      <c r="G1387" s="31"/>
      <c r="H1387" s="32"/>
      <c r="J1387" s="33"/>
      <c r="K1387" s="33"/>
      <c r="L1387" s="33"/>
      <c r="X1387" s="23"/>
      <c r="Y1387" s="23"/>
      <c r="Z1387" s="23"/>
      <c r="AA1387" s="23"/>
      <c r="AF1387" s="23"/>
      <c r="AG1387" s="23"/>
      <c r="AH1387" s="23"/>
      <c r="AI1387" s="23"/>
      <c r="AN1387" s="23"/>
      <c r="AO1387" s="23"/>
      <c r="AP1387" s="23"/>
      <c r="AQ1387" s="23"/>
      <c r="AR1387" s="35"/>
      <c r="AS1387" s="35"/>
      <c r="AT1387" s="35"/>
      <c r="AU1387" s="31"/>
      <c r="AV1387" s="36"/>
    </row>
    <row r="1388" spans="4:48">
      <c r="D1388" s="31"/>
      <c r="E1388" s="31"/>
      <c r="F1388" s="31"/>
      <c r="G1388" s="31"/>
      <c r="H1388" s="32"/>
      <c r="J1388" s="33"/>
      <c r="K1388" s="33"/>
      <c r="L1388" s="33"/>
      <c r="X1388" s="23"/>
      <c r="Y1388" s="23"/>
      <c r="Z1388" s="23"/>
      <c r="AA1388" s="23"/>
      <c r="AF1388" s="23"/>
      <c r="AG1388" s="23"/>
      <c r="AH1388" s="23"/>
      <c r="AI1388" s="23"/>
      <c r="AN1388" s="23"/>
      <c r="AO1388" s="23"/>
      <c r="AP1388" s="23"/>
      <c r="AQ1388" s="23"/>
      <c r="AR1388" s="35"/>
      <c r="AS1388" s="35"/>
      <c r="AT1388" s="35"/>
      <c r="AU1388" s="31"/>
      <c r="AV1388" s="36"/>
    </row>
    <row r="1389" spans="4:48">
      <c r="D1389" s="31"/>
      <c r="E1389" s="31"/>
      <c r="F1389" s="31"/>
      <c r="G1389" s="31"/>
      <c r="H1389" s="32"/>
      <c r="J1389" s="33"/>
      <c r="K1389" s="33"/>
      <c r="L1389" s="33"/>
      <c r="X1389" s="23"/>
      <c r="Y1389" s="23"/>
      <c r="Z1389" s="23"/>
      <c r="AA1389" s="23"/>
      <c r="AF1389" s="23"/>
      <c r="AG1389" s="23"/>
      <c r="AH1389" s="23"/>
      <c r="AI1389" s="23"/>
      <c r="AN1389" s="23"/>
      <c r="AO1389" s="23"/>
      <c r="AP1389" s="23"/>
      <c r="AQ1389" s="23"/>
      <c r="AR1389" s="35"/>
      <c r="AS1389" s="35"/>
      <c r="AT1389" s="35"/>
      <c r="AU1389" s="31"/>
      <c r="AV1389" s="36"/>
    </row>
    <row r="1390" spans="4:48">
      <c r="D1390" s="31"/>
      <c r="E1390" s="31"/>
      <c r="F1390" s="31"/>
      <c r="G1390" s="31"/>
      <c r="H1390" s="32"/>
      <c r="J1390" s="33"/>
      <c r="K1390" s="33"/>
      <c r="L1390" s="33"/>
      <c r="X1390" s="23"/>
      <c r="Y1390" s="23"/>
      <c r="Z1390" s="23"/>
      <c r="AA1390" s="23"/>
      <c r="AF1390" s="23"/>
      <c r="AG1390" s="23"/>
      <c r="AH1390" s="23"/>
      <c r="AI1390" s="23"/>
      <c r="AN1390" s="23"/>
      <c r="AO1390" s="23"/>
      <c r="AP1390" s="23"/>
      <c r="AQ1390" s="23"/>
      <c r="AR1390" s="35"/>
      <c r="AS1390" s="35"/>
      <c r="AT1390" s="35"/>
      <c r="AU1390" s="31"/>
      <c r="AV1390" s="36"/>
    </row>
    <row r="1391" spans="4:48">
      <c r="D1391" s="31"/>
      <c r="E1391" s="31"/>
      <c r="F1391" s="31"/>
      <c r="G1391" s="31"/>
      <c r="H1391" s="32"/>
      <c r="J1391" s="33"/>
      <c r="K1391" s="33"/>
      <c r="L1391" s="33"/>
      <c r="X1391" s="23"/>
      <c r="Y1391" s="23"/>
      <c r="Z1391" s="23"/>
      <c r="AA1391" s="23"/>
      <c r="AF1391" s="23"/>
      <c r="AG1391" s="23"/>
      <c r="AH1391" s="23"/>
      <c r="AI1391" s="23"/>
      <c r="AN1391" s="23"/>
      <c r="AO1391" s="23"/>
      <c r="AP1391" s="23"/>
      <c r="AQ1391" s="23"/>
      <c r="AR1391" s="35"/>
      <c r="AS1391" s="35"/>
      <c r="AT1391" s="35"/>
      <c r="AU1391" s="31"/>
      <c r="AV1391" s="36"/>
    </row>
    <row r="1392" spans="4:48">
      <c r="D1392" s="31"/>
      <c r="E1392" s="31"/>
      <c r="F1392" s="31"/>
      <c r="G1392" s="31"/>
      <c r="H1392" s="32"/>
      <c r="J1392" s="33"/>
      <c r="K1392" s="33"/>
      <c r="L1392" s="33"/>
      <c r="X1392" s="23"/>
      <c r="Y1392" s="23"/>
      <c r="Z1392" s="23"/>
      <c r="AA1392" s="23"/>
      <c r="AF1392" s="23"/>
      <c r="AG1392" s="23"/>
      <c r="AH1392" s="23"/>
      <c r="AI1392" s="23"/>
      <c r="AN1392" s="23"/>
      <c r="AO1392" s="23"/>
      <c r="AP1392" s="23"/>
      <c r="AQ1392" s="23"/>
      <c r="AR1392" s="35"/>
      <c r="AS1392" s="35"/>
      <c r="AT1392" s="35"/>
      <c r="AU1392" s="31"/>
      <c r="AV1392" s="36"/>
    </row>
    <row r="1393" spans="4:48">
      <c r="D1393" s="31"/>
      <c r="E1393" s="31"/>
      <c r="F1393" s="31"/>
      <c r="G1393" s="31"/>
      <c r="H1393" s="32"/>
      <c r="J1393" s="33"/>
      <c r="K1393" s="33"/>
      <c r="L1393" s="33"/>
      <c r="X1393" s="23"/>
      <c r="Y1393" s="23"/>
      <c r="Z1393" s="23"/>
      <c r="AA1393" s="23"/>
      <c r="AF1393" s="23"/>
      <c r="AG1393" s="23"/>
      <c r="AH1393" s="23"/>
      <c r="AI1393" s="23"/>
      <c r="AN1393" s="23"/>
      <c r="AO1393" s="23"/>
      <c r="AP1393" s="23"/>
      <c r="AQ1393" s="23"/>
      <c r="AR1393" s="35"/>
      <c r="AS1393" s="35"/>
      <c r="AT1393" s="35"/>
      <c r="AU1393" s="31"/>
      <c r="AV1393" s="36"/>
    </row>
    <row r="1394" spans="4:48">
      <c r="D1394" s="31"/>
      <c r="E1394" s="31"/>
      <c r="F1394" s="31"/>
      <c r="G1394" s="31"/>
      <c r="H1394" s="32"/>
      <c r="J1394" s="33"/>
      <c r="K1394" s="33"/>
      <c r="L1394" s="33"/>
      <c r="X1394" s="23"/>
      <c r="Y1394" s="23"/>
      <c r="Z1394" s="23"/>
      <c r="AA1394" s="23"/>
      <c r="AF1394" s="23"/>
      <c r="AG1394" s="23"/>
      <c r="AH1394" s="23"/>
      <c r="AI1394" s="23"/>
      <c r="AN1394" s="23"/>
      <c r="AO1394" s="23"/>
      <c r="AP1394" s="23"/>
      <c r="AQ1394" s="23"/>
      <c r="AR1394" s="35"/>
      <c r="AS1394" s="35"/>
      <c r="AT1394" s="35"/>
      <c r="AU1394" s="31"/>
      <c r="AV1394" s="36"/>
    </row>
    <row r="1395" spans="4:48">
      <c r="D1395" s="31"/>
      <c r="E1395" s="31"/>
      <c r="F1395" s="31"/>
      <c r="G1395" s="31"/>
      <c r="H1395" s="32"/>
      <c r="J1395" s="33"/>
      <c r="K1395" s="33"/>
      <c r="L1395" s="33"/>
      <c r="X1395" s="23"/>
      <c r="Y1395" s="23"/>
      <c r="Z1395" s="23"/>
      <c r="AA1395" s="23"/>
      <c r="AF1395" s="23"/>
      <c r="AG1395" s="23"/>
      <c r="AH1395" s="23"/>
      <c r="AI1395" s="23"/>
      <c r="AN1395" s="23"/>
      <c r="AO1395" s="23"/>
      <c r="AP1395" s="23"/>
      <c r="AQ1395" s="23"/>
      <c r="AR1395" s="35"/>
      <c r="AS1395" s="35"/>
      <c r="AT1395" s="35"/>
      <c r="AU1395" s="31"/>
      <c r="AV1395" s="36"/>
    </row>
    <row r="1396" spans="4:48">
      <c r="D1396" s="31"/>
      <c r="E1396" s="31"/>
      <c r="F1396" s="31"/>
      <c r="G1396" s="31"/>
      <c r="H1396" s="32"/>
      <c r="J1396" s="33"/>
      <c r="K1396" s="33"/>
      <c r="L1396" s="33"/>
      <c r="X1396" s="23"/>
      <c r="Y1396" s="23"/>
      <c r="Z1396" s="23"/>
      <c r="AA1396" s="23"/>
      <c r="AF1396" s="23"/>
      <c r="AG1396" s="23"/>
      <c r="AH1396" s="23"/>
      <c r="AI1396" s="23"/>
      <c r="AN1396" s="23"/>
      <c r="AO1396" s="23"/>
      <c r="AP1396" s="23"/>
      <c r="AQ1396" s="23"/>
      <c r="AR1396" s="35"/>
      <c r="AS1396" s="35"/>
      <c r="AT1396" s="35"/>
      <c r="AU1396" s="31"/>
      <c r="AV1396" s="36"/>
    </row>
    <row r="1397" spans="4:48">
      <c r="D1397" s="31"/>
      <c r="E1397" s="31"/>
      <c r="F1397" s="31"/>
      <c r="G1397" s="31"/>
      <c r="H1397" s="32"/>
      <c r="J1397" s="33"/>
      <c r="K1397" s="33"/>
      <c r="L1397" s="33"/>
      <c r="X1397" s="23"/>
      <c r="Y1397" s="23"/>
      <c r="Z1397" s="23"/>
      <c r="AA1397" s="23"/>
      <c r="AF1397" s="23"/>
      <c r="AG1397" s="23"/>
      <c r="AH1397" s="23"/>
      <c r="AI1397" s="23"/>
      <c r="AN1397" s="23"/>
      <c r="AO1397" s="23"/>
      <c r="AP1397" s="23"/>
      <c r="AQ1397" s="23"/>
      <c r="AR1397" s="35"/>
      <c r="AS1397" s="35"/>
      <c r="AT1397" s="35"/>
      <c r="AU1397" s="31"/>
      <c r="AV1397" s="36"/>
    </row>
    <row r="1398" spans="4:48">
      <c r="D1398" s="31"/>
      <c r="E1398" s="31"/>
      <c r="F1398" s="31"/>
      <c r="G1398" s="31"/>
      <c r="H1398" s="32"/>
      <c r="J1398" s="33"/>
      <c r="K1398" s="33"/>
      <c r="L1398" s="33"/>
      <c r="X1398" s="23"/>
      <c r="Y1398" s="23"/>
      <c r="Z1398" s="23"/>
      <c r="AA1398" s="23"/>
      <c r="AF1398" s="23"/>
      <c r="AG1398" s="23"/>
      <c r="AH1398" s="23"/>
      <c r="AI1398" s="23"/>
      <c r="AN1398" s="23"/>
      <c r="AO1398" s="23"/>
      <c r="AP1398" s="23"/>
      <c r="AQ1398" s="23"/>
      <c r="AR1398" s="35"/>
      <c r="AS1398" s="35"/>
      <c r="AT1398" s="35"/>
      <c r="AU1398" s="31"/>
      <c r="AV1398" s="36"/>
    </row>
    <row r="1399" spans="4:48">
      <c r="D1399" s="31"/>
      <c r="E1399" s="31"/>
      <c r="F1399" s="31"/>
      <c r="G1399" s="31"/>
      <c r="H1399" s="32"/>
      <c r="J1399" s="33"/>
      <c r="K1399" s="33"/>
      <c r="L1399" s="33"/>
      <c r="X1399" s="23"/>
      <c r="Y1399" s="23"/>
      <c r="Z1399" s="23"/>
      <c r="AA1399" s="23"/>
      <c r="AF1399" s="23"/>
      <c r="AG1399" s="23"/>
      <c r="AH1399" s="23"/>
      <c r="AI1399" s="23"/>
      <c r="AN1399" s="23"/>
      <c r="AO1399" s="23"/>
      <c r="AP1399" s="23"/>
      <c r="AQ1399" s="23"/>
      <c r="AR1399" s="35"/>
      <c r="AS1399" s="35"/>
      <c r="AT1399" s="35"/>
      <c r="AU1399" s="31"/>
      <c r="AV1399" s="36"/>
    </row>
    <row r="1400" spans="4:48">
      <c r="D1400" s="31"/>
      <c r="E1400" s="31"/>
      <c r="F1400" s="31"/>
      <c r="G1400" s="31"/>
      <c r="H1400" s="32"/>
      <c r="J1400" s="33"/>
      <c r="K1400" s="33"/>
      <c r="L1400" s="33"/>
      <c r="X1400" s="23"/>
      <c r="Y1400" s="23"/>
      <c r="Z1400" s="23"/>
      <c r="AA1400" s="23"/>
      <c r="AF1400" s="23"/>
      <c r="AG1400" s="23"/>
      <c r="AH1400" s="23"/>
      <c r="AI1400" s="23"/>
      <c r="AN1400" s="23"/>
      <c r="AO1400" s="23"/>
      <c r="AP1400" s="23"/>
      <c r="AQ1400" s="23"/>
      <c r="AR1400" s="35"/>
      <c r="AS1400" s="35"/>
      <c r="AT1400" s="35"/>
      <c r="AU1400" s="31"/>
      <c r="AV1400" s="36"/>
    </row>
    <row r="1401" spans="4:48">
      <c r="D1401" s="31"/>
      <c r="E1401" s="31"/>
      <c r="F1401" s="31"/>
      <c r="G1401" s="31"/>
      <c r="H1401" s="32"/>
      <c r="J1401" s="33"/>
      <c r="K1401" s="33"/>
      <c r="L1401" s="33"/>
      <c r="X1401" s="23"/>
      <c r="Y1401" s="23"/>
      <c r="Z1401" s="23"/>
      <c r="AA1401" s="23"/>
      <c r="AF1401" s="23"/>
      <c r="AG1401" s="23"/>
      <c r="AH1401" s="23"/>
      <c r="AI1401" s="23"/>
      <c r="AN1401" s="23"/>
      <c r="AO1401" s="23"/>
      <c r="AP1401" s="23"/>
      <c r="AQ1401" s="23"/>
      <c r="AR1401" s="35"/>
      <c r="AS1401" s="35"/>
      <c r="AT1401" s="35"/>
      <c r="AU1401" s="31"/>
      <c r="AV1401" s="36"/>
    </row>
    <row r="1402" spans="4:48">
      <c r="D1402" s="31"/>
      <c r="E1402" s="31"/>
      <c r="F1402" s="31"/>
      <c r="G1402" s="31"/>
      <c r="H1402" s="32"/>
      <c r="J1402" s="33"/>
      <c r="K1402" s="33"/>
      <c r="L1402" s="33"/>
      <c r="X1402" s="23"/>
      <c r="Y1402" s="23"/>
      <c r="Z1402" s="23"/>
      <c r="AA1402" s="23"/>
      <c r="AF1402" s="23"/>
      <c r="AG1402" s="23"/>
      <c r="AH1402" s="23"/>
      <c r="AI1402" s="23"/>
      <c r="AN1402" s="23"/>
      <c r="AO1402" s="23"/>
      <c r="AP1402" s="23"/>
      <c r="AQ1402" s="23"/>
      <c r="AR1402" s="35"/>
      <c r="AS1402" s="35"/>
      <c r="AT1402" s="35"/>
      <c r="AU1402" s="31"/>
      <c r="AV1402" s="36"/>
    </row>
    <row r="1403" spans="4:48">
      <c r="D1403" s="31"/>
      <c r="E1403" s="31"/>
      <c r="F1403" s="31"/>
      <c r="G1403" s="31"/>
      <c r="H1403" s="32"/>
      <c r="J1403" s="33"/>
      <c r="K1403" s="33"/>
      <c r="L1403" s="33"/>
      <c r="X1403" s="23"/>
      <c r="Y1403" s="23"/>
      <c r="Z1403" s="23"/>
      <c r="AA1403" s="23"/>
      <c r="AF1403" s="23"/>
      <c r="AG1403" s="23"/>
      <c r="AH1403" s="23"/>
      <c r="AI1403" s="23"/>
      <c r="AN1403" s="23"/>
      <c r="AO1403" s="23"/>
      <c r="AP1403" s="23"/>
      <c r="AQ1403" s="23"/>
      <c r="AR1403" s="35"/>
      <c r="AS1403" s="35"/>
      <c r="AT1403" s="35"/>
      <c r="AU1403" s="31"/>
      <c r="AV1403" s="36"/>
    </row>
    <row r="1404" spans="4:48">
      <c r="D1404" s="31"/>
      <c r="E1404" s="31"/>
      <c r="F1404" s="31"/>
      <c r="G1404" s="31"/>
      <c r="H1404" s="32"/>
      <c r="J1404" s="33"/>
      <c r="K1404" s="33"/>
      <c r="L1404" s="33"/>
      <c r="X1404" s="23"/>
      <c r="Y1404" s="23"/>
      <c r="Z1404" s="23"/>
      <c r="AA1404" s="23"/>
      <c r="AF1404" s="23"/>
      <c r="AG1404" s="23"/>
      <c r="AH1404" s="23"/>
      <c r="AI1404" s="23"/>
      <c r="AN1404" s="23"/>
      <c r="AO1404" s="23"/>
      <c r="AP1404" s="23"/>
      <c r="AQ1404" s="23"/>
      <c r="AR1404" s="35"/>
      <c r="AS1404" s="35"/>
      <c r="AT1404" s="35"/>
      <c r="AU1404" s="31"/>
      <c r="AV1404" s="36"/>
    </row>
    <row r="1405" spans="4:48">
      <c r="D1405" s="31"/>
      <c r="E1405" s="31"/>
      <c r="F1405" s="31"/>
      <c r="G1405" s="31"/>
      <c r="H1405" s="32"/>
      <c r="J1405" s="33"/>
      <c r="K1405" s="33"/>
      <c r="L1405" s="33"/>
      <c r="X1405" s="23"/>
      <c r="Y1405" s="23"/>
      <c r="Z1405" s="23"/>
      <c r="AA1405" s="23"/>
      <c r="AF1405" s="23"/>
      <c r="AG1405" s="23"/>
      <c r="AH1405" s="23"/>
      <c r="AI1405" s="23"/>
      <c r="AN1405" s="23"/>
      <c r="AO1405" s="23"/>
      <c r="AP1405" s="23"/>
      <c r="AQ1405" s="23"/>
      <c r="AR1405" s="35"/>
      <c r="AS1405" s="35"/>
      <c r="AT1405" s="35"/>
      <c r="AU1405" s="31"/>
      <c r="AV1405" s="36"/>
    </row>
    <row r="1406" spans="4:48">
      <c r="D1406" s="31"/>
      <c r="E1406" s="31"/>
      <c r="F1406" s="31"/>
      <c r="G1406" s="31"/>
      <c r="H1406" s="32"/>
      <c r="J1406" s="33"/>
      <c r="K1406" s="33"/>
      <c r="L1406" s="33"/>
      <c r="X1406" s="23"/>
      <c r="Y1406" s="23"/>
      <c r="Z1406" s="23"/>
      <c r="AA1406" s="23"/>
      <c r="AF1406" s="23"/>
      <c r="AG1406" s="23"/>
      <c r="AH1406" s="23"/>
      <c r="AI1406" s="23"/>
      <c r="AN1406" s="23"/>
      <c r="AO1406" s="23"/>
      <c r="AP1406" s="23"/>
      <c r="AQ1406" s="23"/>
      <c r="AR1406" s="35"/>
      <c r="AS1406" s="35"/>
      <c r="AT1406" s="35"/>
      <c r="AU1406" s="31"/>
      <c r="AV1406" s="36"/>
    </row>
    <row r="1407" spans="4:48">
      <c r="D1407" s="31"/>
      <c r="E1407" s="31"/>
      <c r="F1407" s="31"/>
      <c r="G1407" s="31"/>
      <c r="H1407" s="32"/>
      <c r="J1407" s="33"/>
      <c r="K1407" s="33"/>
      <c r="L1407" s="33"/>
      <c r="X1407" s="23"/>
      <c r="Y1407" s="23"/>
      <c r="Z1407" s="23"/>
      <c r="AA1407" s="23"/>
      <c r="AF1407" s="23"/>
      <c r="AG1407" s="23"/>
      <c r="AH1407" s="23"/>
      <c r="AI1407" s="23"/>
      <c r="AN1407" s="23"/>
      <c r="AO1407" s="23"/>
      <c r="AP1407" s="23"/>
      <c r="AQ1407" s="23"/>
      <c r="AR1407" s="35"/>
      <c r="AS1407" s="35"/>
      <c r="AT1407" s="35"/>
      <c r="AU1407" s="31"/>
      <c r="AV1407" s="36"/>
    </row>
    <row r="1408" spans="4:48">
      <c r="D1408" s="31"/>
      <c r="E1408" s="31"/>
      <c r="F1408" s="31"/>
      <c r="G1408" s="31"/>
      <c r="H1408" s="32"/>
      <c r="J1408" s="33"/>
      <c r="K1408" s="33"/>
      <c r="L1408" s="33"/>
      <c r="X1408" s="23"/>
      <c r="Y1408" s="23"/>
      <c r="Z1408" s="23"/>
      <c r="AA1408" s="23"/>
      <c r="AF1408" s="23"/>
      <c r="AG1408" s="23"/>
      <c r="AH1408" s="23"/>
      <c r="AI1408" s="23"/>
      <c r="AN1408" s="23"/>
      <c r="AO1408" s="23"/>
      <c r="AP1408" s="23"/>
      <c r="AQ1408" s="23"/>
      <c r="AR1408" s="35"/>
      <c r="AS1408" s="35"/>
      <c r="AT1408" s="35"/>
      <c r="AU1408" s="31"/>
      <c r="AV1408" s="36"/>
    </row>
    <row r="1409" spans="4:48">
      <c r="D1409" s="31"/>
      <c r="E1409" s="31"/>
      <c r="F1409" s="31"/>
      <c r="G1409" s="31"/>
      <c r="H1409" s="32"/>
      <c r="J1409" s="33"/>
      <c r="K1409" s="33"/>
      <c r="L1409" s="33"/>
      <c r="X1409" s="23"/>
      <c r="Y1409" s="23"/>
      <c r="Z1409" s="23"/>
      <c r="AA1409" s="23"/>
      <c r="AF1409" s="23"/>
      <c r="AG1409" s="23"/>
      <c r="AH1409" s="23"/>
      <c r="AI1409" s="23"/>
      <c r="AN1409" s="23"/>
      <c r="AO1409" s="23"/>
      <c r="AP1409" s="23"/>
      <c r="AQ1409" s="23"/>
      <c r="AR1409" s="35"/>
      <c r="AS1409" s="35"/>
      <c r="AT1409" s="35"/>
      <c r="AU1409" s="31"/>
      <c r="AV1409" s="36"/>
    </row>
    <row r="1410" spans="4:48">
      <c r="D1410" s="31"/>
      <c r="E1410" s="31"/>
      <c r="F1410" s="31"/>
      <c r="G1410" s="31"/>
      <c r="H1410" s="32"/>
      <c r="J1410" s="33"/>
      <c r="K1410" s="33"/>
      <c r="L1410" s="33"/>
      <c r="X1410" s="23"/>
      <c r="Y1410" s="23"/>
      <c r="Z1410" s="23"/>
      <c r="AA1410" s="23"/>
      <c r="AF1410" s="23"/>
      <c r="AG1410" s="23"/>
      <c r="AH1410" s="23"/>
      <c r="AI1410" s="23"/>
      <c r="AN1410" s="23"/>
      <c r="AO1410" s="23"/>
      <c r="AP1410" s="23"/>
      <c r="AQ1410" s="23"/>
      <c r="AR1410" s="35"/>
      <c r="AS1410" s="35"/>
      <c r="AT1410" s="35"/>
      <c r="AU1410" s="31"/>
      <c r="AV1410" s="36"/>
    </row>
    <row r="1411" spans="4:48">
      <c r="D1411" s="31"/>
      <c r="E1411" s="31"/>
      <c r="F1411" s="31"/>
      <c r="G1411" s="31"/>
      <c r="H1411" s="32"/>
      <c r="J1411" s="33"/>
      <c r="K1411" s="33"/>
      <c r="L1411" s="33"/>
      <c r="X1411" s="23"/>
      <c r="Y1411" s="23"/>
      <c r="Z1411" s="23"/>
      <c r="AA1411" s="23"/>
      <c r="AF1411" s="23"/>
      <c r="AG1411" s="23"/>
      <c r="AH1411" s="23"/>
      <c r="AI1411" s="23"/>
      <c r="AN1411" s="23"/>
      <c r="AO1411" s="23"/>
      <c r="AP1411" s="23"/>
      <c r="AQ1411" s="23"/>
      <c r="AR1411" s="35"/>
      <c r="AS1411" s="35"/>
      <c r="AT1411" s="35"/>
      <c r="AU1411" s="31"/>
      <c r="AV1411" s="36"/>
    </row>
    <row r="1412" spans="4:48">
      <c r="D1412" s="31"/>
      <c r="E1412" s="31"/>
      <c r="F1412" s="31"/>
      <c r="G1412" s="31"/>
      <c r="H1412" s="32"/>
      <c r="J1412" s="33"/>
      <c r="K1412" s="33"/>
      <c r="L1412" s="33"/>
      <c r="X1412" s="23"/>
      <c r="Y1412" s="23"/>
      <c r="Z1412" s="23"/>
      <c r="AA1412" s="23"/>
      <c r="AF1412" s="23"/>
      <c r="AG1412" s="23"/>
      <c r="AH1412" s="23"/>
      <c r="AI1412" s="23"/>
      <c r="AN1412" s="23"/>
      <c r="AO1412" s="23"/>
      <c r="AP1412" s="23"/>
      <c r="AQ1412" s="23"/>
      <c r="AR1412" s="35"/>
      <c r="AS1412" s="35"/>
      <c r="AT1412" s="35"/>
      <c r="AU1412" s="31"/>
      <c r="AV1412" s="36"/>
    </row>
    <row r="1413" spans="4:48">
      <c r="D1413" s="31"/>
      <c r="E1413" s="31"/>
      <c r="F1413" s="31"/>
      <c r="G1413" s="31"/>
      <c r="H1413" s="32"/>
      <c r="J1413" s="33"/>
      <c r="K1413" s="33"/>
      <c r="L1413" s="33"/>
      <c r="X1413" s="23"/>
      <c r="Y1413" s="23"/>
      <c r="Z1413" s="23"/>
      <c r="AA1413" s="23"/>
      <c r="AF1413" s="23"/>
      <c r="AG1413" s="23"/>
      <c r="AH1413" s="23"/>
      <c r="AI1413" s="23"/>
      <c r="AN1413" s="23"/>
      <c r="AO1413" s="23"/>
      <c r="AP1413" s="23"/>
      <c r="AQ1413" s="23"/>
      <c r="AR1413" s="35"/>
      <c r="AS1413" s="35"/>
      <c r="AT1413" s="35"/>
      <c r="AU1413" s="31"/>
      <c r="AV1413" s="36"/>
    </row>
    <row r="1414" spans="4:48">
      <c r="D1414" s="31"/>
      <c r="E1414" s="31"/>
      <c r="F1414" s="31"/>
      <c r="G1414" s="31"/>
      <c r="H1414" s="32"/>
      <c r="J1414" s="33"/>
      <c r="K1414" s="33"/>
      <c r="L1414" s="33"/>
      <c r="X1414" s="23"/>
      <c r="Y1414" s="23"/>
      <c r="Z1414" s="23"/>
      <c r="AA1414" s="23"/>
      <c r="AF1414" s="23"/>
      <c r="AG1414" s="23"/>
      <c r="AH1414" s="23"/>
      <c r="AI1414" s="23"/>
      <c r="AN1414" s="23"/>
      <c r="AO1414" s="23"/>
      <c r="AP1414" s="23"/>
      <c r="AQ1414" s="23"/>
      <c r="AR1414" s="35"/>
      <c r="AS1414" s="35"/>
      <c r="AT1414" s="35"/>
      <c r="AU1414" s="31"/>
      <c r="AV1414" s="36"/>
    </row>
    <row r="1415" spans="4:48">
      <c r="D1415" s="31"/>
      <c r="E1415" s="31"/>
      <c r="F1415" s="31"/>
      <c r="G1415" s="31"/>
      <c r="H1415" s="32"/>
      <c r="J1415" s="33"/>
      <c r="K1415" s="33"/>
      <c r="L1415" s="33"/>
      <c r="X1415" s="23"/>
      <c r="Y1415" s="23"/>
      <c r="Z1415" s="23"/>
      <c r="AA1415" s="23"/>
      <c r="AF1415" s="23"/>
      <c r="AG1415" s="23"/>
      <c r="AH1415" s="23"/>
      <c r="AI1415" s="23"/>
      <c r="AN1415" s="23"/>
      <c r="AO1415" s="23"/>
      <c r="AP1415" s="23"/>
      <c r="AQ1415" s="23"/>
      <c r="AR1415" s="35"/>
      <c r="AS1415" s="35"/>
      <c r="AT1415" s="35"/>
      <c r="AU1415" s="31"/>
      <c r="AV1415" s="36"/>
    </row>
    <row r="1416" spans="4:48">
      <c r="D1416" s="31"/>
      <c r="E1416" s="31"/>
      <c r="F1416" s="31"/>
      <c r="G1416" s="31"/>
      <c r="H1416" s="32"/>
      <c r="J1416" s="33"/>
      <c r="K1416" s="33"/>
      <c r="L1416" s="33"/>
      <c r="X1416" s="23"/>
      <c r="Y1416" s="23"/>
      <c r="Z1416" s="23"/>
      <c r="AA1416" s="23"/>
      <c r="AF1416" s="23"/>
      <c r="AG1416" s="23"/>
      <c r="AH1416" s="23"/>
      <c r="AI1416" s="23"/>
      <c r="AN1416" s="23"/>
      <c r="AO1416" s="23"/>
      <c r="AP1416" s="23"/>
      <c r="AQ1416" s="23"/>
      <c r="AR1416" s="35"/>
      <c r="AS1416" s="35"/>
      <c r="AT1416" s="35"/>
      <c r="AU1416" s="31"/>
      <c r="AV1416" s="36"/>
    </row>
    <row r="1417" spans="4:48">
      <c r="D1417" s="31"/>
      <c r="E1417" s="31"/>
      <c r="F1417" s="31"/>
      <c r="G1417" s="31"/>
      <c r="H1417" s="32"/>
      <c r="J1417" s="33"/>
      <c r="K1417" s="33"/>
      <c r="L1417" s="33"/>
      <c r="X1417" s="23"/>
      <c r="Y1417" s="23"/>
      <c r="Z1417" s="23"/>
      <c r="AA1417" s="23"/>
      <c r="AF1417" s="23"/>
      <c r="AG1417" s="23"/>
      <c r="AH1417" s="23"/>
      <c r="AI1417" s="23"/>
      <c r="AN1417" s="23"/>
      <c r="AO1417" s="23"/>
      <c r="AP1417" s="23"/>
      <c r="AQ1417" s="23"/>
      <c r="AR1417" s="35"/>
      <c r="AS1417" s="35"/>
      <c r="AT1417" s="35"/>
      <c r="AU1417" s="31"/>
      <c r="AV1417" s="36"/>
    </row>
    <row r="1418" spans="4:48">
      <c r="D1418" s="31"/>
      <c r="E1418" s="31"/>
      <c r="F1418" s="31"/>
      <c r="G1418" s="31"/>
      <c r="H1418" s="32"/>
      <c r="J1418" s="33"/>
      <c r="K1418" s="33"/>
      <c r="L1418" s="33"/>
      <c r="X1418" s="23"/>
      <c r="Y1418" s="23"/>
      <c r="Z1418" s="23"/>
      <c r="AA1418" s="23"/>
      <c r="AF1418" s="23"/>
      <c r="AG1418" s="23"/>
      <c r="AH1418" s="23"/>
      <c r="AI1418" s="23"/>
      <c r="AN1418" s="23"/>
      <c r="AO1418" s="23"/>
      <c r="AP1418" s="23"/>
      <c r="AQ1418" s="23"/>
      <c r="AR1418" s="35"/>
      <c r="AS1418" s="35"/>
      <c r="AT1418" s="35"/>
      <c r="AU1418" s="31"/>
      <c r="AV1418" s="36"/>
    </row>
    <row r="1419" spans="4:48">
      <c r="D1419" s="31"/>
      <c r="E1419" s="31"/>
      <c r="F1419" s="31"/>
      <c r="G1419" s="31"/>
      <c r="H1419" s="32"/>
      <c r="J1419" s="33"/>
      <c r="K1419" s="33"/>
      <c r="L1419" s="33"/>
      <c r="X1419" s="23"/>
      <c r="Y1419" s="23"/>
      <c r="Z1419" s="23"/>
      <c r="AA1419" s="23"/>
      <c r="AF1419" s="23"/>
      <c r="AG1419" s="23"/>
      <c r="AH1419" s="23"/>
      <c r="AI1419" s="23"/>
      <c r="AN1419" s="23"/>
      <c r="AO1419" s="23"/>
      <c r="AP1419" s="23"/>
      <c r="AQ1419" s="23"/>
      <c r="AR1419" s="35"/>
      <c r="AS1419" s="35"/>
      <c r="AT1419" s="35"/>
      <c r="AU1419" s="31"/>
      <c r="AV1419" s="36"/>
    </row>
    <row r="1420" spans="4:48">
      <c r="D1420" s="31"/>
      <c r="E1420" s="31"/>
      <c r="F1420" s="31"/>
      <c r="G1420" s="31"/>
      <c r="H1420" s="32"/>
      <c r="J1420" s="33"/>
      <c r="K1420" s="33"/>
      <c r="L1420" s="33"/>
      <c r="X1420" s="23"/>
      <c r="Y1420" s="23"/>
      <c r="Z1420" s="23"/>
      <c r="AA1420" s="23"/>
      <c r="AF1420" s="23"/>
      <c r="AG1420" s="23"/>
      <c r="AH1420" s="23"/>
      <c r="AI1420" s="23"/>
      <c r="AN1420" s="23"/>
      <c r="AO1420" s="23"/>
      <c r="AP1420" s="23"/>
      <c r="AQ1420" s="23"/>
      <c r="AR1420" s="35"/>
      <c r="AS1420" s="35"/>
      <c r="AT1420" s="35"/>
      <c r="AU1420" s="31"/>
      <c r="AV1420" s="36"/>
    </row>
    <row r="1421" spans="4:48">
      <c r="D1421" s="31"/>
      <c r="E1421" s="31"/>
      <c r="F1421" s="31"/>
      <c r="G1421" s="31"/>
      <c r="H1421" s="32"/>
      <c r="J1421" s="33"/>
      <c r="K1421" s="33"/>
      <c r="L1421" s="33"/>
      <c r="X1421" s="23"/>
      <c r="Y1421" s="23"/>
      <c r="Z1421" s="23"/>
      <c r="AA1421" s="23"/>
      <c r="AF1421" s="23"/>
      <c r="AG1421" s="23"/>
      <c r="AH1421" s="23"/>
      <c r="AI1421" s="23"/>
      <c r="AN1421" s="23"/>
      <c r="AO1421" s="23"/>
      <c r="AP1421" s="23"/>
      <c r="AQ1421" s="23"/>
      <c r="AR1421" s="35"/>
      <c r="AS1421" s="35"/>
      <c r="AT1421" s="35"/>
      <c r="AU1421" s="31"/>
      <c r="AV1421" s="36"/>
    </row>
    <row r="1422" spans="4:48">
      <c r="D1422" s="31"/>
      <c r="E1422" s="31"/>
      <c r="F1422" s="31"/>
      <c r="G1422" s="31"/>
      <c r="H1422" s="32"/>
      <c r="J1422" s="33"/>
      <c r="K1422" s="33"/>
      <c r="L1422" s="33"/>
      <c r="X1422" s="23"/>
      <c r="Y1422" s="23"/>
      <c r="Z1422" s="23"/>
      <c r="AA1422" s="23"/>
      <c r="AF1422" s="23"/>
      <c r="AG1422" s="23"/>
      <c r="AH1422" s="23"/>
      <c r="AI1422" s="23"/>
      <c r="AN1422" s="23"/>
      <c r="AO1422" s="23"/>
      <c r="AP1422" s="23"/>
      <c r="AQ1422" s="23"/>
      <c r="AR1422" s="35"/>
      <c r="AS1422" s="35"/>
      <c r="AT1422" s="35"/>
      <c r="AU1422" s="31"/>
      <c r="AV1422" s="36"/>
    </row>
    <row r="1423" spans="4:48">
      <c r="D1423" s="31"/>
      <c r="E1423" s="31"/>
      <c r="F1423" s="31"/>
      <c r="G1423" s="31"/>
      <c r="H1423" s="32"/>
      <c r="J1423" s="33"/>
      <c r="K1423" s="33"/>
      <c r="L1423" s="33"/>
      <c r="X1423" s="23"/>
      <c r="Y1423" s="23"/>
      <c r="Z1423" s="23"/>
      <c r="AA1423" s="23"/>
      <c r="AF1423" s="23"/>
      <c r="AG1423" s="23"/>
      <c r="AH1423" s="23"/>
      <c r="AI1423" s="23"/>
      <c r="AN1423" s="23"/>
      <c r="AO1423" s="23"/>
      <c r="AP1423" s="23"/>
      <c r="AQ1423" s="23"/>
      <c r="AR1423" s="35"/>
      <c r="AS1423" s="35"/>
      <c r="AT1423" s="35"/>
      <c r="AU1423" s="31"/>
      <c r="AV1423" s="36"/>
    </row>
    <row r="1424" spans="4:48">
      <c r="D1424" s="31"/>
      <c r="E1424" s="31"/>
      <c r="F1424" s="31"/>
      <c r="G1424" s="31"/>
      <c r="H1424" s="32"/>
      <c r="J1424" s="33"/>
      <c r="K1424" s="33"/>
      <c r="L1424" s="33"/>
      <c r="X1424" s="23"/>
      <c r="Y1424" s="23"/>
      <c r="Z1424" s="23"/>
      <c r="AA1424" s="23"/>
      <c r="AF1424" s="23"/>
      <c r="AG1424" s="23"/>
      <c r="AH1424" s="23"/>
      <c r="AI1424" s="23"/>
      <c r="AN1424" s="23"/>
      <c r="AO1424" s="23"/>
      <c r="AP1424" s="23"/>
      <c r="AQ1424" s="23"/>
      <c r="AR1424" s="35"/>
      <c r="AS1424" s="35"/>
      <c r="AT1424" s="35"/>
      <c r="AU1424" s="31"/>
      <c r="AV1424" s="36"/>
    </row>
    <row r="1425" spans="4:48">
      <c r="D1425" s="31"/>
      <c r="E1425" s="31"/>
      <c r="F1425" s="31"/>
      <c r="G1425" s="31"/>
      <c r="H1425" s="32"/>
      <c r="J1425" s="33"/>
      <c r="K1425" s="33"/>
      <c r="L1425" s="33"/>
      <c r="X1425" s="23"/>
      <c r="Y1425" s="23"/>
      <c r="Z1425" s="23"/>
      <c r="AA1425" s="23"/>
      <c r="AF1425" s="23"/>
      <c r="AG1425" s="23"/>
      <c r="AH1425" s="23"/>
      <c r="AI1425" s="23"/>
      <c r="AN1425" s="23"/>
      <c r="AO1425" s="23"/>
      <c r="AP1425" s="23"/>
      <c r="AQ1425" s="23"/>
      <c r="AR1425" s="35"/>
      <c r="AS1425" s="35"/>
      <c r="AT1425" s="35"/>
      <c r="AU1425" s="31"/>
      <c r="AV1425" s="36"/>
    </row>
    <row r="1426" spans="4:48">
      <c r="D1426" s="31"/>
      <c r="E1426" s="31"/>
      <c r="F1426" s="31"/>
      <c r="G1426" s="31"/>
      <c r="H1426" s="32"/>
      <c r="J1426" s="33"/>
      <c r="K1426" s="33"/>
      <c r="L1426" s="33"/>
      <c r="X1426" s="23"/>
      <c r="Y1426" s="23"/>
      <c r="Z1426" s="23"/>
      <c r="AA1426" s="23"/>
      <c r="AF1426" s="23"/>
      <c r="AG1426" s="23"/>
      <c r="AH1426" s="23"/>
      <c r="AI1426" s="23"/>
      <c r="AN1426" s="23"/>
      <c r="AO1426" s="23"/>
      <c r="AP1426" s="23"/>
      <c r="AQ1426" s="23"/>
      <c r="AR1426" s="35"/>
      <c r="AS1426" s="35"/>
      <c r="AT1426" s="35"/>
      <c r="AU1426" s="31"/>
      <c r="AV1426" s="36"/>
    </row>
    <row r="1427" spans="4:48">
      <c r="D1427" s="31"/>
      <c r="E1427" s="31"/>
      <c r="F1427" s="31"/>
      <c r="G1427" s="31"/>
      <c r="H1427" s="32"/>
      <c r="J1427" s="33"/>
      <c r="K1427" s="33"/>
      <c r="L1427" s="33"/>
      <c r="X1427" s="23"/>
      <c r="Y1427" s="23"/>
      <c r="Z1427" s="23"/>
      <c r="AA1427" s="23"/>
      <c r="AF1427" s="23"/>
      <c r="AG1427" s="23"/>
      <c r="AH1427" s="23"/>
      <c r="AI1427" s="23"/>
      <c r="AN1427" s="23"/>
      <c r="AO1427" s="23"/>
      <c r="AP1427" s="23"/>
      <c r="AQ1427" s="23"/>
      <c r="AR1427" s="35"/>
      <c r="AS1427" s="35"/>
      <c r="AT1427" s="35"/>
      <c r="AU1427" s="31"/>
      <c r="AV1427" s="36"/>
    </row>
    <row r="1428" spans="4:48">
      <c r="D1428" s="31"/>
      <c r="E1428" s="31"/>
      <c r="F1428" s="31"/>
      <c r="G1428" s="31"/>
      <c r="H1428" s="32"/>
      <c r="J1428" s="33"/>
      <c r="K1428" s="33"/>
      <c r="L1428" s="33"/>
      <c r="X1428" s="23"/>
      <c r="Y1428" s="23"/>
      <c r="Z1428" s="23"/>
      <c r="AA1428" s="23"/>
      <c r="AF1428" s="23"/>
      <c r="AG1428" s="23"/>
      <c r="AH1428" s="23"/>
      <c r="AI1428" s="23"/>
      <c r="AN1428" s="23"/>
      <c r="AO1428" s="23"/>
      <c r="AP1428" s="23"/>
      <c r="AQ1428" s="23"/>
      <c r="AR1428" s="35"/>
      <c r="AS1428" s="35"/>
      <c r="AT1428" s="35"/>
      <c r="AU1428" s="31"/>
      <c r="AV1428" s="36"/>
    </row>
    <row r="1429" spans="4:48">
      <c r="D1429" s="31"/>
      <c r="E1429" s="31"/>
      <c r="F1429" s="31"/>
      <c r="G1429" s="31"/>
      <c r="H1429" s="32"/>
      <c r="J1429" s="33"/>
      <c r="K1429" s="33"/>
      <c r="L1429" s="33"/>
      <c r="X1429" s="23"/>
      <c r="Y1429" s="23"/>
      <c r="Z1429" s="23"/>
      <c r="AA1429" s="23"/>
      <c r="AF1429" s="23"/>
      <c r="AG1429" s="23"/>
      <c r="AH1429" s="23"/>
      <c r="AI1429" s="23"/>
      <c r="AN1429" s="23"/>
      <c r="AO1429" s="23"/>
      <c r="AP1429" s="23"/>
      <c r="AQ1429" s="23"/>
      <c r="AR1429" s="35"/>
      <c r="AS1429" s="35"/>
      <c r="AT1429" s="35"/>
      <c r="AU1429" s="31"/>
      <c r="AV1429" s="36"/>
    </row>
    <row r="1430" spans="4:48">
      <c r="D1430" s="31"/>
      <c r="E1430" s="31"/>
      <c r="F1430" s="31"/>
      <c r="G1430" s="31"/>
      <c r="H1430" s="32"/>
      <c r="J1430" s="33"/>
      <c r="K1430" s="33"/>
      <c r="L1430" s="33"/>
      <c r="X1430" s="23"/>
      <c r="Y1430" s="23"/>
      <c r="Z1430" s="23"/>
      <c r="AA1430" s="23"/>
      <c r="AF1430" s="23"/>
      <c r="AG1430" s="23"/>
      <c r="AH1430" s="23"/>
      <c r="AI1430" s="23"/>
      <c r="AN1430" s="23"/>
      <c r="AO1430" s="23"/>
      <c r="AP1430" s="23"/>
      <c r="AQ1430" s="23"/>
      <c r="AR1430" s="35"/>
      <c r="AS1430" s="35"/>
      <c r="AT1430" s="35"/>
      <c r="AU1430" s="31"/>
      <c r="AV1430" s="36"/>
    </row>
    <row r="1431" spans="4:48">
      <c r="D1431" s="31"/>
      <c r="E1431" s="31"/>
      <c r="F1431" s="31"/>
      <c r="G1431" s="31"/>
      <c r="H1431" s="32"/>
      <c r="J1431" s="33"/>
      <c r="K1431" s="33"/>
      <c r="L1431" s="33"/>
      <c r="X1431" s="23"/>
      <c r="Y1431" s="23"/>
      <c r="Z1431" s="23"/>
      <c r="AA1431" s="23"/>
      <c r="AF1431" s="23"/>
      <c r="AG1431" s="23"/>
      <c r="AH1431" s="23"/>
      <c r="AI1431" s="23"/>
      <c r="AN1431" s="23"/>
      <c r="AO1431" s="23"/>
      <c r="AP1431" s="23"/>
      <c r="AQ1431" s="23"/>
      <c r="AR1431" s="35"/>
      <c r="AS1431" s="35"/>
      <c r="AT1431" s="35"/>
      <c r="AU1431" s="31"/>
      <c r="AV1431" s="36"/>
    </row>
    <row r="1432" spans="4:48">
      <c r="D1432" s="31"/>
      <c r="E1432" s="31"/>
      <c r="F1432" s="31"/>
      <c r="G1432" s="31"/>
      <c r="H1432" s="32"/>
      <c r="J1432" s="33"/>
      <c r="K1432" s="33"/>
      <c r="L1432" s="33"/>
      <c r="X1432" s="23"/>
      <c r="Y1432" s="23"/>
      <c r="Z1432" s="23"/>
      <c r="AA1432" s="23"/>
      <c r="AF1432" s="23"/>
      <c r="AG1432" s="23"/>
      <c r="AH1432" s="23"/>
      <c r="AI1432" s="23"/>
      <c r="AN1432" s="23"/>
      <c r="AO1432" s="23"/>
      <c r="AP1432" s="23"/>
      <c r="AQ1432" s="23"/>
      <c r="AR1432" s="35"/>
      <c r="AS1432" s="35"/>
      <c r="AT1432" s="35"/>
      <c r="AU1432" s="31"/>
      <c r="AV1432" s="36"/>
    </row>
    <row r="1433" spans="4:48">
      <c r="D1433" s="31"/>
      <c r="E1433" s="31"/>
      <c r="F1433" s="31"/>
      <c r="G1433" s="31"/>
      <c r="H1433" s="32"/>
      <c r="J1433" s="33"/>
      <c r="K1433" s="33"/>
      <c r="L1433" s="33"/>
      <c r="X1433" s="23"/>
      <c r="Y1433" s="23"/>
      <c r="Z1433" s="23"/>
      <c r="AA1433" s="23"/>
      <c r="AF1433" s="23"/>
      <c r="AG1433" s="23"/>
      <c r="AH1433" s="23"/>
      <c r="AI1433" s="23"/>
      <c r="AN1433" s="23"/>
      <c r="AO1433" s="23"/>
      <c r="AP1433" s="23"/>
      <c r="AQ1433" s="23"/>
      <c r="AR1433" s="35"/>
      <c r="AS1433" s="35"/>
      <c r="AT1433" s="35"/>
      <c r="AU1433" s="31"/>
      <c r="AV1433" s="36"/>
    </row>
    <row r="1434" spans="4:48">
      <c r="D1434" s="31"/>
      <c r="E1434" s="31"/>
      <c r="F1434" s="31"/>
      <c r="G1434" s="31"/>
      <c r="H1434" s="32"/>
      <c r="J1434" s="33"/>
      <c r="K1434" s="33"/>
      <c r="L1434" s="33"/>
      <c r="X1434" s="23"/>
      <c r="Y1434" s="23"/>
      <c r="Z1434" s="23"/>
      <c r="AA1434" s="23"/>
      <c r="AF1434" s="23"/>
      <c r="AG1434" s="23"/>
      <c r="AH1434" s="23"/>
      <c r="AI1434" s="23"/>
      <c r="AN1434" s="23"/>
      <c r="AO1434" s="23"/>
      <c r="AP1434" s="23"/>
      <c r="AQ1434" s="23"/>
      <c r="AR1434" s="35"/>
      <c r="AS1434" s="35"/>
      <c r="AT1434" s="35"/>
      <c r="AU1434" s="31"/>
      <c r="AV1434" s="36"/>
    </row>
    <row r="1435" spans="4:48">
      <c r="D1435" s="31"/>
      <c r="E1435" s="31"/>
      <c r="F1435" s="31"/>
      <c r="G1435" s="31"/>
      <c r="H1435" s="32"/>
      <c r="J1435" s="33"/>
      <c r="K1435" s="33"/>
      <c r="L1435" s="33"/>
      <c r="X1435" s="23"/>
      <c r="Y1435" s="23"/>
      <c r="Z1435" s="23"/>
      <c r="AA1435" s="23"/>
      <c r="AF1435" s="23"/>
      <c r="AG1435" s="23"/>
      <c r="AH1435" s="23"/>
      <c r="AI1435" s="23"/>
      <c r="AN1435" s="23"/>
      <c r="AO1435" s="23"/>
      <c r="AP1435" s="23"/>
      <c r="AQ1435" s="23"/>
      <c r="AR1435" s="35"/>
      <c r="AS1435" s="35"/>
      <c r="AT1435" s="35"/>
      <c r="AU1435" s="31"/>
      <c r="AV1435" s="36"/>
    </row>
    <row r="1436" spans="4:48">
      <c r="D1436" s="31"/>
      <c r="E1436" s="31"/>
      <c r="F1436" s="31"/>
      <c r="G1436" s="31"/>
      <c r="H1436" s="32"/>
      <c r="J1436" s="33"/>
      <c r="K1436" s="33"/>
      <c r="L1436" s="33"/>
      <c r="X1436" s="23"/>
      <c r="Y1436" s="23"/>
      <c r="Z1436" s="23"/>
      <c r="AA1436" s="23"/>
      <c r="AF1436" s="23"/>
      <c r="AG1436" s="23"/>
      <c r="AH1436" s="23"/>
      <c r="AI1436" s="23"/>
      <c r="AN1436" s="23"/>
      <c r="AO1436" s="23"/>
      <c r="AP1436" s="23"/>
      <c r="AQ1436" s="23"/>
      <c r="AR1436" s="35"/>
      <c r="AS1436" s="35"/>
      <c r="AT1436" s="35"/>
      <c r="AU1436" s="31"/>
      <c r="AV1436" s="36"/>
    </row>
    <row r="1437" spans="4:48">
      <c r="D1437" s="31"/>
      <c r="E1437" s="31"/>
      <c r="F1437" s="31"/>
      <c r="G1437" s="31"/>
      <c r="H1437" s="32"/>
      <c r="J1437" s="33"/>
      <c r="K1437" s="33"/>
      <c r="L1437" s="33"/>
      <c r="X1437" s="23"/>
      <c r="Y1437" s="23"/>
      <c r="Z1437" s="23"/>
      <c r="AA1437" s="23"/>
      <c r="AF1437" s="23"/>
      <c r="AG1437" s="23"/>
      <c r="AH1437" s="23"/>
      <c r="AI1437" s="23"/>
      <c r="AN1437" s="23"/>
      <c r="AO1437" s="23"/>
      <c r="AP1437" s="23"/>
      <c r="AQ1437" s="23"/>
      <c r="AR1437" s="35"/>
      <c r="AS1437" s="35"/>
      <c r="AT1437" s="35"/>
      <c r="AU1437" s="31"/>
      <c r="AV1437" s="36"/>
    </row>
    <row r="1438" spans="4:48">
      <c r="D1438" s="31"/>
      <c r="E1438" s="31"/>
      <c r="F1438" s="31"/>
      <c r="G1438" s="31"/>
      <c r="H1438" s="32"/>
      <c r="J1438" s="33"/>
      <c r="K1438" s="33"/>
      <c r="L1438" s="33"/>
      <c r="X1438" s="23"/>
      <c r="Y1438" s="23"/>
      <c r="Z1438" s="23"/>
      <c r="AA1438" s="23"/>
      <c r="AF1438" s="23"/>
      <c r="AG1438" s="23"/>
      <c r="AH1438" s="23"/>
      <c r="AI1438" s="23"/>
      <c r="AN1438" s="23"/>
      <c r="AO1438" s="23"/>
      <c r="AP1438" s="23"/>
      <c r="AQ1438" s="23"/>
      <c r="AR1438" s="35"/>
      <c r="AS1438" s="35"/>
      <c r="AT1438" s="35"/>
      <c r="AU1438" s="31"/>
      <c r="AV1438" s="36"/>
    </row>
    <row r="1439" spans="4:48">
      <c r="D1439" s="31"/>
      <c r="E1439" s="31"/>
      <c r="F1439" s="31"/>
      <c r="G1439" s="31"/>
      <c r="H1439" s="32"/>
      <c r="J1439" s="33"/>
      <c r="K1439" s="33"/>
      <c r="L1439" s="33"/>
      <c r="X1439" s="23"/>
      <c r="Y1439" s="23"/>
      <c r="Z1439" s="23"/>
      <c r="AA1439" s="23"/>
      <c r="AF1439" s="23"/>
      <c r="AG1439" s="23"/>
      <c r="AH1439" s="23"/>
      <c r="AI1439" s="23"/>
      <c r="AN1439" s="23"/>
      <c r="AO1439" s="23"/>
      <c r="AP1439" s="23"/>
      <c r="AQ1439" s="23"/>
      <c r="AR1439" s="35"/>
      <c r="AS1439" s="35"/>
      <c r="AT1439" s="35"/>
      <c r="AU1439" s="31"/>
      <c r="AV1439" s="36"/>
    </row>
    <row r="1440" spans="4:48">
      <c r="D1440" s="31"/>
      <c r="E1440" s="31"/>
      <c r="F1440" s="31"/>
      <c r="G1440" s="31"/>
      <c r="H1440" s="32"/>
      <c r="J1440" s="33"/>
      <c r="K1440" s="33"/>
      <c r="L1440" s="33"/>
      <c r="X1440" s="23"/>
      <c r="Y1440" s="23"/>
      <c r="Z1440" s="23"/>
      <c r="AA1440" s="23"/>
      <c r="AF1440" s="23"/>
      <c r="AG1440" s="23"/>
      <c r="AH1440" s="23"/>
      <c r="AI1440" s="23"/>
      <c r="AN1440" s="23"/>
      <c r="AO1440" s="23"/>
      <c r="AP1440" s="23"/>
      <c r="AQ1440" s="23"/>
      <c r="AR1440" s="35"/>
      <c r="AS1440" s="35"/>
      <c r="AT1440" s="35"/>
      <c r="AU1440" s="31"/>
      <c r="AV1440" s="36"/>
    </row>
    <row r="1441" spans="4:48">
      <c r="D1441" s="31"/>
      <c r="E1441" s="31"/>
      <c r="F1441" s="31"/>
      <c r="G1441" s="31"/>
      <c r="H1441" s="32"/>
      <c r="J1441" s="33"/>
      <c r="K1441" s="33"/>
      <c r="L1441" s="33"/>
      <c r="X1441" s="23"/>
      <c r="Y1441" s="23"/>
      <c r="Z1441" s="23"/>
      <c r="AA1441" s="23"/>
      <c r="AF1441" s="23"/>
      <c r="AG1441" s="23"/>
      <c r="AH1441" s="23"/>
      <c r="AI1441" s="23"/>
      <c r="AN1441" s="23"/>
      <c r="AO1441" s="23"/>
      <c r="AP1441" s="23"/>
      <c r="AQ1441" s="23"/>
      <c r="AR1441" s="35"/>
      <c r="AS1441" s="35"/>
      <c r="AT1441" s="35"/>
      <c r="AU1441" s="31"/>
      <c r="AV1441" s="36"/>
    </row>
    <row r="1442" spans="4:48">
      <c r="D1442" s="31"/>
      <c r="E1442" s="31"/>
      <c r="F1442" s="31"/>
      <c r="G1442" s="31"/>
      <c r="H1442" s="32"/>
      <c r="J1442" s="33"/>
      <c r="K1442" s="33"/>
      <c r="L1442" s="33"/>
      <c r="X1442" s="23"/>
      <c r="Y1442" s="23"/>
      <c r="Z1442" s="23"/>
      <c r="AA1442" s="23"/>
      <c r="AF1442" s="23"/>
      <c r="AG1442" s="23"/>
      <c r="AH1442" s="23"/>
      <c r="AI1442" s="23"/>
      <c r="AN1442" s="23"/>
      <c r="AO1442" s="23"/>
      <c r="AP1442" s="23"/>
      <c r="AQ1442" s="23"/>
      <c r="AR1442" s="35"/>
      <c r="AS1442" s="35"/>
      <c r="AT1442" s="35"/>
      <c r="AU1442" s="31"/>
      <c r="AV1442" s="36"/>
    </row>
    <row r="1443" spans="4:48">
      <c r="D1443" s="31"/>
      <c r="E1443" s="31"/>
      <c r="F1443" s="31"/>
      <c r="G1443" s="31"/>
      <c r="H1443" s="32"/>
      <c r="J1443" s="33"/>
      <c r="K1443" s="33"/>
      <c r="L1443" s="33"/>
      <c r="X1443" s="23"/>
      <c r="Y1443" s="23"/>
      <c r="Z1443" s="23"/>
      <c r="AA1443" s="23"/>
      <c r="AF1443" s="23"/>
      <c r="AG1443" s="23"/>
      <c r="AH1443" s="23"/>
      <c r="AI1443" s="23"/>
      <c r="AN1443" s="23"/>
      <c r="AO1443" s="23"/>
      <c r="AP1443" s="23"/>
      <c r="AQ1443" s="23"/>
      <c r="AR1443" s="35"/>
      <c r="AS1443" s="35"/>
      <c r="AT1443" s="35"/>
      <c r="AU1443" s="31"/>
      <c r="AV1443" s="36"/>
    </row>
    <row r="1444" spans="4:48">
      <c r="D1444" s="31"/>
      <c r="E1444" s="31"/>
      <c r="F1444" s="31"/>
      <c r="G1444" s="31"/>
      <c r="H1444" s="32"/>
      <c r="J1444" s="33"/>
      <c r="K1444" s="33"/>
      <c r="L1444" s="33"/>
      <c r="X1444" s="23"/>
      <c r="Y1444" s="23"/>
      <c r="Z1444" s="23"/>
      <c r="AA1444" s="23"/>
      <c r="AF1444" s="23"/>
      <c r="AG1444" s="23"/>
      <c r="AH1444" s="23"/>
      <c r="AI1444" s="23"/>
      <c r="AN1444" s="23"/>
      <c r="AO1444" s="23"/>
      <c r="AP1444" s="23"/>
      <c r="AQ1444" s="23"/>
      <c r="AR1444" s="35"/>
      <c r="AS1444" s="35"/>
      <c r="AT1444" s="35"/>
      <c r="AU1444" s="31"/>
      <c r="AV1444" s="36"/>
    </row>
    <row r="1445" spans="4:48">
      <c r="D1445" s="31"/>
      <c r="E1445" s="31"/>
      <c r="F1445" s="31"/>
      <c r="G1445" s="31"/>
      <c r="H1445" s="32"/>
      <c r="J1445" s="33"/>
      <c r="K1445" s="33"/>
      <c r="L1445" s="33"/>
      <c r="X1445" s="23"/>
      <c r="Y1445" s="23"/>
      <c r="Z1445" s="23"/>
      <c r="AA1445" s="23"/>
      <c r="AF1445" s="23"/>
      <c r="AG1445" s="23"/>
      <c r="AH1445" s="23"/>
      <c r="AI1445" s="23"/>
      <c r="AN1445" s="23"/>
      <c r="AO1445" s="23"/>
      <c r="AP1445" s="23"/>
      <c r="AQ1445" s="23"/>
      <c r="AR1445" s="35"/>
      <c r="AS1445" s="35"/>
      <c r="AT1445" s="35"/>
      <c r="AU1445" s="31"/>
      <c r="AV1445" s="36"/>
    </row>
    <row r="1446" spans="4:48">
      <c r="D1446" s="31"/>
      <c r="E1446" s="31"/>
      <c r="F1446" s="31"/>
      <c r="G1446" s="31"/>
      <c r="H1446" s="32"/>
      <c r="J1446" s="33"/>
      <c r="K1446" s="33"/>
      <c r="L1446" s="33"/>
      <c r="X1446" s="23"/>
      <c r="Y1446" s="23"/>
      <c r="Z1446" s="23"/>
      <c r="AA1446" s="23"/>
      <c r="AF1446" s="23"/>
      <c r="AG1446" s="23"/>
      <c r="AH1446" s="23"/>
      <c r="AI1446" s="23"/>
      <c r="AN1446" s="23"/>
      <c r="AO1446" s="23"/>
      <c r="AP1446" s="23"/>
      <c r="AQ1446" s="23"/>
      <c r="AR1446" s="35"/>
      <c r="AS1446" s="35"/>
      <c r="AT1446" s="35"/>
      <c r="AU1446" s="31"/>
      <c r="AV1446" s="36"/>
    </row>
    <row r="1447" spans="4:48">
      <c r="D1447" s="31"/>
      <c r="E1447" s="31"/>
      <c r="F1447" s="31"/>
      <c r="G1447" s="31"/>
      <c r="H1447" s="32"/>
      <c r="J1447" s="33"/>
      <c r="K1447" s="33"/>
      <c r="L1447" s="33"/>
      <c r="X1447" s="23"/>
      <c r="Y1447" s="23"/>
      <c r="Z1447" s="23"/>
      <c r="AA1447" s="23"/>
      <c r="AF1447" s="23"/>
      <c r="AG1447" s="23"/>
      <c r="AH1447" s="23"/>
      <c r="AI1447" s="23"/>
      <c r="AN1447" s="23"/>
      <c r="AO1447" s="23"/>
      <c r="AP1447" s="23"/>
      <c r="AQ1447" s="23"/>
      <c r="AR1447" s="35"/>
      <c r="AS1447" s="35"/>
      <c r="AT1447" s="35"/>
      <c r="AU1447" s="31"/>
      <c r="AV1447" s="36"/>
    </row>
    <row r="1448" spans="4:48">
      <c r="D1448" s="31"/>
      <c r="E1448" s="31"/>
      <c r="F1448" s="31"/>
      <c r="G1448" s="31"/>
      <c r="H1448" s="32"/>
      <c r="J1448" s="33"/>
      <c r="K1448" s="33"/>
      <c r="L1448" s="33"/>
      <c r="X1448" s="23"/>
      <c r="Y1448" s="23"/>
      <c r="Z1448" s="23"/>
      <c r="AA1448" s="23"/>
      <c r="AF1448" s="23"/>
      <c r="AG1448" s="23"/>
      <c r="AH1448" s="23"/>
      <c r="AI1448" s="23"/>
      <c r="AN1448" s="23"/>
      <c r="AO1448" s="23"/>
      <c r="AP1448" s="23"/>
      <c r="AQ1448" s="23"/>
      <c r="AR1448" s="35"/>
      <c r="AS1448" s="35"/>
      <c r="AT1448" s="35"/>
      <c r="AU1448" s="31"/>
      <c r="AV1448" s="36"/>
    </row>
    <row r="1449" spans="4:48">
      <c r="D1449" s="31"/>
      <c r="E1449" s="31"/>
      <c r="F1449" s="31"/>
      <c r="G1449" s="31"/>
      <c r="H1449" s="32"/>
      <c r="J1449" s="33"/>
      <c r="K1449" s="33"/>
      <c r="L1449" s="33"/>
      <c r="X1449" s="23"/>
      <c r="Y1449" s="23"/>
      <c r="Z1449" s="23"/>
      <c r="AA1449" s="23"/>
      <c r="AF1449" s="23"/>
      <c r="AG1449" s="23"/>
      <c r="AH1449" s="23"/>
      <c r="AI1449" s="23"/>
      <c r="AN1449" s="23"/>
      <c r="AO1449" s="23"/>
      <c r="AP1449" s="23"/>
      <c r="AQ1449" s="23"/>
      <c r="AR1449" s="35"/>
      <c r="AS1449" s="35"/>
      <c r="AT1449" s="35"/>
      <c r="AU1449" s="31"/>
      <c r="AV1449" s="36"/>
    </row>
    <row r="1450" spans="4:48">
      <c r="D1450" s="31"/>
      <c r="E1450" s="31"/>
      <c r="F1450" s="31"/>
      <c r="G1450" s="31"/>
      <c r="H1450" s="32"/>
      <c r="J1450" s="33"/>
      <c r="K1450" s="33"/>
      <c r="L1450" s="33"/>
      <c r="X1450" s="23"/>
      <c r="Y1450" s="23"/>
      <c r="Z1450" s="23"/>
      <c r="AA1450" s="23"/>
      <c r="AF1450" s="23"/>
      <c r="AG1450" s="23"/>
      <c r="AH1450" s="23"/>
      <c r="AI1450" s="23"/>
      <c r="AN1450" s="23"/>
      <c r="AO1450" s="23"/>
      <c r="AP1450" s="23"/>
      <c r="AQ1450" s="23"/>
      <c r="AR1450" s="35"/>
      <c r="AS1450" s="35"/>
      <c r="AT1450" s="35"/>
      <c r="AU1450" s="31"/>
      <c r="AV1450" s="36"/>
    </row>
    <row r="1451" spans="4:48">
      <c r="D1451" s="31"/>
      <c r="E1451" s="31"/>
      <c r="F1451" s="31"/>
      <c r="G1451" s="31"/>
      <c r="H1451" s="32"/>
      <c r="J1451" s="33"/>
      <c r="K1451" s="33"/>
      <c r="L1451" s="33"/>
      <c r="X1451" s="23"/>
      <c r="Y1451" s="23"/>
      <c r="Z1451" s="23"/>
      <c r="AA1451" s="23"/>
      <c r="AF1451" s="23"/>
      <c r="AG1451" s="23"/>
      <c r="AH1451" s="23"/>
      <c r="AI1451" s="23"/>
      <c r="AN1451" s="23"/>
      <c r="AO1451" s="23"/>
      <c r="AP1451" s="23"/>
      <c r="AQ1451" s="23"/>
      <c r="AR1451" s="35"/>
      <c r="AS1451" s="35"/>
      <c r="AT1451" s="35"/>
      <c r="AU1451" s="31"/>
      <c r="AV1451" s="36"/>
    </row>
    <row r="1452" spans="4:48">
      <c r="D1452" s="31"/>
      <c r="E1452" s="31"/>
      <c r="F1452" s="31"/>
      <c r="G1452" s="31"/>
      <c r="H1452" s="32"/>
      <c r="J1452" s="33"/>
      <c r="K1452" s="33"/>
      <c r="L1452" s="33"/>
      <c r="X1452" s="23"/>
      <c r="Y1452" s="23"/>
      <c r="Z1452" s="23"/>
      <c r="AA1452" s="23"/>
      <c r="AF1452" s="23"/>
      <c r="AG1452" s="23"/>
      <c r="AH1452" s="23"/>
      <c r="AI1452" s="23"/>
      <c r="AN1452" s="23"/>
      <c r="AO1452" s="23"/>
      <c r="AP1452" s="23"/>
      <c r="AQ1452" s="23"/>
      <c r="AR1452" s="35"/>
      <c r="AS1452" s="35"/>
      <c r="AT1452" s="35"/>
      <c r="AU1452" s="31"/>
      <c r="AV1452" s="36"/>
    </row>
    <row r="1453" spans="4:48">
      <c r="D1453" s="31"/>
      <c r="E1453" s="31"/>
      <c r="F1453" s="31"/>
      <c r="G1453" s="31"/>
      <c r="H1453" s="32"/>
      <c r="J1453" s="33"/>
      <c r="K1453" s="33"/>
      <c r="L1453" s="33"/>
      <c r="X1453" s="23"/>
      <c r="Y1453" s="23"/>
      <c r="Z1453" s="23"/>
      <c r="AA1453" s="23"/>
      <c r="AF1453" s="23"/>
      <c r="AG1453" s="23"/>
      <c r="AH1453" s="23"/>
      <c r="AI1453" s="23"/>
      <c r="AN1453" s="23"/>
      <c r="AO1453" s="23"/>
      <c r="AP1453" s="23"/>
      <c r="AQ1453" s="23"/>
      <c r="AR1453" s="35"/>
      <c r="AS1453" s="35"/>
      <c r="AT1453" s="35"/>
      <c r="AU1453" s="31"/>
      <c r="AV1453" s="36"/>
    </row>
    <row r="1454" spans="4:48">
      <c r="D1454" s="31"/>
      <c r="E1454" s="31"/>
      <c r="F1454" s="31"/>
      <c r="G1454" s="31"/>
      <c r="H1454" s="32"/>
      <c r="J1454" s="33"/>
      <c r="K1454" s="33"/>
      <c r="L1454" s="33"/>
      <c r="X1454" s="23"/>
      <c r="Y1454" s="23"/>
      <c r="Z1454" s="23"/>
      <c r="AA1454" s="23"/>
      <c r="AF1454" s="23"/>
      <c r="AG1454" s="23"/>
      <c r="AH1454" s="23"/>
      <c r="AI1454" s="23"/>
      <c r="AN1454" s="23"/>
      <c r="AO1454" s="23"/>
      <c r="AP1454" s="23"/>
      <c r="AQ1454" s="23"/>
      <c r="AR1454" s="35"/>
      <c r="AS1454" s="35"/>
      <c r="AT1454" s="35"/>
      <c r="AU1454" s="31"/>
      <c r="AV1454" s="36"/>
    </row>
    <row r="1455" spans="4:48">
      <c r="D1455" s="31"/>
      <c r="E1455" s="31"/>
      <c r="F1455" s="31"/>
      <c r="G1455" s="31"/>
      <c r="H1455" s="32"/>
      <c r="J1455" s="33"/>
      <c r="K1455" s="33"/>
      <c r="L1455" s="33"/>
      <c r="X1455" s="23"/>
      <c r="Y1455" s="23"/>
      <c r="Z1455" s="23"/>
      <c r="AA1455" s="23"/>
      <c r="AF1455" s="23"/>
      <c r="AG1455" s="23"/>
      <c r="AH1455" s="23"/>
      <c r="AI1455" s="23"/>
      <c r="AN1455" s="23"/>
      <c r="AO1455" s="23"/>
      <c r="AP1455" s="23"/>
      <c r="AQ1455" s="23"/>
      <c r="AR1455" s="35"/>
      <c r="AS1455" s="35"/>
      <c r="AT1455" s="35"/>
      <c r="AU1455" s="31"/>
      <c r="AV1455" s="36"/>
    </row>
    <row r="1456" spans="4:48">
      <c r="D1456" s="31"/>
      <c r="E1456" s="31"/>
      <c r="F1456" s="31"/>
      <c r="G1456" s="31"/>
      <c r="H1456" s="32"/>
      <c r="J1456" s="33"/>
      <c r="K1456" s="33"/>
      <c r="L1456" s="33"/>
      <c r="X1456" s="23"/>
      <c r="Y1456" s="23"/>
      <c r="Z1456" s="23"/>
      <c r="AA1456" s="23"/>
      <c r="AF1456" s="23"/>
      <c r="AG1456" s="23"/>
      <c r="AH1456" s="23"/>
      <c r="AI1456" s="23"/>
      <c r="AN1456" s="23"/>
      <c r="AO1456" s="23"/>
      <c r="AP1456" s="23"/>
      <c r="AQ1456" s="23"/>
      <c r="AR1456" s="35"/>
      <c r="AS1456" s="35"/>
      <c r="AT1456" s="35"/>
      <c r="AU1456" s="31"/>
      <c r="AV1456" s="36"/>
    </row>
    <row r="1457" spans="4:48">
      <c r="D1457" s="31"/>
      <c r="E1457" s="31"/>
      <c r="F1457" s="31"/>
      <c r="G1457" s="31"/>
      <c r="H1457" s="32"/>
      <c r="J1457" s="33"/>
      <c r="K1457" s="33"/>
      <c r="L1457" s="33"/>
      <c r="X1457" s="23"/>
      <c r="Y1457" s="23"/>
      <c r="Z1457" s="23"/>
      <c r="AA1457" s="23"/>
      <c r="AF1457" s="23"/>
      <c r="AG1457" s="23"/>
      <c r="AH1457" s="23"/>
      <c r="AI1457" s="23"/>
      <c r="AN1457" s="23"/>
      <c r="AO1457" s="23"/>
      <c r="AP1457" s="23"/>
      <c r="AQ1457" s="23"/>
      <c r="AR1457" s="35"/>
      <c r="AS1457" s="35"/>
      <c r="AT1457" s="35"/>
      <c r="AU1457" s="31"/>
      <c r="AV1457" s="36"/>
    </row>
    <row r="1458" spans="4:48">
      <c r="D1458" s="31"/>
      <c r="E1458" s="31"/>
      <c r="F1458" s="31"/>
      <c r="G1458" s="31"/>
      <c r="H1458" s="32"/>
      <c r="J1458" s="33"/>
      <c r="K1458" s="33"/>
      <c r="L1458" s="33"/>
      <c r="X1458" s="23"/>
      <c r="Y1458" s="23"/>
      <c r="Z1458" s="23"/>
      <c r="AA1458" s="23"/>
      <c r="AF1458" s="23"/>
      <c r="AG1458" s="23"/>
      <c r="AH1458" s="23"/>
      <c r="AI1458" s="23"/>
      <c r="AN1458" s="23"/>
      <c r="AO1458" s="23"/>
      <c r="AP1458" s="23"/>
      <c r="AQ1458" s="23"/>
      <c r="AR1458" s="35"/>
      <c r="AS1458" s="35"/>
      <c r="AT1458" s="35"/>
      <c r="AU1458" s="31"/>
      <c r="AV1458" s="36"/>
    </row>
    <row r="1459" spans="4:48">
      <c r="D1459" s="31"/>
      <c r="E1459" s="31"/>
      <c r="F1459" s="31"/>
      <c r="G1459" s="31"/>
      <c r="H1459" s="32"/>
      <c r="J1459" s="33"/>
      <c r="K1459" s="33"/>
      <c r="L1459" s="33"/>
      <c r="X1459" s="23"/>
      <c r="Y1459" s="23"/>
      <c r="Z1459" s="23"/>
      <c r="AA1459" s="23"/>
      <c r="AF1459" s="23"/>
      <c r="AG1459" s="23"/>
      <c r="AH1459" s="23"/>
      <c r="AI1459" s="23"/>
      <c r="AN1459" s="23"/>
      <c r="AO1459" s="23"/>
      <c r="AP1459" s="23"/>
      <c r="AQ1459" s="23"/>
      <c r="AR1459" s="35"/>
      <c r="AS1459" s="35"/>
      <c r="AT1459" s="35"/>
      <c r="AU1459" s="31"/>
      <c r="AV1459" s="36"/>
    </row>
    <row r="1460" spans="4:48">
      <c r="D1460" s="31"/>
      <c r="E1460" s="31"/>
      <c r="F1460" s="31"/>
      <c r="G1460" s="31"/>
      <c r="H1460" s="32"/>
      <c r="J1460" s="33"/>
      <c r="K1460" s="33"/>
      <c r="L1460" s="33"/>
      <c r="X1460" s="23"/>
      <c r="Y1460" s="23"/>
      <c r="Z1460" s="23"/>
      <c r="AA1460" s="23"/>
      <c r="AF1460" s="23"/>
      <c r="AG1460" s="23"/>
      <c r="AH1460" s="23"/>
      <c r="AI1460" s="23"/>
      <c r="AN1460" s="23"/>
      <c r="AO1460" s="23"/>
      <c r="AP1460" s="23"/>
      <c r="AQ1460" s="23"/>
      <c r="AR1460" s="35"/>
      <c r="AS1460" s="35"/>
      <c r="AT1460" s="35"/>
      <c r="AU1460" s="31"/>
      <c r="AV1460" s="36"/>
    </row>
    <row r="1461" spans="4:48">
      <c r="D1461" s="31"/>
      <c r="E1461" s="31"/>
      <c r="F1461" s="31"/>
      <c r="G1461" s="31"/>
      <c r="H1461" s="32"/>
      <c r="J1461" s="33"/>
      <c r="K1461" s="33"/>
      <c r="L1461" s="33"/>
      <c r="X1461" s="23"/>
      <c r="Y1461" s="23"/>
      <c r="Z1461" s="23"/>
      <c r="AA1461" s="23"/>
      <c r="AF1461" s="23"/>
      <c r="AG1461" s="23"/>
      <c r="AH1461" s="23"/>
      <c r="AI1461" s="23"/>
      <c r="AN1461" s="23"/>
      <c r="AO1461" s="23"/>
      <c r="AP1461" s="23"/>
      <c r="AQ1461" s="23"/>
      <c r="AR1461" s="35"/>
      <c r="AS1461" s="35"/>
      <c r="AT1461" s="35"/>
      <c r="AU1461" s="31"/>
      <c r="AV1461" s="36"/>
    </row>
    <row r="1462" spans="4:48">
      <c r="D1462" s="31"/>
      <c r="E1462" s="31"/>
      <c r="F1462" s="31"/>
      <c r="G1462" s="31"/>
      <c r="H1462" s="32"/>
      <c r="J1462" s="33"/>
      <c r="K1462" s="33"/>
      <c r="L1462" s="33"/>
      <c r="X1462" s="23"/>
      <c r="Y1462" s="23"/>
      <c r="Z1462" s="23"/>
      <c r="AA1462" s="23"/>
      <c r="AF1462" s="23"/>
      <c r="AG1462" s="23"/>
      <c r="AH1462" s="23"/>
      <c r="AI1462" s="23"/>
      <c r="AN1462" s="23"/>
      <c r="AO1462" s="23"/>
      <c r="AP1462" s="23"/>
      <c r="AQ1462" s="23"/>
      <c r="AR1462" s="35"/>
      <c r="AS1462" s="35"/>
      <c r="AT1462" s="35"/>
      <c r="AU1462" s="31"/>
      <c r="AV1462" s="36"/>
    </row>
    <row r="1463" spans="4:48">
      <c r="D1463" s="31"/>
      <c r="E1463" s="31"/>
      <c r="F1463" s="31"/>
      <c r="G1463" s="31"/>
      <c r="H1463" s="32"/>
      <c r="J1463" s="33"/>
      <c r="K1463" s="33"/>
      <c r="L1463" s="33"/>
      <c r="X1463" s="23"/>
      <c r="Y1463" s="23"/>
      <c r="Z1463" s="23"/>
      <c r="AA1463" s="23"/>
      <c r="AF1463" s="23"/>
      <c r="AG1463" s="23"/>
      <c r="AH1463" s="23"/>
      <c r="AI1463" s="23"/>
      <c r="AN1463" s="23"/>
      <c r="AO1463" s="23"/>
      <c r="AP1463" s="23"/>
      <c r="AQ1463" s="23"/>
      <c r="AR1463" s="35"/>
      <c r="AS1463" s="35"/>
      <c r="AT1463" s="35"/>
      <c r="AU1463" s="31"/>
      <c r="AV1463" s="36"/>
    </row>
    <row r="1464" spans="4:48">
      <c r="D1464" s="31"/>
      <c r="E1464" s="31"/>
      <c r="F1464" s="31"/>
      <c r="G1464" s="31"/>
      <c r="H1464" s="32"/>
      <c r="J1464" s="33"/>
      <c r="K1464" s="33"/>
      <c r="L1464" s="33"/>
      <c r="X1464" s="23"/>
      <c r="Y1464" s="23"/>
      <c r="Z1464" s="23"/>
      <c r="AA1464" s="23"/>
      <c r="AF1464" s="23"/>
      <c r="AG1464" s="23"/>
      <c r="AH1464" s="23"/>
      <c r="AI1464" s="23"/>
      <c r="AN1464" s="23"/>
      <c r="AO1464" s="23"/>
      <c r="AP1464" s="23"/>
      <c r="AQ1464" s="23"/>
      <c r="AR1464" s="35"/>
      <c r="AS1464" s="35"/>
      <c r="AT1464" s="35"/>
      <c r="AU1464" s="31"/>
      <c r="AV1464" s="36"/>
    </row>
    <row r="1465" spans="4:48">
      <c r="D1465" s="31"/>
      <c r="E1465" s="31"/>
      <c r="F1465" s="31"/>
      <c r="G1465" s="31"/>
      <c r="H1465" s="32"/>
      <c r="J1465" s="33"/>
      <c r="K1465" s="33"/>
      <c r="L1465" s="33"/>
      <c r="X1465" s="23"/>
      <c r="Y1465" s="23"/>
      <c r="Z1465" s="23"/>
      <c r="AA1465" s="23"/>
      <c r="AF1465" s="23"/>
      <c r="AG1465" s="23"/>
      <c r="AH1465" s="23"/>
      <c r="AI1465" s="23"/>
      <c r="AN1465" s="23"/>
      <c r="AO1465" s="23"/>
      <c r="AP1465" s="23"/>
      <c r="AQ1465" s="23"/>
      <c r="AR1465" s="35"/>
      <c r="AS1465" s="35"/>
      <c r="AT1465" s="35"/>
      <c r="AU1465" s="31"/>
      <c r="AV1465" s="36"/>
    </row>
    <row r="1466" spans="4:48">
      <c r="D1466" s="31"/>
      <c r="E1466" s="31"/>
      <c r="F1466" s="31"/>
      <c r="G1466" s="31"/>
      <c r="H1466" s="32"/>
      <c r="J1466" s="33"/>
      <c r="K1466" s="33"/>
      <c r="L1466" s="33"/>
      <c r="X1466" s="23"/>
      <c r="Y1466" s="23"/>
      <c r="Z1466" s="23"/>
      <c r="AA1466" s="23"/>
      <c r="AF1466" s="23"/>
      <c r="AG1466" s="23"/>
      <c r="AH1466" s="23"/>
      <c r="AI1466" s="23"/>
      <c r="AN1466" s="23"/>
      <c r="AO1466" s="23"/>
      <c r="AP1466" s="23"/>
      <c r="AQ1466" s="23"/>
      <c r="AR1466" s="35"/>
      <c r="AS1466" s="35"/>
      <c r="AT1466" s="35"/>
      <c r="AU1466" s="31"/>
      <c r="AV1466" s="36"/>
    </row>
    <row r="1467" spans="4:48">
      <c r="D1467" s="31"/>
      <c r="E1467" s="31"/>
      <c r="F1467" s="31"/>
      <c r="G1467" s="31"/>
      <c r="H1467" s="32"/>
      <c r="J1467" s="33"/>
      <c r="K1467" s="33"/>
      <c r="L1467" s="33"/>
      <c r="X1467" s="23"/>
      <c r="Y1467" s="23"/>
      <c r="Z1467" s="23"/>
      <c r="AA1467" s="23"/>
      <c r="AF1467" s="23"/>
      <c r="AG1467" s="23"/>
      <c r="AH1467" s="23"/>
      <c r="AI1467" s="23"/>
      <c r="AN1467" s="23"/>
      <c r="AO1467" s="23"/>
      <c r="AP1467" s="23"/>
      <c r="AQ1467" s="23"/>
      <c r="AR1467" s="35"/>
      <c r="AS1467" s="35"/>
      <c r="AT1467" s="35"/>
      <c r="AU1467" s="31"/>
      <c r="AV1467" s="36"/>
    </row>
    <row r="1468" spans="4:48">
      <c r="D1468" s="31"/>
      <c r="E1468" s="31"/>
      <c r="F1468" s="31"/>
      <c r="G1468" s="31"/>
      <c r="H1468" s="32"/>
      <c r="J1468" s="33"/>
      <c r="K1468" s="33"/>
      <c r="L1468" s="33"/>
      <c r="X1468" s="23"/>
      <c r="Y1468" s="23"/>
      <c r="Z1468" s="23"/>
      <c r="AA1468" s="23"/>
      <c r="AF1468" s="23"/>
      <c r="AG1468" s="23"/>
      <c r="AH1468" s="23"/>
      <c r="AI1468" s="23"/>
      <c r="AN1468" s="23"/>
      <c r="AO1468" s="23"/>
      <c r="AP1468" s="23"/>
      <c r="AQ1468" s="23"/>
      <c r="AR1468" s="35"/>
      <c r="AS1468" s="35"/>
      <c r="AT1468" s="35"/>
      <c r="AU1468" s="31"/>
      <c r="AV1468" s="36"/>
    </row>
    <row r="1469" spans="4:48">
      <c r="D1469" s="31"/>
      <c r="E1469" s="31"/>
      <c r="F1469" s="31"/>
      <c r="G1469" s="31"/>
      <c r="H1469" s="32"/>
      <c r="J1469" s="33"/>
      <c r="K1469" s="33"/>
      <c r="L1469" s="33"/>
      <c r="X1469" s="23"/>
      <c r="Y1469" s="23"/>
      <c r="Z1469" s="23"/>
      <c r="AA1469" s="23"/>
      <c r="AF1469" s="23"/>
      <c r="AG1469" s="23"/>
      <c r="AH1469" s="23"/>
      <c r="AI1469" s="23"/>
      <c r="AN1469" s="23"/>
      <c r="AO1469" s="23"/>
      <c r="AP1469" s="23"/>
      <c r="AQ1469" s="23"/>
      <c r="AR1469" s="35"/>
      <c r="AS1469" s="35"/>
      <c r="AT1469" s="35"/>
      <c r="AU1469" s="31"/>
      <c r="AV1469" s="36"/>
    </row>
    <row r="1470" spans="4:48">
      <c r="D1470" s="31"/>
      <c r="E1470" s="31"/>
      <c r="F1470" s="31"/>
      <c r="G1470" s="31"/>
      <c r="H1470" s="32"/>
      <c r="J1470" s="33"/>
      <c r="K1470" s="33"/>
      <c r="L1470" s="33"/>
      <c r="X1470" s="23"/>
      <c r="Y1470" s="23"/>
      <c r="Z1470" s="23"/>
      <c r="AA1470" s="23"/>
      <c r="AF1470" s="23"/>
      <c r="AG1470" s="23"/>
      <c r="AH1470" s="23"/>
      <c r="AI1470" s="23"/>
      <c r="AN1470" s="23"/>
      <c r="AO1470" s="23"/>
      <c r="AP1470" s="23"/>
      <c r="AQ1470" s="23"/>
      <c r="AR1470" s="35"/>
      <c r="AS1470" s="35"/>
      <c r="AT1470" s="35"/>
      <c r="AU1470" s="31"/>
      <c r="AV1470" s="36"/>
    </row>
    <row r="1471" spans="4:48">
      <c r="D1471" s="31"/>
      <c r="E1471" s="31"/>
      <c r="F1471" s="31"/>
      <c r="G1471" s="31"/>
      <c r="H1471" s="32"/>
      <c r="J1471" s="33"/>
      <c r="K1471" s="33"/>
      <c r="L1471" s="33"/>
      <c r="X1471" s="23"/>
      <c r="Y1471" s="23"/>
      <c r="Z1471" s="23"/>
      <c r="AA1471" s="23"/>
      <c r="AF1471" s="23"/>
      <c r="AG1471" s="23"/>
      <c r="AH1471" s="23"/>
      <c r="AI1471" s="23"/>
      <c r="AN1471" s="23"/>
      <c r="AO1471" s="23"/>
      <c r="AP1471" s="23"/>
      <c r="AQ1471" s="23"/>
      <c r="AR1471" s="35"/>
      <c r="AS1471" s="35"/>
      <c r="AT1471" s="35"/>
      <c r="AU1471" s="31"/>
      <c r="AV1471" s="36"/>
    </row>
    <row r="1472" spans="4:48">
      <c r="D1472" s="31"/>
      <c r="E1472" s="31"/>
      <c r="F1472" s="31"/>
      <c r="G1472" s="31"/>
      <c r="H1472" s="32"/>
      <c r="J1472" s="33"/>
      <c r="K1472" s="33"/>
      <c r="L1472" s="33"/>
      <c r="X1472" s="23"/>
      <c r="Y1472" s="23"/>
      <c r="Z1472" s="23"/>
      <c r="AA1472" s="23"/>
      <c r="AF1472" s="23"/>
      <c r="AG1472" s="23"/>
      <c r="AH1472" s="23"/>
      <c r="AI1472" s="23"/>
      <c r="AN1472" s="23"/>
      <c r="AO1472" s="23"/>
      <c r="AP1472" s="23"/>
      <c r="AQ1472" s="23"/>
      <c r="AR1472" s="35"/>
      <c r="AS1472" s="35"/>
      <c r="AT1472" s="35"/>
      <c r="AU1472" s="31"/>
      <c r="AV1472" s="36"/>
    </row>
    <row r="1473" spans="4:48">
      <c r="D1473" s="31"/>
      <c r="E1473" s="31"/>
      <c r="F1473" s="31"/>
      <c r="G1473" s="31"/>
      <c r="H1473" s="32"/>
      <c r="J1473" s="33"/>
      <c r="K1473" s="33"/>
      <c r="L1473" s="33"/>
      <c r="X1473" s="23"/>
      <c r="Y1473" s="23"/>
      <c r="Z1473" s="23"/>
      <c r="AA1473" s="23"/>
      <c r="AF1473" s="23"/>
      <c r="AG1473" s="23"/>
      <c r="AH1473" s="23"/>
      <c r="AI1473" s="23"/>
      <c r="AN1473" s="23"/>
      <c r="AO1473" s="23"/>
      <c r="AP1473" s="23"/>
      <c r="AQ1473" s="23"/>
      <c r="AR1473" s="35"/>
      <c r="AS1473" s="35"/>
      <c r="AT1473" s="35"/>
      <c r="AU1473" s="31"/>
      <c r="AV1473" s="36"/>
    </row>
    <row r="1474" spans="4:48">
      <c r="D1474" s="31"/>
      <c r="E1474" s="31"/>
      <c r="F1474" s="31"/>
      <c r="G1474" s="31"/>
      <c r="H1474" s="32"/>
      <c r="J1474" s="33"/>
      <c r="K1474" s="33"/>
      <c r="L1474" s="33"/>
      <c r="X1474" s="23"/>
      <c r="Y1474" s="23"/>
      <c r="Z1474" s="23"/>
      <c r="AA1474" s="23"/>
      <c r="AF1474" s="23"/>
      <c r="AG1474" s="23"/>
      <c r="AH1474" s="23"/>
      <c r="AI1474" s="23"/>
      <c r="AN1474" s="23"/>
      <c r="AO1474" s="23"/>
      <c r="AP1474" s="23"/>
      <c r="AQ1474" s="23"/>
      <c r="AR1474" s="35"/>
      <c r="AS1474" s="35"/>
      <c r="AT1474" s="35"/>
      <c r="AU1474" s="31"/>
      <c r="AV1474" s="36"/>
    </row>
    <row r="1475" spans="4:48">
      <c r="D1475" s="31"/>
      <c r="E1475" s="31"/>
      <c r="F1475" s="31"/>
      <c r="G1475" s="31"/>
      <c r="H1475" s="32"/>
      <c r="J1475" s="33"/>
      <c r="K1475" s="33"/>
      <c r="L1475" s="33"/>
      <c r="X1475" s="23"/>
      <c r="Y1475" s="23"/>
      <c r="Z1475" s="23"/>
      <c r="AA1475" s="23"/>
      <c r="AF1475" s="23"/>
      <c r="AG1475" s="23"/>
      <c r="AH1475" s="23"/>
      <c r="AI1475" s="23"/>
      <c r="AN1475" s="23"/>
      <c r="AO1475" s="23"/>
      <c r="AP1475" s="23"/>
      <c r="AQ1475" s="23"/>
      <c r="AR1475" s="35"/>
      <c r="AS1475" s="35"/>
      <c r="AT1475" s="35"/>
      <c r="AU1475" s="31"/>
      <c r="AV1475" s="36"/>
    </row>
    <row r="1476" spans="4:48">
      <c r="D1476" s="31"/>
      <c r="E1476" s="31"/>
      <c r="F1476" s="31"/>
      <c r="G1476" s="31"/>
      <c r="H1476" s="32"/>
      <c r="J1476" s="33"/>
      <c r="K1476" s="33"/>
      <c r="L1476" s="33"/>
      <c r="X1476" s="23"/>
      <c r="Y1476" s="23"/>
      <c r="Z1476" s="23"/>
      <c r="AA1476" s="23"/>
      <c r="AF1476" s="23"/>
      <c r="AG1476" s="23"/>
      <c r="AH1476" s="23"/>
      <c r="AI1476" s="23"/>
      <c r="AN1476" s="23"/>
      <c r="AO1476" s="23"/>
      <c r="AP1476" s="23"/>
      <c r="AQ1476" s="23"/>
      <c r="AR1476" s="35"/>
      <c r="AS1476" s="35"/>
      <c r="AT1476" s="35"/>
      <c r="AU1476" s="31"/>
      <c r="AV1476" s="36"/>
    </row>
    <row r="1477" spans="4:48">
      <c r="D1477" s="31"/>
      <c r="E1477" s="31"/>
      <c r="F1477" s="31"/>
      <c r="G1477" s="31"/>
      <c r="H1477" s="32"/>
      <c r="J1477" s="33"/>
      <c r="K1477" s="33"/>
      <c r="L1477" s="33"/>
      <c r="X1477" s="23"/>
      <c r="Y1477" s="23"/>
      <c r="Z1477" s="23"/>
      <c r="AA1477" s="23"/>
      <c r="AF1477" s="23"/>
      <c r="AG1477" s="23"/>
      <c r="AH1477" s="23"/>
      <c r="AI1477" s="23"/>
      <c r="AN1477" s="23"/>
      <c r="AO1477" s="23"/>
      <c r="AP1477" s="23"/>
      <c r="AQ1477" s="23"/>
      <c r="AR1477" s="35"/>
      <c r="AS1477" s="35"/>
      <c r="AT1477" s="35"/>
      <c r="AU1477" s="31"/>
      <c r="AV1477" s="36"/>
    </row>
    <row r="1478" spans="4:48">
      <c r="D1478" s="31"/>
      <c r="E1478" s="31"/>
      <c r="F1478" s="31"/>
      <c r="G1478" s="31"/>
      <c r="H1478" s="32"/>
      <c r="J1478" s="33"/>
      <c r="K1478" s="33"/>
      <c r="L1478" s="33"/>
      <c r="X1478" s="23"/>
      <c r="Y1478" s="23"/>
      <c r="Z1478" s="23"/>
      <c r="AA1478" s="23"/>
      <c r="AF1478" s="23"/>
      <c r="AG1478" s="23"/>
      <c r="AH1478" s="23"/>
      <c r="AI1478" s="23"/>
      <c r="AN1478" s="23"/>
      <c r="AO1478" s="23"/>
      <c r="AP1478" s="23"/>
      <c r="AQ1478" s="23"/>
      <c r="AR1478" s="35"/>
      <c r="AS1478" s="35"/>
      <c r="AT1478" s="35"/>
      <c r="AU1478" s="31"/>
      <c r="AV1478" s="36"/>
    </row>
    <row r="1479" spans="4:48">
      <c r="D1479" s="31"/>
      <c r="E1479" s="31"/>
      <c r="F1479" s="31"/>
      <c r="G1479" s="31"/>
      <c r="H1479" s="32"/>
      <c r="J1479" s="33"/>
      <c r="K1479" s="33"/>
      <c r="L1479" s="33"/>
      <c r="X1479" s="23"/>
      <c r="Y1479" s="23"/>
      <c r="Z1479" s="23"/>
      <c r="AA1479" s="23"/>
      <c r="AF1479" s="23"/>
      <c r="AG1479" s="23"/>
      <c r="AH1479" s="23"/>
      <c r="AI1479" s="23"/>
      <c r="AN1479" s="23"/>
      <c r="AO1479" s="23"/>
      <c r="AP1479" s="23"/>
      <c r="AQ1479" s="23"/>
      <c r="AR1479" s="35"/>
      <c r="AS1479" s="35"/>
      <c r="AT1479" s="35"/>
      <c r="AU1479" s="31"/>
      <c r="AV1479" s="36"/>
    </row>
    <row r="1480" spans="4:48">
      <c r="D1480" s="31"/>
      <c r="E1480" s="31"/>
      <c r="F1480" s="31"/>
      <c r="G1480" s="31"/>
      <c r="H1480" s="32"/>
      <c r="J1480" s="33"/>
      <c r="K1480" s="33"/>
      <c r="L1480" s="33"/>
      <c r="X1480" s="23"/>
      <c r="Y1480" s="23"/>
      <c r="Z1480" s="23"/>
      <c r="AA1480" s="23"/>
      <c r="AF1480" s="23"/>
      <c r="AG1480" s="23"/>
      <c r="AH1480" s="23"/>
      <c r="AI1480" s="23"/>
      <c r="AN1480" s="23"/>
      <c r="AO1480" s="23"/>
      <c r="AP1480" s="23"/>
      <c r="AQ1480" s="23"/>
      <c r="AR1480" s="35"/>
      <c r="AS1480" s="35"/>
      <c r="AT1480" s="35"/>
      <c r="AU1480" s="31"/>
      <c r="AV1480" s="36"/>
    </row>
    <row r="1481" spans="4:48">
      <c r="D1481" s="31"/>
      <c r="E1481" s="31"/>
      <c r="F1481" s="31"/>
      <c r="G1481" s="31"/>
      <c r="H1481" s="32"/>
      <c r="J1481" s="33"/>
      <c r="K1481" s="33"/>
      <c r="L1481" s="33"/>
      <c r="X1481" s="23"/>
      <c r="Y1481" s="23"/>
      <c r="Z1481" s="23"/>
      <c r="AA1481" s="23"/>
      <c r="AF1481" s="23"/>
      <c r="AG1481" s="23"/>
      <c r="AH1481" s="23"/>
      <c r="AI1481" s="23"/>
      <c r="AN1481" s="23"/>
      <c r="AO1481" s="23"/>
      <c r="AP1481" s="23"/>
      <c r="AQ1481" s="23"/>
      <c r="AR1481" s="35"/>
      <c r="AS1481" s="35"/>
      <c r="AT1481" s="35"/>
      <c r="AU1481" s="31"/>
      <c r="AV1481" s="36"/>
    </row>
    <row r="1482" spans="4:48">
      <c r="D1482" s="31"/>
      <c r="E1482" s="31"/>
      <c r="F1482" s="31"/>
      <c r="G1482" s="31"/>
      <c r="H1482" s="32"/>
      <c r="J1482" s="33"/>
      <c r="K1482" s="33"/>
      <c r="L1482" s="33"/>
      <c r="X1482" s="23"/>
      <c r="Y1482" s="23"/>
      <c r="Z1482" s="23"/>
      <c r="AA1482" s="23"/>
      <c r="AF1482" s="23"/>
      <c r="AG1482" s="23"/>
      <c r="AH1482" s="23"/>
      <c r="AI1482" s="23"/>
      <c r="AN1482" s="23"/>
      <c r="AO1482" s="23"/>
      <c r="AP1482" s="23"/>
      <c r="AQ1482" s="23"/>
      <c r="AR1482" s="35"/>
      <c r="AS1482" s="35"/>
      <c r="AT1482" s="35"/>
      <c r="AU1482" s="31"/>
      <c r="AV1482" s="36"/>
    </row>
    <row r="1483" spans="4:48">
      <c r="D1483" s="31"/>
      <c r="E1483" s="31"/>
      <c r="F1483" s="31"/>
      <c r="G1483" s="31"/>
      <c r="H1483" s="32"/>
      <c r="J1483" s="33"/>
      <c r="K1483" s="33"/>
      <c r="L1483" s="33"/>
      <c r="X1483" s="23"/>
      <c r="Y1483" s="23"/>
      <c r="Z1483" s="23"/>
      <c r="AA1483" s="23"/>
      <c r="AF1483" s="23"/>
      <c r="AG1483" s="23"/>
      <c r="AH1483" s="23"/>
      <c r="AI1483" s="23"/>
      <c r="AN1483" s="23"/>
      <c r="AO1483" s="23"/>
      <c r="AP1483" s="23"/>
      <c r="AQ1483" s="23"/>
      <c r="AR1483" s="35"/>
      <c r="AS1483" s="35"/>
      <c r="AT1483" s="35"/>
      <c r="AU1483" s="31"/>
      <c r="AV1483" s="36"/>
    </row>
    <row r="1484" spans="4:48">
      <c r="D1484" s="31"/>
      <c r="E1484" s="31"/>
      <c r="F1484" s="31"/>
      <c r="G1484" s="31"/>
      <c r="H1484" s="32"/>
      <c r="J1484" s="33"/>
      <c r="K1484" s="33"/>
      <c r="L1484" s="33"/>
      <c r="X1484" s="23"/>
      <c r="Y1484" s="23"/>
      <c r="Z1484" s="23"/>
      <c r="AA1484" s="23"/>
      <c r="AF1484" s="23"/>
      <c r="AG1484" s="23"/>
      <c r="AH1484" s="23"/>
      <c r="AI1484" s="23"/>
      <c r="AN1484" s="23"/>
      <c r="AO1484" s="23"/>
      <c r="AP1484" s="23"/>
      <c r="AQ1484" s="23"/>
      <c r="AR1484" s="35"/>
      <c r="AS1484" s="35"/>
      <c r="AT1484" s="35"/>
      <c r="AU1484" s="31"/>
      <c r="AV1484" s="36"/>
    </row>
    <row r="1485" spans="4:48">
      <c r="D1485" s="31"/>
      <c r="E1485" s="31"/>
      <c r="F1485" s="31"/>
      <c r="G1485" s="31"/>
      <c r="H1485" s="32"/>
      <c r="J1485" s="33"/>
      <c r="K1485" s="33"/>
      <c r="L1485" s="33"/>
      <c r="X1485" s="23"/>
      <c r="Y1485" s="23"/>
      <c r="Z1485" s="23"/>
      <c r="AA1485" s="23"/>
      <c r="AF1485" s="23"/>
      <c r="AG1485" s="23"/>
      <c r="AH1485" s="23"/>
      <c r="AI1485" s="23"/>
      <c r="AN1485" s="23"/>
      <c r="AO1485" s="23"/>
      <c r="AP1485" s="23"/>
      <c r="AQ1485" s="23"/>
      <c r="AR1485" s="35"/>
      <c r="AS1485" s="35"/>
      <c r="AT1485" s="35"/>
      <c r="AU1485" s="31"/>
      <c r="AV1485" s="36"/>
    </row>
    <row r="1486" spans="4:48">
      <c r="D1486" s="31"/>
      <c r="E1486" s="31"/>
      <c r="F1486" s="31"/>
      <c r="G1486" s="31"/>
      <c r="H1486" s="32"/>
      <c r="J1486" s="33"/>
      <c r="K1486" s="33"/>
      <c r="L1486" s="33"/>
      <c r="X1486" s="23"/>
      <c r="Y1486" s="23"/>
      <c r="Z1486" s="23"/>
      <c r="AA1486" s="23"/>
      <c r="AF1486" s="23"/>
      <c r="AG1486" s="23"/>
      <c r="AH1486" s="23"/>
      <c r="AI1486" s="23"/>
      <c r="AN1486" s="23"/>
      <c r="AO1486" s="23"/>
      <c r="AP1486" s="23"/>
      <c r="AQ1486" s="23"/>
      <c r="AR1486" s="35"/>
      <c r="AS1486" s="35"/>
      <c r="AT1486" s="35"/>
      <c r="AU1486" s="31"/>
      <c r="AV1486" s="36"/>
    </row>
    <row r="1487" spans="4:48">
      <c r="D1487" s="31"/>
      <c r="E1487" s="31"/>
      <c r="F1487" s="31"/>
      <c r="G1487" s="31"/>
      <c r="H1487" s="32"/>
      <c r="J1487" s="33"/>
      <c r="K1487" s="33"/>
      <c r="L1487" s="33"/>
      <c r="X1487" s="23"/>
      <c r="Y1487" s="23"/>
      <c r="Z1487" s="23"/>
      <c r="AA1487" s="23"/>
      <c r="AF1487" s="23"/>
      <c r="AG1487" s="23"/>
      <c r="AH1487" s="23"/>
      <c r="AI1487" s="23"/>
      <c r="AN1487" s="23"/>
      <c r="AO1487" s="23"/>
      <c r="AP1487" s="23"/>
      <c r="AQ1487" s="23"/>
      <c r="AR1487" s="35"/>
      <c r="AS1487" s="35"/>
      <c r="AT1487" s="35"/>
      <c r="AU1487" s="31"/>
      <c r="AV1487" s="36"/>
    </row>
    <row r="1488" spans="4:48">
      <c r="D1488" s="31"/>
      <c r="E1488" s="31"/>
      <c r="F1488" s="31"/>
      <c r="G1488" s="31"/>
      <c r="H1488" s="32"/>
      <c r="J1488" s="33"/>
      <c r="K1488" s="33"/>
      <c r="L1488" s="33"/>
      <c r="X1488" s="23"/>
      <c r="Y1488" s="23"/>
      <c r="Z1488" s="23"/>
      <c r="AA1488" s="23"/>
      <c r="AF1488" s="23"/>
      <c r="AG1488" s="23"/>
      <c r="AH1488" s="23"/>
      <c r="AI1488" s="23"/>
      <c r="AN1488" s="23"/>
      <c r="AO1488" s="23"/>
      <c r="AP1488" s="23"/>
      <c r="AQ1488" s="23"/>
      <c r="AR1488" s="35"/>
      <c r="AS1488" s="35"/>
      <c r="AT1488" s="35"/>
      <c r="AU1488" s="31"/>
      <c r="AV1488" s="36"/>
    </row>
    <row r="1489" spans="4:48">
      <c r="D1489" s="31"/>
      <c r="E1489" s="31"/>
      <c r="F1489" s="31"/>
      <c r="G1489" s="31"/>
      <c r="H1489" s="32"/>
      <c r="J1489" s="33"/>
      <c r="K1489" s="33"/>
      <c r="L1489" s="33"/>
      <c r="X1489" s="23"/>
      <c r="Y1489" s="23"/>
      <c r="Z1489" s="23"/>
      <c r="AA1489" s="23"/>
      <c r="AF1489" s="23"/>
      <c r="AG1489" s="23"/>
      <c r="AH1489" s="23"/>
      <c r="AI1489" s="23"/>
      <c r="AN1489" s="23"/>
      <c r="AO1489" s="23"/>
      <c r="AP1489" s="23"/>
      <c r="AQ1489" s="23"/>
      <c r="AR1489" s="35"/>
      <c r="AS1489" s="35"/>
      <c r="AT1489" s="35"/>
      <c r="AU1489" s="31"/>
      <c r="AV1489" s="36"/>
    </row>
    <row r="1490" spans="4:48">
      <c r="D1490" s="31"/>
      <c r="E1490" s="31"/>
      <c r="F1490" s="31"/>
      <c r="G1490" s="31"/>
      <c r="H1490" s="32"/>
      <c r="J1490" s="33"/>
      <c r="K1490" s="33"/>
      <c r="L1490" s="33"/>
      <c r="X1490" s="23"/>
      <c r="Y1490" s="23"/>
      <c r="Z1490" s="23"/>
      <c r="AA1490" s="23"/>
      <c r="AF1490" s="23"/>
      <c r="AG1490" s="23"/>
      <c r="AH1490" s="23"/>
      <c r="AI1490" s="23"/>
      <c r="AN1490" s="23"/>
      <c r="AO1490" s="23"/>
      <c r="AP1490" s="23"/>
      <c r="AQ1490" s="23"/>
      <c r="AR1490" s="35"/>
      <c r="AS1490" s="35"/>
      <c r="AT1490" s="35"/>
      <c r="AU1490" s="31"/>
      <c r="AV1490" s="36"/>
    </row>
    <row r="1491" spans="4:48">
      <c r="D1491" s="31"/>
      <c r="E1491" s="31"/>
      <c r="F1491" s="31"/>
      <c r="G1491" s="31"/>
      <c r="H1491" s="32"/>
      <c r="J1491" s="33"/>
      <c r="K1491" s="33"/>
      <c r="L1491" s="33"/>
      <c r="X1491" s="23"/>
      <c r="Y1491" s="23"/>
      <c r="Z1491" s="23"/>
      <c r="AA1491" s="23"/>
      <c r="AF1491" s="23"/>
      <c r="AG1491" s="23"/>
      <c r="AH1491" s="23"/>
      <c r="AI1491" s="23"/>
      <c r="AN1491" s="23"/>
      <c r="AO1491" s="23"/>
      <c r="AP1491" s="23"/>
      <c r="AQ1491" s="23"/>
      <c r="AR1491" s="35"/>
      <c r="AS1491" s="35"/>
      <c r="AT1491" s="35"/>
      <c r="AU1491" s="31"/>
      <c r="AV1491" s="36"/>
    </row>
    <row r="1492" spans="4:48">
      <c r="D1492" s="31"/>
      <c r="E1492" s="31"/>
      <c r="F1492" s="31"/>
      <c r="G1492" s="31"/>
      <c r="H1492" s="32"/>
      <c r="J1492" s="33"/>
      <c r="K1492" s="33"/>
      <c r="L1492" s="33"/>
      <c r="X1492" s="23"/>
      <c r="Y1492" s="23"/>
      <c r="Z1492" s="23"/>
      <c r="AA1492" s="23"/>
      <c r="AF1492" s="23"/>
      <c r="AG1492" s="23"/>
      <c r="AH1492" s="23"/>
      <c r="AI1492" s="23"/>
      <c r="AN1492" s="23"/>
      <c r="AO1492" s="23"/>
      <c r="AP1492" s="23"/>
      <c r="AQ1492" s="23"/>
      <c r="AR1492" s="35"/>
      <c r="AS1492" s="35"/>
      <c r="AT1492" s="35"/>
      <c r="AU1492" s="31"/>
      <c r="AV1492" s="36"/>
    </row>
    <row r="1493" spans="4:48">
      <c r="D1493" s="31"/>
      <c r="E1493" s="31"/>
      <c r="F1493" s="31"/>
      <c r="G1493" s="31"/>
      <c r="H1493" s="32"/>
      <c r="J1493" s="33"/>
      <c r="K1493" s="33"/>
      <c r="L1493" s="33"/>
      <c r="X1493" s="23"/>
      <c r="Y1493" s="23"/>
      <c r="Z1493" s="23"/>
      <c r="AA1493" s="23"/>
      <c r="AF1493" s="23"/>
      <c r="AG1493" s="23"/>
      <c r="AH1493" s="23"/>
      <c r="AI1493" s="23"/>
      <c r="AN1493" s="23"/>
      <c r="AO1493" s="23"/>
      <c r="AP1493" s="23"/>
      <c r="AQ1493" s="23"/>
      <c r="AR1493" s="35"/>
      <c r="AS1493" s="35"/>
      <c r="AT1493" s="35"/>
      <c r="AU1493" s="31"/>
      <c r="AV1493" s="36"/>
    </row>
    <row r="1494" spans="4:48">
      <c r="D1494" s="31"/>
      <c r="E1494" s="31"/>
      <c r="F1494" s="31"/>
      <c r="G1494" s="31"/>
      <c r="H1494" s="32"/>
      <c r="J1494" s="33"/>
      <c r="K1494" s="33"/>
      <c r="L1494" s="33"/>
      <c r="X1494" s="23"/>
      <c r="Y1494" s="23"/>
      <c r="Z1494" s="23"/>
      <c r="AA1494" s="23"/>
      <c r="AF1494" s="23"/>
      <c r="AG1494" s="23"/>
      <c r="AH1494" s="23"/>
      <c r="AI1494" s="23"/>
      <c r="AN1494" s="23"/>
      <c r="AO1494" s="23"/>
      <c r="AP1494" s="23"/>
      <c r="AQ1494" s="23"/>
      <c r="AR1494" s="35"/>
      <c r="AS1494" s="35"/>
      <c r="AT1494" s="35"/>
      <c r="AU1494" s="31"/>
      <c r="AV1494" s="36"/>
    </row>
    <row r="1495" spans="4:48">
      <c r="D1495" s="31"/>
      <c r="E1495" s="31"/>
      <c r="F1495" s="31"/>
      <c r="G1495" s="31"/>
      <c r="H1495" s="32"/>
      <c r="J1495" s="33"/>
      <c r="K1495" s="33"/>
      <c r="L1495" s="33"/>
      <c r="X1495" s="23"/>
      <c r="Y1495" s="23"/>
      <c r="Z1495" s="23"/>
      <c r="AA1495" s="23"/>
      <c r="AF1495" s="23"/>
      <c r="AG1495" s="23"/>
      <c r="AH1495" s="23"/>
      <c r="AI1495" s="23"/>
      <c r="AN1495" s="23"/>
      <c r="AO1495" s="23"/>
      <c r="AP1495" s="23"/>
      <c r="AQ1495" s="23"/>
      <c r="AR1495" s="35"/>
      <c r="AS1495" s="35"/>
      <c r="AT1495" s="35"/>
      <c r="AU1495" s="31"/>
      <c r="AV1495" s="36"/>
    </row>
    <row r="1496" spans="4:48">
      <c r="D1496" s="31"/>
      <c r="E1496" s="31"/>
      <c r="F1496" s="31"/>
      <c r="G1496" s="31"/>
      <c r="H1496" s="32"/>
      <c r="J1496" s="33"/>
      <c r="K1496" s="33"/>
      <c r="L1496" s="33"/>
      <c r="X1496" s="23"/>
      <c r="Y1496" s="23"/>
      <c r="Z1496" s="23"/>
      <c r="AA1496" s="23"/>
      <c r="AF1496" s="23"/>
      <c r="AG1496" s="23"/>
      <c r="AH1496" s="23"/>
      <c r="AI1496" s="23"/>
      <c r="AN1496" s="23"/>
      <c r="AO1496" s="23"/>
      <c r="AP1496" s="23"/>
      <c r="AQ1496" s="23"/>
      <c r="AR1496" s="35"/>
      <c r="AS1496" s="35"/>
      <c r="AT1496" s="35"/>
      <c r="AU1496" s="31"/>
      <c r="AV1496" s="36"/>
    </row>
    <row r="1497" spans="4:48">
      <c r="D1497" s="31"/>
      <c r="E1497" s="31"/>
      <c r="F1497" s="31"/>
      <c r="G1497" s="31"/>
      <c r="H1497" s="32"/>
      <c r="J1497" s="33"/>
      <c r="K1497" s="33"/>
      <c r="L1497" s="33"/>
      <c r="X1497" s="23"/>
      <c r="Y1497" s="23"/>
      <c r="Z1497" s="23"/>
      <c r="AA1497" s="23"/>
      <c r="AF1497" s="23"/>
      <c r="AG1497" s="23"/>
      <c r="AH1497" s="23"/>
      <c r="AI1497" s="23"/>
      <c r="AN1497" s="23"/>
      <c r="AO1497" s="23"/>
      <c r="AP1497" s="23"/>
      <c r="AQ1497" s="23"/>
      <c r="AR1497" s="35"/>
      <c r="AS1497" s="35"/>
      <c r="AT1497" s="35"/>
      <c r="AU1497" s="31"/>
      <c r="AV1497" s="36"/>
    </row>
    <row r="1498" spans="4:48">
      <c r="D1498" s="31"/>
      <c r="E1498" s="31"/>
      <c r="F1498" s="31"/>
      <c r="G1498" s="31"/>
      <c r="H1498" s="32"/>
      <c r="J1498" s="33"/>
      <c r="K1498" s="33"/>
      <c r="L1498" s="33"/>
      <c r="X1498" s="23"/>
      <c r="Y1498" s="23"/>
      <c r="Z1498" s="23"/>
      <c r="AA1498" s="23"/>
      <c r="AF1498" s="23"/>
      <c r="AG1498" s="23"/>
      <c r="AH1498" s="23"/>
      <c r="AI1498" s="23"/>
      <c r="AN1498" s="23"/>
      <c r="AO1498" s="23"/>
      <c r="AP1498" s="23"/>
      <c r="AQ1498" s="23"/>
      <c r="AR1498" s="35"/>
      <c r="AS1498" s="35"/>
      <c r="AT1498" s="35"/>
      <c r="AU1498" s="31"/>
      <c r="AV1498" s="36"/>
    </row>
    <row r="1499" spans="4:48">
      <c r="D1499" s="31"/>
      <c r="E1499" s="31"/>
      <c r="F1499" s="31"/>
      <c r="G1499" s="31"/>
      <c r="H1499" s="32"/>
      <c r="J1499" s="33"/>
      <c r="K1499" s="33"/>
      <c r="L1499" s="33"/>
      <c r="X1499" s="23"/>
      <c r="Y1499" s="23"/>
      <c r="Z1499" s="23"/>
      <c r="AA1499" s="23"/>
      <c r="AF1499" s="23"/>
      <c r="AG1499" s="23"/>
      <c r="AH1499" s="23"/>
      <c r="AI1499" s="23"/>
      <c r="AN1499" s="23"/>
      <c r="AO1499" s="23"/>
      <c r="AP1499" s="23"/>
      <c r="AQ1499" s="23"/>
      <c r="AR1499" s="35"/>
      <c r="AS1499" s="35"/>
      <c r="AT1499" s="35"/>
      <c r="AU1499" s="31"/>
      <c r="AV1499" s="36"/>
    </row>
    <row r="1500" spans="4:48">
      <c r="D1500" s="31"/>
      <c r="E1500" s="31"/>
      <c r="F1500" s="31"/>
      <c r="G1500" s="31"/>
      <c r="H1500" s="32"/>
      <c r="J1500" s="33"/>
      <c r="K1500" s="33"/>
      <c r="L1500" s="33"/>
      <c r="X1500" s="23"/>
      <c r="Y1500" s="23"/>
      <c r="Z1500" s="23"/>
      <c r="AA1500" s="23"/>
      <c r="AF1500" s="23"/>
      <c r="AG1500" s="23"/>
      <c r="AH1500" s="23"/>
      <c r="AI1500" s="23"/>
      <c r="AN1500" s="23"/>
      <c r="AO1500" s="23"/>
      <c r="AP1500" s="23"/>
      <c r="AQ1500" s="23"/>
      <c r="AR1500" s="35"/>
      <c r="AS1500" s="35"/>
      <c r="AT1500" s="35"/>
      <c r="AU1500" s="31"/>
      <c r="AV1500" s="36"/>
    </row>
    <row r="1501" spans="4:48">
      <c r="D1501" s="31"/>
      <c r="E1501" s="31"/>
      <c r="F1501" s="31"/>
      <c r="G1501" s="31"/>
      <c r="H1501" s="32"/>
      <c r="J1501" s="33"/>
      <c r="K1501" s="33"/>
      <c r="L1501" s="33"/>
      <c r="X1501" s="23"/>
      <c r="Y1501" s="23"/>
      <c r="Z1501" s="23"/>
      <c r="AA1501" s="23"/>
      <c r="AF1501" s="23"/>
      <c r="AG1501" s="23"/>
      <c r="AH1501" s="23"/>
      <c r="AI1501" s="23"/>
      <c r="AN1501" s="23"/>
      <c r="AO1501" s="23"/>
      <c r="AP1501" s="23"/>
      <c r="AQ1501" s="23"/>
      <c r="AR1501" s="35"/>
      <c r="AS1501" s="35"/>
      <c r="AT1501" s="35"/>
      <c r="AU1501" s="31"/>
      <c r="AV1501" s="36"/>
    </row>
    <row r="1502" spans="4:48">
      <c r="D1502" s="31"/>
      <c r="E1502" s="31"/>
      <c r="F1502" s="31"/>
      <c r="G1502" s="31"/>
      <c r="H1502" s="32"/>
      <c r="J1502" s="33"/>
      <c r="K1502" s="33"/>
      <c r="L1502" s="33"/>
      <c r="X1502" s="23"/>
      <c r="Y1502" s="23"/>
      <c r="Z1502" s="23"/>
      <c r="AA1502" s="23"/>
      <c r="AF1502" s="23"/>
      <c r="AG1502" s="23"/>
      <c r="AH1502" s="23"/>
      <c r="AI1502" s="23"/>
      <c r="AN1502" s="23"/>
      <c r="AO1502" s="23"/>
      <c r="AP1502" s="23"/>
      <c r="AQ1502" s="23"/>
      <c r="AR1502" s="35"/>
      <c r="AS1502" s="35"/>
      <c r="AT1502" s="35"/>
      <c r="AU1502" s="31"/>
      <c r="AV1502" s="36"/>
    </row>
    <row r="1503" spans="4:48">
      <c r="D1503" s="31"/>
      <c r="E1503" s="31"/>
      <c r="F1503" s="31"/>
      <c r="G1503" s="31"/>
      <c r="H1503" s="32"/>
      <c r="J1503" s="33"/>
      <c r="K1503" s="33"/>
      <c r="L1503" s="33"/>
      <c r="X1503" s="23"/>
      <c r="Y1503" s="23"/>
      <c r="Z1503" s="23"/>
      <c r="AA1503" s="23"/>
      <c r="AF1503" s="23"/>
      <c r="AG1503" s="23"/>
      <c r="AH1503" s="23"/>
      <c r="AI1503" s="23"/>
      <c r="AN1503" s="23"/>
      <c r="AO1503" s="23"/>
      <c r="AP1503" s="23"/>
      <c r="AQ1503" s="23"/>
      <c r="AR1503" s="35"/>
      <c r="AS1503" s="35"/>
      <c r="AT1503" s="35"/>
      <c r="AU1503" s="31"/>
      <c r="AV1503" s="36"/>
    </row>
    <row r="1504" spans="4:48">
      <c r="D1504" s="31"/>
      <c r="E1504" s="31"/>
      <c r="F1504" s="31"/>
      <c r="G1504" s="31"/>
      <c r="H1504" s="32"/>
      <c r="J1504" s="33"/>
      <c r="K1504" s="33"/>
      <c r="L1504" s="33"/>
      <c r="X1504" s="23"/>
      <c r="Y1504" s="23"/>
      <c r="Z1504" s="23"/>
      <c r="AA1504" s="23"/>
      <c r="AF1504" s="23"/>
      <c r="AG1504" s="23"/>
      <c r="AH1504" s="23"/>
      <c r="AI1504" s="23"/>
      <c r="AN1504" s="23"/>
      <c r="AO1504" s="23"/>
      <c r="AP1504" s="23"/>
      <c r="AQ1504" s="23"/>
      <c r="AR1504" s="35"/>
      <c r="AS1504" s="35"/>
      <c r="AT1504" s="35"/>
      <c r="AU1504" s="31"/>
      <c r="AV1504" s="36"/>
    </row>
    <row r="1505" spans="4:48">
      <c r="D1505" s="31"/>
      <c r="E1505" s="31"/>
      <c r="F1505" s="31"/>
      <c r="G1505" s="31"/>
      <c r="H1505" s="32"/>
      <c r="J1505" s="33"/>
      <c r="K1505" s="33"/>
      <c r="L1505" s="33"/>
      <c r="X1505" s="23"/>
      <c r="Y1505" s="23"/>
      <c r="Z1505" s="23"/>
      <c r="AA1505" s="23"/>
      <c r="AF1505" s="23"/>
      <c r="AG1505" s="23"/>
      <c r="AH1505" s="23"/>
      <c r="AI1505" s="23"/>
      <c r="AN1505" s="23"/>
      <c r="AO1505" s="23"/>
      <c r="AP1505" s="23"/>
      <c r="AQ1505" s="23"/>
      <c r="AR1505" s="35"/>
      <c r="AS1505" s="35"/>
      <c r="AT1505" s="35"/>
      <c r="AU1505" s="31"/>
      <c r="AV1505" s="36"/>
    </row>
    <row r="1506" spans="4:48">
      <c r="D1506" s="31"/>
      <c r="E1506" s="31"/>
      <c r="F1506" s="31"/>
      <c r="G1506" s="31"/>
      <c r="H1506" s="32"/>
      <c r="J1506" s="33"/>
      <c r="K1506" s="33"/>
      <c r="L1506" s="33"/>
      <c r="X1506" s="23"/>
      <c r="Y1506" s="23"/>
      <c r="Z1506" s="23"/>
      <c r="AA1506" s="23"/>
      <c r="AF1506" s="23"/>
      <c r="AG1506" s="23"/>
      <c r="AH1506" s="23"/>
      <c r="AI1506" s="23"/>
      <c r="AN1506" s="23"/>
      <c r="AO1506" s="23"/>
      <c r="AP1506" s="23"/>
      <c r="AQ1506" s="23"/>
      <c r="AR1506" s="35"/>
      <c r="AS1506" s="35"/>
      <c r="AT1506" s="35"/>
      <c r="AU1506" s="31"/>
      <c r="AV1506" s="36"/>
    </row>
    <row r="1507" spans="4:48">
      <c r="D1507" s="31"/>
      <c r="E1507" s="31"/>
      <c r="F1507" s="31"/>
      <c r="G1507" s="31"/>
      <c r="H1507" s="32"/>
      <c r="J1507" s="33"/>
      <c r="K1507" s="33"/>
      <c r="L1507" s="33"/>
      <c r="X1507" s="23"/>
      <c r="Y1507" s="23"/>
      <c r="Z1507" s="23"/>
      <c r="AA1507" s="23"/>
      <c r="AF1507" s="23"/>
      <c r="AG1507" s="23"/>
      <c r="AH1507" s="23"/>
      <c r="AI1507" s="23"/>
      <c r="AN1507" s="23"/>
      <c r="AO1507" s="23"/>
      <c r="AP1507" s="23"/>
      <c r="AQ1507" s="23"/>
      <c r="AR1507" s="35"/>
      <c r="AS1507" s="35"/>
      <c r="AT1507" s="35"/>
      <c r="AU1507" s="31"/>
      <c r="AV1507" s="36"/>
    </row>
    <row r="1508" spans="4:48">
      <c r="D1508" s="31"/>
      <c r="E1508" s="31"/>
      <c r="F1508" s="31"/>
      <c r="G1508" s="31"/>
      <c r="H1508" s="32"/>
      <c r="J1508" s="33"/>
      <c r="K1508" s="33"/>
      <c r="L1508" s="33"/>
      <c r="X1508" s="23"/>
      <c r="Y1508" s="23"/>
      <c r="Z1508" s="23"/>
      <c r="AA1508" s="23"/>
      <c r="AF1508" s="23"/>
      <c r="AG1508" s="23"/>
      <c r="AH1508" s="23"/>
      <c r="AI1508" s="23"/>
      <c r="AN1508" s="23"/>
      <c r="AO1508" s="23"/>
      <c r="AP1508" s="23"/>
      <c r="AQ1508" s="23"/>
      <c r="AR1508" s="35"/>
      <c r="AS1508" s="35"/>
      <c r="AT1508" s="35"/>
      <c r="AU1508" s="31"/>
      <c r="AV1508" s="36"/>
    </row>
    <row r="1509" spans="4:48">
      <c r="D1509" s="31"/>
      <c r="E1509" s="31"/>
      <c r="F1509" s="31"/>
      <c r="G1509" s="31"/>
      <c r="H1509" s="32"/>
      <c r="J1509" s="33"/>
      <c r="K1509" s="33"/>
      <c r="L1509" s="33"/>
      <c r="X1509" s="23"/>
      <c r="Y1509" s="23"/>
      <c r="Z1509" s="23"/>
      <c r="AA1509" s="23"/>
      <c r="AF1509" s="23"/>
      <c r="AG1509" s="23"/>
      <c r="AH1509" s="23"/>
      <c r="AI1509" s="23"/>
      <c r="AN1509" s="23"/>
      <c r="AO1509" s="23"/>
      <c r="AP1509" s="23"/>
      <c r="AQ1509" s="23"/>
      <c r="AR1509" s="35"/>
      <c r="AS1509" s="35"/>
      <c r="AT1509" s="35"/>
      <c r="AU1509" s="31"/>
      <c r="AV1509" s="36"/>
    </row>
    <row r="1510" spans="4:48">
      <c r="D1510" s="31"/>
      <c r="E1510" s="31"/>
      <c r="F1510" s="31"/>
      <c r="G1510" s="31"/>
      <c r="H1510" s="32"/>
      <c r="J1510" s="33"/>
      <c r="K1510" s="33"/>
      <c r="L1510" s="33"/>
      <c r="X1510" s="23"/>
      <c r="Y1510" s="23"/>
      <c r="Z1510" s="23"/>
      <c r="AA1510" s="23"/>
      <c r="AF1510" s="23"/>
      <c r="AG1510" s="23"/>
      <c r="AH1510" s="23"/>
      <c r="AI1510" s="23"/>
      <c r="AN1510" s="23"/>
      <c r="AO1510" s="23"/>
      <c r="AP1510" s="23"/>
      <c r="AQ1510" s="23"/>
      <c r="AR1510" s="35"/>
      <c r="AS1510" s="35"/>
      <c r="AT1510" s="35"/>
      <c r="AU1510" s="31"/>
      <c r="AV1510" s="36"/>
    </row>
    <row r="1511" spans="4:48">
      <c r="D1511" s="31"/>
      <c r="E1511" s="31"/>
      <c r="F1511" s="31"/>
      <c r="G1511" s="31"/>
      <c r="H1511" s="32"/>
      <c r="J1511" s="33"/>
      <c r="K1511" s="33"/>
      <c r="L1511" s="33"/>
      <c r="X1511" s="23"/>
      <c r="Y1511" s="23"/>
      <c r="Z1511" s="23"/>
      <c r="AA1511" s="23"/>
      <c r="AF1511" s="23"/>
      <c r="AG1511" s="23"/>
      <c r="AH1511" s="23"/>
      <c r="AI1511" s="23"/>
      <c r="AN1511" s="23"/>
      <c r="AO1511" s="23"/>
      <c r="AP1511" s="23"/>
      <c r="AQ1511" s="23"/>
      <c r="AR1511" s="35"/>
      <c r="AS1511" s="35"/>
      <c r="AT1511" s="35"/>
      <c r="AU1511" s="31"/>
      <c r="AV1511" s="36"/>
    </row>
    <row r="1512" spans="4:48">
      <c r="D1512" s="31"/>
      <c r="E1512" s="31"/>
      <c r="F1512" s="31"/>
      <c r="G1512" s="31"/>
      <c r="H1512" s="32"/>
      <c r="J1512" s="33"/>
      <c r="K1512" s="33"/>
      <c r="L1512" s="33"/>
      <c r="X1512" s="23"/>
      <c r="Y1512" s="23"/>
      <c r="Z1512" s="23"/>
      <c r="AA1512" s="23"/>
      <c r="AF1512" s="23"/>
      <c r="AG1512" s="23"/>
      <c r="AH1512" s="23"/>
      <c r="AI1512" s="23"/>
      <c r="AN1512" s="23"/>
      <c r="AO1512" s="23"/>
      <c r="AP1512" s="23"/>
      <c r="AQ1512" s="23"/>
      <c r="AR1512" s="35"/>
      <c r="AS1512" s="35"/>
      <c r="AT1512" s="35"/>
      <c r="AU1512" s="31"/>
      <c r="AV1512" s="36"/>
    </row>
    <row r="1513" spans="4:48">
      <c r="D1513" s="31"/>
      <c r="E1513" s="31"/>
      <c r="F1513" s="31"/>
      <c r="G1513" s="31"/>
      <c r="H1513" s="32"/>
      <c r="J1513" s="33"/>
      <c r="K1513" s="33"/>
      <c r="L1513" s="33"/>
      <c r="X1513" s="23"/>
      <c r="Y1513" s="23"/>
      <c r="Z1513" s="23"/>
      <c r="AA1513" s="23"/>
      <c r="AF1513" s="23"/>
      <c r="AG1513" s="23"/>
      <c r="AH1513" s="23"/>
      <c r="AI1513" s="23"/>
      <c r="AN1513" s="23"/>
      <c r="AO1513" s="23"/>
      <c r="AP1513" s="23"/>
      <c r="AQ1513" s="23"/>
      <c r="AR1513" s="35"/>
      <c r="AS1513" s="35"/>
      <c r="AT1513" s="35"/>
      <c r="AU1513" s="31"/>
      <c r="AV1513" s="36"/>
    </row>
    <row r="1514" spans="4:48">
      <c r="D1514" s="31"/>
      <c r="E1514" s="31"/>
      <c r="F1514" s="31"/>
      <c r="G1514" s="31"/>
      <c r="H1514" s="32"/>
      <c r="J1514" s="33"/>
      <c r="K1514" s="33"/>
      <c r="L1514" s="33"/>
      <c r="X1514" s="23"/>
      <c r="Y1514" s="23"/>
      <c r="Z1514" s="23"/>
      <c r="AA1514" s="23"/>
      <c r="AF1514" s="23"/>
      <c r="AG1514" s="23"/>
      <c r="AH1514" s="23"/>
      <c r="AI1514" s="23"/>
      <c r="AN1514" s="23"/>
      <c r="AO1514" s="23"/>
      <c r="AP1514" s="23"/>
      <c r="AQ1514" s="23"/>
      <c r="AR1514" s="35"/>
      <c r="AS1514" s="35"/>
      <c r="AT1514" s="35"/>
      <c r="AU1514" s="31"/>
      <c r="AV1514" s="36"/>
    </row>
    <row r="1515" spans="4:48">
      <c r="D1515" s="31"/>
      <c r="E1515" s="31"/>
      <c r="F1515" s="31"/>
      <c r="G1515" s="31"/>
      <c r="H1515" s="32"/>
      <c r="J1515" s="33"/>
      <c r="K1515" s="33"/>
      <c r="L1515" s="33"/>
      <c r="X1515" s="23"/>
      <c r="Y1515" s="23"/>
      <c r="Z1515" s="23"/>
      <c r="AA1515" s="23"/>
      <c r="AF1515" s="23"/>
      <c r="AG1515" s="23"/>
      <c r="AH1515" s="23"/>
      <c r="AI1515" s="23"/>
      <c r="AN1515" s="23"/>
      <c r="AO1515" s="23"/>
      <c r="AP1515" s="23"/>
      <c r="AQ1515" s="23"/>
      <c r="AR1515" s="35"/>
      <c r="AS1515" s="35"/>
      <c r="AT1515" s="35"/>
      <c r="AU1515" s="31"/>
      <c r="AV1515" s="36"/>
    </row>
    <row r="1516" spans="4:48">
      <c r="D1516" s="31"/>
      <c r="E1516" s="31"/>
      <c r="F1516" s="31"/>
      <c r="G1516" s="31"/>
      <c r="H1516" s="32"/>
      <c r="J1516" s="33"/>
      <c r="K1516" s="33"/>
      <c r="L1516" s="33"/>
      <c r="X1516" s="23"/>
      <c r="Y1516" s="23"/>
      <c r="Z1516" s="23"/>
      <c r="AA1516" s="23"/>
      <c r="AF1516" s="23"/>
      <c r="AG1516" s="23"/>
      <c r="AH1516" s="23"/>
      <c r="AI1516" s="23"/>
      <c r="AN1516" s="23"/>
      <c r="AO1516" s="23"/>
      <c r="AP1516" s="23"/>
      <c r="AQ1516" s="23"/>
      <c r="AR1516" s="35"/>
      <c r="AS1516" s="35"/>
      <c r="AT1516" s="35"/>
      <c r="AU1516" s="31"/>
      <c r="AV1516" s="36"/>
    </row>
    <row r="1517" spans="4:48">
      <c r="D1517" s="31"/>
      <c r="E1517" s="31"/>
      <c r="F1517" s="31"/>
      <c r="G1517" s="31"/>
      <c r="H1517" s="32"/>
      <c r="J1517" s="33"/>
      <c r="K1517" s="33"/>
      <c r="L1517" s="33"/>
      <c r="X1517" s="23"/>
      <c r="Y1517" s="23"/>
      <c r="Z1517" s="23"/>
      <c r="AA1517" s="23"/>
      <c r="AF1517" s="23"/>
      <c r="AG1517" s="23"/>
      <c r="AH1517" s="23"/>
      <c r="AI1517" s="23"/>
      <c r="AN1517" s="23"/>
      <c r="AO1517" s="23"/>
      <c r="AP1517" s="23"/>
      <c r="AQ1517" s="23"/>
      <c r="AR1517" s="35"/>
      <c r="AS1517" s="35"/>
      <c r="AT1517" s="35"/>
      <c r="AU1517" s="31"/>
      <c r="AV1517" s="36"/>
    </row>
    <row r="1518" spans="4:48">
      <c r="D1518" s="31"/>
      <c r="E1518" s="31"/>
      <c r="F1518" s="31"/>
      <c r="G1518" s="31"/>
      <c r="H1518" s="32"/>
      <c r="J1518" s="33"/>
      <c r="K1518" s="33"/>
      <c r="L1518" s="33"/>
      <c r="X1518" s="23"/>
      <c r="Y1518" s="23"/>
      <c r="Z1518" s="23"/>
      <c r="AA1518" s="23"/>
      <c r="AF1518" s="23"/>
      <c r="AG1518" s="23"/>
      <c r="AH1518" s="23"/>
      <c r="AI1518" s="23"/>
      <c r="AN1518" s="23"/>
      <c r="AO1518" s="23"/>
      <c r="AP1518" s="23"/>
      <c r="AQ1518" s="23"/>
      <c r="AR1518" s="35"/>
      <c r="AS1518" s="35"/>
      <c r="AT1518" s="35"/>
      <c r="AU1518" s="31"/>
      <c r="AV1518" s="36"/>
    </row>
    <row r="1519" spans="4:48">
      <c r="D1519" s="31"/>
      <c r="E1519" s="31"/>
      <c r="F1519" s="31"/>
      <c r="G1519" s="31"/>
      <c r="H1519" s="32"/>
      <c r="J1519" s="33"/>
      <c r="K1519" s="33"/>
      <c r="L1519" s="33"/>
      <c r="X1519" s="23"/>
      <c r="Y1519" s="23"/>
      <c r="Z1519" s="23"/>
      <c r="AA1519" s="23"/>
      <c r="AF1519" s="23"/>
      <c r="AG1519" s="23"/>
      <c r="AH1519" s="23"/>
      <c r="AI1519" s="23"/>
      <c r="AN1519" s="23"/>
      <c r="AO1519" s="23"/>
      <c r="AP1519" s="23"/>
      <c r="AQ1519" s="23"/>
      <c r="AR1519" s="35"/>
      <c r="AS1519" s="35"/>
      <c r="AT1519" s="35"/>
      <c r="AU1519" s="31"/>
      <c r="AV1519" s="36"/>
    </row>
    <row r="1520" spans="4:48">
      <c r="D1520" s="31"/>
      <c r="E1520" s="31"/>
      <c r="F1520" s="31"/>
      <c r="G1520" s="31"/>
      <c r="H1520" s="32"/>
      <c r="J1520" s="33"/>
      <c r="K1520" s="33"/>
      <c r="L1520" s="33"/>
      <c r="X1520" s="23"/>
      <c r="Y1520" s="23"/>
      <c r="Z1520" s="23"/>
      <c r="AA1520" s="23"/>
      <c r="AF1520" s="23"/>
      <c r="AG1520" s="23"/>
      <c r="AH1520" s="23"/>
      <c r="AI1520" s="23"/>
      <c r="AN1520" s="23"/>
      <c r="AO1520" s="23"/>
      <c r="AP1520" s="23"/>
      <c r="AQ1520" s="23"/>
      <c r="AR1520" s="35"/>
      <c r="AS1520" s="35"/>
      <c r="AT1520" s="35"/>
      <c r="AU1520" s="31"/>
      <c r="AV1520" s="36"/>
    </row>
    <row r="1521" spans="4:48">
      <c r="D1521" s="31"/>
      <c r="E1521" s="31"/>
      <c r="F1521" s="31"/>
      <c r="G1521" s="31"/>
      <c r="H1521" s="32"/>
      <c r="J1521" s="33"/>
      <c r="K1521" s="33"/>
      <c r="L1521" s="33"/>
      <c r="X1521" s="23"/>
      <c r="Y1521" s="23"/>
      <c r="Z1521" s="23"/>
      <c r="AA1521" s="23"/>
      <c r="AF1521" s="23"/>
      <c r="AG1521" s="23"/>
      <c r="AH1521" s="23"/>
      <c r="AI1521" s="23"/>
      <c r="AN1521" s="23"/>
      <c r="AO1521" s="23"/>
      <c r="AP1521" s="23"/>
      <c r="AQ1521" s="23"/>
      <c r="AR1521" s="35"/>
      <c r="AS1521" s="35"/>
      <c r="AT1521" s="35"/>
      <c r="AU1521" s="31"/>
      <c r="AV1521" s="36"/>
    </row>
    <row r="1522" spans="4:48">
      <c r="D1522" s="31"/>
      <c r="E1522" s="31"/>
      <c r="F1522" s="31"/>
      <c r="G1522" s="31"/>
      <c r="H1522" s="32"/>
      <c r="J1522" s="33"/>
      <c r="K1522" s="33"/>
      <c r="L1522" s="33"/>
      <c r="X1522" s="23"/>
      <c r="Y1522" s="23"/>
      <c r="Z1522" s="23"/>
      <c r="AA1522" s="23"/>
      <c r="AF1522" s="23"/>
      <c r="AG1522" s="23"/>
      <c r="AH1522" s="23"/>
      <c r="AI1522" s="23"/>
      <c r="AN1522" s="23"/>
      <c r="AO1522" s="23"/>
      <c r="AP1522" s="23"/>
      <c r="AQ1522" s="23"/>
      <c r="AR1522" s="35"/>
      <c r="AS1522" s="35"/>
      <c r="AT1522" s="35"/>
      <c r="AU1522" s="31"/>
      <c r="AV1522" s="36"/>
    </row>
    <row r="1523" spans="4:48">
      <c r="D1523" s="31"/>
      <c r="E1523" s="31"/>
      <c r="F1523" s="31"/>
      <c r="G1523" s="31"/>
      <c r="H1523" s="32"/>
      <c r="J1523" s="33"/>
      <c r="K1523" s="33"/>
      <c r="L1523" s="33"/>
      <c r="X1523" s="23"/>
      <c r="Y1523" s="23"/>
      <c r="Z1523" s="23"/>
      <c r="AA1523" s="23"/>
      <c r="AF1523" s="23"/>
      <c r="AG1523" s="23"/>
      <c r="AH1523" s="23"/>
      <c r="AI1523" s="23"/>
      <c r="AN1523" s="23"/>
      <c r="AO1523" s="23"/>
      <c r="AP1523" s="23"/>
      <c r="AQ1523" s="23"/>
      <c r="AR1523" s="35"/>
      <c r="AS1523" s="35"/>
      <c r="AT1523" s="35"/>
      <c r="AU1523" s="31"/>
      <c r="AV1523" s="36"/>
    </row>
    <row r="1524" spans="4:48">
      <c r="D1524" s="31"/>
      <c r="E1524" s="31"/>
      <c r="F1524" s="31"/>
      <c r="G1524" s="31"/>
      <c r="H1524" s="32"/>
      <c r="J1524" s="33"/>
      <c r="K1524" s="33"/>
      <c r="L1524" s="33"/>
      <c r="X1524" s="23"/>
      <c r="Y1524" s="23"/>
      <c r="Z1524" s="23"/>
      <c r="AA1524" s="23"/>
      <c r="AF1524" s="23"/>
      <c r="AG1524" s="23"/>
      <c r="AH1524" s="23"/>
      <c r="AI1524" s="23"/>
      <c r="AN1524" s="23"/>
      <c r="AO1524" s="23"/>
      <c r="AP1524" s="23"/>
      <c r="AQ1524" s="23"/>
      <c r="AR1524" s="35"/>
      <c r="AS1524" s="35"/>
      <c r="AT1524" s="35"/>
      <c r="AU1524" s="31"/>
      <c r="AV1524" s="36"/>
    </row>
    <row r="1525" spans="4:48">
      <c r="D1525" s="31"/>
      <c r="E1525" s="31"/>
      <c r="F1525" s="31"/>
      <c r="G1525" s="31"/>
      <c r="H1525" s="32"/>
      <c r="J1525" s="33"/>
      <c r="K1525" s="33"/>
      <c r="L1525" s="33"/>
      <c r="X1525" s="23"/>
      <c r="Y1525" s="23"/>
      <c r="Z1525" s="23"/>
      <c r="AA1525" s="23"/>
      <c r="AF1525" s="23"/>
      <c r="AG1525" s="23"/>
      <c r="AH1525" s="23"/>
      <c r="AI1525" s="23"/>
      <c r="AN1525" s="23"/>
      <c r="AO1525" s="23"/>
      <c r="AP1525" s="23"/>
      <c r="AQ1525" s="23"/>
      <c r="AR1525" s="35"/>
      <c r="AS1525" s="35"/>
      <c r="AT1525" s="35"/>
      <c r="AU1525" s="31"/>
      <c r="AV1525" s="36"/>
    </row>
    <row r="1526" spans="4:48">
      <c r="D1526" s="31"/>
      <c r="E1526" s="31"/>
      <c r="F1526" s="31"/>
      <c r="G1526" s="31"/>
      <c r="H1526" s="32"/>
      <c r="J1526" s="33"/>
      <c r="K1526" s="33"/>
      <c r="L1526" s="33"/>
      <c r="X1526" s="23"/>
      <c r="Y1526" s="23"/>
      <c r="Z1526" s="23"/>
      <c r="AA1526" s="23"/>
      <c r="AF1526" s="23"/>
      <c r="AG1526" s="23"/>
      <c r="AH1526" s="23"/>
      <c r="AI1526" s="23"/>
      <c r="AN1526" s="23"/>
      <c r="AO1526" s="23"/>
      <c r="AP1526" s="23"/>
      <c r="AQ1526" s="23"/>
      <c r="AR1526" s="35"/>
      <c r="AS1526" s="35"/>
      <c r="AT1526" s="35"/>
      <c r="AU1526" s="31"/>
      <c r="AV1526" s="36"/>
    </row>
    <row r="1527" spans="4:48">
      <c r="D1527" s="31"/>
      <c r="E1527" s="31"/>
      <c r="F1527" s="31"/>
      <c r="G1527" s="31"/>
      <c r="H1527" s="32"/>
      <c r="J1527" s="33"/>
      <c r="K1527" s="33"/>
      <c r="L1527" s="33"/>
      <c r="X1527" s="23"/>
      <c r="Y1527" s="23"/>
      <c r="Z1527" s="23"/>
      <c r="AA1527" s="23"/>
      <c r="AF1527" s="23"/>
      <c r="AG1527" s="23"/>
      <c r="AH1527" s="23"/>
      <c r="AI1527" s="23"/>
      <c r="AN1527" s="23"/>
      <c r="AO1527" s="23"/>
      <c r="AP1527" s="23"/>
      <c r="AQ1527" s="23"/>
      <c r="AR1527" s="35"/>
      <c r="AS1527" s="35"/>
      <c r="AT1527" s="35"/>
      <c r="AU1527" s="31"/>
      <c r="AV1527" s="36"/>
    </row>
    <row r="1528" spans="4:48">
      <c r="D1528" s="31"/>
      <c r="E1528" s="31"/>
      <c r="F1528" s="31"/>
      <c r="G1528" s="31"/>
      <c r="H1528" s="32"/>
      <c r="J1528" s="33"/>
      <c r="K1528" s="33"/>
      <c r="L1528" s="33"/>
      <c r="X1528" s="23"/>
      <c r="Y1528" s="23"/>
      <c r="Z1528" s="23"/>
      <c r="AA1528" s="23"/>
      <c r="AF1528" s="23"/>
      <c r="AG1528" s="23"/>
      <c r="AH1528" s="23"/>
      <c r="AI1528" s="23"/>
      <c r="AN1528" s="23"/>
      <c r="AO1528" s="23"/>
      <c r="AP1528" s="23"/>
      <c r="AQ1528" s="23"/>
      <c r="AR1528" s="35"/>
      <c r="AS1528" s="35"/>
      <c r="AT1528" s="35"/>
      <c r="AU1528" s="31"/>
      <c r="AV1528" s="36"/>
    </row>
    <row r="1529" spans="4:48">
      <c r="D1529" s="31"/>
      <c r="E1529" s="31"/>
      <c r="F1529" s="31"/>
      <c r="G1529" s="31"/>
      <c r="H1529" s="32"/>
      <c r="J1529" s="33"/>
      <c r="K1529" s="33"/>
      <c r="L1529" s="33"/>
      <c r="X1529" s="23"/>
      <c r="Y1529" s="23"/>
      <c r="Z1529" s="23"/>
      <c r="AA1529" s="23"/>
      <c r="AF1529" s="23"/>
      <c r="AG1529" s="23"/>
      <c r="AH1529" s="23"/>
      <c r="AI1529" s="23"/>
      <c r="AN1529" s="23"/>
      <c r="AO1529" s="23"/>
      <c r="AP1529" s="23"/>
      <c r="AQ1529" s="23"/>
      <c r="AR1529" s="35"/>
      <c r="AS1529" s="35"/>
      <c r="AT1529" s="35"/>
      <c r="AU1529" s="31"/>
      <c r="AV1529" s="36"/>
    </row>
    <row r="1530" spans="4:48">
      <c r="D1530" s="31"/>
      <c r="E1530" s="31"/>
      <c r="F1530" s="31"/>
      <c r="G1530" s="31"/>
      <c r="H1530" s="32"/>
      <c r="J1530" s="33"/>
      <c r="K1530" s="33"/>
      <c r="L1530" s="33"/>
      <c r="X1530" s="23"/>
      <c r="Y1530" s="23"/>
      <c r="Z1530" s="23"/>
      <c r="AA1530" s="23"/>
      <c r="AF1530" s="23"/>
      <c r="AG1530" s="23"/>
      <c r="AH1530" s="23"/>
      <c r="AI1530" s="23"/>
      <c r="AN1530" s="23"/>
      <c r="AO1530" s="23"/>
      <c r="AP1530" s="23"/>
      <c r="AQ1530" s="23"/>
      <c r="AR1530" s="35"/>
      <c r="AS1530" s="35"/>
      <c r="AT1530" s="35"/>
      <c r="AU1530" s="31"/>
      <c r="AV1530" s="36"/>
    </row>
    <row r="1531" spans="4:48">
      <c r="D1531" s="31"/>
      <c r="E1531" s="31"/>
      <c r="F1531" s="31"/>
      <c r="G1531" s="31"/>
      <c r="H1531" s="32"/>
      <c r="J1531" s="33"/>
      <c r="K1531" s="33"/>
      <c r="L1531" s="33"/>
      <c r="X1531" s="23"/>
      <c r="Y1531" s="23"/>
      <c r="Z1531" s="23"/>
      <c r="AA1531" s="23"/>
      <c r="AF1531" s="23"/>
      <c r="AG1531" s="23"/>
      <c r="AH1531" s="23"/>
      <c r="AI1531" s="23"/>
      <c r="AN1531" s="23"/>
      <c r="AO1531" s="23"/>
      <c r="AP1531" s="23"/>
      <c r="AQ1531" s="23"/>
      <c r="AR1531" s="35"/>
      <c r="AS1531" s="35"/>
      <c r="AT1531" s="35"/>
      <c r="AU1531" s="31"/>
      <c r="AV1531" s="36"/>
    </row>
    <row r="1532" spans="4:48">
      <c r="D1532" s="31"/>
      <c r="E1532" s="31"/>
      <c r="F1532" s="31"/>
      <c r="G1532" s="31"/>
      <c r="H1532" s="32"/>
      <c r="J1532" s="33"/>
      <c r="K1532" s="33"/>
      <c r="L1532" s="33"/>
      <c r="X1532" s="23"/>
      <c r="Y1532" s="23"/>
      <c r="Z1532" s="23"/>
      <c r="AA1532" s="23"/>
      <c r="AF1532" s="23"/>
      <c r="AG1532" s="23"/>
      <c r="AH1532" s="23"/>
      <c r="AI1532" s="23"/>
      <c r="AN1532" s="23"/>
      <c r="AO1532" s="23"/>
      <c r="AP1532" s="23"/>
      <c r="AQ1532" s="23"/>
      <c r="AR1532" s="35"/>
      <c r="AS1532" s="35"/>
      <c r="AT1532" s="35"/>
      <c r="AU1532" s="31"/>
      <c r="AV1532" s="36"/>
    </row>
    <row r="1533" spans="4:48">
      <c r="D1533" s="31"/>
      <c r="E1533" s="31"/>
      <c r="F1533" s="31"/>
      <c r="G1533" s="31"/>
      <c r="H1533" s="32"/>
      <c r="J1533" s="33"/>
      <c r="K1533" s="33"/>
      <c r="L1533" s="33"/>
      <c r="X1533" s="23"/>
      <c r="Y1533" s="23"/>
      <c r="Z1533" s="23"/>
      <c r="AA1533" s="23"/>
      <c r="AF1533" s="23"/>
      <c r="AG1533" s="23"/>
      <c r="AH1533" s="23"/>
      <c r="AI1533" s="23"/>
      <c r="AN1533" s="23"/>
      <c r="AO1533" s="23"/>
      <c r="AP1533" s="23"/>
      <c r="AQ1533" s="23"/>
      <c r="AR1533" s="35"/>
      <c r="AS1533" s="35"/>
      <c r="AT1533" s="35"/>
      <c r="AU1533" s="31"/>
      <c r="AV1533" s="36"/>
    </row>
    <row r="1534" spans="4:48">
      <c r="D1534" s="31"/>
      <c r="E1534" s="31"/>
      <c r="F1534" s="31"/>
      <c r="G1534" s="31"/>
      <c r="H1534" s="32"/>
      <c r="J1534" s="33"/>
      <c r="K1534" s="33"/>
      <c r="L1534" s="33"/>
      <c r="X1534" s="23"/>
      <c r="Y1534" s="23"/>
      <c r="Z1534" s="23"/>
      <c r="AA1534" s="23"/>
      <c r="AF1534" s="23"/>
      <c r="AG1534" s="23"/>
      <c r="AH1534" s="23"/>
      <c r="AI1534" s="23"/>
      <c r="AN1534" s="23"/>
      <c r="AO1534" s="23"/>
      <c r="AP1534" s="23"/>
      <c r="AQ1534" s="23"/>
      <c r="AR1534" s="35"/>
      <c r="AS1534" s="35"/>
      <c r="AT1534" s="35"/>
      <c r="AU1534" s="31"/>
      <c r="AV1534" s="36"/>
    </row>
    <row r="1535" spans="4:48">
      <c r="D1535" s="31"/>
      <c r="E1535" s="31"/>
      <c r="F1535" s="31"/>
      <c r="G1535" s="31"/>
      <c r="H1535" s="32"/>
      <c r="J1535" s="33"/>
      <c r="K1535" s="33"/>
      <c r="L1535" s="33"/>
      <c r="X1535" s="23"/>
      <c r="Y1535" s="23"/>
      <c r="Z1535" s="23"/>
      <c r="AA1535" s="23"/>
      <c r="AF1535" s="23"/>
      <c r="AG1535" s="23"/>
      <c r="AH1535" s="23"/>
      <c r="AI1535" s="23"/>
      <c r="AN1535" s="23"/>
      <c r="AO1535" s="23"/>
      <c r="AP1535" s="23"/>
      <c r="AQ1535" s="23"/>
      <c r="AR1535" s="35"/>
      <c r="AS1535" s="35"/>
      <c r="AT1535" s="35"/>
      <c r="AU1535" s="31"/>
      <c r="AV1535" s="36"/>
    </row>
    <row r="1536" spans="4:48">
      <c r="D1536" s="31"/>
      <c r="E1536" s="31"/>
      <c r="F1536" s="31"/>
      <c r="G1536" s="31"/>
      <c r="H1536" s="32"/>
      <c r="J1536" s="33"/>
      <c r="K1536" s="33"/>
      <c r="L1536" s="33"/>
      <c r="X1536" s="23"/>
      <c r="Y1536" s="23"/>
      <c r="Z1536" s="23"/>
      <c r="AA1536" s="23"/>
      <c r="AF1536" s="23"/>
      <c r="AG1536" s="23"/>
      <c r="AH1536" s="23"/>
      <c r="AI1536" s="23"/>
      <c r="AN1536" s="23"/>
      <c r="AO1536" s="23"/>
      <c r="AP1536" s="23"/>
      <c r="AQ1536" s="23"/>
      <c r="AR1536" s="35"/>
      <c r="AS1536" s="35"/>
      <c r="AT1536" s="35"/>
      <c r="AU1536" s="31"/>
      <c r="AV1536" s="36"/>
    </row>
    <row r="1537" spans="4:48">
      <c r="D1537" s="31"/>
      <c r="E1537" s="31"/>
      <c r="F1537" s="31"/>
      <c r="G1537" s="31"/>
      <c r="H1537" s="32"/>
      <c r="J1537" s="33"/>
      <c r="K1537" s="33"/>
      <c r="L1537" s="33"/>
      <c r="X1537" s="23"/>
      <c r="Y1537" s="23"/>
      <c r="Z1537" s="23"/>
      <c r="AA1537" s="23"/>
      <c r="AF1537" s="23"/>
      <c r="AG1537" s="23"/>
      <c r="AH1537" s="23"/>
      <c r="AI1537" s="23"/>
      <c r="AN1537" s="23"/>
      <c r="AO1537" s="23"/>
      <c r="AP1537" s="23"/>
      <c r="AQ1537" s="23"/>
      <c r="AR1537" s="35"/>
      <c r="AS1537" s="35"/>
      <c r="AT1537" s="35"/>
      <c r="AU1537" s="31"/>
      <c r="AV1537" s="36"/>
    </row>
    <row r="1538" spans="4:48">
      <c r="D1538" s="31"/>
      <c r="E1538" s="31"/>
      <c r="F1538" s="31"/>
      <c r="G1538" s="31"/>
      <c r="H1538" s="32"/>
      <c r="J1538" s="33"/>
      <c r="K1538" s="33"/>
      <c r="L1538" s="33"/>
      <c r="X1538" s="23"/>
      <c r="Y1538" s="23"/>
      <c r="Z1538" s="23"/>
      <c r="AA1538" s="23"/>
      <c r="AF1538" s="23"/>
      <c r="AG1538" s="23"/>
      <c r="AH1538" s="23"/>
      <c r="AI1538" s="23"/>
      <c r="AN1538" s="23"/>
      <c r="AO1538" s="23"/>
      <c r="AP1538" s="23"/>
      <c r="AQ1538" s="23"/>
      <c r="AR1538" s="35"/>
      <c r="AS1538" s="35"/>
      <c r="AT1538" s="35"/>
      <c r="AU1538" s="31"/>
      <c r="AV1538" s="36"/>
    </row>
    <row r="1539" spans="4:48">
      <c r="D1539" s="31"/>
      <c r="E1539" s="31"/>
      <c r="F1539" s="31"/>
      <c r="G1539" s="31"/>
      <c r="H1539" s="32"/>
      <c r="J1539" s="33"/>
      <c r="K1539" s="33"/>
      <c r="L1539" s="33"/>
      <c r="X1539" s="23"/>
      <c r="Y1539" s="23"/>
      <c r="Z1539" s="23"/>
      <c r="AA1539" s="23"/>
      <c r="AF1539" s="23"/>
      <c r="AG1539" s="23"/>
      <c r="AH1539" s="23"/>
      <c r="AI1539" s="23"/>
      <c r="AN1539" s="23"/>
      <c r="AO1539" s="23"/>
      <c r="AP1539" s="23"/>
      <c r="AQ1539" s="23"/>
      <c r="AR1539" s="35"/>
      <c r="AS1539" s="35"/>
      <c r="AT1539" s="35"/>
      <c r="AU1539" s="31"/>
      <c r="AV1539" s="36"/>
    </row>
    <row r="1540" spans="4:48">
      <c r="D1540" s="31"/>
      <c r="E1540" s="31"/>
      <c r="F1540" s="31"/>
      <c r="G1540" s="31"/>
      <c r="H1540" s="32"/>
      <c r="J1540" s="33"/>
      <c r="K1540" s="33"/>
      <c r="L1540" s="33"/>
      <c r="X1540" s="23"/>
      <c r="Y1540" s="23"/>
      <c r="Z1540" s="23"/>
      <c r="AA1540" s="23"/>
      <c r="AF1540" s="23"/>
      <c r="AG1540" s="23"/>
      <c r="AH1540" s="23"/>
      <c r="AI1540" s="23"/>
      <c r="AN1540" s="23"/>
      <c r="AO1540" s="23"/>
      <c r="AP1540" s="23"/>
      <c r="AQ1540" s="23"/>
      <c r="AR1540" s="35"/>
      <c r="AS1540" s="35"/>
      <c r="AT1540" s="35"/>
      <c r="AU1540" s="31"/>
      <c r="AV1540" s="36"/>
    </row>
    <row r="1541" spans="4:48">
      <c r="D1541" s="31"/>
      <c r="E1541" s="31"/>
      <c r="F1541" s="31"/>
      <c r="G1541" s="31"/>
      <c r="H1541" s="32"/>
      <c r="J1541" s="33"/>
      <c r="K1541" s="33"/>
      <c r="L1541" s="33"/>
      <c r="X1541" s="23"/>
      <c r="Y1541" s="23"/>
      <c r="Z1541" s="23"/>
      <c r="AA1541" s="23"/>
      <c r="AF1541" s="23"/>
      <c r="AG1541" s="23"/>
      <c r="AH1541" s="23"/>
      <c r="AI1541" s="23"/>
      <c r="AN1541" s="23"/>
      <c r="AO1541" s="23"/>
      <c r="AP1541" s="23"/>
      <c r="AQ1541" s="23"/>
      <c r="AR1541" s="35"/>
      <c r="AS1541" s="35"/>
      <c r="AT1541" s="35"/>
      <c r="AU1541" s="31"/>
      <c r="AV1541" s="36"/>
    </row>
    <row r="1542" spans="4:48">
      <c r="D1542" s="31"/>
      <c r="E1542" s="31"/>
      <c r="F1542" s="31"/>
      <c r="G1542" s="31"/>
      <c r="H1542" s="32"/>
      <c r="J1542" s="33"/>
      <c r="K1542" s="33"/>
      <c r="L1542" s="33"/>
      <c r="X1542" s="23"/>
      <c r="Y1542" s="23"/>
      <c r="Z1542" s="23"/>
      <c r="AA1542" s="23"/>
      <c r="AF1542" s="23"/>
      <c r="AG1542" s="23"/>
      <c r="AH1542" s="23"/>
      <c r="AI1542" s="23"/>
      <c r="AN1542" s="23"/>
      <c r="AO1542" s="23"/>
      <c r="AP1542" s="23"/>
      <c r="AQ1542" s="23"/>
      <c r="AR1542" s="35"/>
      <c r="AS1542" s="35"/>
      <c r="AT1542" s="35"/>
      <c r="AU1542" s="31"/>
      <c r="AV1542" s="36"/>
    </row>
    <row r="1543" spans="4:48">
      <c r="D1543" s="31"/>
      <c r="E1543" s="31"/>
      <c r="F1543" s="31"/>
      <c r="G1543" s="31"/>
      <c r="H1543" s="32"/>
      <c r="J1543" s="33"/>
      <c r="K1543" s="33"/>
      <c r="L1543" s="33"/>
      <c r="X1543" s="23"/>
      <c r="Y1543" s="23"/>
      <c r="Z1543" s="23"/>
      <c r="AA1543" s="23"/>
      <c r="AF1543" s="23"/>
      <c r="AG1543" s="23"/>
      <c r="AH1543" s="23"/>
      <c r="AI1543" s="23"/>
      <c r="AN1543" s="23"/>
      <c r="AO1543" s="23"/>
      <c r="AP1543" s="23"/>
      <c r="AQ1543" s="23"/>
      <c r="AR1543" s="35"/>
      <c r="AS1543" s="35"/>
      <c r="AT1543" s="35"/>
      <c r="AU1543" s="31"/>
      <c r="AV1543" s="36"/>
    </row>
    <row r="1544" spans="4:48">
      <c r="D1544" s="31"/>
      <c r="E1544" s="31"/>
      <c r="F1544" s="31"/>
      <c r="G1544" s="31"/>
      <c r="H1544" s="32"/>
      <c r="J1544" s="33"/>
      <c r="K1544" s="33"/>
      <c r="L1544" s="33"/>
      <c r="X1544" s="23"/>
      <c r="Y1544" s="23"/>
      <c r="Z1544" s="23"/>
      <c r="AA1544" s="23"/>
      <c r="AF1544" s="23"/>
      <c r="AG1544" s="23"/>
      <c r="AH1544" s="23"/>
      <c r="AI1544" s="23"/>
      <c r="AN1544" s="23"/>
      <c r="AO1544" s="23"/>
      <c r="AP1544" s="23"/>
      <c r="AQ1544" s="23"/>
      <c r="AR1544" s="35"/>
      <c r="AS1544" s="35"/>
      <c r="AT1544" s="35"/>
      <c r="AU1544" s="31"/>
      <c r="AV1544" s="36"/>
    </row>
    <row r="1545" spans="4:48">
      <c r="D1545" s="31"/>
      <c r="E1545" s="31"/>
      <c r="F1545" s="31"/>
      <c r="G1545" s="31"/>
      <c r="H1545" s="32"/>
      <c r="J1545" s="33"/>
      <c r="K1545" s="33"/>
      <c r="L1545" s="33"/>
      <c r="X1545" s="23"/>
      <c r="Y1545" s="23"/>
      <c r="Z1545" s="23"/>
      <c r="AA1545" s="23"/>
      <c r="AF1545" s="23"/>
      <c r="AG1545" s="23"/>
      <c r="AH1545" s="23"/>
      <c r="AI1545" s="23"/>
      <c r="AN1545" s="23"/>
      <c r="AO1545" s="23"/>
      <c r="AP1545" s="23"/>
      <c r="AQ1545" s="23"/>
      <c r="AR1545" s="35"/>
      <c r="AS1545" s="35"/>
      <c r="AT1545" s="35"/>
      <c r="AU1545" s="31"/>
      <c r="AV1545" s="36"/>
    </row>
    <row r="1546" spans="4:48">
      <c r="D1546" s="31"/>
      <c r="E1546" s="31"/>
      <c r="F1546" s="31"/>
      <c r="G1546" s="31"/>
      <c r="H1546" s="32"/>
      <c r="J1546" s="33"/>
      <c r="K1546" s="33"/>
      <c r="L1546" s="33"/>
      <c r="X1546" s="23"/>
      <c r="Y1546" s="23"/>
      <c r="Z1546" s="23"/>
      <c r="AA1546" s="23"/>
      <c r="AF1546" s="23"/>
      <c r="AG1546" s="23"/>
      <c r="AH1546" s="23"/>
      <c r="AI1546" s="23"/>
      <c r="AN1546" s="23"/>
      <c r="AO1546" s="23"/>
      <c r="AP1546" s="23"/>
      <c r="AQ1546" s="23"/>
      <c r="AR1546" s="35"/>
      <c r="AS1546" s="35"/>
      <c r="AT1546" s="35"/>
      <c r="AU1546" s="31"/>
      <c r="AV1546" s="36"/>
    </row>
    <row r="1547" spans="4:48">
      <c r="D1547" s="31"/>
      <c r="E1547" s="31"/>
      <c r="F1547" s="31"/>
      <c r="G1547" s="31"/>
      <c r="H1547" s="32"/>
      <c r="J1547" s="33"/>
      <c r="K1547" s="33"/>
      <c r="L1547" s="33"/>
      <c r="X1547" s="23"/>
      <c r="Y1547" s="23"/>
      <c r="Z1547" s="23"/>
      <c r="AA1547" s="23"/>
      <c r="AF1547" s="23"/>
      <c r="AG1547" s="23"/>
      <c r="AH1547" s="23"/>
      <c r="AI1547" s="23"/>
      <c r="AN1547" s="23"/>
      <c r="AO1547" s="23"/>
      <c r="AP1547" s="23"/>
      <c r="AQ1547" s="23"/>
      <c r="AR1547" s="35"/>
      <c r="AS1547" s="35"/>
      <c r="AT1547" s="35"/>
      <c r="AU1547" s="31"/>
      <c r="AV1547" s="36"/>
    </row>
    <row r="1548" spans="4:48">
      <c r="D1548" s="31"/>
      <c r="E1548" s="31"/>
      <c r="F1548" s="31"/>
      <c r="G1548" s="31"/>
      <c r="H1548" s="32"/>
      <c r="J1548" s="33"/>
      <c r="K1548" s="33"/>
      <c r="L1548" s="33"/>
      <c r="X1548" s="23"/>
      <c r="Y1548" s="23"/>
      <c r="Z1548" s="23"/>
      <c r="AA1548" s="23"/>
      <c r="AF1548" s="23"/>
      <c r="AG1548" s="23"/>
      <c r="AH1548" s="23"/>
      <c r="AI1548" s="23"/>
      <c r="AN1548" s="23"/>
      <c r="AO1548" s="23"/>
      <c r="AP1548" s="23"/>
      <c r="AQ1548" s="23"/>
      <c r="AR1548" s="35"/>
      <c r="AS1548" s="35"/>
      <c r="AT1548" s="35"/>
      <c r="AU1548" s="31"/>
      <c r="AV1548" s="36"/>
    </row>
    <row r="1549" spans="4:48">
      <c r="D1549" s="31"/>
      <c r="E1549" s="31"/>
      <c r="F1549" s="31"/>
      <c r="G1549" s="31"/>
      <c r="H1549" s="32"/>
      <c r="J1549" s="33"/>
      <c r="K1549" s="33"/>
      <c r="L1549" s="33"/>
      <c r="X1549" s="23"/>
      <c r="Y1549" s="23"/>
      <c r="Z1549" s="23"/>
      <c r="AA1549" s="23"/>
      <c r="AF1549" s="23"/>
      <c r="AG1549" s="23"/>
      <c r="AH1549" s="23"/>
      <c r="AI1549" s="23"/>
      <c r="AN1549" s="23"/>
      <c r="AO1549" s="23"/>
      <c r="AP1549" s="23"/>
      <c r="AQ1549" s="23"/>
      <c r="AR1549" s="35"/>
      <c r="AS1549" s="35"/>
      <c r="AT1549" s="35"/>
      <c r="AU1549" s="31"/>
      <c r="AV1549" s="36"/>
    </row>
    <row r="1550" spans="4:48">
      <c r="D1550" s="31"/>
      <c r="E1550" s="31"/>
      <c r="F1550" s="31"/>
      <c r="G1550" s="31"/>
      <c r="H1550" s="32"/>
      <c r="J1550" s="33"/>
      <c r="K1550" s="33"/>
      <c r="L1550" s="33"/>
      <c r="X1550" s="23"/>
      <c r="Y1550" s="23"/>
      <c r="Z1550" s="23"/>
      <c r="AA1550" s="23"/>
      <c r="AF1550" s="23"/>
      <c r="AG1550" s="23"/>
      <c r="AH1550" s="23"/>
      <c r="AI1550" s="23"/>
      <c r="AN1550" s="23"/>
      <c r="AO1550" s="23"/>
      <c r="AP1550" s="23"/>
      <c r="AQ1550" s="23"/>
      <c r="AR1550" s="35"/>
      <c r="AS1550" s="35"/>
      <c r="AT1550" s="35"/>
      <c r="AU1550" s="31"/>
      <c r="AV1550" s="36"/>
    </row>
    <row r="1551" spans="4:48">
      <c r="D1551" s="31"/>
      <c r="E1551" s="31"/>
      <c r="F1551" s="31"/>
      <c r="G1551" s="31"/>
      <c r="H1551" s="32"/>
      <c r="J1551" s="33"/>
      <c r="K1551" s="33"/>
      <c r="L1551" s="33"/>
      <c r="X1551" s="23"/>
      <c r="Y1551" s="23"/>
      <c r="Z1551" s="23"/>
      <c r="AA1551" s="23"/>
      <c r="AF1551" s="23"/>
      <c r="AG1551" s="23"/>
      <c r="AH1551" s="23"/>
      <c r="AI1551" s="23"/>
      <c r="AN1551" s="23"/>
      <c r="AO1551" s="23"/>
      <c r="AP1551" s="23"/>
      <c r="AQ1551" s="23"/>
      <c r="AR1551" s="35"/>
      <c r="AS1551" s="35"/>
      <c r="AT1551" s="35"/>
      <c r="AU1551" s="31"/>
      <c r="AV1551" s="36"/>
    </row>
    <row r="1552" spans="4:48">
      <c r="D1552" s="31"/>
      <c r="E1552" s="31"/>
      <c r="F1552" s="31"/>
      <c r="G1552" s="31"/>
      <c r="H1552" s="32"/>
      <c r="J1552" s="33"/>
      <c r="K1552" s="33"/>
      <c r="L1552" s="33"/>
      <c r="X1552" s="23"/>
      <c r="Y1552" s="23"/>
      <c r="Z1552" s="23"/>
      <c r="AA1552" s="23"/>
      <c r="AF1552" s="23"/>
      <c r="AG1552" s="23"/>
      <c r="AH1552" s="23"/>
      <c r="AI1552" s="23"/>
      <c r="AN1552" s="23"/>
      <c r="AO1552" s="23"/>
      <c r="AP1552" s="23"/>
      <c r="AQ1552" s="23"/>
      <c r="AR1552" s="35"/>
      <c r="AS1552" s="35"/>
      <c r="AT1552" s="35"/>
      <c r="AU1552" s="31"/>
      <c r="AV1552" s="36"/>
    </row>
    <row r="1553" spans="4:48">
      <c r="D1553" s="31"/>
      <c r="E1553" s="31"/>
      <c r="F1553" s="31"/>
      <c r="G1553" s="31"/>
      <c r="H1553" s="32"/>
      <c r="J1553" s="33"/>
      <c r="K1553" s="33"/>
      <c r="L1553" s="33"/>
      <c r="X1553" s="23"/>
      <c r="Y1553" s="23"/>
      <c r="Z1553" s="23"/>
      <c r="AA1553" s="23"/>
      <c r="AF1553" s="23"/>
      <c r="AG1553" s="23"/>
      <c r="AH1553" s="23"/>
      <c r="AI1553" s="23"/>
      <c r="AN1553" s="23"/>
      <c r="AO1553" s="23"/>
      <c r="AP1553" s="23"/>
      <c r="AQ1553" s="23"/>
      <c r="AR1553" s="35"/>
      <c r="AS1553" s="35"/>
      <c r="AT1553" s="35"/>
      <c r="AU1553" s="31"/>
      <c r="AV1553" s="36"/>
    </row>
    <row r="1554" spans="4:48">
      <c r="D1554" s="31"/>
      <c r="E1554" s="31"/>
      <c r="F1554" s="31"/>
      <c r="G1554" s="31"/>
      <c r="H1554" s="32"/>
      <c r="J1554" s="33"/>
      <c r="K1554" s="33"/>
      <c r="L1554" s="33"/>
      <c r="X1554" s="23"/>
      <c r="Y1554" s="23"/>
      <c r="Z1554" s="23"/>
      <c r="AA1554" s="23"/>
      <c r="AF1554" s="23"/>
      <c r="AG1554" s="23"/>
      <c r="AH1554" s="23"/>
      <c r="AI1554" s="23"/>
      <c r="AN1554" s="23"/>
      <c r="AO1554" s="23"/>
      <c r="AP1554" s="23"/>
      <c r="AQ1554" s="23"/>
      <c r="AR1554" s="35"/>
      <c r="AS1554" s="35"/>
      <c r="AT1554" s="35"/>
      <c r="AU1554" s="31"/>
      <c r="AV1554" s="36"/>
    </row>
    <row r="1555" spans="4:48">
      <c r="D1555" s="31"/>
      <c r="E1555" s="31"/>
      <c r="F1555" s="31"/>
      <c r="G1555" s="31"/>
      <c r="H1555" s="32"/>
      <c r="J1555" s="33"/>
      <c r="K1555" s="33"/>
      <c r="L1555" s="33"/>
      <c r="X1555" s="23"/>
      <c r="Y1555" s="23"/>
      <c r="Z1555" s="23"/>
      <c r="AA1555" s="23"/>
      <c r="AF1555" s="23"/>
      <c r="AG1555" s="23"/>
      <c r="AH1555" s="23"/>
      <c r="AI1555" s="23"/>
      <c r="AN1555" s="23"/>
      <c r="AO1555" s="23"/>
      <c r="AP1555" s="23"/>
      <c r="AQ1555" s="23"/>
      <c r="AR1555" s="35"/>
      <c r="AS1555" s="35"/>
      <c r="AT1555" s="35"/>
      <c r="AU1555" s="31"/>
      <c r="AV1555" s="36"/>
    </row>
    <row r="1556" spans="4:48">
      <c r="D1556" s="31"/>
      <c r="E1556" s="31"/>
      <c r="F1556" s="31"/>
      <c r="G1556" s="31"/>
      <c r="H1556" s="32"/>
      <c r="J1556" s="33"/>
      <c r="K1556" s="33"/>
      <c r="L1556" s="33"/>
      <c r="X1556" s="23"/>
      <c r="Y1556" s="23"/>
      <c r="Z1556" s="23"/>
      <c r="AA1556" s="23"/>
      <c r="AF1556" s="23"/>
      <c r="AG1556" s="23"/>
      <c r="AH1556" s="23"/>
      <c r="AI1556" s="23"/>
      <c r="AN1556" s="23"/>
      <c r="AO1556" s="23"/>
      <c r="AP1556" s="23"/>
      <c r="AQ1556" s="23"/>
      <c r="AR1556" s="35"/>
      <c r="AS1556" s="35"/>
      <c r="AT1556" s="35"/>
      <c r="AU1556" s="31"/>
      <c r="AV1556" s="36"/>
    </row>
    <row r="1557" spans="4:48">
      <c r="D1557" s="31"/>
      <c r="E1557" s="31"/>
      <c r="F1557" s="31"/>
      <c r="G1557" s="31"/>
      <c r="H1557" s="32"/>
      <c r="J1557" s="33"/>
      <c r="K1557" s="33"/>
      <c r="L1557" s="33"/>
      <c r="X1557" s="23"/>
      <c r="Y1557" s="23"/>
      <c r="Z1557" s="23"/>
      <c r="AA1557" s="23"/>
      <c r="AF1557" s="23"/>
      <c r="AG1557" s="23"/>
      <c r="AH1557" s="23"/>
      <c r="AI1557" s="23"/>
      <c r="AN1557" s="23"/>
      <c r="AO1557" s="23"/>
      <c r="AP1557" s="23"/>
      <c r="AQ1557" s="23"/>
      <c r="AR1557" s="35"/>
      <c r="AS1557" s="35"/>
      <c r="AT1557" s="35"/>
      <c r="AU1557" s="31"/>
      <c r="AV1557" s="36"/>
    </row>
    <row r="1558" spans="4:48">
      <c r="D1558" s="31"/>
      <c r="E1558" s="31"/>
      <c r="F1558" s="31"/>
      <c r="G1558" s="31"/>
      <c r="H1558" s="32"/>
      <c r="J1558" s="33"/>
      <c r="K1558" s="33"/>
      <c r="L1558" s="33"/>
      <c r="X1558" s="23"/>
      <c r="Y1558" s="23"/>
      <c r="Z1558" s="23"/>
      <c r="AA1558" s="23"/>
      <c r="AF1558" s="23"/>
      <c r="AG1558" s="23"/>
      <c r="AH1558" s="23"/>
      <c r="AI1558" s="23"/>
      <c r="AN1558" s="23"/>
      <c r="AO1558" s="23"/>
      <c r="AP1558" s="23"/>
      <c r="AQ1558" s="23"/>
      <c r="AR1558" s="35"/>
      <c r="AS1558" s="35"/>
      <c r="AT1558" s="35"/>
      <c r="AU1558" s="31"/>
      <c r="AV1558" s="36"/>
    </row>
    <row r="1559" spans="4:48">
      <c r="D1559" s="31"/>
      <c r="E1559" s="31"/>
      <c r="F1559" s="31"/>
      <c r="G1559" s="31"/>
      <c r="H1559" s="32"/>
      <c r="J1559" s="33"/>
      <c r="K1559" s="33"/>
      <c r="L1559" s="33"/>
      <c r="X1559" s="23"/>
      <c r="Y1559" s="23"/>
      <c r="Z1559" s="23"/>
      <c r="AA1559" s="23"/>
      <c r="AF1559" s="23"/>
      <c r="AG1559" s="23"/>
      <c r="AH1559" s="23"/>
      <c r="AI1559" s="23"/>
      <c r="AN1559" s="23"/>
      <c r="AO1559" s="23"/>
      <c r="AP1559" s="23"/>
      <c r="AQ1559" s="23"/>
      <c r="AR1559" s="35"/>
      <c r="AS1559" s="35"/>
      <c r="AT1559" s="35"/>
      <c r="AU1559" s="31"/>
      <c r="AV1559" s="36"/>
    </row>
    <row r="1560" spans="4:48">
      <c r="D1560" s="31"/>
      <c r="E1560" s="31"/>
      <c r="F1560" s="31"/>
      <c r="G1560" s="31"/>
      <c r="H1560" s="32"/>
      <c r="J1560" s="33"/>
      <c r="K1560" s="33"/>
      <c r="L1560" s="33"/>
      <c r="X1560" s="23"/>
      <c r="Y1560" s="23"/>
      <c r="Z1560" s="23"/>
      <c r="AA1560" s="23"/>
      <c r="AF1560" s="23"/>
      <c r="AG1560" s="23"/>
      <c r="AH1560" s="23"/>
      <c r="AI1560" s="23"/>
      <c r="AN1560" s="23"/>
      <c r="AO1560" s="23"/>
      <c r="AP1560" s="23"/>
      <c r="AQ1560" s="23"/>
      <c r="AR1560" s="35"/>
      <c r="AS1560" s="35"/>
      <c r="AT1560" s="35"/>
      <c r="AU1560" s="31"/>
      <c r="AV1560" s="36"/>
    </row>
    <row r="1561" spans="4:48">
      <c r="D1561" s="31"/>
      <c r="E1561" s="31"/>
      <c r="F1561" s="31"/>
      <c r="G1561" s="31"/>
      <c r="H1561" s="32"/>
      <c r="J1561" s="33"/>
      <c r="K1561" s="33"/>
      <c r="L1561" s="33"/>
      <c r="X1561" s="23"/>
      <c r="Y1561" s="23"/>
      <c r="Z1561" s="23"/>
      <c r="AA1561" s="23"/>
      <c r="AF1561" s="23"/>
      <c r="AG1561" s="23"/>
      <c r="AH1561" s="23"/>
      <c r="AI1561" s="23"/>
      <c r="AN1561" s="23"/>
      <c r="AO1561" s="23"/>
      <c r="AP1561" s="23"/>
      <c r="AQ1561" s="23"/>
      <c r="AR1561" s="35"/>
      <c r="AS1561" s="35"/>
      <c r="AT1561" s="35"/>
      <c r="AU1561" s="31"/>
      <c r="AV1561" s="36"/>
    </row>
    <row r="1562" spans="4:48">
      <c r="D1562" s="31"/>
      <c r="E1562" s="31"/>
      <c r="F1562" s="31"/>
      <c r="G1562" s="31"/>
      <c r="H1562" s="32"/>
      <c r="J1562" s="33"/>
      <c r="K1562" s="33"/>
      <c r="L1562" s="33"/>
      <c r="X1562" s="23"/>
      <c r="Y1562" s="23"/>
      <c r="Z1562" s="23"/>
      <c r="AA1562" s="23"/>
      <c r="AF1562" s="23"/>
      <c r="AG1562" s="23"/>
      <c r="AH1562" s="23"/>
      <c r="AI1562" s="23"/>
      <c r="AN1562" s="23"/>
      <c r="AO1562" s="23"/>
      <c r="AP1562" s="23"/>
      <c r="AQ1562" s="23"/>
      <c r="AR1562" s="35"/>
      <c r="AS1562" s="35"/>
      <c r="AT1562" s="35"/>
      <c r="AU1562" s="31"/>
      <c r="AV1562" s="36"/>
    </row>
    <row r="1563" spans="4:48">
      <c r="D1563" s="31"/>
      <c r="E1563" s="31"/>
      <c r="F1563" s="31"/>
      <c r="G1563" s="31"/>
      <c r="H1563" s="32"/>
      <c r="J1563" s="33"/>
      <c r="K1563" s="33"/>
      <c r="L1563" s="33"/>
      <c r="X1563" s="23"/>
      <c r="Y1563" s="23"/>
      <c r="Z1563" s="23"/>
      <c r="AA1563" s="23"/>
      <c r="AF1563" s="23"/>
      <c r="AG1563" s="23"/>
      <c r="AH1563" s="23"/>
      <c r="AI1563" s="23"/>
      <c r="AN1563" s="23"/>
      <c r="AO1563" s="23"/>
      <c r="AP1563" s="23"/>
      <c r="AQ1563" s="23"/>
      <c r="AR1563" s="35"/>
      <c r="AS1563" s="35"/>
      <c r="AT1563" s="35"/>
      <c r="AU1563" s="31"/>
      <c r="AV1563" s="36"/>
    </row>
    <row r="1564" spans="4:48">
      <c r="D1564" s="31"/>
      <c r="E1564" s="31"/>
      <c r="F1564" s="31"/>
      <c r="G1564" s="31"/>
      <c r="H1564" s="32"/>
      <c r="J1564" s="33"/>
      <c r="K1564" s="33"/>
      <c r="L1564" s="33"/>
      <c r="X1564" s="23"/>
      <c r="Y1564" s="23"/>
      <c r="Z1564" s="23"/>
      <c r="AA1564" s="23"/>
      <c r="AF1564" s="23"/>
      <c r="AG1564" s="23"/>
      <c r="AH1564" s="23"/>
      <c r="AI1564" s="23"/>
      <c r="AN1564" s="23"/>
      <c r="AO1564" s="23"/>
      <c r="AP1564" s="23"/>
      <c r="AQ1564" s="23"/>
      <c r="AR1564" s="35"/>
      <c r="AS1564" s="35"/>
      <c r="AT1564" s="35"/>
      <c r="AU1564" s="31"/>
      <c r="AV1564" s="36"/>
    </row>
    <row r="1565" spans="4:48">
      <c r="D1565" s="31"/>
      <c r="E1565" s="31"/>
      <c r="F1565" s="31"/>
      <c r="G1565" s="31"/>
      <c r="H1565" s="32"/>
      <c r="J1565" s="33"/>
      <c r="K1565" s="33"/>
      <c r="L1565" s="33"/>
      <c r="X1565" s="23"/>
      <c r="Y1565" s="23"/>
      <c r="Z1565" s="23"/>
      <c r="AA1565" s="23"/>
      <c r="AF1565" s="23"/>
      <c r="AG1565" s="23"/>
      <c r="AH1565" s="23"/>
      <c r="AI1565" s="23"/>
      <c r="AN1565" s="23"/>
      <c r="AO1565" s="23"/>
      <c r="AP1565" s="23"/>
      <c r="AQ1565" s="23"/>
      <c r="AR1565" s="35"/>
      <c r="AS1565" s="35"/>
      <c r="AT1565" s="35"/>
      <c r="AU1565" s="31"/>
      <c r="AV1565" s="36"/>
    </row>
    <row r="1566" spans="4:48">
      <c r="D1566" s="31"/>
      <c r="E1566" s="31"/>
      <c r="F1566" s="31"/>
      <c r="G1566" s="31"/>
      <c r="H1566" s="32"/>
      <c r="J1566" s="33"/>
      <c r="K1566" s="33"/>
      <c r="L1566" s="33"/>
      <c r="X1566" s="23"/>
      <c r="Y1566" s="23"/>
      <c r="Z1566" s="23"/>
      <c r="AA1566" s="23"/>
      <c r="AF1566" s="23"/>
      <c r="AG1566" s="23"/>
      <c r="AH1566" s="23"/>
      <c r="AI1566" s="23"/>
      <c r="AN1566" s="23"/>
      <c r="AO1566" s="23"/>
      <c r="AP1566" s="23"/>
      <c r="AQ1566" s="23"/>
      <c r="AR1566" s="35"/>
      <c r="AS1566" s="35"/>
      <c r="AT1566" s="35"/>
      <c r="AU1566" s="31"/>
      <c r="AV1566" s="36"/>
    </row>
    <row r="1567" spans="4:48">
      <c r="D1567" s="31"/>
      <c r="E1567" s="31"/>
      <c r="F1567" s="31"/>
      <c r="G1567" s="31"/>
      <c r="H1567" s="32"/>
      <c r="J1567" s="33"/>
      <c r="K1567" s="33"/>
      <c r="L1567" s="33"/>
      <c r="X1567" s="23"/>
      <c r="Y1567" s="23"/>
      <c r="Z1567" s="23"/>
      <c r="AA1567" s="23"/>
      <c r="AF1567" s="23"/>
      <c r="AG1567" s="23"/>
      <c r="AH1567" s="23"/>
      <c r="AI1567" s="23"/>
      <c r="AN1567" s="23"/>
      <c r="AO1567" s="23"/>
      <c r="AP1567" s="23"/>
      <c r="AQ1567" s="23"/>
      <c r="AR1567" s="35"/>
      <c r="AS1567" s="35"/>
      <c r="AT1567" s="35"/>
      <c r="AU1567" s="31"/>
      <c r="AV1567" s="36"/>
    </row>
    <row r="1568" spans="4:48">
      <c r="D1568" s="31"/>
      <c r="E1568" s="31"/>
      <c r="F1568" s="31"/>
      <c r="G1568" s="31"/>
      <c r="H1568" s="32"/>
      <c r="J1568" s="33"/>
      <c r="K1568" s="33"/>
      <c r="L1568" s="33"/>
      <c r="X1568" s="23"/>
      <c r="Y1568" s="23"/>
      <c r="Z1568" s="23"/>
      <c r="AA1568" s="23"/>
      <c r="AF1568" s="23"/>
      <c r="AG1568" s="23"/>
      <c r="AH1568" s="23"/>
      <c r="AI1568" s="23"/>
      <c r="AN1568" s="23"/>
      <c r="AO1568" s="23"/>
      <c r="AP1568" s="23"/>
      <c r="AQ1568" s="23"/>
      <c r="AR1568" s="35"/>
      <c r="AS1568" s="35"/>
      <c r="AT1568" s="35"/>
      <c r="AU1568" s="31"/>
      <c r="AV1568" s="36"/>
    </row>
    <row r="1569" spans="4:48">
      <c r="D1569" s="31"/>
      <c r="E1569" s="31"/>
      <c r="F1569" s="31"/>
      <c r="G1569" s="31"/>
      <c r="H1569" s="32"/>
      <c r="J1569" s="33"/>
      <c r="K1569" s="33"/>
      <c r="L1569" s="33"/>
      <c r="X1569" s="23"/>
      <c r="Y1569" s="23"/>
      <c r="Z1569" s="23"/>
      <c r="AA1569" s="23"/>
      <c r="AF1569" s="23"/>
      <c r="AG1569" s="23"/>
      <c r="AH1569" s="23"/>
      <c r="AI1569" s="23"/>
      <c r="AN1569" s="23"/>
      <c r="AO1569" s="23"/>
      <c r="AP1569" s="23"/>
      <c r="AQ1569" s="23"/>
      <c r="AR1569" s="35"/>
      <c r="AS1569" s="35"/>
      <c r="AT1569" s="35"/>
      <c r="AU1569" s="31"/>
      <c r="AV1569" s="36"/>
    </row>
    <row r="1570" spans="4:48">
      <c r="D1570" s="31"/>
      <c r="E1570" s="31"/>
      <c r="F1570" s="31"/>
      <c r="G1570" s="31"/>
      <c r="H1570" s="32"/>
      <c r="J1570" s="33"/>
      <c r="K1570" s="33"/>
      <c r="L1570" s="33"/>
      <c r="X1570" s="23"/>
      <c r="Y1570" s="23"/>
      <c r="Z1570" s="23"/>
      <c r="AA1570" s="23"/>
      <c r="AF1570" s="23"/>
      <c r="AG1570" s="23"/>
      <c r="AH1570" s="23"/>
      <c r="AI1570" s="23"/>
      <c r="AN1570" s="23"/>
      <c r="AO1570" s="23"/>
      <c r="AP1570" s="23"/>
      <c r="AQ1570" s="23"/>
      <c r="AR1570" s="35"/>
      <c r="AS1570" s="35"/>
      <c r="AT1570" s="35"/>
      <c r="AU1570" s="31"/>
      <c r="AV1570" s="36"/>
    </row>
    <row r="1571" spans="4:48">
      <c r="D1571" s="31"/>
      <c r="E1571" s="31"/>
      <c r="F1571" s="31"/>
      <c r="G1571" s="31"/>
      <c r="H1571" s="32"/>
      <c r="J1571" s="33"/>
      <c r="K1571" s="33"/>
      <c r="L1571" s="33"/>
      <c r="X1571" s="23"/>
      <c r="Y1571" s="23"/>
      <c r="Z1571" s="23"/>
      <c r="AA1571" s="23"/>
      <c r="AF1571" s="23"/>
      <c r="AG1571" s="23"/>
      <c r="AH1571" s="23"/>
      <c r="AI1571" s="23"/>
      <c r="AN1571" s="23"/>
      <c r="AO1571" s="23"/>
      <c r="AP1571" s="23"/>
      <c r="AQ1571" s="23"/>
      <c r="AR1571" s="35"/>
      <c r="AS1571" s="35"/>
      <c r="AT1571" s="35"/>
      <c r="AU1571" s="31"/>
      <c r="AV1571" s="36"/>
    </row>
    <row r="1572" spans="4:48">
      <c r="D1572" s="31"/>
      <c r="E1572" s="31"/>
      <c r="F1572" s="31"/>
      <c r="G1572" s="31"/>
      <c r="H1572" s="32"/>
      <c r="J1572" s="33"/>
      <c r="K1572" s="33"/>
      <c r="L1572" s="33"/>
      <c r="X1572" s="23"/>
      <c r="Y1572" s="23"/>
      <c r="Z1572" s="23"/>
      <c r="AA1572" s="23"/>
      <c r="AF1572" s="23"/>
      <c r="AG1572" s="23"/>
      <c r="AH1572" s="23"/>
      <c r="AI1572" s="23"/>
      <c r="AN1572" s="23"/>
      <c r="AO1572" s="23"/>
      <c r="AP1572" s="23"/>
      <c r="AQ1572" s="23"/>
      <c r="AR1572" s="35"/>
      <c r="AS1572" s="35"/>
      <c r="AT1572" s="35"/>
      <c r="AU1572" s="31"/>
      <c r="AV1572" s="36"/>
    </row>
    <row r="1573" spans="4:48">
      <c r="D1573" s="31"/>
      <c r="E1573" s="31"/>
      <c r="F1573" s="31"/>
      <c r="G1573" s="31"/>
      <c r="H1573" s="32"/>
      <c r="J1573" s="33"/>
      <c r="K1573" s="33"/>
      <c r="L1573" s="33"/>
      <c r="X1573" s="23"/>
      <c r="Y1573" s="23"/>
      <c r="Z1573" s="23"/>
      <c r="AA1573" s="23"/>
      <c r="AF1573" s="23"/>
      <c r="AG1573" s="23"/>
      <c r="AH1573" s="23"/>
      <c r="AI1573" s="23"/>
      <c r="AN1573" s="23"/>
      <c r="AO1573" s="23"/>
      <c r="AP1573" s="23"/>
      <c r="AQ1573" s="23"/>
      <c r="AR1573" s="35"/>
      <c r="AS1573" s="35"/>
      <c r="AT1573" s="35"/>
      <c r="AU1573" s="31"/>
      <c r="AV1573" s="36"/>
    </row>
    <row r="1574" spans="4:48">
      <c r="D1574" s="31"/>
      <c r="E1574" s="31"/>
      <c r="F1574" s="31"/>
      <c r="G1574" s="31"/>
      <c r="H1574" s="32"/>
      <c r="J1574" s="33"/>
      <c r="K1574" s="33"/>
      <c r="L1574" s="33"/>
      <c r="X1574" s="23"/>
      <c r="Y1574" s="23"/>
      <c r="Z1574" s="23"/>
      <c r="AA1574" s="23"/>
      <c r="AF1574" s="23"/>
      <c r="AG1574" s="23"/>
      <c r="AH1574" s="23"/>
      <c r="AI1574" s="23"/>
      <c r="AN1574" s="23"/>
      <c r="AO1574" s="23"/>
      <c r="AP1574" s="23"/>
      <c r="AQ1574" s="23"/>
      <c r="AR1574" s="35"/>
      <c r="AS1574" s="35"/>
      <c r="AT1574" s="35"/>
      <c r="AU1574" s="31"/>
      <c r="AV1574" s="36"/>
    </row>
    <row r="1575" spans="4:48">
      <c r="D1575" s="31"/>
      <c r="E1575" s="31"/>
      <c r="F1575" s="31"/>
      <c r="G1575" s="31"/>
      <c r="H1575" s="32"/>
      <c r="J1575" s="33"/>
      <c r="K1575" s="33"/>
      <c r="L1575" s="33"/>
      <c r="X1575" s="23"/>
      <c r="Y1575" s="23"/>
      <c r="Z1575" s="23"/>
      <c r="AA1575" s="23"/>
      <c r="AF1575" s="23"/>
      <c r="AG1575" s="23"/>
      <c r="AH1575" s="23"/>
      <c r="AI1575" s="23"/>
      <c r="AN1575" s="23"/>
      <c r="AO1575" s="23"/>
      <c r="AP1575" s="23"/>
      <c r="AQ1575" s="23"/>
      <c r="AR1575" s="35"/>
      <c r="AS1575" s="35"/>
      <c r="AT1575" s="35"/>
      <c r="AU1575" s="31"/>
      <c r="AV1575" s="36"/>
    </row>
    <row r="1576" spans="4:48">
      <c r="D1576" s="31"/>
      <c r="E1576" s="31"/>
      <c r="F1576" s="31"/>
      <c r="G1576" s="31"/>
      <c r="H1576" s="32"/>
      <c r="J1576" s="33"/>
      <c r="K1576" s="33"/>
      <c r="L1576" s="33"/>
      <c r="X1576" s="23"/>
      <c r="Y1576" s="23"/>
      <c r="Z1576" s="23"/>
      <c r="AA1576" s="23"/>
      <c r="AF1576" s="23"/>
      <c r="AG1576" s="23"/>
      <c r="AH1576" s="23"/>
      <c r="AI1576" s="23"/>
      <c r="AN1576" s="23"/>
      <c r="AO1576" s="23"/>
      <c r="AP1576" s="23"/>
      <c r="AQ1576" s="23"/>
      <c r="AR1576" s="35"/>
      <c r="AS1576" s="35"/>
      <c r="AT1576" s="35"/>
      <c r="AU1576" s="31"/>
      <c r="AV1576" s="36"/>
    </row>
    <row r="1577" spans="4:48">
      <c r="D1577" s="31"/>
      <c r="E1577" s="31"/>
      <c r="F1577" s="31"/>
      <c r="G1577" s="31"/>
      <c r="H1577" s="32"/>
      <c r="J1577" s="33"/>
      <c r="K1577" s="33"/>
      <c r="L1577" s="33"/>
      <c r="X1577" s="23"/>
      <c r="Y1577" s="23"/>
      <c r="Z1577" s="23"/>
      <c r="AA1577" s="23"/>
      <c r="AF1577" s="23"/>
      <c r="AG1577" s="23"/>
      <c r="AH1577" s="23"/>
      <c r="AI1577" s="23"/>
      <c r="AN1577" s="23"/>
      <c r="AO1577" s="23"/>
      <c r="AP1577" s="23"/>
      <c r="AQ1577" s="23"/>
      <c r="AR1577" s="35"/>
      <c r="AS1577" s="35"/>
      <c r="AT1577" s="35"/>
      <c r="AU1577" s="31"/>
      <c r="AV1577" s="36"/>
    </row>
    <row r="1578" spans="4:48">
      <c r="D1578" s="31"/>
      <c r="E1578" s="31"/>
      <c r="F1578" s="31"/>
      <c r="G1578" s="31"/>
      <c r="H1578" s="32"/>
      <c r="J1578" s="33"/>
      <c r="K1578" s="33"/>
      <c r="L1578" s="33"/>
      <c r="X1578" s="23"/>
      <c r="Y1578" s="23"/>
      <c r="Z1578" s="23"/>
      <c r="AA1578" s="23"/>
      <c r="AF1578" s="23"/>
      <c r="AG1578" s="23"/>
      <c r="AH1578" s="23"/>
      <c r="AI1578" s="23"/>
      <c r="AN1578" s="23"/>
      <c r="AO1578" s="23"/>
      <c r="AP1578" s="23"/>
      <c r="AQ1578" s="23"/>
      <c r="AR1578" s="35"/>
      <c r="AS1578" s="35"/>
      <c r="AT1578" s="35"/>
      <c r="AU1578" s="31"/>
      <c r="AV1578" s="36"/>
    </row>
    <row r="1579" spans="4:48">
      <c r="D1579" s="31"/>
      <c r="E1579" s="31"/>
      <c r="F1579" s="31"/>
      <c r="G1579" s="31"/>
      <c r="H1579" s="32"/>
      <c r="J1579" s="33"/>
      <c r="K1579" s="33"/>
      <c r="L1579" s="33"/>
      <c r="X1579" s="23"/>
      <c r="Y1579" s="23"/>
      <c r="Z1579" s="23"/>
      <c r="AA1579" s="23"/>
      <c r="AF1579" s="23"/>
      <c r="AG1579" s="23"/>
      <c r="AH1579" s="23"/>
      <c r="AI1579" s="23"/>
      <c r="AN1579" s="23"/>
      <c r="AO1579" s="23"/>
      <c r="AP1579" s="23"/>
      <c r="AQ1579" s="23"/>
      <c r="AR1579" s="35"/>
      <c r="AS1579" s="35"/>
      <c r="AT1579" s="35"/>
      <c r="AU1579" s="31"/>
      <c r="AV1579" s="36"/>
    </row>
    <row r="1580" spans="4:48">
      <c r="D1580" s="31"/>
      <c r="E1580" s="31"/>
      <c r="F1580" s="31"/>
      <c r="G1580" s="31"/>
      <c r="H1580" s="32"/>
      <c r="J1580" s="33"/>
      <c r="K1580" s="33"/>
      <c r="L1580" s="33"/>
      <c r="X1580" s="23"/>
      <c r="Y1580" s="23"/>
      <c r="Z1580" s="23"/>
      <c r="AA1580" s="23"/>
      <c r="AF1580" s="23"/>
      <c r="AG1580" s="23"/>
      <c r="AH1580" s="23"/>
      <c r="AI1580" s="23"/>
      <c r="AN1580" s="23"/>
      <c r="AO1580" s="23"/>
      <c r="AP1580" s="23"/>
      <c r="AQ1580" s="23"/>
      <c r="AR1580" s="35"/>
      <c r="AS1580" s="35"/>
      <c r="AT1580" s="35"/>
      <c r="AU1580" s="31"/>
      <c r="AV1580" s="36"/>
    </row>
    <row r="1581" spans="4:48">
      <c r="D1581" s="31"/>
      <c r="E1581" s="31"/>
      <c r="F1581" s="31"/>
      <c r="G1581" s="31"/>
      <c r="H1581" s="32"/>
      <c r="J1581" s="33"/>
      <c r="K1581" s="33"/>
      <c r="L1581" s="33"/>
      <c r="X1581" s="23"/>
      <c r="Y1581" s="23"/>
      <c r="Z1581" s="23"/>
      <c r="AA1581" s="23"/>
      <c r="AF1581" s="23"/>
      <c r="AG1581" s="23"/>
      <c r="AH1581" s="23"/>
      <c r="AI1581" s="23"/>
      <c r="AN1581" s="23"/>
      <c r="AO1581" s="23"/>
      <c r="AP1581" s="23"/>
      <c r="AQ1581" s="23"/>
      <c r="AR1581" s="35"/>
      <c r="AS1581" s="35"/>
      <c r="AT1581" s="35"/>
      <c r="AU1581" s="31"/>
      <c r="AV1581" s="36"/>
    </row>
    <row r="1582" spans="4:48">
      <c r="D1582" s="31"/>
      <c r="E1582" s="31"/>
      <c r="F1582" s="31"/>
      <c r="G1582" s="31"/>
      <c r="H1582" s="32"/>
      <c r="J1582" s="33"/>
      <c r="K1582" s="33"/>
      <c r="L1582" s="33"/>
      <c r="X1582" s="23"/>
      <c r="Y1582" s="23"/>
      <c r="Z1582" s="23"/>
      <c r="AA1582" s="23"/>
      <c r="AF1582" s="23"/>
      <c r="AG1582" s="23"/>
      <c r="AH1582" s="23"/>
      <c r="AI1582" s="23"/>
      <c r="AN1582" s="23"/>
      <c r="AO1582" s="23"/>
      <c r="AP1582" s="23"/>
      <c r="AQ1582" s="23"/>
      <c r="AR1582" s="35"/>
      <c r="AS1582" s="35"/>
      <c r="AT1582" s="35"/>
      <c r="AU1582" s="31"/>
      <c r="AV1582" s="36"/>
    </row>
    <row r="1583" spans="4:48">
      <c r="D1583" s="31"/>
      <c r="E1583" s="31"/>
      <c r="F1583" s="31"/>
      <c r="G1583" s="31"/>
      <c r="H1583" s="32"/>
      <c r="J1583" s="33"/>
      <c r="K1583" s="33"/>
      <c r="L1583" s="33"/>
      <c r="X1583" s="23"/>
      <c r="Y1583" s="23"/>
      <c r="Z1583" s="23"/>
      <c r="AA1583" s="23"/>
      <c r="AF1583" s="23"/>
      <c r="AG1583" s="23"/>
      <c r="AH1583" s="23"/>
      <c r="AI1583" s="23"/>
      <c r="AN1583" s="23"/>
      <c r="AO1583" s="23"/>
      <c r="AP1583" s="23"/>
      <c r="AQ1583" s="23"/>
      <c r="AR1583" s="35"/>
      <c r="AS1583" s="35"/>
      <c r="AT1583" s="35"/>
      <c r="AU1583" s="31"/>
      <c r="AV1583" s="36"/>
    </row>
    <row r="1584" spans="4:48">
      <c r="D1584" s="31"/>
      <c r="E1584" s="31"/>
      <c r="F1584" s="31"/>
      <c r="G1584" s="31"/>
      <c r="H1584" s="32"/>
      <c r="J1584" s="33"/>
      <c r="K1584" s="33"/>
      <c r="L1584" s="33"/>
      <c r="X1584" s="23"/>
      <c r="Y1584" s="23"/>
      <c r="Z1584" s="23"/>
      <c r="AA1584" s="23"/>
      <c r="AF1584" s="23"/>
      <c r="AG1584" s="23"/>
      <c r="AH1584" s="23"/>
      <c r="AI1584" s="23"/>
      <c r="AN1584" s="23"/>
      <c r="AO1584" s="23"/>
      <c r="AP1584" s="23"/>
      <c r="AQ1584" s="23"/>
      <c r="AR1584" s="35"/>
      <c r="AS1584" s="35"/>
      <c r="AT1584" s="35"/>
      <c r="AU1584" s="31"/>
      <c r="AV1584" s="36"/>
    </row>
    <row r="1585" spans="4:48">
      <c r="D1585" s="31"/>
      <c r="E1585" s="31"/>
      <c r="F1585" s="31"/>
      <c r="G1585" s="31"/>
      <c r="H1585" s="32"/>
      <c r="J1585" s="33"/>
      <c r="K1585" s="33"/>
      <c r="L1585" s="33"/>
      <c r="X1585" s="23"/>
      <c r="Y1585" s="23"/>
      <c r="Z1585" s="23"/>
      <c r="AA1585" s="23"/>
      <c r="AF1585" s="23"/>
      <c r="AG1585" s="23"/>
      <c r="AH1585" s="23"/>
      <c r="AI1585" s="23"/>
      <c r="AN1585" s="23"/>
      <c r="AO1585" s="23"/>
      <c r="AP1585" s="23"/>
      <c r="AQ1585" s="23"/>
      <c r="AR1585" s="35"/>
      <c r="AS1585" s="35"/>
      <c r="AT1585" s="35"/>
      <c r="AU1585" s="31"/>
      <c r="AV1585" s="36"/>
    </row>
    <row r="1586" spans="4:48">
      <c r="D1586" s="31"/>
      <c r="E1586" s="31"/>
      <c r="F1586" s="31"/>
      <c r="G1586" s="31"/>
      <c r="H1586" s="32"/>
      <c r="J1586" s="33"/>
      <c r="K1586" s="33"/>
      <c r="L1586" s="33"/>
      <c r="X1586" s="23"/>
      <c r="Y1586" s="23"/>
      <c r="Z1586" s="23"/>
      <c r="AA1586" s="23"/>
      <c r="AF1586" s="23"/>
      <c r="AG1586" s="23"/>
      <c r="AH1586" s="23"/>
      <c r="AI1586" s="23"/>
      <c r="AN1586" s="23"/>
      <c r="AO1586" s="23"/>
      <c r="AP1586" s="23"/>
      <c r="AQ1586" s="23"/>
      <c r="AR1586" s="35"/>
      <c r="AS1586" s="35"/>
      <c r="AT1586" s="35"/>
      <c r="AU1586" s="31"/>
      <c r="AV1586" s="36"/>
    </row>
    <row r="1587" spans="4:48">
      <c r="D1587" s="31"/>
      <c r="E1587" s="31"/>
      <c r="F1587" s="31"/>
      <c r="G1587" s="31"/>
      <c r="H1587" s="32"/>
      <c r="J1587" s="33"/>
      <c r="K1587" s="33"/>
      <c r="L1587" s="33"/>
      <c r="X1587" s="23"/>
      <c r="Y1587" s="23"/>
      <c r="Z1587" s="23"/>
      <c r="AA1587" s="23"/>
      <c r="AF1587" s="23"/>
      <c r="AG1587" s="23"/>
      <c r="AH1587" s="23"/>
      <c r="AI1587" s="23"/>
      <c r="AN1587" s="23"/>
      <c r="AO1587" s="23"/>
      <c r="AP1587" s="23"/>
      <c r="AQ1587" s="23"/>
      <c r="AR1587" s="35"/>
      <c r="AS1587" s="35"/>
      <c r="AT1587" s="35"/>
      <c r="AU1587" s="31"/>
      <c r="AV1587" s="36"/>
    </row>
    <row r="1588" spans="4:48">
      <c r="D1588" s="31"/>
      <c r="E1588" s="31"/>
      <c r="F1588" s="31"/>
      <c r="G1588" s="31"/>
      <c r="H1588" s="32"/>
      <c r="J1588" s="33"/>
      <c r="K1588" s="33"/>
      <c r="L1588" s="33"/>
      <c r="X1588" s="23"/>
      <c r="Y1588" s="23"/>
      <c r="Z1588" s="23"/>
      <c r="AA1588" s="23"/>
      <c r="AF1588" s="23"/>
      <c r="AG1588" s="23"/>
      <c r="AH1588" s="23"/>
      <c r="AI1588" s="23"/>
      <c r="AN1588" s="23"/>
      <c r="AO1588" s="23"/>
      <c r="AP1588" s="23"/>
      <c r="AQ1588" s="23"/>
      <c r="AR1588" s="35"/>
      <c r="AS1588" s="35"/>
      <c r="AT1588" s="35"/>
      <c r="AU1588" s="31"/>
      <c r="AV1588" s="36"/>
    </row>
    <row r="1589" spans="4:48">
      <c r="D1589" s="31"/>
      <c r="E1589" s="31"/>
      <c r="F1589" s="31"/>
      <c r="G1589" s="31"/>
      <c r="H1589" s="32"/>
      <c r="J1589" s="33"/>
      <c r="K1589" s="33"/>
      <c r="L1589" s="33"/>
      <c r="X1589" s="23"/>
      <c r="Y1589" s="23"/>
      <c r="Z1589" s="23"/>
      <c r="AA1589" s="23"/>
      <c r="AF1589" s="23"/>
      <c r="AG1589" s="23"/>
      <c r="AH1589" s="23"/>
      <c r="AI1589" s="23"/>
      <c r="AN1589" s="23"/>
      <c r="AO1589" s="23"/>
      <c r="AP1589" s="23"/>
      <c r="AQ1589" s="23"/>
      <c r="AR1589" s="35"/>
      <c r="AS1589" s="35"/>
      <c r="AT1589" s="35"/>
      <c r="AU1589" s="31"/>
      <c r="AV1589" s="36"/>
    </row>
    <row r="1590" spans="4:48">
      <c r="D1590" s="31"/>
      <c r="E1590" s="31"/>
      <c r="F1590" s="31"/>
      <c r="G1590" s="31"/>
      <c r="H1590" s="32"/>
      <c r="J1590" s="33"/>
      <c r="K1590" s="33"/>
      <c r="L1590" s="33"/>
      <c r="X1590" s="23"/>
      <c r="Y1590" s="23"/>
      <c r="Z1590" s="23"/>
      <c r="AA1590" s="23"/>
      <c r="AF1590" s="23"/>
      <c r="AG1590" s="23"/>
      <c r="AH1590" s="23"/>
      <c r="AI1590" s="23"/>
      <c r="AN1590" s="23"/>
      <c r="AO1590" s="23"/>
      <c r="AP1590" s="23"/>
      <c r="AQ1590" s="23"/>
      <c r="AR1590" s="35"/>
      <c r="AS1590" s="35"/>
      <c r="AT1590" s="35"/>
      <c r="AU1590" s="31"/>
      <c r="AV1590" s="36"/>
    </row>
    <row r="1591" spans="4:48">
      <c r="D1591" s="31"/>
      <c r="E1591" s="31"/>
      <c r="F1591" s="31"/>
      <c r="G1591" s="31"/>
      <c r="H1591" s="32"/>
      <c r="J1591" s="33"/>
      <c r="K1591" s="33"/>
      <c r="L1591" s="33"/>
      <c r="X1591" s="23"/>
      <c r="Y1591" s="23"/>
      <c r="Z1591" s="23"/>
      <c r="AA1591" s="23"/>
      <c r="AF1591" s="23"/>
      <c r="AG1591" s="23"/>
      <c r="AH1591" s="23"/>
      <c r="AI1591" s="23"/>
      <c r="AN1591" s="23"/>
      <c r="AO1591" s="23"/>
      <c r="AP1591" s="23"/>
      <c r="AQ1591" s="23"/>
      <c r="AR1591" s="35"/>
      <c r="AS1591" s="35"/>
      <c r="AT1591" s="35"/>
      <c r="AU1591" s="31"/>
      <c r="AV1591" s="36"/>
    </row>
    <row r="1592" spans="4:48">
      <c r="D1592" s="31"/>
      <c r="E1592" s="31"/>
      <c r="F1592" s="31"/>
      <c r="G1592" s="31"/>
      <c r="H1592" s="32"/>
      <c r="J1592" s="33"/>
      <c r="K1592" s="33"/>
      <c r="L1592" s="33"/>
      <c r="X1592" s="23"/>
      <c r="Y1592" s="23"/>
      <c r="Z1592" s="23"/>
      <c r="AA1592" s="23"/>
      <c r="AF1592" s="23"/>
      <c r="AG1592" s="23"/>
      <c r="AH1592" s="23"/>
      <c r="AI1592" s="23"/>
      <c r="AN1592" s="23"/>
      <c r="AO1592" s="23"/>
      <c r="AP1592" s="23"/>
      <c r="AQ1592" s="23"/>
      <c r="AR1592" s="35"/>
      <c r="AS1592" s="35"/>
      <c r="AT1592" s="35"/>
      <c r="AU1592" s="31"/>
      <c r="AV1592" s="36"/>
    </row>
    <row r="1593" spans="4:48">
      <c r="D1593" s="31"/>
      <c r="E1593" s="31"/>
      <c r="F1593" s="31"/>
      <c r="G1593" s="31"/>
      <c r="H1593" s="32"/>
      <c r="J1593" s="33"/>
      <c r="K1593" s="33"/>
      <c r="L1593" s="33"/>
      <c r="X1593" s="23"/>
      <c r="Y1593" s="23"/>
      <c r="Z1593" s="23"/>
      <c r="AA1593" s="23"/>
      <c r="AF1593" s="23"/>
      <c r="AG1593" s="23"/>
      <c r="AH1593" s="23"/>
      <c r="AI1593" s="23"/>
      <c r="AN1593" s="23"/>
      <c r="AO1593" s="23"/>
      <c r="AP1593" s="23"/>
      <c r="AQ1593" s="23"/>
      <c r="AR1593" s="35"/>
      <c r="AS1593" s="35"/>
      <c r="AT1593" s="35"/>
      <c r="AU1593" s="31"/>
      <c r="AV1593" s="36"/>
    </row>
    <row r="1594" spans="4:48">
      <c r="D1594" s="31"/>
      <c r="E1594" s="31"/>
      <c r="F1594" s="31"/>
      <c r="G1594" s="31"/>
      <c r="H1594" s="32"/>
      <c r="J1594" s="33"/>
      <c r="K1594" s="33"/>
      <c r="L1594" s="33"/>
      <c r="X1594" s="23"/>
      <c r="Y1594" s="23"/>
      <c r="Z1594" s="23"/>
      <c r="AA1594" s="23"/>
      <c r="AF1594" s="23"/>
      <c r="AG1594" s="23"/>
      <c r="AH1594" s="23"/>
      <c r="AI1594" s="23"/>
      <c r="AN1594" s="23"/>
      <c r="AO1594" s="23"/>
      <c r="AP1594" s="23"/>
      <c r="AQ1594" s="23"/>
      <c r="AR1594" s="35"/>
      <c r="AS1594" s="35"/>
      <c r="AT1594" s="35"/>
      <c r="AU1594" s="31"/>
      <c r="AV1594" s="36"/>
    </row>
    <row r="1595" spans="4:48">
      <c r="D1595" s="31"/>
      <c r="E1595" s="31"/>
      <c r="F1595" s="31"/>
      <c r="G1595" s="31"/>
      <c r="H1595" s="32"/>
      <c r="J1595" s="33"/>
      <c r="K1595" s="33"/>
      <c r="L1595" s="33"/>
      <c r="X1595" s="23"/>
      <c r="Y1595" s="23"/>
      <c r="Z1595" s="23"/>
      <c r="AA1595" s="23"/>
      <c r="AF1595" s="23"/>
      <c r="AG1595" s="23"/>
      <c r="AH1595" s="23"/>
      <c r="AI1595" s="23"/>
      <c r="AN1595" s="23"/>
      <c r="AO1595" s="23"/>
      <c r="AP1595" s="23"/>
      <c r="AQ1595" s="23"/>
      <c r="AR1595" s="35"/>
      <c r="AS1595" s="35"/>
      <c r="AT1595" s="35"/>
      <c r="AU1595" s="31"/>
      <c r="AV1595" s="36"/>
    </row>
    <row r="1596" spans="4:48">
      <c r="D1596" s="31"/>
      <c r="E1596" s="31"/>
      <c r="F1596" s="31"/>
      <c r="G1596" s="31"/>
      <c r="H1596" s="32"/>
      <c r="J1596" s="33"/>
      <c r="K1596" s="33"/>
      <c r="L1596" s="33"/>
      <c r="X1596" s="23"/>
      <c r="Y1596" s="23"/>
      <c r="Z1596" s="23"/>
      <c r="AA1596" s="23"/>
      <c r="AF1596" s="23"/>
      <c r="AG1596" s="23"/>
      <c r="AH1596" s="23"/>
      <c r="AI1596" s="23"/>
      <c r="AN1596" s="23"/>
      <c r="AO1596" s="23"/>
      <c r="AP1596" s="23"/>
      <c r="AQ1596" s="23"/>
      <c r="AR1596" s="35"/>
      <c r="AS1596" s="35"/>
      <c r="AT1596" s="35"/>
      <c r="AU1596" s="31"/>
      <c r="AV1596" s="36"/>
    </row>
    <row r="1597" spans="4:48">
      <c r="D1597" s="31"/>
      <c r="E1597" s="31"/>
      <c r="F1597" s="31"/>
      <c r="G1597" s="31"/>
      <c r="H1597" s="32"/>
      <c r="J1597" s="33"/>
      <c r="K1597" s="33"/>
      <c r="L1597" s="33"/>
      <c r="X1597" s="23"/>
      <c r="Y1597" s="23"/>
      <c r="Z1597" s="23"/>
      <c r="AA1597" s="23"/>
      <c r="AF1597" s="23"/>
      <c r="AG1597" s="23"/>
      <c r="AH1597" s="23"/>
      <c r="AI1597" s="23"/>
      <c r="AN1597" s="23"/>
      <c r="AO1597" s="23"/>
      <c r="AP1597" s="23"/>
      <c r="AQ1597" s="23"/>
      <c r="AR1597" s="35"/>
      <c r="AS1597" s="35"/>
      <c r="AT1597" s="35"/>
      <c r="AU1597" s="31"/>
      <c r="AV1597" s="36"/>
    </row>
    <row r="1598" spans="4:48">
      <c r="D1598" s="31"/>
      <c r="E1598" s="31"/>
      <c r="F1598" s="31"/>
      <c r="G1598" s="31"/>
      <c r="H1598" s="32"/>
      <c r="J1598" s="33"/>
      <c r="K1598" s="33"/>
      <c r="L1598" s="33"/>
      <c r="X1598" s="23"/>
      <c r="Y1598" s="23"/>
      <c r="Z1598" s="23"/>
      <c r="AA1598" s="23"/>
      <c r="AF1598" s="23"/>
      <c r="AG1598" s="23"/>
      <c r="AH1598" s="23"/>
      <c r="AI1598" s="23"/>
      <c r="AN1598" s="23"/>
      <c r="AO1598" s="23"/>
      <c r="AP1598" s="23"/>
      <c r="AQ1598" s="23"/>
      <c r="AR1598" s="35"/>
      <c r="AS1598" s="35"/>
      <c r="AT1598" s="35"/>
      <c r="AU1598" s="31"/>
      <c r="AV1598" s="36"/>
    </row>
    <row r="1599" spans="4:48">
      <c r="D1599" s="31"/>
      <c r="E1599" s="31"/>
      <c r="F1599" s="31"/>
      <c r="G1599" s="31"/>
      <c r="H1599" s="32"/>
      <c r="J1599" s="33"/>
      <c r="K1599" s="33"/>
      <c r="L1599" s="33"/>
      <c r="X1599" s="23"/>
      <c r="Y1599" s="23"/>
      <c r="Z1599" s="23"/>
      <c r="AA1599" s="23"/>
      <c r="AF1599" s="23"/>
      <c r="AG1599" s="23"/>
      <c r="AH1599" s="23"/>
      <c r="AI1599" s="23"/>
      <c r="AN1599" s="23"/>
      <c r="AO1599" s="23"/>
      <c r="AP1599" s="23"/>
      <c r="AQ1599" s="23"/>
      <c r="AR1599" s="35"/>
      <c r="AS1599" s="35"/>
      <c r="AT1599" s="35"/>
      <c r="AU1599" s="31"/>
      <c r="AV1599" s="36"/>
    </row>
    <row r="1600" spans="4:48">
      <c r="D1600" s="31"/>
      <c r="E1600" s="31"/>
      <c r="F1600" s="31"/>
      <c r="G1600" s="31"/>
      <c r="H1600" s="32"/>
      <c r="J1600" s="33"/>
      <c r="K1600" s="33"/>
      <c r="L1600" s="33"/>
      <c r="X1600" s="23"/>
      <c r="Y1600" s="23"/>
      <c r="Z1600" s="23"/>
      <c r="AA1600" s="23"/>
      <c r="AF1600" s="23"/>
      <c r="AG1600" s="23"/>
      <c r="AH1600" s="23"/>
      <c r="AI1600" s="23"/>
      <c r="AN1600" s="23"/>
      <c r="AO1600" s="23"/>
      <c r="AP1600" s="23"/>
      <c r="AQ1600" s="23"/>
      <c r="AR1600" s="35"/>
      <c r="AS1600" s="35"/>
      <c r="AT1600" s="35"/>
      <c r="AU1600" s="31"/>
      <c r="AV1600" s="36"/>
    </row>
    <row r="1601" spans="4:48">
      <c r="D1601" s="31"/>
      <c r="E1601" s="31"/>
      <c r="F1601" s="31"/>
      <c r="G1601" s="31"/>
      <c r="H1601" s="32"/>
      <c r="J1601" s="33"/>
      <c r="K1601" s="33"/>
      <c r="L1601" s="33"/>
      <c r="X1601" s="23"/>
      <c r="Y1601" s="23"/>
      <c r="Z1601" s="23"/>
      <c r="AA1601" s="23"/>
      <c r="AF1601" s="23"/>
      <c r="AG1601" s="23"/>
      <c r="AH1601" s="23"/>
      <c r="AI1601" s="23"/>
      <c r="AN1601" s="23"/>
      <c r="AO1601" s="23"/>
      <c r="AP1601" s="23"/>
      <c r="AQ1601" s="23"/>
      <c r="AR1601" s="35"/>
      <c r="AS1601" s="35"/>
      <c r="AT1601" s="35"/>
      <c r="AU1601" s="31"/>
      <c r="AV1601" s="36"/>
    </row>
    <row r="1602" spans="4:48">
      <c r="D1602" s="31"/>
      <c r="E1602" s="31"/>
      <c r="F1602" s="31"/>
      <c r="G1602" s="31"/>
      <c r="H1602" s="32"/>
      <c r="J1602" s="33"/>
      <c r="K1602" s="33"/>
      <c r="L1602" s="33"/>
      <c r="X1602" s="23"/>
      <c r="Y1602" s="23"/>
      <c r="Z1602" s="23"/>
      <c r="AA1602" s="23"/>
      <c r="AF1602" s="23"/>
      <c r="AG1602" s="23"/>
      <c r="AH1602" s="23"/>
      <c r="AI1602" s="23"/>
      <c r="AN1602" s="23"/>
      <c r="AO1602" s="23"/>
      <c r="AP1602" s="23"/>
      <c r="AQ1602" s="23"/>
      <c r="AR1602" s="35"/>
      <c r="AS1602" s="35"/>
      <c r="AT1602" s="35"/>
      <c r="AU1602" s="31"/>
      <c r="AV1602" s="36"/>
    </row>
    <row r="1603" spans="4:48">
      <c r="D1603" s="31"/>
      <c r="E1603" s="31"/>
      <c r="F1603" s="31"/>
      <c r="G1603" s="31"/>
      <c r="H1603" s="32"/>
      <c r="J1603" s="33"/>
      <c r="K1603" s="33"/>
      <c r="L1603" s="33"/>
      <c r="X1603" s="23"/>
      <c r="Y1603" s="23"/>
      <c r="Z1603" s="23"/>
      <c r="AA1603" s="23"/>
      <c r="AF1603" s="23"/>
      <c r="AG1603" s="23"/>
      <c r="AH1603" s="23"/>
      <c r="AI1603" s="23"/>
      <c r="AN1603" s="23"/>
      <c r="AO1603" s="23"/>
      <c r="AP1603" s="23"/>
      <c r="AQ1603" s="23"/>
      <c r="AR1603" s="35"/>
      <c r="AS1603" s="35"/>
      <c r="AT1603" s="35"/>
      <c r="AU1603" s="31"/>
      <c r="AV1603" s="36"/>
    </row>
    <row r="1604" spans="4:48">
      <c r="D1604" s="31"/>
      <c r="E1604" s="31"/>
      <c r="F1604" s="31"/>
      <c r="G1604" s="31"/>
      <c r="H1604" s="32"/>
      <c r="J1604" s="33"/>
      <c r="K1604" s="33"/>
      <c r="L1604" s="33"/>
      <c r="X1604" s="23"/>
      <c r="Y1604" s="23"/>
      <c r="Z1604" s="23"/>
      <c r="AA1604" s="23"/>
      <c r="AF1604" s="23"/>
      <c r="AG1604" s="23"/>
      <c r="AH1604" s="23"/>
      <c r="AI1604" s="23"/>
      <c r="AN1604" s="23"/>
      <c r="AO1604" s="23"/>
      <c r="AP1604" s="23"/>
      <c r="AQ1604" s="23"/>
      <c r="AR1604" s="35"/>
      <c r="AS1604" s="35"/>
      <c r="AT1604" s="35"/>
      <c r="AU1604" s="31"/>
      <c r="AV1604" s="36"/>
    </row>
    <row r="1605" spans="4:48">
      <c r="D1605" s="31"/>
      <c r="E1605" s="31"/>
      <c r="F1605" s="31"/>
      <c r="G1605" s="31"/>
      <c r="H1605" s="32"/>
      <c r="J1605" s="33"/>
      <c r="K1605" s="33"/>
      <c r="L1605" s="33"/>
      <c r="X1605" s="23"/>
      <c r="Y1605" s="23"/>
      <c r="Z1605" s="23"/>
      <c r="AA1605" s="23"/>
      <c r="AF1605" s="23"/>
      <c r="AG1605" s="23"/>
      <c r="AH1605" s="23"/>
      <c r="AI1605" s="23"/>
      <c r="AN1605" s="23"/>
      <c r="AO1605" s="23"/>
      <c r="AP1605" s="23"/>
      <c r="AQ1605" s="23"/>
      <c r="AR1605" s="35"/>
      <c r="AS1605" s="35"/>
      <c r="AT1605" s="35"/>
      <c r="AU1605" s="31"/>
      <c r="AV1605" s="36"/>
    </row>
    <row r="1606" spans="4:48">
      <c r="D1606" s="31"/>
      <c r="E1606" s="31"/>
      <c r="F1606" s="31"/>
      <c r="G1606" s="31"/>
      <c r="H1606" s="32"/>
      <c r="J1606" s="33"/>
      <c r="K1606" s="33"/>
      <c r="L1606" s="33"/>
      <c r="X1606" s="23"/>
      <c r="Y1606" s="23"/>
      <c r="Z1606" s="23"/>
      <c r="AA1606" s="23"/>
      <c r="AF1606" s="23"/>
      <c r="AG1606" s="23"/>
      <c r="AH1606" s="23"/>
      <c r="AI1606" s="23"/>
      <c r="AN1606" s="23"/>
      <c r="AO1606" s="23"/>
      <c r="AP1606" s="23"/>
      <c r="AQ1606" s="23"/>
      <c r="AR1606" s="35"/>
      <c r="AS1606" s="35"/>
      <c r="AT1606" s="35"/>
      <c r="AU1606" s="31"/>
      <c r="AV1606" s="36"/>
    </row>
    <row r="1607" spans="4:48">
      <c r="D1607" s="31"/>
      <c r="E1607" s="31"/>
      <c r="F1607" s="31"/>
      <c r="G1607" s="31"/>
      <c r="H1607" s="32"/>
      <c r="J1607" s="33"/>
      <c r="K1607" s="33"/>
      <c r="L1607" s="33"/>
      <c r="X1607" s="23"/>
      <c r="Y1607" s="23"/>
      <c r="Z1607" s="23"/>
      <c r="AA1607" s="23"/>
      <c r="AF1607" s="23"/>
      <c r="AG1607" s="23"/>
      <c r="AH1607" s="23"/>
      <c r="AI1607" s="23"/>
      <c r="AN1607" s="23"/>
      <c r="AO1607" s="23"/>
      <c r="AP1607" s="23"/>
      <c r="AQ1607" s="23"/>
      <c r="AR1607" s="35"/>
      <c r="AS1607" s="35"/>
      <c r="AT1607" s="35"/>
      <c r="AU1607" s="31"/>
      <c r="AV1607" s="36"/>
    </row>
    <row r="1608" spans="4:48">
      <c r="D1608" s="31"/>
      <c r="E1608" s="31"/>
      <c r="F1608" s="31"/>
      <c r="G1608" s="31"/>
      <c r="H1608" s="32"/>
      <c r="J1608" s="33"/>
      <c r="K1608" s="33"/>
      <c r="L1608" s="33"/>
      <c r="X1608" s="23"/>
      <c r="Y1608" s="23"/>
      <c r="Z1608" s="23"/>
      <c r="AA1608" s="23"/>
      <c r="AF1608" s="23"/>
      <c r="AG1608" s="23"/>
      <c r="AH1608" s="23"/>
      <c r="AI1608" s="23"/>
      <c r="AN1608" s="23"/>
      <c r="AO1608" s="23"/>
      <c r="AP1608" s="23"/>
      <c r="AQ1608" s="23"/>
      <c r="AR1608" s="35"/>
      <c r="AS1608" s="35"/>
      <c r="AT1608" s="35"/>
      <c r="AU1608" s="31"/>
      <c r="AV1608" s="36"/>
    </row>
    <row r="1609" spans="4:48">
      <c r="D1609" s="31"/>
      <c r="E1609" s="31"/>
      <c r="F1609" s="31"/>
      <c r="G1609" s="31"/>
      <c r="H1609" s="32"/>
      <c r="J1609" s="33"/>
      <c r="K1609" s="33"/>
      <c r="L1609" s="33"/>
      <c r="X1609" s="23"/>
      <c r="Y1609" s="23"/>
      <c r="Z1609" s="23"/>
      <c r="AA1609" s="23"/>
      <c r="AF1609" s="23"/>
      <c r="AG1609" s="23"/>
      <c r="AH1609" s="23"/>
      <c r="AI1609" s="23"/>
      <c r="AN1609" s="23"/>
      <c r="AO1609" s="23"/>
      <c r="AP1609" s="23"/>
      <c r="AQ1609" s="23"/>
      <c r="AR1609" s="35"/>
      <c r="AS1609" s="35"/>
      <c r="AT1609" s="35"/>
      <c r="AU1609" s="31"/>
      <c r="AV1609" s="36"/>
    </row>
    <row r="1610" spans="4:48">
      <c r="D1610" s="31"/>
      <c r="E1610" s="31"/>
      <c r="F1610" s="31"/>
      <c r="G1610" s="31"/>
      <c r="H1610" s="32"/>
      <c r="J1610" s="33"/>
      <c r="K1610" s="33"/>
      <c r="L1610" s="33"/>
      <c r="X1610" s="23"/>
      <c r="Y1610" s="23"/>
      <c r="Z1610" s="23"/>
      <c r="AA1610" s="23"/>
      <c r="AF1610" s="23"/>
      <c r="AG1610" s="23"/>
      <c r="AH1610" s="23"/>
      <c r="AI1610" s="23"/>
      <c r="AN1610" s="23"/>
      <c r="AO1610" s="23"/>
      <c r="AP1610" s="23"/>
      <c r="AQ1610" s="23"/>
      <c r="AR1610" s="35"/>
      <c r="AS1610" s="35"/>
      <c r="AT1610" s="35"/>
      <c r="AU1610" s="31"/>
      <c r="AV1610" s="36"/>
    </row>
    <row r="1611" spans="4:48">
      <c r="D1611" s="31"/>
      <c r="E1611" s="31"/>
      <c r="F1611" s="31"/>
      <c r="G1611" s="31"/>
      <c r="H1611" s="32"/>
      <c r="J1611" s="33"/>
      <c r="K1611" s="33"/>
      <c r="L1611" s="33"/>
      <c r="X1611" s="23"/>
      <c r="Y1611" s="23"/>
      <c r="Z1611" s="23"/>
      <c r="AA1611" s="23"/>
      <c r="AF1611" s="23"/>
      <c r="AG1611" s="23"/>
      <c r="AH1611" s="23"/>
      <c r="AI1611" s="23"/>
      <c r="AN1611" s="23"/>
      <c r="AO1611" s="23"/>
      <c r="AP1611" s="23"/>
      <c r="AQ1611" s="23"/>
      <c r="AR1611" s="35"/>
      <c r="AS1611" s="35"/>
      <c r="AT1611" s="35"/>
      <c r="AU1611" s="31"/>
      <c r="AV1611" s="36"/>
    </row>
    <row r="1612" spans="4:48">
      <c r="D1612" s="31"/>
      <c r="E1612" s="31"/>
      <c r="F1612" s="31"/>
      <c r="G1612" s="31"/>
      <c r="H1612" s="32"/>
      <c r="J1612" s="33"/>
      <c r="K1612" s="33"/>
      <c r="L1612" s="33"/>
      <c r="X1612" s="23"/>
      <c r="Y1612" s="23"/>
      <c r="Z1612" s="23"/>
      <c r="AA1612" s="23"/>
      <c r="AF1612" s="23"/>
      <c r="AG1612" s="23"/>
      <c r="AH1612" s="23"/>
      <c r="AI1612" s="23"/>
      <c r="AN1612" s="23"/>
      <c r="AO1612" s="23"/>
      <c r="AP1612" s="23"/>
      <c r="AQ1612" s="23"/>
      <c r="AR1612" s="35"/>
      <c r="AS1612" s="35"/>
      <c r="AT1612" s="35"/>
      <c r="AU1612" s="31"/>
      <c r="AV1612" s="36"/>
    </row>
    <row r="1613" spans="4:48">
      <c r="D1613" s="31"/>
      <c r="E1613" s="31"/>
      <c r="F1613" s="31"/>
      <c r="G1613" s="31"/>
      <c r="H1613" s="32"/>
      <c r="J1613" s="33"/>
      <c r="K1613" s="33"/>
      <c r="L1613" s="33"/>
      <c r="X1613" s="23"/>
      <c r="Y1613" s="23"/>
      <c r="Z1613" s="23"/>
      <c r="AA1613" s="23"/>
      <c r="AF1613" s="23"/>
      <c r="AG1613" s="23"/>
      <c r="AH1613" s="23"/>
      <c r="AI1613" s="23"/>
      <c r="AN1613" s="23"/>
      <c r="AO1613" s="23"/>
      <c r="AP1613" s="23"/>
      <c r="AQ1613" s="23"/>
      <c r="AR1613" s="35"/>
      <c r="AS1613" s="35"/>
      <c r="AT1613" s="35"/>
      <c r="AU1613" s="31"/>
      <c r="AV1613" s="36"/>
    </row>
    <row r="1614" spans="4:48">
      <c r="D1614" s="31"/>
      <c r="E1614" s="31"/>
      <c r="F1614" s="31"/>
      <c r="G1614" s="31"/>
      <c r="H1614" s="32"/>
      <c r="J1614" s="33"/>
      <c r="K1614" s="33"/>
      <c r="L1614" s="33"/>
      <c r="X1614" s="23"/>
      <c r="Y1614" s="23"/>
      <c r="Z1614" s="23"/>
      <c r="AA1614" s="23"/>
      <c r="AF1614" s="23"/>
      <c r="AG1614" s="23"/>
      <c r="AH1614" s="23"/>
      <c r="AI1614" s="23"/>
      <c r="AN1614" s="23"/>
      <c r="AO1614" s="23"/>
      <c r="AP1614" s="23"/>
      <c r="AQ1614" s="23"/>
      <c r="AR1614" s="35"/>
      <c r="AS1614" s="35"/>
      <c r="AT1614" s="35"/>
      <c r="AU1614" s="31"/>
      <c r="AV1614" s="36"/>
    </row>
    <row r="1615" spans="4:48">
      <c r="D1615" s="31"/>
      <c r="E1615" s="31"/>
      <c r="F1615" s="31"/>
      <c r="G1615" s="31"/>
      <c r="H1615" s="32"/>
      <c r="J1615" s="33"/>
      <c r="K1615" s="33"/>
      <c r="L1615" s="33"/>
      <c r="X1615" s="23"/>
      <c r="Y1615" s="23"/>
      <c r="Z1615" s="23"/>
      <c r="AA1615" s="23"/>
      <c r="AF1615" s="23"/>
      <c r="AG1615" s="23"/>
      <c r="AH1615" s="23"/>
      <c r="AI1615" s="23"/>
      <c r="AN1615" s="23"/>
      <c r="AO1615" s="23"/>
      <c r="AP1615" s="23"/>
      <c r="AQ1615" s="23"/>
      <c r="AR1615" s="35"/>
      <c r="AS1615" s="35"/>
      <c r="AT1615" s="35"/>
      <c r="AU1615" s="31"/>
      <c r="AV1615" s="36"/>
    </row>
    <row r="1616" spans="4:48">
      <c r="D1616" s="31"/>
      <c r="E1616" s="31"/>
      <c r="F1616" s="31"/>
      <c r="G1616" s="31"/>
      <c r="H1616" s="32"/>
      <c r="J1616" s="33"/>
      <c r="K1616" s="33"/>
      <c r="L1616" s="33"/>
      <c r="X1616" s="23"/>
      <c r="Y1616" s="23"/>
      <c r="Z1616" s="23"/>
      <c r="AA1616" s="23"/>
      <c r="AF1616" s="23"/>
      <c r="AG1616" s="23"/>
      <c r="AH1616" s="23"/>
      <c r="AI1616" s="23"/>
      <c r="AN1616" s="23"/>
      <c r="AO1616" s="23"/>
      <c r="AP1616" s="23"/>
      <c r="AQ1616" s="23"/>
      <c r="AR1616" s="35"/>
      <c r="AS1616" s="35"/>
      <c r="AT1616" s="35"/>
      <c r="AU1616" s="31"/>
      <c r="AV1616" s="36"/>
    </row>
    <row r="1617" spans="4:48">
      <c r="D1617" s="31"/>
      <c r="E1617" s="31"/>
      <c r="F1617" s="31"/>
      <c r="G1617" s="31"/>
      <c r="H1617" s="32"/>
      <c r="J1617" s="33"/>
      <c r="K1617" s="33"/>
      <c r="L1617" s="33"/>
      <c r="X1617" s="23"/>
      <c r="Y1617" s="23"/>
      <c r="Z1617" s="23"/>
      <c r="AA1617" s="23"/>
      <c r="AF1617" s="23"/>
      <c r="AG1617" s="23"/>
      <c r="AH1617" s="23"/>
      <c r="AI1617" s="23"/>
      <c r="AN1617" s="23"/>
      <c r="AO1617" s="23"/>
      <c r="AP1617" s="23"/>
      <c r="AQ1617" s="23"/>
      <c r="AR1617" s="35"/>
      <c r="AS1617" s="35"/>
      <c r="AT1617" s="35"/>
      <c r="AU1617" s="31"/>
      <c r="AV1617" s="36"/>
    </row>
    <row r="1618" spans="4:48">
      <c r="D1618" s="31"/>
      <c r="E1618" s="31"/>
      <c r="F1618" s="31"/>
      <c r="G1618" s="31"/>
      <c r="H1618" s="32"/>
      <c r="J1618" s="33"/>
      <c r="K1618" s="33"/>
      <c r="L1618" s="33"/>
      <c r="X1618" s="23"/>
      <c r="Y1618" s="23"/>
      <c r="Z1618" s="23"/>
      <c r="AA1618" s="23"/>
      <c r="AF1618" s="23"/>
      <c r="AG1618" s="23"/>
      <c r="AH1618" s="23"/>
      <c r="AI1618" s="23"/>
      <c r="AN1618" s="23"/>
      <c r="AO1618" s="23"/>
      <c r="AP1618" s="23"/>
      <c r="AQ1618" s="23"/>
      <c r="AR1618" s="35"/>
      <c r="AS1618" s="35"/>
      <c r="AT1618" s="35"/>
      <c r="AU1618" s="31"/>
      <c r="AV1618" s="36"/>
    </row>
    <row r="1619" spans="4:48">
      <c r="D1619" s="31"/>
      <c r="E1619" s="31"/>
      <c r="F1619" s="31"/>
      <c r="G1619" s="31"/>
      <c r="H1619" s="32"/>
      <c r="J1619" s="33"/>
      <c r="K1619" s="33"/>
      <c r="L1619" s="33"/>
      <c r="X1619" s="23"/>
      <c r="Y1619" s="23"/>
      <c r="Z1619" s="23"/>
      <c r="AA1619" s="23"/>
      <c r="AF1619" s="23"/>
      <c r="AG1619" s="23"/>
      <c r="AH1619" s="23"/>
      <c r="AI1619" s="23"/>
      <c r="AN1619" s="23"/>
      <c r="AO1619" s="23"/>
      <c r="AP1619" s="23"/>
      <c r="AQ1619" s="23"/>
      <c r="AR1619" s="35"/>
      <c r="AS1619" s="35"/>
      <c r="AT1619" s="35"/>
      <c r="AU1619" s="31"/>
      <c r="AV1619" s="36"/>
    </row>
    <row r="1620" spans="4:48">
      <c r="D1620" s="31"/>
      <c r="E1620" s="31"/>
      <c r="F1620" s="31"/>
      <c r="G1620" s="31"/>
      <c r="H1620" s="32"/>
      <c r="J1620" s="33"/>
      <c r="K1620" s="33"/>
      <c r="L1620" s="33"/>
      <c r="X1620" s="23"/>
      <c r="Y1620" s="23"/>
      <c r="Z1620" s="23"/>
      <c r="AA1620" s="23"/>
      <c r="AF1620" s="23"/>
      <c r="AG1620" s="23"/>
      <c r="AH1620" s="23"/>
      <c r="AI1620" s="23"/>
      <c r="AN1620" s="23"/>
      <c r="AO1620" s="23"/>
      <c r="AP1620" s="23"/>
      <c r="AQ1620" s="23"/>
      <c r="AR1620" s="35"/>
      <c r="AS1620" s="35"/>
      <c r="AT1620" s="35"/>
      <c r="AU1620" s="31"/>
      <c r="AV1620" s="36"/>
    </row>
    <row r="1621" spans="4:48">
      <c r="D1621" s="31"/>
      <c r="E1621" s="31"/>
      <c r="F1621" s="31"/>
      <c r="G1621" s="31"/>
      <c r="H1621" s="32"/>
      <c r="J1621" s="33"/>
      <c r="K1621" s="33"/>
      <c r="L1621" s="33"/>
      <c r="X1621" s="23"/>
      <c r="Y1621" s="23"/>
      <c r="Z1621" s="23"/>
      <c r="AA1621" s="23"/>
      <c r="AF1621" s="23"/>
      <c r="AG1621" s="23"/>
      <c r="AH1621" s="23"/>
      <c r="AI1621" s="23"/>
      <c r="AN1621" s="23"/>
      <c r="AO1621" s="23"/>
      <c r="AP1621" s="23"/>
      <c r="AQ1621" s="23"/>
      <c r="AR1621" s="35"/>
      <c r="AS1621" s="35"/>
      <c r="AT1621" s="35"/>
      <c r="AU1621" s="31"/>
      <c r="AV1621" s="36"/>
    </row>
    <row r="1622" spans="4:48">
      <c r="D1622" s="31"/>
      <c r="E1622" s="31"/>
      <c r="F1622" s="31"/>
      <c r="G1622" s="31"/>
      <c r="H1622" s="32"/>
      <c r="J1622" s="33"/>
      <c r="K1622" s="33"/>
      <c r="L1622" s="33"/>
      <c r="X1622" s="23"/>
      <c r="Y1622" s="23"/>
      <c r="Z1622" s="23"/>
      <c r="AA1622" s="23"/>
      <c r="AF1622" s="23"/>
      <c r="AG1622" s="23"/>
      <c r="AH1622" s="23"/>
      <c r="AI1622" s="23"/>
      <c r="AN1622" s="23"/>
      <c r="AO1622" s="23"/>
      <c r="AP1622" s="23"/>
      <c r="AQ1622" s="23"/>
      <c r="AR1622" s="35"/>
      <c r="AS1622" s="35"/>
      <c r="AT1622" s="35"/>
      <c r="AU1622" s="31"/>
      <c r="AV1622" s="36"/>
    </row>
    <row r="1623" spans="4:48">
      <c r="D1623" s="31"/>
      <c r="E1623" s="31"/>
      <c r="F1623" s="31"/>
      <c r="G1623" s="31"/>
      <c r="H1623" s="32"/>
      <c r="J1623" s="33"/>
      <c r="K1623" s="33"/>
      <c r="L1623" s="33"/>
      <c r="X1623" s="23"/>
      <c r="Y1623" s="23"/>
      <c r="Z1623" s="23"/>
      <c r="AA1623" s="23"/>
      <c r="AF1623" s="23"/>
      <c r="AG1623" s="23"/>
      <c r="AH1623" s="23"/>
      <c r="AI1623" s="23"/>
      <c r="AN1623" s="23"/>
      <c r="AO1623" s="23"/>
      <c r="AP1623" s="23"/>
      <c r="AQ1623" s="23"/>
      <c r="AR1623" s="35"/>
      <c r="AS1623" s="35"/>
      <c r="AT1623" s="35"/>
      <c r="AU1623" s="31"/>
      <c r="AV1623" s="36"/>
    </row>
    <row r="1624" spans="4:48">
      <c r="D1624" s="31"/>
      <c r="E1624" s="31"/>
      <c r="F1624" s="31"/>
      <c r="G1624" s="31"/>
      <c r="H1624" s="32"/>
      <c r="J1624" s="33"/>
      <c r="K1624" s="33"/>
      <c r="L1624" s="33"/>
      <c r="X1624" s="23"/>
      <c r="Y1624" s="23"/>
      <c r="Z1624" s="23"/>
      <c r="AA1624" s="23"/>
      <c r="AF1624" s="23"/>
      <c r="AG1624" s="23"/>
      <c r="AH1624" s="23"/>
      <c r="AI1624" s="23"/>
      <c r="AN1624" s="23"/>
      <c r="AO1624" s="23"/>
      <c r="AP1624" s="23"/>
      <c r="AQ1624" s="23"/>
      <c r="AR1624" s="35"/>
      <c r="AS1624" s="35"/>
      <c r="AT1624" s="35"/>
      <c r="AU1624" s="31"/>
      <c r="AV1624" s="36"/>
    </row>
    <row r="1625" spans="4:48">
      <c r="D1625" s="31"/>
      <c r="E1625" s="31"/>
      <c r="F1625" s="31"/>
      <c r="G1625" s="31"/>
      <c r="H1625" s="32"/>
      <c r="J1625" s="33"/>
      <c r="K1625" s="33"/>
      <c r="L1625" s="33"/>
      <c r="X1625" s="23"/>
      <c r="Y1625" s="23"/>
      <c r="Z1625" s="23"/>
      <c r="AA1625" s="23"/>
      <c r="AF1625" s="23"/>
      <c r="AG1625" s="23"/>
      <c r="AH1625" s="23"/>
      <c r="AI1625" s="23"/>
      <c r="AN1625" s="23"/>
      <c r="AO1625" s="23"/>
      <c r="AP1625" s="23"/>
      <c r="AQ1625" s="23"/>
      <c r="AR1625" s="35"/>
      <c r="AS1625" s="35"/>
      <c r="AT1625" s="35"/>
      <c r="AU1625" s="31"/>
      <c r="AV1625" s="36"/>
    </row>
    <row r="1626" spans="4:48">
      <c r="D1626" s="31"/>
      <c r="E1626" s="31"/>
      <c r="F1626" s="31"/>
      <c r="G1626" s="31"/>
      <c r="H1626" s="32"/>
      <c r="J1626" s="33"/>
      <c r="K1626" s="33"/>
      <c r="L1626" s="33"/>
      <c r="X1626" s="23"/>
      <c r="Y1626" s="23"/>
      <c r="Z1626" s="23"/>
      <c r="AA1626" s="23"/>
      <c r="AF1626" s="23"/>
      <c r="AG1626" s="23"/>
      <c r="AH1626" s="23"/>
      <c r="AI1626" s="23"/>
      <c r="AN1626" s="23"/>
      <c r="AO1626" s="23"/>
      <c r="AP1626" s="23"/>
      <c r="AQ1626" s="23"/>
      <c r="AR1626" s="35"/>
      <c r="AS1626" s="35"/>
      <c r="AT1626" s="35"/>
      <c r="AU1626" s="31"/>
      <c r="AV1626" s="36"/>
    </row>
    <row r="1627" spans="4:48">
      <c r="D1627" s="31"/>
      <c r="E1627" s="31"/>
      <c r="F1627" s="31"/>
      <c r="G1627" s="31"/>
      <c r="H1627" s="32"/>
      <c r="J1627" s="33"/>
      <c r="K1627" s="33"/>
      <c r="L1627" s="33"/>
      <c r="X1627" s="23"/>
      <c r="Y1627" s="23"/>
      <c r="Z1627" s="23"/>
      <c r="AA1627" s="23"/>
      <c r="AF1627" s="23"/>
      <c r="AG1627" s="23"/>
      <c r="AH1627" s="23"/>
      <c r="AI1627" s="23"/>
      <c r="AN1627" s="23"/>
      <c r="AO1627" s="23"/>
      <c r="AP1627" s="23"/>
      <c r="AQ1627" s="23"/>
      <c r="AR1627" s="35"/>
      <c r="AS1627" s="35"/>
      <c r="AT1627" s="35"/>
      <c r="AU1627" s="31"/>
      <c r="AV1627" s="36"/>
    </row>
    <row r="1628" spans="4:48">
      <c r="D1628" s="31"/>
      <c r="E1628" s="31"/>
      <c r="F1628" s="31"/>
      <c r="G1628" s="31"/>
      <c r="H1628" s="32"/>
      <c r="J1628" s="33"/>
      <c r="K1628" s="33"/>
      <c r="L1628" s="33"/>
      <c r="X1628" s="23"/>
      <c r="Y1628" s="23"/>
      <c r="Z1628" s="23"/>
      <c r="AA1628" s="23"/>
      <c r="AF1628" s="23"/>
      <c r="AG1628" s="23"/>
      <c r="AH1628" s="23"/>
      <c r="AI1628" s="23"/>
      <c r="AN1628" s="23"/>
      <c r="AO1628" s="23"/>
      <c r="AP1628" s="23"/>
      <c r="AQ1628" s="23"/>
      <c r="AR1628" s="35"/>
      <c r="AS1628" s="35"/>
      <c r="AT1628" s="35"/>
      <c r="AU1628" s="31"/>
      <c r="AV1628" s="36"/>
    </row>
    <row r="1629" spans="4:48">
      <c r="D1629" s="31"/>
      <c r="E1629" s="31"/>
      <c r="F1629" s="31"/>
      <c r="G1629" s="31"/>
      <c r="H1629" s="32"/>
      <c r="J1629" s="33"/>
      <c r="K1629" s="33"/>
      <c r="L1629" s="33"/>
      <c r="X1629" s="23"/>
      <c r="Y1629" s="23"/>
      <c r="Z1629" s="23"/>
      <c r="AA1629" s="23"/>
      <c r="AF1629" s="23"/>
      <c r="AG1629" s="23"/>
      <c r="AH1629" s="23"/>
      <c r="AI1629" s="23"/>
      <c r="AN1629" s="23"/>
      <c r="AO1629" s="23"/>
      <c r="AP1629" s="23"/>
      <c r="AQ1629" s="23"/>
      <c r="AR1629" s="35"/>
      <c r="AS1629" s="35"/>
      <c r="AT1629" s="35"/>
      <c r="AU1629" s="31"/>
      <c r="AV1629" s="36"/>
    </row>
    <row r="1630" spans="4:48">
      <c r="D1630" s="31"/>
      <c r="E1630" s="31"/>
      <c r="F1630" s="31"/>
      <c r="G1630" s="31"/>
      <c r="H1630" s="32"/>
      <c r="J1630" s="33"/>
      <c r="K1630" s="33"/>
      <c r="L1630" s="33"/>
      <c r="X1630" s="23"/>
      <c r="Y1630" s="23"/>
      <c r="Z1630" s="23"/>
      <c r="AA1630" s="23"/>
      <c r="AF1630" s="23"/>
      <c r="AG1630" s="23"/>
      <c r="AH1630" s="23"/>
      <c r="AI1630" s="23"/>
      <c r="AN1630" s="23"/>
      <c r="AO1630" s="23"/>
      <c r="AP1630" s="23"/>
      <c r="AQ1630" s="23"/>
      <c r="AR1630" s="35"/>
      <c r="AS1630" s="35"/>
      <c r="AT1630" s="35"/>
      <c r="AU1630" s="31"/>
      <c r="AV1630" s="36"/>
    </row>
    <row r="1631" spans="4:48">
      <c r="D1631" s="31"/>
      <c r="E1631" s="31"/>
      <c r="F1631" s="31"/>
      <c r="G1631" s="31"/>
      <c r="H1631" s="32"/>
      <c r="J1631" s="33"/>
      <c r="K1631" s="33"/>
      <c r="L1631" s="33"/>
      <c r="X1631" s="23"/>
      <c r="Y1631" s="23"/>
      <c r="Z1631" s="23"/>
      <c r="AA1631" s="23"/>
      <c r="AF1631" s="23"/>
      <c r="AG1631" s="23"/>
      <c r="AH1631" s="23"/>
      <c r="AI1631" s="23"/>
      <c r="AN1631" s="23"/>
      <c r="AO1631" s="23"/>
      <c r="AP1631" s="23"/>
      <c r="AQ1631" s="23"/>
      <c r="AR1631" s="35"/>
      <c r="AS1631" s="35"/>
      <c r="AT1631" s="35"/>
      <c r="AU1631" s="31"/>
      <c r="AV1631" s="36"/>
    </row>
    <row r="1632" spans="4:48">
      <c r="D1632" s="31"/>
      <c r="E1632" s="31"/>
      <c r="F1632" s="31"/>
      <c r="G1632" s="31"/>
      <c r="H1632" s="32"/>
      <c r="J1632" s="33"/>
      <c r="K1632" s="33"/>
      <c r="L1632" s="33"/>
      <c r="X1632" s="23"/>
      <c r="Y1632" s="23"/>
      <c r="Z1632" s="23"/>
      <c r="AA1632" s="23"/>
      <c r="AF1632" s="23"/>
      <c r="AG1632" s="23"/>
      <c r="AH1632" s="23"/>
      <c r="AI1632" s="23"/>
      <c r="AN1632" s="23"/>
      <c r="AO1632" s="23"/>
      <c r="AP1632" s="23"/>
      <c r="AQ1632" s="23"/>
      <c r="AR1632" s="35"/>
      <c r="AS1632" s="35"/>
      <c r="AT1632" s="35"/>
      <c r="AU1632" s="31"/>
      <c r="AV1632" s="36"/>
    </row>
    <row r="1633" spans="4:48">
      <c r="D1633" s="31"/>
      <c r="E1633" s="31"/>
      <c r="F1633" s="31"/>
      <c r="G1633" s="31"/>
      <c r="H1633" s="32"/>
      <c r="J1633" s="33"/>
      <c r="K1633" s="33"/>
      <c r="L1633" s="33"/>
      <c r="X1633" s="23"/>
      <c r="Y1633" s="23"/>
      <c r="Z1633" s="23"/>
      <c r="AA1633" s="23"/>
      <c r="AF1633" s="23"/>
      <c r="AG1633" s="23"/>
      <c r="AH1633" s="23"/>
      <c r="AI1633" s="23"/>
      <c r="AN1633" s="23"/>
      <c r="AO1633" s="23"/>
      <c r="AP1633" s="23"/>
      <c r="AQ1633" s="23"/>
      <c r="AR1633" s="35"/>
      <c r="AS1633" s="35"/>
      <c r="AT1633" s="35"/>
      <c r="AU1633" s="31"/>
      <c r="AV1633" s="36"/>
    </row>
    <row r="1634" spans="4:48">
      <c r="D1634" s="31"/>
      <c r="E1634" s="31"/>
      <c r="F1634" s="31"/>
      <c r="G1634" s="31"/>
      <c r="H1634" s="32"/>
      <c r="J1634" s="33"/>
      <c r="K1634" s="33"/>
      <c r="L1634" s="33"/>
      <c r="X1634" s="23"/>
      <c r="Y1634" s="23"/>
      <c r="Z1634" s="23"/>
      <c r="AA1634" s="23"/>
      <c r="AF1634" s="23"/>
      <c r="AG1634" s="23"/>
      <c r="AH1634" s="23"/>
      <c r="AI1634" s="23"/>
      <c r="AN1634" s="23"/>
      <c r="AO1634" s="23"/>
      <c r="AP1634" s="23"/>
      <c r="AQ1634" s="23"/>
      <c r="AR1634" s="35"/>
      <c r="AS1634" s="35"/>
      <c r="AT1634" s="35"/>
      <c r="AU1634" s="31"/>
      <c r="AV1634" s="36"/>
    </row>
    <row r="1635" spans="4:48">
      <c r="D1635" s="31"/>
      <c r="E1635" s="31"/>
      <c r="F1635" s="31"/>
      <c r="G1635" s="31"/>
      <c r="H1635" s="32"/>
      <c r="J1635" s="33"/>
      <c r="K1635" s="33"/>
      <c r="L1635" s="33"/>
      <c r="X1635" s="23"/>
      <c r="Y1635" s="23"/>
      <c r="Z1635" s="23"/>
      <c r="AA1635" s="23"/>
      <c r="AF1635" s="23"/>
      <c r="AG1635" s="23"/>
      <c r="AH1635" s="23"/>
      <c r="AI1635" s="23"/>
      <c r="AN1635" s="23"/>
      <c r="AO1635" s="23"/>
      <c r="AP1635" s="23"/>
      <c r="AQ1635" s="23"/>
      <c r="AR1635" s="35"/>
      <c r="AS1635" s="35"/>
      <c r="AT1635" s="35"/>
      <c r="AU1635" s="31"/>
      <c r="AV1635" s="36"/>
    </row>
    <row r="1636" spans="4:48">
      <c r="D1636" s="31"/>
      <c r="E1636" s="31"/>
      <c r="F1636" s="31"/>
      <c r="G1636" s="31"/>
      <c r="H1636" s="32"/>
      <c r="J1636" s="33"/>
      <c r="K1636" s="33"/>
      <c r="L1636" s="33"/>
      <c r="X1636" s="23"/>
      <c r="Y1636" s="23"/>
      <c r="Z1636" s="23"/>
      <c r="AA1636" s="23"/>
      <c r="AF1636" s="23"/>
      <c r="AG1636" s="23"/>
      <c r="AH1636" s="23"/>
      <c r="AI1636" s="23"/>
      <c r="AN1636" s="23"/>
      <c r="AO1636" s="23"/>
      <c r="AP1636" s="23"/>
      <c r="AQ1636" s="23"/>
      <c r="AR1636" s="35"/>
      <c r="AS1636" s="35"/>
      <c r="AT1636" s="35"/>
      <c r="AU1636" s="31"/>
      <c r="AV1636" s="36"/>
    </row>
    <row r="1637" spans="4:48">
      <c r="D1637" s="31"/>
      <c r="E1637" s="31"/>
      <c r="F1637" s="31"/>
      <c r="G1637" s="31"/>
      <c r="H1637" s="32"/>
      <c r="J1637" s="33"/>
      <c r="K1637" s="33"/>
      <c r="L1637" s="33"/>
      <c r="X1637" s="23"/>
      <c r="Y1637" s="23"/>
      <c r="Z1637" s="23"/>
      <c r="AA1637" s="23"/>
      <c r="AF1637" s="23"/>
      <c r="AG1637" s="23"/>
      <c r="AH1637" s="23"/>
      <c r="AI1637" s="23"/>
      <c r="AN1637" s="23"/>
      <c r="AO1637" s="23"/>
      <c r="AP1637" s="23"/>
      <c r="AQ1637" s="23"/>
      <c r="AR1637" s="35"/>
      <c r="AS1637" s="35"/>
      <c r="AT1637" s="35"/>
      <c r="AU1637" s="31"/>
      <c r="AV1637" s="36"/>
    </row>
    <row r="1638" spans="4:48">
      <c r="D1638" s="31"/>
      <c r="E1638" s="31"/>
      <c r="F1638" s="31"/>
      <c r="G1638" s="31"/>
      <c r="H1638" s="32"/>
      <c r="J1638" s="33"/>
      <c r="K1638" s="33"/>
      <c r="L1638" s="33"/>
      <c r="X1638" s="23"/>
      <c r="Y1638" s="23"/>
      <c r="Z1638" s="23"/>
      <c r="AA1638" s="23"/>
      <c r="AF1638" s="23"/>
      <c r="AG1638" s="23"/>
      <c r="AH1638" s="23"/>
      <c r="AI1638" s="23"/>
      <c r="AN1638" s="23"/>
      <c r="AO1638" s="23"/>
      <c r="AP1638" s="23"/>
      <c r="AQ1638" s="23"/>
      <c r="AR1638" s="35"/>
      <c r="AS1638" s="35"/>
      <c r="AT1638" s="35"/>
      <c r="AU1638" s="31"/>
      <c r="AV1638" s="36"/>
    </row>
    <row r="1639" spans="4:48">
      <c r="D1639" s="31"/>
      <c r="E1639" s="31"/>
      <c r="F1639" s="31"/>
      <c r="G1639" s="31"/>
      <c r="H1639" s="32"/>
      <c r="J1639" s="33"/>
      <c r="K1639" s="33"/>
      <c r="L1639" s="33"/>
      <c r="X1639" s="23"/>
      <c r="Y1639" s="23"/>
      <c r="Z1639" s="23"/>
      <c r="AA1639" s="23"/>
      <c r="AF1639" s="23"/>
      <c r="AG1639" s="23"/>
      <c r="AH1639" s="23"/>
      <c r="AI1639" s="23"/>
      <c r="AN1639" s="23"/>
      <c r="AO1639" s="23"/>
      <c r="AP1639" s="23"/>
      <c r="AQ1639" s="23"/>
      <c r="AR1639" s="35"/>
      <c r="AS1639" s="35"/>
      <c r="AT1639" s="35"/>
      <c r="AU1639" s="31"/>
      <c r="AV1639" s="36"/>
    </row>
    <row r="1640" spans="4:48">
      <c r="D1640" s="31"/>
      <c r="E1640" s="31"/>
      <c r="F1640" s="31"/>
      <c r="G1640" s="31"/>
      <c r="H1640" s="32"/>
      <c r="J1640" s="33"/>
      <c r="K1640" s="33"/>
      <c r="L1640" s="33"/>
      <c r="X1640" s="23"/>
      <c r="Y1640" s="23"/>
      <c r="Z1640" s="23"/>
      <c r="AA1640" s="23"/>
      <c r="AF1640" s="23"/>
      <c r="AG1640" s="23"/>
      <c r="AH1640" s="23"/>
      <c r="AI1640" s="23"/>
      <c r="AN1640" s="23"/>
      <c r="AO1640" s="23"/>
      <c r="AP1640" s="23"/>
      <c r="AQ1640" s="23"/>
      <c r="AR1640" s="35"/>
      <c r="AS1640" s="35"/>
      <c r="AT1640" s="35"/>
      <c r="AU1640" s="31"/>
      <c r="AV1640" s="36"/>
    </row>
    <row r="1641" spans="4:48">
      <c r="D1641" s="31"/>
      <c r="E1641" s="31"/>
      <c r="F1641" s="31"/>
      <c r="G1641" s="31"/>
      <c r="H1641" s="32"/>
      <c r="J1641" s="33"/>
      <c r="K1641" s="33"/>
      <c r="L1641" s="33"/>
      <c r="X1641" s="23"/>
      <c r="Y1641" s="23"/>
      <c r="Z1641" s="23"/>
      <c r="AA1641" s="23"/>
      <c r="AF1641" s="23"/>
      <c r="AG1641" s="23"/>
      <c r="AH1641" s="23"/>
      <c r="AI1641" s="23"/>
      <c r="AN1641" s="23"/>
      <c r="AO1641" s="23"/>
      <c r="AP1641" s="23"/>
      <c r="AQ1641" s="23"/>
      <c r="AR1641" s="35"/>
      <c r="AS1641" s="35"/>
      <c r="AT1641" s="35"/>
      <c r="AU1641" s="31"/>
      <c r="AV1641" s="36"/>
    </row>
    <row r="1642" spans="4:48">
      <c r="D1642" s="31"/>
      <c r="E1642" s="31"/>
      <c r="F1642" s="31"/>
      <c r="G1642" s="31"/>
      <c r="H1642" s="32"/>
      <c r="J1642" s="33"/>
      <c r="K1642" s="33"/>
      <c r="L1642" s="33"/>
      <c r="X1642" s="23"/>
      <c r="Y1642" s="23"/>
      <c r="Z1642" s="23"/>
      <c r="AA1642" s="23"/>
      <c r="AF1642" s="23"/>
      <c r="AG1642" s="23"/>
      <c r="AH1642" s="23"/>
      <c r="AI1642" s="23"/>
      <c r="AN1642" s="23"/>
      <c r="AO1642" s="23"/>
      <c r="AP1642" s="23"/>
      <c r="AQ1642" s="23"/>
      <c r="AR1642" s="35"/>
      <c r="AS1642" s="35"/>
      <c r="AT1642" s="35"/>
      <c r="AU1642" s="31"/>
      <c r="AV1642" s="36"/>
    </row>
    <row r="1643" spans="4:48">
      <c r="D1643" s="31"/>
      <c r="E1643" s="31"/>
      <c r="F1643" s="31"/>
      <c r="G1643" s="31"/>
      <c r="H1643" s="32"/>
      <c r="J1643" s="33"/>
      <c r="K1643" s="33"/>
      <c r="L1643" s="33"/>
      <c r="X1643" s="23"/>
      <c r="Y1643" s="23"/>
      <c r="Z1643" s="23"/>
      <c r="AA1643" s="23"/>
      <c r="AF1643" s="23"/>
      <c r="AG1643" s="23"/>
      <c r="AH1643" s="23"/>
      <c r="AI1643" s="23"/>
      <c r="AN1643" s="23"/>
      <c r="AO1643" s="23"/>
      <c r="AP1643" s="23"/>
      <c r="AQ1643" s="23"/>
      <c r="AR1643" s="35"/>
      <c r="AS1643" s="35"/>
      <c r="AT1643" s="35"/>
      <c r="AU1643" s="31"/>
      <c r="AV1643" s="36"/>
    </row>
    <row r="1644" spans="4:48">
      <c r="D1644" s="31"/>
      <c r="E1644" s="31"/>
      <c r="F1644" s="31"/>
      <c r="G1644" s="31"/>
      <c r="H1644" s="32"/>
      <c r="J1644" s="33"/>
      <c r="K1644" s="33"/>
      <c r="L1644" s="33"/>
      <c r="X1644" s="23"/>
      <c r="Y1644" s="23"/>
      <c r="Z1644" s="23"/>
      <c r="AA1644" s="23"/>
      <c r="AF1644" s="23"/>
      <c r="AG1644" s="23"/>
      <c r="AH1644" s="23"/>
      <c r="AI1644" s="23"/>
      <c r="AN1644" s="23"/>
      <c r="AO1644" s="23"/>
      <c r="AP1644" s="23"/>
      <c r="AQ1644" s="23"/>
      <c r="AR1644" s="35"/>
      <c r="AS1644" s="35"/>
      <c r="AT1644" s="35"/>
      <c r="AU1644" s="31"/>
      <c r="AV1644" s="36"/>
    </row>
    <row r="1645" spans="4:48">
      <c r="D1645" s="31"/>
      <c r="E1645" s="31"/>
      <c r="F1645" s="31"/>
      <c r="G1645" s="31"/>
      <c r="H1645" s="32"/>
      <c r="J1645" s="33"/>
      <c r="K1645" s="33"/>
      <c r="L1645" s="33"/>
      <c r="X1645" s="23"/>
      <c r="Y1645" s="23"/>
      <c r="Z1645" s="23"/>
      <c r="AA1645" s="23"/>
      <c r="AF1645" s="23"/>
      <c r="AG1645" s="23"/>
      <c r="AH1645" s="23"/>
      <c r="AI1645" s="23"/>
      <c r="AN1645" s="23"/>
      <c r="AO1645" s="23"/>
      <c r="AP1645" s="23"/>
      <c r="AQ1645" s="23"/>
      <c r="AR1645" s="35"/>
      <c r="AS1645" s="35"/>
      <c r="AT1645" s="35"/>
      <c r="AU1645" s="31"/>
      <c r="AV1645" s="36"/>
    </row>
    <row r="1646" spans="4:48">
      <c r="D1646" s="31"/>
      <c r="E1646" s="31"/>
      <c r="F1646" s="31"/>
      <c r="G1646" s="31"/>
      <c r="H1646" s="32"/>
      <c r="J1646" s="33"/>
      <c r="K1646" s="33"/>
      <c r="L1646" s="33"/>
      <c r="X1646" s="23"/>
      <c r="Y1646" s="23"/>
      <c r="Z1646" s="23"/>
      <c r="AA1646" s="23"/>
      <c r="AF1646" s="23"/>
      <c r="AG1646" s="23"/>
      <c r="AH1646" s="23"/>
      <c r="AI1646" s="23"/>
      <c r="AN1646" s="23"/>
      <c r="AO1646" s="23"/>
      <c r="AP1646" s="23"/>
      <c r="AQ1646" s="23"/>
      <c r="AR1646" s="35"/>
      <c r="AS1646" s="35"/>
      <c r="AT1646" s="35"/>
      <c r="AU1646" s="31"/>
      <c r="AV1646" s="36"/>
    </row>
    <row r="1647" spans="4:48">
      <c r="D1647" s="31"/>
      <c r="E1647" s="31"/>
      <c r="F1647" s="31"/>
      <c r="G1647" s="31"/>
      <c r="H1647" s="32"/>
      <c r="J1647" s="33"/>
      <c r="K1647" s="33"/>
      <c r="L1647" s="33"/>
      <c r="X1647" s="23"/>
      <c r="Y1647" s="23"/>
      <c r="Z1647" s="23"/>
      <c r="AA1647" s="23"/>
      <c r="AF1647" s="23"/>
      <c r="AG1647" s="23"/>
      <c r="AH1647" s="23"/>
      <c r="AI1647" s="23"/>
      <c r="AN1647" s="23"/>
      <c r="AO1647" s="23"/>
      <c r="AP1647" s="23"/>
      <c r="AQ1647" s="23"/>
      <c r="AR1647" s="35"/>
      <c r="AS1647" s="35"/>
      <c r="AT1647" s="35"/>
      <c r="AU1647" s="31"/>
      <c r="AV1647" s="36"/>
    </row>
    <row r="1648" spans="4:48">
      <c r="D1648" s="31"/>
      <c r="E1648" s="31"/>
      <c r="F1648" s="31"/>
      <c r="G1648" s="31"/>
      <c r="H1648" s="32"/>
      <c r="J1648" s="33"/>
      <c r="K1648" s="33"/>
      <c r="L1648" s="33"/>
      <c r="X1648" s="23"/>
      <c r="Y1648" s="23"/>
      <c r="Z1648" s="23"/>
      <c r="AA1648" s="23"/>
      <c r="AF1648" s="23"/>
      <c r="AG1648" s="23"/>
      <c r="AH1648" s="23"/>
      <c r="AI1648" s="23"/>
      <c r="AN1648" s="23"/>
      <c r="AO1648" s="23"/>
      <c r="AP1648" s="23"/>
      <c r="AQ1648" s="23"/>
      <c r="AR1648" s="35"/>
      <c r="AS1648" s="35"/>
      <c r="AT1648" s="35"/>
      <c r="AU1648" s="31"/>
      <c r="AV1648" s="36"/>
    </row>
    <row r="1649" spans="4:48">
      <c r="D1649" s="31"/>
      <c r="E1649" s="31"/>
      <c r="F1649" s="31"/>
      <c r="G1649" s="31"/>
      <c r="H1649" s="32"/>
      <c r="J1649" s="33"/>
      <c r="K1649" s="33"/>
      <c r="L1649" s="33"/>
      <c r="X1649" s="23"/>
      <c r="Y1649" s="23"/>
      <c r="Z1649" s="23"/>
      <c r="AA1649" s="23"/>
      <c r="AF1649" s="23"/>
      <c r="AG1649" s="23"/>
      <c r="AH1649" s="23"/>
      <c r="AI1649" s="23"/>
      <c r="AN1649" s="23"/>
      <c r="AO1649" s="23"/>
      <c r="AP1649" s="23"/>
      <c r="AQ1649" s="23"/>
      <c r="AR1649" s="35"/>
      <c r="AS1649" s="35"/>
      <c r="AT1649" s="35"/>
      <c r="AU1649" s="31"/>
      <c r="AV1649" s="36"/>
    </row>
    <row r="1650" spans="4:48">
      <c r="D1650" s="31"/>
      <c r="E1650" s="31"/>
      <c r="F1650" s="31"/>
      <c r="G1650" s="31"/>
      <c r="H1650" s="32"/>
      <c r="J1650" s="33"/>
      <c r="K1650" s="33"/>
      <c r="L1650" s="33"/>
      <c r="X1650" s="23"/>
      <c r="Y1650" s="23"/>
      <c r="Z1650" s="23"/>
      <c r="AA1650" s="23"/>
      <c r="AF1650" s="23"/>
      <c r="AG1650" s="23"/>
      <c r="AH1650" s="23"/>
      <c r="AI1650" s="23"/>
      <c r="AN1650" s="23"/>
      <c r="AO1650" s="23"/>
      <c r="AP1650" s="23"/>
      <c r="AQ1650" s="23"/>
      <c r="AR1650" s="35"/>
      <c r="AS1650" s="35"/>
      <c r="AT1650" s="35"/>
      <c r="AU1650" s="31"/>
      <c r="AV1650" s="36"/>
    </row>
    <row r="1651" spans="4:48">
      <c r="D1651" s="31"/>
      <c r="E1651" s="31"/>
      <c r="F1651" s="31"/>
      <c r="G1651" s="31"/>
      <c r="H1651" s="32"/>
      <c r="J1651" s="33"/>
      <c r="K1651" s="33"/>
      <c r="L1651" s="33"/>
      <c r="X1651" s="23"/>
      <c r="Y1651" s="23"/>
      <c r="Z1651" s="23"/>
      <c r="AA1651" s="23"/>
      <c r="AF1651" s="23"/>
      <c r="AG1651" s="23"/>
      <c r="AH1651" s="23"/>
      <c r="AI1651" s="23"/>
      <c r="AN1651" s="23"/>
      <c r="AO1651" s="23"/>
      <c r="AP1651" s="23"/>
      <c r="AQ1651" s="23"/>
      <c r="AR1651" s="35"/>
      <c r="AS1651" s="35"/>
      <c r="AT1651" s="35"/>
      <c r="AU1651" s="31"/>
      <c r="AV1651" s="36"/>
    </row>
    <row r="1652" spans="4:48">
      <c r="D1652" s="31"/>
      <c r="E1652" s="31"/>
      <c r="F1652" s="31"/>
      <c r="G1652" s="31"/>
      <c r="H1652" s="32"/>
      <c r="J1652" s="33"/>
      <c r="K1652" s="33"/>
      <c r="L1652" s="33"/>
      <c r="X1652" s="23"/>
      <c r="Y1652" s="23"/>
      <c r="Z1652" s="23"/>
      <c r="AA1652" s="23"/>
      <c r="AF1652" s="23"/>
      <c r="AG1652" s="23"/>
      <c r="AH1652" s="23"/>
      <c r="AI1652" s="23"/>
      <c r="AN1652" s="23"/>
      <c r="AO1652" s="23"/>
      <c r="AP1652" s="23"/>
      <c r="AQ1652" s="23"/>
      <c r="AR1652" s="35"/>
      <c r="AS1652" s="35"/>
      <c r="AT1652" s="35"/>
      <c r="AU1652" s="31"/>
      <c r="AV1652" s="36"/>
    </row>
    <row r="1653" spans="4:48">
      <c r="D1653" s="31"/>
      <c r="E1653" s="31"/>
      <c r="F1653" s="31"/>
      <c r="G1653" s="31"/>
      <c r="H1653" s="32"/>
      <c r="J1653" s="33"/>
      <c r="K1653" s="33"/>
      <c r="L1653" s="33"/>
      <c r="X1653" s="23"/>
      <c r="Y1653" s="23"/>
      <c r="Z1653" s="23"/>
      <c r="AA1653" s="23"/>
      <c r="AF1653" s="23"/>
      <c r="AG1653" s="23"/>
      <c r="AH1653" s="23"/>
      <c r="AI1653" s="23"/>
      <c r="AN1653" s="23"/>
      <c r="AO1653" s="23"/>
      <c r="AP1653" s="23"/>
      <c r="AQ1653" s="23"/>
      <c r="AR1653" s="35"/>
      <c r="AS1653" s="35"/>
      <c r="AT1653" s="35"/>
      <c r="AU1653" s="31"/>
      <c r="AV1653" s="36"/>
    </row>
    <row r="1654" spans="4:48">
      <c r="D1654" s="31"/>
      <c r="E1654" s="31"/>
      <c r="F1654" s="31"/>
      <c r="G1654" s="31"/>
      <c r="H1654" s="32"/>
      <c r="J1654" s="33"/>
      <c r="K1654" s="33"/>
      <c r="L1654" s="33"/>
      <c r="X1654" s="23"/>
      <c r="Y1654" s="23"/>
      <c r="Z1654" s="23"/>
      <c r="AA1654" s="23"/>
      <c r="AF1654" s="23"/>
      <c r="AG1654" s="23"/>
      <c r="AH1654" s="23"/>
      <c r="AI1654" s="23"/>
      <c r="AN1654" s="23"/>
      <c r="AO1654" s="23"/>
      <c r="AP1654" s="23"/>
      <c r="AQ1654" s="23"/>
      <c r="AR1654" s="35"/>
      <c r="AS1654" s="35"/>
      <c r="AT1654" s="35"/>
      <c r="AU1654" s="31"/>
      <c r="AV1654" s="36"/>
    </row>
    <row r="1655" spans="4:48">
      <c r="D1655" s="31"/>
      <c r="E1655" s="31"/>
      <c r="F1655" s="31"/>
      <c r="G1655" s="31"/>
      <c r="H1655" s="32"/>
      <c r="J1655" s="33"/>
      <c r="K1655" s="33"/>
      <c r="L1655" s="33"/>
      <c r="X1655" s="23"/>
      <c r="Y1655" s="23"/>
      <c r="Z1655" s="23"/>
      <c r="AA1655" s="23"/>
      <c r="AF1655" s="23"/>
      <c r="AG1655" s="23"/>
      <c r="AH1655" s="23"/>
      <c r="AI1655" s="23"/>
      <c r="AN1655" s="23"/>
      <c r="AO1655" s="23"/>
      <c r="AP1655" s="23"/>
      <c r="AQ1655" s="23"/>
      <c r="AR1655" s="35"/>
      <c r="AS1655" s="35"/>
      <c r="AT1655" s="35"/>
      <c r="AU1655" s="31"/>
      <c r="AV1655" s="36"/>
    </row>
    <row r="1656" spans="4:48">
      <c r="D1656" s="31"/>
      <c r="E1656" s="31"/>
      <c r="F1656" s="31"/>
      <c r="G1656" s="31"/>
      <c r="H1656" s="32"/>
      <c r="J1656" s="33"/>
      <c r="K1656" s="33"/>
      <c r="L1656" s="33"/>
      <c r="X1656" s="23"/>
      <c r="Y1656" s="23"/>
      <c r="Z1656" s="23"/>
      <c r="AA1656" s="23"/>
      <c r="AF1656" s="23"/>
      <c r="AG1656" s="23"/>
      <c r="AH1656" s="23"/>
      <c r="AI1656" s="23"/>
      <c r="AN1656" s="23"/>
      <c r="AO1656" s="23"/>
      <c r="AP1656" s="23"/>
      <c r="AQ1656" s="23"/>
      <c r="AR1656" s="35"/>
      <c r="AS1656" s="35"/>
      <c r="AT1656" s="35"/>
      <c r="AU1656" s="31"/>
      <c r="AV1656" s="36"/>
    </row>
    <row r="1657" spans="4:48">
      <c r="D1657" s="31"/>
      <c r="E1657" s="31"/>
      <c r="F1657" s="31"/>
      <c r="G1657" s="31"/>
      <c r="H1657" s="32"/>
      <c r="J1657" s="33"/>
      <c r="K1657" s="33"/>
      <c r="L1657" s="33"/>
      <c r="X1657" s="23"/>
      <c r="Y1657" s="23"/>
      <c r="Z1657" s="23"/>
      <c r="AA1657" s="23"/>
      <c r="AF1657" s="23"/>
      <c r="AG1657" s="23"/>
      <c r="AH1657" s="23"/>
      <c r="AI1657" s="23"/>
      <c r="AN1657" s="23"/>
      <c r="AO1657" s="23"/>
      <c r="AP1657" s="23"/>
      <c r="AQ1657" s="23"/>
      <c r="AR1657" s="35"/>
      <c r="AS1657" s="35"/>
      <c r="AT1657" s="35"/>
      <c r="AU1657" s="31"/>
      <c r="AV1657" s="36"/>
    </row>
    <row r="1658" spans="4:48">
      <c r="D1658" s="31"/>
      <c r="E1658" s="31"/>
      <c r="F1658" s="31"/>
      <c r="G1658" s="31"/>
      <c r="H1658" s="32"/>
      <c r="J1658" s="33"/>
      <c r="K1658" s="33"/>
      <c r="L1658" s="33"/>
      <c r="X1658" s="23"/>
      <c r="Y1658" s="23"/>
      <c r="Z1658" s="23"/>
      <c r="AA1658" s="23"/>
      <c r="AF1658" s="23"/>
      <c r="AG1658" s="23"/>
      <c r="AH1658" s="23"/>
      <c r="AI1658" s="23"/>
      <c r="AN1658" s="23"/>
      <c r="AO1658" s="23"/>
      <c r="AP1658" s="23"/>
      <c r="AQ1658" s="23"/>
      <c r="AR1658" s="35"/>
      <c r="AS1658" s="35"/>
      <c r="AT1658" s="35"/>
      <c r="AU1658" s="31"/>
      <c r="AV1658" s="36"/>
    </row>
    <row r="1659" spans="4:48">
      <c r="D1659" s="31"/>
      <c r="E1659" s="31"/>
      <c r="F1659" s="31"/>
      <c r="G1659" s="31"/>
      <c r="H1659" s="32"/>
      <c r="J1659" s="33"/>
      <c r="K1659" s="33"/>
      <c r="L1659" s="33"/>
      <c r="X1659" s="23"/>
      <c r="Y1659" s="23"/>
      <c r="Z1659" s="23"/>
      <c r="AA1659" s="23"/>
      <c r="AF1659" s="23"/>
      <c r="AG1659" s="23"/>
      <c r="AH1659" s="23"/>
      <c r="AI1659" s="23"/>
      <c r="AN1659" s="23"/>
      <c r="AO1659" s="23"/>
      <c r="AP1659" s="23"/>
      <c r="AQ1659" s="23"/>
      <c r="AR1659" s="35"/>
      <c r="AS1659" s="35"/>
      <c r="AT1659" s="35"/>
      <c r="AU1659" s="31"/>
      <c r="AV1659" s="36"/>
    </row>
    <row r="1660" spans="4:48">
      <c r="D1660" s="31"/>
      <c r="E1660" s="31"/>
      <c r="F1660" s="31"/>
      <c r="G1660" s="31"/>
      <c r="H1660" s="32"/>
      <c r="J1660" s="33"/>
      <c r="K1660" s="33"/>
      <c r="L1660" s="33"/>
      <c r="X1660" s="23"/>
      <c r="Y1660" s="23"/>
      <c r="Z1660" s="23"/>
      <c r="AA1660" s="23"/>
      <c r="AF1660" s="23"/>
      <c r="AG1660" s="23"/>
      <c r="AH1660" s="23"/>
      <c r="AI1660" s="23"/>
      <c r="AN1660" s="23"/>
      <c r="AO1660" s="23"/>
      <c r="AP1660" s="23"/>
      <c r="AQ1660" s="23"/>
      <c r="AR1660" s="35"/>
      <c r="AS1660" s="35"/>
      <c r="AT1660" s="35"/>
      <c r="AU1660" s="31"/>
      <c r="AV1660" s="36"/>
    </row>
    <row r="1661" spans="4:49">
      <c r="D1661" s="31"/>
      <c r="E1661" s="31"/>
      <c r="F1661" s="31"/>
      <c r="G1661" s="31"/>
      <c r="H1661" s="32"/>
      <c r="J1661" s="33"/>
      <c r="K1661" s="33"/>
      <c r="L1661" s="33"/>
      <c r="X1661" s="23"/>
      <c r="Y1661" s="23"/>
      <c r="Z1661" s="23"/>
      <c r="AA1661" s="23"/>
      <c r="AF1661" s="23"/>
      <c r="AG1661" s="23"/>
      <c r="AH1661" s="23"/>
      <c r="AI1661" s="23"/>
      <c r="AN1661" s="23"/>
      <c r="AO1661" s="23"/>
      <c r="AP1661" s="23"/>
      <c r="AQ1661" s="23"/>
      <c r="AR1661" s="35"/>
      <c r="AS1661" s="35"/>
      <c r="AT1661" s="35"/>
      <c r="AU1661" s="31"/>
      <c r="AV1661" s="36"/>
      <c r="AW1661" s="36"/>
    </row>
    <row r="1662" spans="4:49">
      <c r="D1662" s="31"/>
      <c r="E1662" s="31"/>
      <c r="F1662" s="31"/>
      <c r="G1662" s="31"/>
      <c r="H1662" s="32"/>
      <c r="J1662" s="33"/>
      <c r="K1662" s="33"/>
      <c r="L1662" s="33"/>
      <c r="X1662" s="23"/>
      <c r="Y1662" s="23"/>
      <c r="Z1662" s="23"/>
      <c r="AA1662" s="23"/>
      <c r="AF1662" s="23"/>
      <c r="AG1662" s="23"/>
      <c r="AH1662" s="23"/>
      <c r="AI1662" s="23"/>
      <c r="AN1662" s="23"/>
      <c r="AO1662" s="23"/>
      <c r="AP1662" s="23"/>
      <c r="AQ1662" s="23"/>
      <c r="AR1662" s="35"/>
      <c r="AS1662" s="35"/>
      <c r="AT1662" s="35"/>
      <c r="AU1662" s="31"/>
      <c r="AV1662" s="36"/>
      <c r="AW1662" s="36"/>
    </row>
    <row r="1663" spans="4:49">
      <c r="D1663" s="31"/>
      <c r="E1663" s="31"/>
      <c r="F1663" s="31"/>
      <c r="G1663" s="31"/>
      <c r="H1663" s="32"/>
      <c r="J1663" s="33"/>
      <c r="K1663" s="33"/>
      <c r="L1663" s="33"/>
      <c r="X1663" s="23"/>
      <c r="Y1663" s="23"/>
      <c r="Z1663" s="23"/>
      <c r="AA1663" s="23"/>
      <c r="AF1663" s="23"/>
      <c r="AG1663" s="23"/>
      <c r="AH1663" s="23"/>
      <c r="AI1663" s="23"/>
      <c r="AN1663" s="23"/>
      <c r="AO1663" s="23"/>
      <c r="AP1663" s="23"/>
      <c r="AQ1663" s="23"/>
      <c r="AR1663" s="35"/>
      <c r="AS1663" s="35"/>
      <c r="AT1663" s="35"/>
      <c r="AU1663" s="31"/>
      <c r="AV1663" s="36"/>
      <c r="AW1663" s="36"/>
    </row>
    <row r="1664" spans="4:49">
      <c r="D1664" s="31"/>
      <c r="E1664" s="31"/>
      <c r="F1664" s="31"/>
      <c r="G1664" s="31"/>
      <c r="H1664" s="32"/>
      <c r="J1664" s="33"/>
      <c r="K1664" s="33"/>
      <c r="L1664" s="33"/>
      <c r="X1664" s="23"/>
      <c r="Y1664" s="23"/>
      <c r="Z1664" s="23"/>
      <c r="AA1664" s="23"/>
      <c r="AF1664" s="23"/>
      <c r="AG1664" s="23"/>
      <c r="AH1664" s="23"/>
      <c r="AI1664" s="23"/>
      <c r="AN1664" s="23"/>
      <c r="AO1664" s="23"/>
      <c r="AP1664" s="23"/>
      <c r="AQ1664" s="23"/>
      <c r="AR1664" s="35"/>
      <c r="AS1664" s="35"/>
      <c r="AT1664" s="35"/>
      <c r="AU1664" s="31"/>
      <c r="AV1664" s="36"/>
      <c r="AW1664" s="36"/>
    </row>
    <row r="1665" spans="4:49">
      <c r="D1665" s="31"/>
      <c r="E1665" s="31"/>
      <c r="F1665" s="31"/>
      <c r="G1665" s="31"/>
      <c r="H1665" s="32"/>
      <c r="J1665" s="33"/>
      <c r="K1665" s="33"/>
      <c r="L1665" s="33"/>
      <c r="X1665" s="23"/>
      <c r="Y1665" s="23"/>
      <c r="Z1665" s="23"/>
      <c r="AA1665" s="23"/>
      <c r="AF1665" s="23"/>
      <c r="AG1665" s="23"/>
      <c r="AH1665" s="23"/>
      <c r="AI1665" s="23"/>
      <c r="AN1665" s="23"/>
      <c r="AO1665" s="23"/>
      <c r="AP1665" s="23"/>
      <c r="AQ1665" s="23"/>
      <c r="AR1665" s="35"/>
      <c r="AS1665" s="35"/>
      <c r="AT1665" s="35"/>
      <c r="AU1665" s="31"/>
      <c r="AV1665" s="36"/>
      <c r="AW1665" s="36"/>
    </row>
    <row r="1666" spans="4:49">
      <c r="D1666" s="31"/>
      <c r="E1666" s="31"/>
      <c r="F1666" s="31"/>
      <c r="G1666" s="31"/>
      <c r="H1666" s="32"/>
      <c r="J1666" s="33"/>
      <c r="K1666" s="33"/>
      <c r="L1666" s="33"/>
      <c r="X1666" s="23"/>
      <c r="Y1666" s="23"/>
      <c r="Z1666" s="23"/>
      <c r="AA1666" s="23"/>
      <c r="AF1666" s="23"/>
      <c r="AG1666" s="23"/>
      <c r="AH1666" s="23"/>
      <c r="AI1666" s="23"/>
      <c r="AN1666" s="23"/>
      <c r="AO1666" s="23"/>
      <c r="AP1666" s="23"/>
      <c r="AQ1666" s="23"/>
      <c r="AR1666" s="35"/>
      <c r="AS1666" s="35"/>
      <c r="AT1666" s="35"/>
      <c r="AU1666" s="31"/>
      <c r="AV1666" s="36"/>
      <c r="AW1666" s="36"/>
    </row>
    <row r="1667" spans="4:49">
      <c r="D1667" s="31"/>
      <c r="E1667" s="31"/>
      <c r="F1667" s="31"/>
      <c r="G1667" s="31"/>
      <c r="H1667" s="32"/>
      <c r="J1667" s="33"/>
      <c r="K1667" s="33"/>
      <c r="L1667" s="33"/>
      <c r="X1667" s="23"/>
      <c r="Y1667" s="23"/>
      <c r="Z1667" s="23"/>
      <c r="AA1667" s="23"/>
      <c r="AF1667" s="23"/>
      <c r="AG1667" s="23"/>
      <c r="AH1667" s="23"/>
      <c r="AI1667" s="23"/>
      <c r="AN1667" s="23"/>
      <c r="AO1667" s="23"/>
      <c r="AP1667" s="23"/>
      <c r="AQ1667" s="23"/>
      <c r="AR1667" s="35"/>
      <c r="AS1667" s="35"/>
      <c r="AT1667" s="35"/>
      <c r="AU1667" s="31"/>
      <c r="AV1667" s="36"/>
      <c r="AW1667" s="36"/>
    </row>
    <row r="1668" spans="4:49">
      <c r="D1668" s="31"/>
      <c r="E1668" s="31"/>
      <c r="F1668" s="31"/>
      <c r="G1668" s="31"/>
      <c r="H1668" s="32"/>
      <c r="J1668" s="33"/>
      <c r="K1668" s="33"/>
      <c r="L1668" s="33"/>
      <c r="X1668" s="23"/>
      <c r="Y1668" s="23"/>
      <c r="Z1668" s="23"/>
      <c r="AA1668" s="23"/>
      <c r="AF1668" s="23"/>
      <c r="AG1668" s="23"/>
      <c r="AH1668" s="23"/>
      <c r="AI1668" s="23"/>
      <c r="AN1668" s="23"/>
      <c r="AO1668" s="23"/>
      <c r="AP1668" s="23"/>
      <c r="AQ1668" s="23"/>
      <c r="AR1668" s="35"/>
      <c r="AS1668" s="35"/>
      <c r="AT1668" s="35"/>
      <c r="AU1668" s="31"/>
      <c r="AV1668" s="36"/>
      <c r="AW1668" s="36"/>
    </row>
    <row r="1669" spans="4:49">
      <c r="D1669" s="31"/>
      <c r="E1669" s="31"/>
      <c r="F1669" s="31"/>
      <c r="G1669" s="31"/>
      <c r="H1669" s="32"/>
      <c r="J1669" s="33"/>
      <c r="K1669" s="33"/>
      <c r="L1669" s="33"/>
      <c r="X1669" s="23"/>
      <c r="Y1669" s="23"/>
      <c r="Z1669" s="23"/>
      <c r="AA1669" s="23"/>
      <c r="AF1669" s="23"/>
      <c r="AG1669" s="23"/>
      <c r="AH1669" s="23"/>
      <c r="AI1669" s="23"/>
      <c r="AN1669" s="23"/>
      <c r="AO1669" s="23"/>
      <c r="AP1669" s="23"/>
      <c r="AQ1669" s="23"/>
      <c r="AR1669" s="35"/>
      <c r="AS1669" s="35"/>
      <c r="AT1669" s="35"/>
      <c r="AU1669" s="31"/>
      <c r="AV1669" s="36"/>
      <c r="AW1669" s="36"/>
    </row>
    <row r="1670" spans="4:49">
      <c r="D1670" s="31"/>
      <c r="E1670" s="31"/>
      <c r="F1670" s="31"/>
      <c r="G1670" s="31"/>
      <c r="H1670" s="32"/>
      <c r="J1670" s="33"/>
      <c r="K1670" s="33"/>
      <c r="L1670" s="33"/>
      <c r="X1670" s="23"/>
      <c r="Y1670" s="23"/>
      <c r="Z1670" s="23"/>
      <c r="AA1670" s="23"/>
      <c r="AF1670" s="23"/>
      <c r="AG1670" s="23"/>
      <c r="AH1670" s="23"/>
      <c r="AI1670" s="23"/>
      <c r="AN1670" s="23"/>
      <c r="AO1670" s="23"/>
      <c r="AP1670" s="23"/>
      <c r="AQ1670" s="23"/>
      <c r="AR1670" s="35"/>
      <c r="AS1670" s="35"/>
      <c r="AT1670" s="35"/>
      <c r="AU1670" s="31"/>
      <c r="AV1670" s="36"/>
      <c r="AW1670" s="36"/>
    </row>
    <row r="1671" spans="4:49">
      <c r="D1671" s="31"/>
      <c r="E1671" s="31"/>
      <c r="F1671" s="31"/>
      <c r="G1671" s="31"/>
      <c r="H1671" s="32"/>
      <c r="J1671" s="33"/>
      <c r="K1671" s="33"/>
      <c r="L1671" s="33"/>
      <c r="X1671" s="23"/>
      <c r="Y1671" s="23"/>
      <c r="Z1671" s="23"/>
      <c r="AA1671" s="23"/>
      <c r="AF1671" s="23"/>
      <c r="AG1671" s="23"/>
      <c r="AH1671" s="23"/>
      <c r="AI1671" s="23"/>
      <c r="AN1671" s="23"/>
      <c r="AO1671" s="23"/>
      <c r="AP1671" s="23"/>
      <c r="AQ1671" s="23"/>
      <c r="AR1671" s="35"/>
      <c r="AS1671" s="35"/>
      <c r="AT1671" s="35"/>
      <c r="AU1671" s="31"/>
      <c r="AV1671" s="36"/>
      <c r="AW1671" s="36"/>
    </row>
    <row r="1672" spans="4:49">
      <c r="D1672" s="31"/>
      <c r="E1672" s="31"/>
      <c r="F1672" s="31"/>
      <c r="G1672" s="31"/>
      <c r="H1672" s="32"/>
      <c r="J1672" s="33"/>
      <c r="K1672" s="33"/>
      <c r="L1672" s="33"/>
      <c r="X1672" s="23"/>
      <c r="Y1672" s="23"/>
      <c r="Z1672" s="23"/>
      <c r="AA1672" s="23"/>
      <c r="AF1672" s="23"/>
      <c r="AG1672" s="23"/>
      <c r="AH1672" s="23"/>
      <c r="AI1672" s="23"/>
      <c r="AN1672" s="23"/>
      <c r="AO1672" s="23"/>
      <c r="AP1672" s="23"/>
      <c r="AQ1672" s="23"/>
      <c r="AR1672" s="35"/>
      <c r="AS1672" s="35"/>
      <c r="AT1672" s="35"/>
      <c r="AU1672" s="31"/>
      <c r="AV1672" s="36"/>
      <c r="AW1672" s="36"/>
    </row>
    <row r="1673" spans="4:49">
      <c r="D1673" s="31"/>
      <c r="E1673" s="31"/>
      <c r="F1673" s="31"/>
      <c r="G1673" s="31"/>
      <c r="H1673" s="32"/>
      <c r="J1673" s="33"/>
      <c r="K1673" s="33"/>
      <c r="L1673" s="33"/>
      <c r="X1673" s="23"/>
      <c r="Y1673" s="23"/>
      <c r="Z1673" s="23"/>
      <c r="AA1673" s="23"/>
      <c r="AF1673" s="23"/>
      <c r="AG1673" s="23"/>
      <c r="AH1673" s="23"/>
      <c r="AI1673" s="23"/>
      <c r="AN1673" s="23"/>
      <c r="AO1673" s="23"/>
      <c r="AP1673" s="23"/>
      <c r="AQ1673" s="23"/>
      <c r="AR1673" s="35"/>
      <c r="AS1673" s="35"/>
      <c r="AT1673" s="35"/>
      <c r="AU1673" s="31"/>
      <c r="AV1673" s="36"/>
      <c r="AW1673" s="36"/>
    </row>
    <row r="1674" spans="4:49">
      <c r="D1674" s="31"/>
      <c r="E1674" s="31"/>
      <c r="F1674" s="31"/>
      <c r="G1674" s="31"/>
      <c r="H1674" s="32"/>
      <c r="J1674" s="33"/>
      <c r="K1674" s="33"/>
      <c r="L1674" s="33"/>
      <c r="X1674" s="23"/>
      <c r="Y1674" s="23"/>
      <c r="Z1674" s="23"/>
      <c r="AA1674" s="23"/>
      <c r="AF1674" s="23"/>
      <c r="AG1674" s="23"/>
      <c r="AH1674" s="23"/>
      <c r="AI1674" s="23"/>
      <c r="AN1674" s="23"/>
      <c r="AO1674" s="23"/>
      <c r="AP1674" s="23"/>
      <c r="AQ1674" s="23"/>
      <c r="AR1674" s="35"/>
      <c r="AS1674" s="35"/>
      <c r="AT1674" s="35"/>
      <c r="AU1674" s="31"/>
      <c r="AV1674" s="36"/>
      <c r="AW1674" s="36"/>
    </row>
    <row r="1675" spans="4:49">
      <c r="D1675" s="31"/>
      <c r="E1675" s="31"/>
      <c r="F1675" s="31"/>
      <c r="G1675" s="31"/>
      <c r="H1675" s="32"/>
      <c r="J1675" s="33"/>
      <c r="K1675" s="33"/>
      <c r="L1675" s="33"/>
      <c r="X1675" s="23"/>
      <c r="Y1675" s="23"/>
      <c r="Z1675" s="23"/>
      <c r="AA1675" s="23"/>
      <c r="AF1675" s="23"/>
      <c r="AG1675" s="23"/>
      <c r="AH1675" s="23"/>
      <c r="AI1675" s="23"/>
      <c r="AN1675" s="23"/>
      <c r="AO1675" s="23"/>
      <c r="AP1675" s="23"/>
      <c r="AQ1675" s="23"/>
      <c r="AR1675" s="35"/>
      <c r="AS1675" s="35"/>
      <c r="AT1675" s="35"/>
      <c r="AU1675" s="31"/>
      <c r="AV1675" s="36"/>
      <c r="AW1675" s="36"/>
    </row>
    <row r="1676" spans="4:49">
      <c r="D1676" s="31"/>
      <c r="E1676" s="31"/>
      <c r="F1676" s="31"/>
      <c r="G1676" s="31"/>
      <c r="H1676" s="32"/>
      <c r="J1676" s="33"/>
      <c r="K1676" s="33"/>
      <c r="L1676" s="33"/>
      <c r="X1676" s="23"/>
      <c r="Y1676" s="23"/>
      <c r="Z1676" s="23"/>
      <c r="AA1676" s="23"/>
      <c r="AF1676" s="23"/>
      <c r="AG1676" s="23"/>
      <c r="AH1676" s="23"/>
      <c r="AI1676" s="23"/>
      <c r="AN1676" s="23"/>
      <c r="AO1676" s="23"/>
      <c r="AP1676" s="23"/>
      <c r="AQ1676" s="23"/>
      <c r="AR1676" s="35"/>
      <c r="AS1676" s="35"/>
      <c r="AT1676" s="35"/>
      <c r="AU1676" s="31"/>
      <c r="AV1676" s="36"/>
      <c r="AW1676" s="36"/>
    </row>
    <row r="1677" spans="4:49">
      <c r="D1677" s="31"/>
      <c r="E1677" s="31"/>
      <c r="F1677" s="31"/>
      <c r="G1677" s="31"/>
      <c r="H1677" s="32"/>
      <c r="J1677" s="33"/>
      <c r="K1677" s="33"/>
      <c r="L1677" s="33"/>
      <c r="X1677" s="23"/>
      <c r="Y1677" s="23"/>
      <c r="Z1677" s="23"/>
      <c r="AA1677" s="23"/>
      <c r="AF1677" s="23"/>
      <c r="AG1677" s="23"/>
      <c r="AH1677" s="23"/>
      <c r="AI1677" s="23"/>
      <c r="AN1677" s="23"/>
      <c r="AO1677" s="23"/>
      <c r="AP1677" s="23"/>
      <c r="AQ1677" s="23"/>
      <c r="AR1677" s="35"/>
      <c r="AS1677" s="35"/>
      <c r="AT1677" s="35"/>
      <c r="AU1677" s="31"/>
      <c r="AV1677" s="36"/>
      <c r="AW1677" s="36"/>
    </row>
    <row r="1678" spans="4:49">
      <c r="D1678" s="31"/>
      <c r="E1678" s="31"/>
      <c r="F1678" s="31"/>
      <c r="G1678" s="31"/>
      <c r="H1678" s="32"/>
      <c r="J1678" s="33"/>
      <c r="K1678" s="33"/>
      <c r="L1678" s="33"/>
      <c r="X1678" s="23"/>
      <c r="Y1678" s="23"/>
      <c r="Z1678" s="23"/>
      <c r="AA1678" s="23"/>
      <c r="AF1678" s="23"/>
      <c r="AG1678" s="23"/>
      <c r="AH1678" s="23"/>
      <c r="AI1678" s="23"/>
      <c r="AN1678" s="23"/>
      <c r="AO1678" s="23"/>
      <c r="AP1678" s="23"/>
      <c r="AQ1678" s="23"/>
      <c r="AR1678" s="35"/>
      <c r="AS1678" s="35"/>
      <c r="AT1678" s="35"/>
      <c r="AU1678" s="31"/>
      <c r="AV1678" s="36"/>
      <c r="AW1678" s="36"/>
    </row>
    <row r="1679" spans="4:49">
      <c r="D1679" s="31"/>
      <c r="E1679" s="31"/>
      <c r="F1679" s="31"/>
      <c r="G1679" s="31"/>
      <c r="H1679" s="32"/>
      <c r="J1679" s="33"/>
      <c r="K1679" s="33"/>
      <c r="L1679" s="33"/>
      <c r="X1679" s="23"/>
      <c r="Y1679" s="23"/>
      <c r="Z1679" s="23"/>
      <c r="AA1679" s="23"/>
      <c r="AF1679" s="23"/>
      <c r="AG1679" s="23"/>
      <c r="AH1679" s="23"/>
      <c r="AI1679" s="23"/>
      <c r="AN1679" s="23"/>
      <c r="AO1679" s="23"/>
      <c r="AP1679" s="23"/>
      <c r="AQ1679" s="23"/>
      <c r="AR1679" s="35"/>
      <c r="AS1679" s="35"/>
      <c r="AT1679" s="35"/>
      <c r="AU1679" s="31"/>
      <c r="AV1679" s="36"/>
      <c r="AW1679" s="36"/>
    </row>
    <row r="1680" spans="4:49">
      <c r="D1680" s="31"/>
      <c r="E1680" s="31"/>
      <c r="F1680" s="31"/>
      <c r="G1680" s="31"/>
      <c r="H1680" s="32"/>
      <c r="J1680" s="33"/>
      <c r="K1680" s="33"/>
      <c r="L1680" s="33"/>
      <c r="X1680" s="23"/>
      <c r="Y1680" s="23"/>
      <c r="Z1680" s="23"/>
      <c r="AA1680" s="23"/>
      <c r="AF1680" s="23"/>
      <c r="AG1680" s="23"/>
      <c r="AH1680" s="23"/>
      <c r="AI1680" s="23"/>
      <c r="AN1680" s="23"/>
      <c r="AO1680" s="23"/>
      <c r="AP1680" s="23"/>
      <c r="AQ1680" s="23"/>
      <c r="AR1680" s="35"/>
      <c r="AS1680" s="35"/>
      <c r="AT1680" s="35"/>
      <c r="AU1680" s="31"/>
      <c r="AV1680" s="36"/>
      <c r="AW1680" s="36"/>
    </row>
    <row r="1681" spans="4:49">
      <c r="D1681" s="31"/>
      <c r="E1681" s="31"/>
      <c r="F1681" s="31"/>
      <c r="G1681" s="31"/>
      <c r="H1681" s="32"/>
      <c r="J1681" s="33"/>
      <c r="K1681" s="33"/>
      <c r="L1681" s="33"/>
      <c r="X1681" s="23"/>
      <c r="Y1681" s="23"/>
      <c r="Z1681" s="23"/>
      <c r="AA1681" s="23"/>
      <c r="AF1681" s="23"/>
      <c r="AG1681" s="23"/>
      <c r="AH1681" s="23"/>
      <c r="AI1681" s="23"/>
      <c r="AN1681" s="23"/>
      <c r="AO1681" s="23"/>
      <c r="AP1681" s="23"/>
      <c r="AQ1681" s="23"/>
      <c r="AR1681" s="35"/>
      <c r="AS1681" s="35"/>
      <c r="AT1681" s="35"/>
      <c r="AU1681" s="31"/>
      <c r="AV1681" s="36"/>
      <c r="AW1681" s="36"/>
    </row>
    <row r="1682" spans="4:49">
      <c r="D1682" s="31"/>
      <c r="E1682" s="31"/>
      <c r="F1682" s="31"/>
      <c r="G1682" s="31"/>
      <c r="H1682" s="32"/>
      <c r="J1682" s="33"/>
      <c r="K1682" s="33"/>
      <c r="L1682" s="33"/>
      <c r="X1682" s="23"/>
      <c r="Y1682" s="23"/>
      <c r="Z1682" s="23"/>
      <c r="AA1682" s="23"/>
      <c r="AF1682" s="23"/>
      <c r="AG1682" s="23"/>
      <c r="AH1682" s="23"/>
      <c r="AI1682" s="23"/>
      <c r="AN1682" s="23"/>
      <c r="AO1682" s="23"/>
      <c r="AP1682" s="23"/>
      <c r="AQ1682" s="23"/>
      <c r="AR1682" s="35"/>
      <c r="AS1682" s="35"/>
      <c r="AT1682" s="35"/>
      <c r="AU1682" s="31"/>
      <c r="AV1682" s="36"/>
      <c r="AW1682" s="36"/>
    </row>
    <row r="1683" spans="4:49">
      <c r="D1683" s="31"/>
      <c r="E1683" s="31"/>
      <c r="F1683" s="31"/>
      <c r="G1683" s="31"/>
      <c r="H1683" s="32"/>
      <c r="J1683" s="33"/>
      <c r="K1683" s="33"/>
      <c r="L1683" s="33"/>
      <c r="X1683" s="23"/>
      <c r="Y1683" s="23"/>
      <c r="Z1683" s="23"/>
      <c r="AA1683" s="23"/>
      <c r="AF1683" s="23"/>
      <c r="AG1683" s="23"/>
      <c r="AH1683" s="23"/>
      <c r="AI1683" s="23"/>
      <c r="AN1683" s="23"/>
      <c r="AO1683" s="23"/>
      <c r="AP1683" s="23"/>
      <c r="AQ1683" s="23"/>
      <c r="AR1683" s="35"/>
      <c r="AS1683" s="35"/>
      <c r="AT1683" s="35"/>
      <c r="AU1683" s="31"/>
      <c r="AV1683" s="36"/>
      <c r="AW1683" s="36"/>
    </row>
    <row r="1684" spans="4:49">
      <c r="D1684" s="31"/>
      <c r="E1684" s="31"/>
      <c r="F1684" s="31"/>
      <c r="G1684" s="31"/>
      <c r="H1684" s="32"/>
      <c r="J1684" s="33"/>
      <c r="K1684" s="33"/>
      <c r="L1684" s="33"/>
      <c r="X1684" s="23"/>
      <c r="Y1684" s="23"/>
      <c r="Z1684" s="23"/>
      <c r="AA1684" s="23"/>
      <c r="AF1684" s="23"/>
      <c r="AG1684" s="23"/>
      <c r="AH1684" s="23"/>
      <c r="AI1684" s="23"/>
      <c r="AN1684" s="23"/>
      <c r="AO1684" s="23"/>
      <c r="AP1684" s="23"/>
      <c r="AQ1684" s="23"/>
      <c r="AR1684" s="35"/>
      <c r="AS1684" s="35"/>
      <c r="AT1684" s="35"/>
      <c r="AU1684" s="31"/>
      <c r="AV1684" s="36"/>
      <c r="AW1684" s="36"/>
    </row>
    <row r="1685" spans="4:49">
      <c r="D1685" s="31"/>
      <c r="E1685" s="31"/>
      <c r="F1685" s="31"/>
      <c r="G1685" s="31"/>
      <c r="H1685" s="32"/>
      <c r="J1685" s="33"/>
      <c r="K1685" s="33"/>
      <c r="L1685" s="33"/>
      <c r="X1685" s="23"/>
      <c r="Y1685" s="23"/>
      <c r="Z1685" s="23"/>
      <c r="AA1685" s="23"/>
      <c r="AF1685" s="23"/>
      <c r="AG1685" s="23"/>
      <c r="AH1685" s="23"/>
      <c r="AI1685" s="23"/>
      <c r="AN1685" s="23"/>
      <c r="AO1685" s="23"/>
      <c r="AP1685" s="23"/>
      <c r="AQ1685" s="23"/>
      <c r="AR1685" s="35"/>
      <c r="AS1685" s="35"/>
      <c r="AT1685" s="35"/>
      <c r="AU1685" s="31"/>
      <c r="AV1685" s="36"/>
      <c r="AW1685" s="36"/>
    </row>
    <row r="1686" spans="4:49">
      <c r="D1686" s="31"/>
      <c r="E1686" s="31"/>
      <c r="F1686" s="31"/>
      <c r="G1686" s="31"/>
      <c r="H1686" s="32"/>
      <c r="J1686" s="33"/>
      <c r="K1686" s="33"/>
      <c r="L1686" s="33"/>
      <c r="X1686" s="23"/>
      <c r="Y1686" s="23"/>
      <c r="Z1686" s="23"/>
      <c r="AA1686" s="23"/>
      <c r="AF1686" s="23"/>
      <c r="AG1686" s="23"/>
      <c r="AH1686" s="23"/>
      <c r="AI1686" s="23"/>
      <c r="AN1686" s="23"/>
      <c r="AO1686" s="23"/>
      <c r="AP1686" s="23"/>
      <c r="AQ1686" s="23"/>
      <c r="AR1686" s="35"/>
      <c r="AS1686" s="35"/>
      <c r="AT1686" s="35"/>
      <c r="AU1686" s="31"/>
      <c r="AV1686" s="36"/>
      <c r="AW1686" s="36"/>
    </row>
    <row r="1687" spans="4:49">
      <c r="D1687" s="31"/>
      <c r="E1687" s="31"/>
      <c r="F1687" s="31"/>
      <c r="G1687" s="31"/>
      <c r="H1687" s="32"/>
      <c r="J1687" s="33"/>
      <c r="K1687" s="33"/>
      <c r="L1687" s="33"/>
      <c r="X1687" s="23"/>
      <c r="Y1687" s="23"/>
      <c r="Z1687" s="23"/>
      <c r="AA1687" s="23"/>
      <c r="AF1687" s="23"/>
      <c r="AG1687" s="23"/>
      <c r="AH1687" s="23"/>
      <c r="AI1687" s="23"/>
      <c r="AN1687" s="23"/>
      <c r="AO1687" s="23"/>
      <c r="AP1687" s="23"/>
      <c r="AQ1687" s="23"/>
      <c r="AR1687" s="35"/>
      <c r="AS1687" s="35"/>
      <c r="AT1687" s="35"/>
      <c r="AU1687" s="31"/>
      <c r="AV1687" s="36"/>
      <c r="AW1687" s="36"/>
    </row>
    <row r="1688" spans="4:49">
      <c r="D1688" s="31"/>
      <c r="E1688" s="31"/>
      <c r="F1688" s="31"/>
      <c r="G1688" s="31"/>
      <c r="H1688" s="32"/>
      <c r="J1688" s="33"/>
      <c r="K1688" s="33"/>
      <c r="L1688" s="33"/>
      <c r="X1688" s="23"/>
      <c r="Y1688" s="23"/>
      <c r="Z1688" s="23"/>
      <c r="AA1688" s="23"/>
      <c r="AF1688" s="23"/>
      <c r="AG1688" s="23"/>
      <c r="AH1688" s="23"/>
      <c r="AI1688" s="23"/>
      <c r="AN1688" s="23"/>
      <c r="AO1688" s="23"/>
      <c r="AP1688" s="23"/>
      <c r="AQ1688" s="23"/>
      <c r="AR1688" s="35"/>
      <c r="AS1688" s="35"/>
      <c r="AT1688" s="35"/>
      <c r="AU1688" s="31"/>
      <c r="AV1688" s="36"/>
      <c r="AW1688" s="36"/>
    </row>
    <row r="1689" spans="4:49">
      <c r="D1689" s="31"/>
      <c r="E1689" s="31"/>
      <c r="F1689" s="31"/>
      <c r="G1689" s="31"/>
      <c r="H1689" s="32"/>
      <c r="J1689" s="33"/>
      <c r="K1689" s="33"/>
      <c r="L1689" s="33"/>
      <c r="X1689" s="23"/>
      <c r="Y1689" s="23"/>
      <c r="Z1689" s="23"/>
      <c r="AA1689" s="23"/>
      <c r="AF1689" s="23"/>
      <c r="AG1689" s="23"/>
      <c r="AH1689" s="23"/>
      <c r="AI1689" s="23"/>
      <c r="AN1689" s="23"/>
      <c r="AO1689" s="23"/>
      <c r="AP1689" s="23"/>
      <c r="AQ1689" s="23"/>
      <c r="AR1689" s="35"/>
      <c r="AS1689" s="35"/>
      <c r="AT1689" s="35"/>
      <c r="AU1689" s="31"/>
      <c r="AV1689" s="36"/>
      <c r="AW1689" s="36"/>
    </row>
    <row r="1690" spans="4:49">
      <c r="D1690" s="31"/>
      <c r="E1690" s="31"/>
      <c r="F1690" s="31"/>
      <c r="G1690" s="31"/>
      <c r="H1690" s="32"/>
      <c r="J1690" s="33"/>
      <c r="K1690" s="33"/>
      <c r="L1690" s="33"/>
      <c r="X1690" s="23"/>
      <c r="Y1690" s="23"/>
      <c r="Z1690" s="23"/>
      <c r="AA1690" s="23"/>
      <c r="AF1690" s="23"/>
      <c r="AG1690" s="23"/>
      <c r="AH1690" s="23"/>
      <c r="AI1690" s="23"/>
      <c r="AN1690" s="23"/>
      <c r="AO1690" s="23"/>
      <c r="AP1690" s="23"/>
      <c r="AQ1690" s="23"/>
      <c r="AR1690" s="35"/>
      <c r="AS1690" s="35"/>
      <c r="AT1690" s="35"/>
      <c r="AU1690" s="31"/>
      <c r="AV1690" s="36"/>
      <c r="AW1690" s="36"/>
    </row>
    <row r="1691" spans="4:49">
      <c r="D1691" s="31"/>
      <c r="E1691" s="31"/>
      <c r="F1691" s="31"/>
      <c r="G1691" s="31"/>
      <c r="H1691" s="32"/>
      <c r="J1691" s="33"/>
      <c r="K1691" s="33"/>
      <c r="L1691" s="33"/>
      <c r="X1691" s="23"/>
      <c r="Y1691" s="23"/>
      <c r="Z1691" s="23"/>
      <c r="AA1691" s="23"/>
      <c r="AF1691" s="23"/>
      <c r="AG1691" s="23"/>
      <c r="AH1691" s="23"/>
      <c r="AI1691" s="23"/>
      <c r="AN1691" s="23"/>
      <c r="AO1691" s="23"/>
      <c r="AP1691" s="23"/>
      <c r="AQ1691" s="23"/>
      <c r="AR1691" s="35"/>
      <c r="AS1691" s="35"/>
      <c r="AT1691" s="35"/>
      <c r="AU1691" s="31"/>
      <c r="AV1691" s="36"/>
      <c r="AW1691" s="36"/>
    </row>
    <row r="1692" spans="4:49">
      <c r="D1692" s="31"/>
      <c r="E1692" s="31"/>
      <c r="F1692" s="31"/>
      <c r="G1692" s="31"/>
      <c r="H1692" s="32"/>
      <c r="J1692" s="33"/>
      <c r="K1692" s="33"/>
      <c r="L1692" s="33"/>
      <c r="X1692" s="23"/>
      <c r="Y1692" s="23"/>
      <c r="Z1692" s="23"/>
      <c r="AA1692" s="23"/>
      <c r="AF1692" s="23"/>
      <c r="AG1692" s="23"/>
      <c r="AH1692" s="23"/>
      <c r="AI1692" s="23"/>
      <c r="AN1692" s="23"/>
      <c r="AO1692" s="23"/>
      <c r="AP1692" s="23"/>
      <c r="AQ1692" s="23"/>
      <c r="AR1692" s="35"/>
      <c r="AS1692" s="35"/>
      <c r="AT1692" s="35"/>
      <c r="AU1692" s="31"/>
      <c r="AV1692" s="36"/>
      <c r="AW1692" s="36"/>
    </row>
    <row r="1693" spans="4:49">
      <c r="D1693" s="31"/>
      <c r="E1693" s="31"/>
      <c r="F1693" s="31"/>
      <c r="G1693" s="31"/>
      <c r="H1693" s="32"/>
      <c r="J1693" s="33"/>
      <c r="K1693" s="33"/>
      <c r="L1693" s="33"/>
      <c r="X1693" s="23"/>
      <c r="Y1693" s="23"/>
      <c r="Z1693" s="23"/>
      <c r="AA1693" s="23"/>
      <c r="AF1693" s="23"/>
      <c r="AG1693" s="23"/>
      <c r="AH1693" s="23"/>
      <c r="AI1693" s="23"/>
      <c r="AN1693" s="23"/>
      <c r="AO1693" s="23"/>
      <c r="AP1693" s="23"/>
      <c r="AQ1693" s="23"/>
      <c r="AR1693" s="35"/>
      <c r="AS1693" s="35"/>
      <c r="AT1693" s="35"/>
      <c r="AU1693" s="31"/>
      <c r="AV1693" s="36"/>
      <c r="AW1693" s="36"/>
    </row>
    <row r="1694" spans="4:49">
      <c r="D1694" s="31"/>
      <c r="E1694" s="31"/>
      <c r="F1694" s="31"/>
      <c r="G1694" s="31"/>
      <c r="H1694" s="32"/>
      <c r="J1694" s="33"/>
      <c r="K1694" s="33"/>
      <c r="L1694" s="33"/>
      <c r="X1694" s="23"/>
      <c r="Y1694" s="23"/>
      <c r="Z1694" s="23"/>
      <c r="AA1694" s="23"/>
      <c r="AF1694" s="23"/>
      <c r="AG1694" s="23"/>
      <c r="AH1694" s="23"/>
      <c r="AI1694" s="23"/>
      <c r="AN1694" s="23"/>
      <c r="AO1694" s="23"/>
      <c r="AP1694" s="23"/>
      <c r="AQ1694" s="23"/>
      <c r="AR1694" s="35"/>
      <c r="AS1694" s="35"/>
      <c r="AT1694" s="35"/>
      <c r="AU1694" s="31"/>
      <c r="AV1694" s="36"/>
      <c r="AW1694" s="36"/>
    </row>
    <row r="1695" spans="4:49">
      <c r="D1695" s="31"/>
      <c r="E1695" s="31"/>
      <c r="F1695" s="31"/>
      <c r="G1695" s="31"/>
      <c r="H1695" s="32"/>
      <c r="J1695" s="33"/>
      <c r="K1695" s="33"/>
      <c r="L1695" s="33"/>
      <c r="X1695" s="23"/>
      <c r="Y1695" s="23"/>
      <c r="Z1695" s="23"/>
      <c r="AA1695" s="23"/>
      <c r="AF1695" s="23"/>
      <c r="AG1695" s="23"/>
      <c r="AH1695" s="23"/>
      <c r="AI1695" s="23"/>
      <c r="AN1695" s="23"/>
      <c r="AO1695" s="23"/>
      <c r="AP1695" s="23"/>
      <c r="AQ1695" s="23"/>
      <c r="AR1695" s="35"/>
      <c r="AS1695" s="35"/>
      <c r="AT1695" s="35"/>
      <c r="AU1695" s="31"/>
      <c r="AV1695" s="36"/>
      <c r="AW1695" s="36"/>
    </row>
    <row r="1696" spans="4:49">
      <c r="D1696" s="31"/>
      <c r="E1696" s="31"/>
      <c r="F1696" s="31"/>
      <c r="G1696" s="31"/>
      <c r="H1696" s="32"/>
      <c r="J1696" s="33"/>
      <c r="K1696" s="33"/>
      <c r="L1696" s="33"/>
      <c r="X1696" s="23"/>
      <c r="Y1696" s="23"/>
      <c r="Z1696" s="23"/>
      <c r="AA1696" s="23"/>
      <c r="AF1696" s="23"/>
      <c r="AG1696" s="23"/>
      <c r="AH1696" s="23"/>
      <c r="AI1696" s="23"/>
      <c r="AN1696" s="23"/>
      <c r="AO1696" s="23"/>
      <c r="AP1696" s="23"/>
      <c r="AQ1696" s="23"/>
      <c r="AR1696" s="35"/>
      <c r="AS1696" s="35"/>
      <c r="AT1696" s="35"/>
      <c r="AU1696" s="31"/>
      <c r="AV1696" s="36"/>
      <c r="AW1696" s="36"/>
    </row>
    <row r="1697" spans="4:49">
      <c r="D1697" s="31"/>
      <c r="E1697" s="31"/>
      <c r="F1697" s="31"/>
      <c r="G1697" s="31"/>
      <c r="H1697" s="32"/>
      <c r="J1697" s="33"/>
      <c r="K1697" s="33"/>
      <c r="L1697" s="33"/>
      <c r="X1697" s="23"/>
      <c r="Y1697" s="23"/>
      <c r="Z1697" s="23"/>
      <c r="AA1697" s="23"/>
      <c r="AF1697" s="23"/>
      <c r="AG1697" s="23"/>
      <c r="AH1697" s="23"/>
      <c r="AI1697" s="23"/>
      <c r="AN1697" s="23"/>
      <c r="AO1697" s="23"/>
      <c r="AP1697" s="23"/>
      <c r="AQ1697" s="23"/>
      <c r="AR1697" s="35"/>
      <c r="AS1697" s="35"/>
      <c r="AT1697" s="35"/>
      <c r="AU1697" s="31"/>
      <c r="AV1697" s="36"/>
      <c r="AW1697" s="36"/>
    </row>
    <row r="1698" spans="4:49">
      <c r="D1698" s="31"/>
      <c r="E1698" s="31"/>
      <c r="F1698" s="31"/>
      <c r="G1698" s="31"/>
      <c r="H1698" s="32"/>
      <c r="J1698" s="33"/>
      <c r="K1698" s="33"/>
      <c r="L1698" s="33"/>
      <c r="X1698" s="23"/>
      <c r="Y1698" s="23"/>
      <c r="Z1698" s="23"/>
      <c r="AA1698" s="23"/>
      <c r="AF1698" s="23"/>
      <c r="AG1698" s="23"/>
      <c r="AH1698" s="23"/>
      <c r="AI1698" s="23"/>
      <c r="AN1698" s="23"/>
      <c r="AO1698" s="23"/>
      <c r="AP1698" s="23"/>
      <c r="AQ1698" s="23"/>
      <c r="AR1698" s="35"/>
      <c r="AS1698" s="35"/>
      <c r="AT1698" s="35"/>
      <c r="AU1698" s="31"/>
      <c r="AV1698" s="36"/>
      <c r="AW1698" s="36"/>
    </row>
    <row r="1699" spans="4:49">
      <c r="D1699" s="31"/>
      <c r="E1699" s="31"/>
      <c r="F1699" s="31"/>
      <c r="G1699" s="31"/>
      <c r="H1699" s="32"/>
      <c r="J1699" s="33"/>
      <c r="K1699" s="33"/>
      <c r="L1699" s="33"/>
      <c r="X1699" s="23"/>
      <c r="Y1699" s="23"/>
      <c r="Z1699" s="23"/>
      <c r="AA1699" s="23"/>
      <c r="AF1699" s="23"/>
      <c r="AG1699" s="23"/>
      <c r="AH1699" s="23"/>
      <c r="AI1699" s="23"/>
      <c r="AN1699" s="23"/>
      <c r="AO1699" s="23"/>
      <c r="AP1699" s="23"/>
      <c r="AQ1699" s="23"/>
      <c r="AR1699" s="35"/>
      <c r="AS1699" s="35"/>
      <c r="AT1699" s="35"/>
      <c r="AU1699" s="31"/>
      <c r="AV1699" s="36"/>
      <c r="AW1699" s="36"/>
    </row>
    <row r="1700" spans="4:49">
      <c r="D1700" s="31"/>
      <c r="E1700" s="31"/>
      <c r="F1700" s="31"/>
      <c r="G1700" s="31"/>
      <c r="H1700" s="32"/>
      <c r="J1700" s="33"/>
      <c r="K1700" s="33"/>
      <c r="L1700" s="33"/>
      <c r="X1700" s="23"/>
      <c r="Y1700" s="23"/>
      <c r="Z1700" s="23"/>
      <c r="AA1700" s="23"/>
      <c r="AF1700" s="23"/>
      <c r="AG1700" s="23"/>
      <c r="AH1700" s="23"/>
      <c r="AI1700" s="23"/>
      <c r="AN1700" s="23"/>
      <c r="AO1700" s="23"/>
      <c r="AP1700" s="23"/>
      <c r="AQ1700" s="23"/>
      <c r="AR1700" s="35"/>
      <c r="AS1700" s="35"/>
      <c r="AT1700" s="35"/>
      <c r="AU1700" s="31"/>
      <c r="AV1700" s="36"/>
      <c r="AW1700" s="36"/>
    </row>
    <row r="1701" spans="4:49">
      <c r="D1701" s="31"/>
      <c r="E1701" s="31"/>
      <c r="F1701" s="31"/>
      <c r="G1701" s="31"/>
      <c r="H1701" s="32"/>
      <c r="J1701" s="33"/>
      <c r="K1701" s="33"/>
      <c r="L1701" s="33"/>
      <c r="X1701" s="23"/>
      <c r="Y1701" s="23"/>
      <c r="Z1701" s="23"/>
      <c r="AA1701" s="23"/>
      <c r="AF1701" s="23"/>
      <c r="AG1701" s="23"/>
      <c r="AH1701" s="23"/>
      <c r="AI1701" s="23"/>
      <c r="AN1701" s="23"/>
      <c r="AO1701" s="23"/>
      <c r="AP1701" s="23"/>
      <c r="AQ1701" s="23"/>
      <c r="AR1701" s="35"/>
      <c r="AS1701" s="35"/>
      <c r="AT1701" s="35"/>
      <c r="AU1701" s="31"/>
      <c r="AV1701" s="36"/>
      <c r="AW1701" s="36"/>
    </row>
    <row r="1702" spans="4:49">
      <c r="D1702" s="31"/>
      <c r="E1702" s="31"/>
      <c r="F1702" s="31"/>
      <c r="G1702" s="31"/>
      <c r="H1702" s="32"/>
      <c r="J1702" s="33"/>
      <c r="K1702" s="33"/>
      <c r="L1702" s="33"/>
      <c r="X1702" s="23"/>
      <c r="Y1702" s="23"/>
      <c r="Z1702" s="23"/>
      <c r="AA1702" s="23"/>
      <c r="AF1702" s="23"/>
      <c r="AG1702" s="23"/>
      <c r="AH1702" s="23"/>
      <c r="AI1702" s="23"/>
      <c r="AN1702" s="23"/>
      <c r="AO1702" s="23"/>
      <c r="AP1702" s="23"/>
      <c r="AQ1702" s="23"/>
      <c r="AR1702" s="35"/>
      <c r="AS1702" s="35"/>
      <c r="AT1702" s="35"/>
      <c r="AU1702" s="31"/>
      <c r="AV1702" s="36"/>
      <c r="AW1702" s="36"/>
    </row>
    <row r="1703" spans="4:49">
      <c r="D1703" s="31"/>
      <c r="E1703" s="31"/>
      <c r="F1703" s="31"/>
      <c r="G1703" s="31"/>
      <c r="H1703" s="32"/>
      <c r="J1703" s="33"/>
      <c r="K1703" s="33"/>
      <c r="L1703" s="33"/>
      <c r="X1703" s="23"/>
      <c r="Y1703" s="23"/>
      <c r="Z1703" s="23"/>
      <c r="AA1703" s="23"/>
      <c r="AF1703" s="23"/>
      <c r="AG1703" s="23"/>
      <c r="AH1703" s="23"/>
      <c r="AI1703" s="23"/>
      <c r="AN1703" s="23"/>
      <c r="AO1703" s="23"/>
      <c r="AP1703" s="23"/>
      <c r="AQ1703" s="23"/>
      <c r="AR1703" s="35"/>
      <c r="AS1703" s="35"/>
      <c r="AT1703" s="35"/>
      <c r="AU1703" s="31"/>
      <c r="AV1703" s="36"/>
      <c r="AW1703" s="36"/>
    </row>
    <row r="1704" spans="4:49">
      <c r="D1704" s="31"/>
      <c r="E1704" s="31"/>
      <c r="F1704" s="31"/>
      <c r="G1704" s="31"/>
      <c r="H1704" s="32"/>
      <c r="J1704" s="33"/>
      <c r="K1704" s="33"/>
      <c r="L1704" s="33"/>
      <c r="X1704" s="23"/>
      <c r="Y1704" s="23"/>
      <c r="Z1704" s="23"/>
      <c r="AA1704" s="23"/>
      <c r="AF1704" s="23"/>
      <c r="AG1704" s="23"/>
      <c r="AH1704" s="23"/>
      <c r="AI1704" s="23"/>
      <c r="AN1704" s="23"/>
      <c r="AO1704" s="23"/>
      <c r="AP1704" s="23"/>
      <c r="AQ1704" s="23"/>
      <c r="AR1704" s="35"/>
      <c r="AS1704" s="35"/>
      <c r="AT1704" s="35"/>
      <c r="AU1704" s="31"/>
      <c r="AV1704" s="36"/>
      <c r="AW1704" s="36"/>
    </row>
    <row r="1705" spans="4:49">
      <c r="D1705" s="31"/>
      <c r="E1705" s="31"/>
      <c r="F1705" s="31"/>
      <c r="G1705" s="31"/>
      <c r="H1705" s="32"/>
      <c r="J1705" s="33"/>
      <c r="K1705" s="33"/>
      <c r="L1705" s="33"/>
      <c r="X1705" s="23"/>
      <c r="Y1705" s="23"/>
      <c r="Z1705" s="23"/>
      <c r="AA1705" s="23"/>
      <c r="AF1705" s="23"/>
      <c r="AG1705" s="23"/>
      <c r="AH1705" s="23"/>
      <c r="AI1705" s="23"/>
      <c r="AN1705" s="23"/>
      <c r="AO1705" s="23"/>
      <c r="AP1705" s="23"/>
      <c r="AQ1705" s="23"/>
      <c r="AR1705" s="35"/>
      <c r="AS1705" s="35"/>
      <c r="AT1705" s="35"/>
      <c r="AU1705" s="31"/>
      <c r="AV1705" s="36"/>
      <c r="AW1705" s="36"/>
    </row>
    <row r="1706" spans="4:49">
      <c r="D1706" s="31"/>
      <c r="E1706" s="31"/>
      <c r="F1706" s="31"/>
      <c r="G1706" s="31"/>
      <c r="H1706" s="32"/>
      <c r="J1706" s="33"/>
      <c r="K1706" s="33"/>
      <c r="L1706" s="33"/>
      <c r="X1706" s="23"/>
      <c r="Y1706" s="23"/>
      <c r="Z1706" s="23"/>
      <c r="AA1706" s="23"/>
      <c r="AF1706" s="23"/>
      <c r="AG1706" s="23"/>
      <c r="AH1706" s="23"/>
      <c r="AI1706" s="23"/>
      <c r="AN1706" s="23"/>
      <c r="AO1706" s="23"/>
      <c r="AP1706" s="23"/>
      <c r="AQ1706" s="23"/>
      <c r="AR1706" s="35"/>
      <c r="AS1706" s="35"/>
      <c r="AT1706" s="35"/>
      <c r="AU1706" s="31"/>
      <c r="AV1706" s="36"/>
      <c r="AW1706" s="36"/>
    </row>
    <row r="1707" spans="4:49">
      <c r="D1707" s="31"/>
      <c r="E1707" s="31"/>
      <c r="F1707" s="31"/>
      <c r="G1707" s="31"/>
      <c r="H1707" s="32"/>
      <c r="J1707" s="33"/>
      <c r="K1707" s="33"/>
      <c r="L1707" s="33"/>
      <c r="X1707" s="23"/>
      <c r="Y1707" s="23"/>
      <c r="Z1707" s="23"/>
      <c r="AA1707" s="23"/>
      <c r="AF1707" s="23"/>
      <c r="AG1707" s="23"/>
      <c r="AH1707" s="23"/>
      <c r="AI1707" s="23"/>
      <c r="AN1707" s="23"/>
      <c r="AO1707" s="23"/>
      <c r="AP1707" s="23"/>
      <c r="AQ1707" s="23"/>
      <c r="AR1707" s="35"/>
      <c r="AS1707" s="35"/>
      <c r="AT1707" s="35"/>
      <c r="AU1707" s="31"/>
      <c r="AV1707" s="36"/>
      <c r="AW1707" s="36"/>
    </row>
    <row r="1708" spans="4:49">
      <c r="D1708" s="31"/>
      <c r="E1708" s="31"/>
      <c r="F1708" s="31"/>
      <c r="G1708" s="31"/>
      <c r="H1708" s="32"/>
      <c r="J1708" s="33"/>
      <c r="K1708" s="33"/>
      <c r="L1708" s="33"/>
      <c r="X1708" s="23"/>
      <c r="Y1708" s="23"/>
      <c r="Z1708" s="23"/>
      <c r="AA1708" s="23"/>
      <c r="AF1708" s="23"/>
      <c r="AG1708" s="23"/>
      <c r="AH1708" s="23"/>
      <c r="AI1708" s="23"/>
      <c r="AN1708" s="23"/>
      <c r="AO1708" s="23"/>
      <c r="AP1708" s="23"/>
      <c r="AQ1708" s="23"/>
      <c r="AR1708" s="35"/>
      <c r="AS1708" s="35"/>
      <c r="AT1708" s="35"/>
      <c r="AU1708" s="31"/>
      <c r="AV1708" s="36"/>
      <c r="AW1708" s="36"/>
    </row>
    <row r="1709" spans="4:49">
      <c r="D1709" s="31"/>
      <c r="E1709" s="31"/>
      <c r="F1709" s="31"/>
      <c r="G1709" s="31"/>
      <c r="H1709" s="32"/>
      <c r="J1709" s="33"/>
      <c r="K1709" s="33"/>
      <c r="L1709" s="33"/>
      <c r="X1709" s="23"/>
      <c r="Y1709" s="23"/>
      <c r="Z1709" s="23"/>
      <c r="AA1709" s="23"/>
      <c r="AF1709" s="23"/>
      <c r="AG1709" s="23"/>
      <c r="AH1709" s="23"/>
      <c r="AI1709" s="23"/>
      <c r="AN1709" s="23"/>
      <c r="AO1709" s="23"/>
      <c r="AP1709" s="23"/>
      <c r="AQ1709" s="23"/>
      <c r="AR1709" s="35"/>
      <c r="AS1709" s="35"/>
      <c r="AT1709" s="35"/>
      <c r="AU1709" s="31"/>
      <c r="AV1709" s="36"/>
      <c r="AW1709" s="36"/>
    </row>
    <row r="1710" spans="4:49">
      <c r="D1710" s="31"/>
      <c r="E1710" s="31"/>
      <c r="F1710" s="31"/>
      <c r="G1710" s="31"/>
      <c r="H1710" s="32"/>
      <c r="J1710" s="33"/>
      <c r="K1710" s="33"/>
      <c r="L1710" s="33"/>
      <c r="X1710" s="23"/>
      <c r="Y1710" s="23"/>
      <c r="Z1710" s="23"/>
      <c r="AA1710" s="23"/>
      <c r="AF1710" s="23"/>
      <c r="AG1710" s="23"/>
      <c r="AH1710" s="23"/>
      <c r="AI1710" s="23"/>
      <c r="AN1710" s="23"/>
      <c r="AO1710" s="23"/>
      <c r="AP1710" s="23"/>
      <c r="AQ1710" s="23"/>
      <c r="AR1710" s="35"/>
      <c r="AS1710" s="35"/>
      <c r="AT1710" s="35"/>
      <c r="AU1710" s="31"/>
      <c r="AV1710" s="36"/>
      <c r="AW1710" s="36"/>
    </row>
    <row r="1711" spans="4:49">
      <c r="D1711" s="31"/>
      <c r="E1711" s="31"/>
      <c r="F1711" s="31"/>
      <c r="G1711" s="31"/>
      <c r="H1711" s="32"/>
      <c r="J1711" s="33"/>
      <c r="K1711" s="33"/>
      <c r="L1711" s="33"/>
      <c r="X1711" s="23"/>
      <c r="Y1711" s="23"/>
      <c r="Z1711" s="23"/>
      <c r="AA1711" s="23"/>
      <c r="AF1711" s="23"/>
      <c r="AG1711" s="23"/>
      <c r="AH1711" s="23"/>
      <c r="AI1711" s="23"/>
      <c r="AN1711" s="23"/>
      <c r="AO1711" s="23"/>
      <c r="AP1711" s="23"/>
      <c r="AQ1711" s="23"/>
      <c r="AR1711" s="35"/>
      <c r="AS1711" s="35"/>
      <c r="AT1711" s="35"/>
      <c r="AU1711" s="31"/>
      <c r="AV1711" s="36"/>
      <c r="AW1711" s="36"/>
    </row>
    <row r="1712" spans="4:49">
      <c r="D1712" s="31"/>
      <c r="E1712" s="31"/>
      <c r="F1712" s="31"/>
      <c r="G1712" s="31"/>
      <c r="H1712" s="32"/>
      <c r="J1712" s="33"/>
      <c r="K1712" s="33"/>
      <c r="L1712" s="33"/>
      <c r="X1712" s="23"/>
      <c r="Y1712" s="23"/>
      <c r="Z1712" s="23"/>
      <c r="AA1712" s="23"/>
      <c r="AF1712" s="23"/>
      <c r="AG1712" s="23"/>
      <c r="AH1712" s="23"/>
      <c r="AI1712" s="23"/>
      <c r="AN1712" s="23"/>
      <c r="AO1712" s="23"/>
      <c r="AP1712" s="23"/>
      <c r="AQ1712" s="23"/>
      <c r="AR1712" s="35"/>
      <c r="AS1712" s="35"/>
      <c r="AT1712" s="35"/>
      <c r="AU1712" s="31"/>
      <c r="AV1712" s="36"/>
      <c r="AW1712" s="36"/>
    </row>
    <row r="1713" spans="4:49">
      <c r="D1713" s="31"/>
      <c r="E1713" s="31"/>
      <c r="F1713" s="31"/>
      <c r="G1713" s="31"/>
      <c r="H1713" s="32"/>
      <c r="J1713" s="33"/>
      <c r="K1713" s="33"/>
      <c r="L1713" s="33"/>
      <c r="X1713" s="23"/>
      <c r="Y1713" s="23"/>
      <c r="Z1713" s="23"/>
      <c r="AA1713" s="23"/>
      <c r="AF1713" s="23"/>
      <c r="AG1713" s="23"/>
      <c r="AH1713" s="23"/>
      <c r="AI1713" s="23"/>
      <c r="AN1713" s="23"/>
      <c r="AO1713" s="23"/>
      <c r="AP1713" s="23"/>
      <c r="AQ1713" s="23"/>
      <c r="AR1713" s="35"/>
      <c r="AS1713" s="35"/>
      <c r="AT1713" s="35"/>
      <c r="AU1713" s="31"/>
      <c r="AV1713" s="36"/>
      <c r="AW1713" s="36"/>
    </row>
    <row r="1714" spans="4:49">
      <c r="D1714" s="31"/>
      <c r="E1714" s="31"/>
      <c r="F1714" s="31"/>
      <c r="G1714" s="31"/>
      <c r="H1714" s="32"/>
      <c r="J1714" s="33"/>
      <c r="K1714" s="33"/>
      <c r="L1714" s="33"/>
      <c r="X1714" s="23"/>
      <c r="Y1714" s="23"/>
      <c r="Z1714" s="23"/>
      <c r="AA1714" s="23"/>
      <c r="AF1714" s="23"/>
      <c r="AG1714" s="23"/>
      <c r="AH1714" s="23"/>
      <c r="AI1714" s="23"/>
      <c r="AN1714" s="23"/>
      <c r="AO1714" s="23"/>
      <c r="AP1714" s="23"/>
      <c r="AQ1714" s="23"/>
      <c r="AR1714" s="35"/>
      <c r="AS1714" s="35"/>
      <c r="AT1714" s="35"/>
      <c r="AU1714" s="31"/>
      <c r="AV1714" s="36"/>
      <c r="AW1714" s="36"/>
    </row>
    <row r="1715" spans="4:49">
      <c r="D1715" s="31"/>
      <c r="E1715" s="31"/>
      <c r="F1715" s="31"/>
      <c r="G1715" s="31"/>
      <c r="H1715" s="32"/>
      <c r="J1715" s="33"/>
      <c r="K1715" s="33"/>
      <c r="L1715" s="33"/>
      <c r="X1715" s="23"/>
      <c r="Y1715" s="23"/>
      <c r="Z1715" s="23"/>
      <c r="AA1715" s="23"/>
      <c r="AF1715" s="23"/>
      <c r="AG1715" s="23"/>
      <c r="AH1715" s="23"/>
      <c r="AI1715" s="23"/>
      <c r="AN1715" s="23"/>
      <c r="AO1715" s="23"/>
      <c r="AP1715" s="23"/>
      <c r="AQ1715" s="23"/>
      <c r="AR1715" s="35"/>
      <c r="AS1715" s="35"/>
      <c r="AT1715" s="35"/>
      <c r="AU1715" s="31"/>
      <c r="AV1715" s="36"/>
      <c r="AW1715" s="36"/>
    </row>
    <row r="1716" spans="4:49">
      <c r="D1716" s="31"/>
      <c r="E1716" s="31"/>
      <c r="F1716" s="31"/>
      <c r="G1716" s="31"/>
      <c r="H1716" s="32"/>
      <c r="J1716" s="33"/>
      <c r="K1716" s="33"/>
      <c r="L1716" s="33"/>
      <c r="X1716" s="23"/>
      <c r="Y1716" s="23"/>
      <c r="Z1716" s="23"/>
      <c r="AA1716" s="23"/>
      <c r="AF1716" s="23"/>
      <c r="AG1716" s="23"/>
      <c r="AH1716" s="23"/>
      <c r="AI1716" s="23"/>
      <c r="AN1716" s="23"/>
      <c r="AO1716" s="23"/>
      <c r="AP1716" s="23"/>
      <c r="AQ1716" s="23"/>
      <c r="AR1716" s="35"/>
      <c r="AS1716" s="35"/>
      <c r="AT1716" s="35"/>
      <c r="AU1716" s="31"/>
      <c r="AV1716" s="36"/>
      <c r="AW1716" s="36"/>
    </row>
    <row r="1717" spans="4:49">
      <c r="D1717" s="31"/>
      <c r="E1717" s="31"/>
      <c r="F1717" s="31"/>
      <c r="G1717" s="31"/>
      <c r="H1717" s="32"/>
      <c r="J1717" s="33"/>
      <c r="K1717" s="33"/>
      <c r="L1717" s="33"/>
      <c r="X1717" s="23"/>
      <c r="Y1717" s="23"/>
      <c r="Z1717" s="23"/>
      <c r="AA1717" s="23"/>
      <c r="AF1717" s="23"/>
      <c r="AG1717" s="23"/>
      <c r="AH1717" s="23"/>
      <c r="AI1717" s="23"/>
      <c r="AN1717" s="23"/>
      <c r="AO1717" s="23"/>
      <c r="AP1717" s="23"/>
      <c r="AQ1717" s="23"/>
      <c r="AR1717" s="35"/>
      <c r="AS1717" s="35"/>
      <c r="AT1717" s="35"/>
      <c r="AU1717" s="31"/>
      <c r="AV1717" s="36"/>
      <c r="AW1717" s="36"/>
    </row>
    <row r="1718" spans="4:49">
      <c r="D1718" s="31"/>
      <c r="E1718" s="31"/>
      <c r="F1718" s="31"/>
      <c r="G1718" s="31"/>
      <c r="H1718" s="32"/>
      <c r="J1718" s="33"/>
      <c r="K1718" s="33"/>
      <c r="L1718" s="33"/>
      <c r="X1718" s="23"/>
      <c r="Y1718" s="23"/>
      <c r="Z1718" s="23"/>
      <c r="AA1718" s="23"/>
      <c r="AF1718" s="23"/>
      <c r="AG1718" s="23"/>
      <c r="AH1718" s="23"/>
      <c r="AI1718" s="23"/>
      <c r="AN1718" s="23"/>
      <c r="AO1718" s="23"/>
      <c r="AP1718" s="23"/>
      <c r="AQ1718" s="23"/>
      <c r="AR1718" s="35"/>
      <c r="AS1718" s="35"/>
      <c r="AT1718" s="35"/>
      <c r="AU1718" s="31"/>
      <c r="AV1718" s="36"/>
      <c r="AW1718" s="36"/>
    </row>
    <row r="1719" spans="4:49">
      <c r="D1719" s="31"/>
      <c r="E1719" s="31"/>
      <c r="F1719" s="31"/>
      <c r="G1719" s="31"/>
      <c r="H1719" s="32"/>
      <c r="J1719" s="33"/>
      <c r="K1719" s="33"/>
      <c r="L1719" s="33"/>
      <c r="X1719" s="23"/>
      <c r="Y1719" s="23"/>
      <c r="Z1719" s="23"/>
      <c r="AA1719" s="23"/>
      <c r="AF1719" s="23"/>
      <c r="AG1719" s="23"/>
      <c r="AH1719" s="23"/>
      <c r="AI1719" s="23"/>
      <c r="AN1719" s="23"/>
      <c r="AO1719" s="23"/>
      <c r="AP1719" s="23"/>
      <c r="AQ1719" s="23"/>
      <c r="AR1719" s="35"/>
      <c r="AS1719" s="35"/>
      <c r="AT1719" s="35"/>
      <c r="AU1719" s="31"/>
      <c r="AV1719" s="36"/>
      <c r="AW1719" s="36"/>
    </row>
    <row r="1720" spans="4:49">
      <c r="D1720" s="31"/>
      <c r="E1720" s="31"/>
      <c r="F1720" s="31"/>
      <c r="G1720" s="31"/>
      <c r="H1720" s="32"/>
      <c r="J1720" s="33"/>
      <c r="K1720" s="33"/>
      <c r="L1720" s="33"/>
      <c r="X1720" s="23"/>
      <c r="Y1720" s="23"/>
      <c r="Z1720" s="23"/>
      <c r="AA1720" s="23"/>
      <c r="AF1720" s="23"/>
      <c r="AG1720" s="23"/>
      <c r="AH1720" s="23"/>
      <c r="AI1720" s="23"/>
      <c r="AN1720" s="23"/>
      <c r="AO1720" s="23"/>
      <c r="AP1720" s="23"/>
      <c r="AQ1720" s="23"/>
      <c r="AR1720" s="35"/>
      <c r="AS1720" s="35"/>
      <c r="AT1720" s="35"/>
      <c r="AU1720" s="31"/>
      <c r="AV1720" s="36"/>
      <c r="AW1720" s="36"/>
    </row>
    <row r="1721" spans="4:49">
      <c r="D1721" s="31"/>
      <c r="E1721" s="31"/>
      <c r="F1721" s="31"/>
      <c r="G1721" s="31"/>
      <c r="H1721" s="32"/>
      <c r="J1721" s="33"/>
      <c r="K1721" s="33"/>
      <c r="L1721" s="33"/>
      <c r="X1721" s="23"/>
      <c r="Y1721" s="23"/>
      <c r="Z1721" s="23"/>
      <c r="AA1721" s="23"/>
      <c r="AF1721" s="23"/>
      <c r="AG1721" s="23"/>
      <c r="AH1721" s="23"/>
      <c r="AI1721" s="23"/>
      <c r="AN1721" s="23"/>
      <c r="AO1721" s="23"/>
      <c r="AP1721" s="23"/>
      <c r="AQ1721" s="23"/>
      <c r="AR1721" s="35"/>
      <c r="AS1721" s="35"/>
      <c r="AT1721" s="35"/>
      <c r="AU1721" s="31"/>
      <c r="AV1721" s="36"/>
      <c r="AW1721" s="36"/>
    </row>
    <row r="1722" spans="4:49">
      <c r="D1722" s="31"/>
      <c r="E1722" s="31"/>
      <c r="F1722" s="31"/>
      <c r="G1722" s="31"/>
      <c r="H1722" s="32"/>
      <c r="J1722" s="33"/>
      <c r="K1722" s="33"/>
      <c r="L1722" s="33"/>
      <c r="X1722" s="23"/>
      <c r="Y1722" s="23"/>
      <c r="Z1722" s="23"/>
      <c r="AA1722" s="23"/>
      <c r="AF1722" s="23"/>
      <c r="AG1722" s="23"/>
      <c r="AH1722" s="23"/>
      <c r="AI1722" s="23"/>
      <c r="AN1722" s="23"/>
      <c r="AO1722" s="23"/>
      <c r="AP1722" s="23"/>
      <c r="AQ1722" s="23"/>
      <c r="AR1722" s="35"/>
      <c r="AS1722" s="35"/>
      <c r="AT1722" s="35"/>
      <c r="AU1722" s="31"/>
      <c r="AV1722" s="36"/>
      <c r="AW1722" s="36"/>
    </row>
    <row r="1723" spans="4:49">
      <c r="D1723" s="31"/>
      <c r="E1723" s="31"/>
      <c r="F1723" s="31"/>
      <c r="G1723" s="31"/>
      <c r="H1723" s="32"/>
      <c r="J1723" s="33"/>
      <c r="K1723" s="33"/>
      <c r="L1723" s="33"/>
      <c r="X1723" s="23"/>
      <c r="Y1723" s="23"/>
      <c r="Z1723" s="23"/>
      <c r="AA1723" s="23"/>
      <c r="AF1723" s="23"/>
      <c r="AG1723" s="23"/>
      <c r="AH1723" s="23"/>
      <c r="AI1723" s="23"/>
      <c r="AN1723" s="23"/>
      <c r="AO1723" s="23"/>
      <c r="AP1723" s="23"/>
      <c r="AQ1723" s="23"/>
      <c r="AR1723" s="35"/>
      <c r="AS1723" s="35"/>
      <c r="AT1723" s="35"/>
      <c r="AU1723" s="31"/>
      <c r="AV1723" s="36"/>
      <c r="AW1723" s="36"/>
    </row>
    <row r="1724" spans="4:49">
      <c r="D1724" s="31"/>
      <c r="E1724" s="31"/>
      <c r="F1724" s="31"/>
      <c r="G1724" s="31"/>
      <c r="H1724" s="32"/>
      <c r="J1724" s="33"/>
      <c r="K1724" s="33"/>
      <c r="L1724" s="33"/>
      <c r="X1724" s="23"/>
      <c r="Y1724" s="23"/>
      <c r="Z1724" s="23"/>
      <c r="AA1724" s="23"/>
      <c r="AF1724" s="23"/>
      <c r="AG1724" s="23"/>
      <c r="AH1724" s="23"/>
      <c r="AI1724" s="23"/>
      <c r="AN1724" s="23"/>
      <c r="AO1724" s="23"/>
      <c r="AP1724" s="23"/>
      <c r="AQ1724" s="23"/>
      <c r="AR1724" s="35"/>
      <c r="AS1724" s="35"/>
      <c r="AT1724" s="35"/>
      <c r="AU1724" s="31"/>
      <c r="AV1724" s="36"/>
      <c r="AW1724" s="36"/>
    </row>
    <row r="1725" spans="4:49">
      <c r="D1725" s="31"/>
      <c r="E1725" s="31"/>
      <c r="F1725" s="31"/>
      <c r="G1725" s="31"/>
      <c r="H1725" s="32"/>
      <c r="J1725" s="33"/>
      <c r="K1725" s="33"/>
      <c r="L1725" s="33"/>
      <c r="X1725" s="23"/>
      <c r="Y1725" s="23"/>
      <c r="Z1725" s="23"/>
      <c r="AA1725" s="23"/>
      <c r="AF1725" s="23"/>
      <c r="AG1725" s="23"/>
      <c r="AH1725" s="23"/>
      <c r="AI1725" s="23"/>
      <c r="AN1725" s="23"/>
      <c r="AO1725" s="23"/>
      <c r="AP1725" s="23"/>
      <c r="AQ1725" s="23"/>
      <c r="AR1725" s="35"/>
      <c r="AS1725" s="35"/>
      <c r="AT1725" s="35"/>
      <c r="AU1725" s="31"/>
      <c r="AV1725" s="36"/>
      <c r="AW1725" s="36"/>
    </row>
    <row r="1726" spans="4:49">
      <c r="D1726" s="31"/>
      <c r="E1726" s="31"/>
      <c r="F1726" s="31"/>
      <c r="G1726" s="31"/>
      <c r="H1726" s="32"/>
      <c r="J1726" s="33"/>
      <c r="K1726" s="33"/>
      <c r="L1726" s="33"/>
      <c r="X1726" s="23"/>
      <c r="Y1726" s="23"/>
      <c r="Z1726" s="23"/>
      <c r="AA1726" s="23"/>
      <c r="AF1726" s="23"/>
      <c r="AG1726" s="23"/>
      <c r="AH1726" s="23"/>
      <c r="AI1726" s="23"/>
      <c r="AN1726" s="23"/>
      <c r="AO1726" s="23"/>
      <c r="AP1726" s="23"/>
      <c r="AQ1726" s="23"/>
      <c r="AR1726" s="35"/>
      <c r="AS1726" s="35"/>
      <c r="AT1726" s="35"/>
      <c r="AU1726" s="31"/>
      <c r="AV1726" s="36"/>
      <c r="AW1726" s="36"/>
    </row>
    <row r="1727" spans="4:49">
      <c r="D1727" s="31"/>
      <c r="E1727" s="31"/>
      <c r="F1727" s="31"/>
      <c r="G1727" s="31"/>
      <c r="H1727" s="32"/>
      <c r="J1727" s="33"/>
      <c r="K1727" s="33"/>
      <c r="L1727" s="33"/>
      <c r="X1727" s="23"/>
      <c r="Y1727" s="23"/>
      <c r="Z1727" s="23"/>
      <c r="AA1727" s="23"/>
      <c r="AF1727" s="23"/>
      <c r="AG1727" s="23"/>
      <c r="AH1727" s="23"/>
      <c r="AI1727" s="23"/>
      <c r="AN1727" s="23"/>
      <c r="AO1727" s="23"/>
      <c r="AP1727" s="23"/>
      <c r="AQ1727" s="23"/>
      <c r="AR1727" s="35"/>
      <c r="AS1727" s="35"/>
      <c r="AT1727" s="35"/>
      <c r="AU1727" s="31"/>
      <c r="AV1727" s="36"/>
      <c r="AW1727" s="36"/>
    </row>
    <row r="1728" spans="4:49">
      <c r="D1728" s="31"/>
      <c r="E1728" s="31"/>
      <c r="F1728" s="31"/>
      <c r="G1728" s="31"/>
      <c r="H1728" s="32"/>
      <c r="J1728" s="33"/>
      <c r="K1728" s="33"/>
      <c r="L1728" s="33"/>
      <c r="X1728" s="23"/>
      <c r="Y1728" s="23"/>
      <c r="Z1728" s="23"/>
      <c r="AA1728" s="23"/>
      <c r="AF1728" s="23"/>
      <c r="AG1728" s="23"/>
      <c r="AH1728" s="23"/>
      <c r="AI1728" s="23"/>
      <c r="AN1728" s="23"/>
      <c r="AO1728" s="23"/>
      <c r="AP1728" s="23"/>
      <c r="AQ1728" s="23"/>
      <c r="AR1728" s="35"/>
      <c r="AS1728" s="35"/>
      <c r="AT1728" s="35"/>
      <c r="AU1728" s="31"/>
      <c r="AV1728" s="36"/>
      <c r="AW1728" s="36"/>
    </row>
    <row r="1729" spans="4:49">
      <c r="D1729" s="31"/>
      <c r="E1729" s="31"/>
      <c r="F1729" s="31"/>
      <c r="G1729" s="31"/>
      <c r="H1729" s="32"/>
      <c r="J1729" s="33"/>
      <c r="K1729" s="33"/>
      <c r="L1729" s="33"/>
      <c r="X1729" s="23"/>
      <c r="Y1729" s="23"/>
      <c r="Z1729" s="23"/>
      <c r="AA1729" s="23"/>
      <c r="AF1729" s="23"/>
      <c r="AG1729" s="23"/>
      <c r="AH1729" s="23"/>
      <c r="AI1729" s="23"/>
      <c r="AN1729" s="23"/>
      <c r="AO1729" s="23"/>
      <c r="AP1729" s="23"/>
      <c r="AQ1729" s="23"/>
      <c r="AR1729" s="35"/>
      <c r="AS1729" s="35"/>
      <c r="AT1729" s="35"/>
      <c r="AU1729" s="31"/>
      <c r="AV1729" s="36"/>
      <c r="AW1729" s="36"/>
    </row>
    <row r="1730" spans="4:49">
      <c r="D1730" s="31"/>
      <c r="E1730" s="31"/>
      <c r="F1730" s="31"/>
      <c r="G1730" s="31"/>
      <c r="H1730" s="32"/>
      <c r="J1730" s="33"/>
      <c r="K1730" s="33"/>
      <c r="L1730" s="33"/>
      <c r="X1730" s="23"/>
      <c r="Y1730" s="23"/>
      <c r="Z1730" s="23"/>
      <c r="AA1730" s="23"/>
      <c r="AF1730" s="23"/>
      <c r="AG1730" s="23"/>
      <c r="AH1730" s="23"/>
      <c r="AI1730" s="23"/>
      <c r="AN1730" s="23"/>
      <c r="AO1730" s="23"/>
      <c r="AP1730" s="23"/>
      <c r="AQ1730" s="23"/>
      <c r="AR1730" s="35"/>
      <c r="AS1730" s="35"/>
      <c r="AT1730" s="35"/>
      <c r="AU1730" s="31"/>
      <c r="AV1730" s="36"/>
      <c r="AW1730" s="36"/>
    </row>
    <row r="1731" spans="4:49">
      <c r="D1731" s="31"/>
      <c r="E1731" s="31"/>
      <c r="F1731" s="31"/>
      <c r="G1731" s="31"/>
      <c r="H1731" s="32"/>
      <c r="J1731" s="33"/>
      <c r="K1731" s="33"/>
      <c r="L1731" s="33"/>
      <c r="X1731" s="23"/>
      <c r="Y1731" s="23"/>
      <c r="Z1731" s="23"/>
      <c r="AA1731" s="23"/>
      <c r="AF1731" s="23"/>
      <c r="AG1731" s="23"/>
      <c r="AH1731" s="23"/>
      <c r="AI1731" s="23"/>
      <c r="AN1731" s="23"/>
      <c r="AO1731" s="23"/>
      <c r="AP1731" s="23"/>
      <c r="AQ1731" s="23"/>
      <c r="AR1731" s="35"/>
      <c r="AS1731" s="35"/>
      <c r="AT1731" s="35"/>
      <c r="AU1731" s="31"/>
      <c r="AV1731" s="36"/>
      <c r="AW1731" s="36"/>
    </row>
    <row r="1732" spans="4:49">
      <c r="D1732" s="31"/>
      <c r="E1732" s="31"/>
      <c r="F1732" s="31"/>
      <c r="G1732" s="31"/>
      <c r="H1732" s="32"/>
      <c r="J1732" s="33"/>
      <c r="K1732" s="33"/>
      <c r="L1732" s="33"/>
      <c r="X1732" s="23"/>
      <c r="Y1732" s="23"/>
      <c r="Z1732" s="23"/>
      <c r="AA1732" s="23"/>
      <c r="AF1732" s="23"/>
      <c r="AG1732" s="23"/>
      <c r="AH1732" s="23"/>
      <c r="AI1732" s="23"/>
      <c r="AN1732" s="23"/>
      <c r="AO1732" s="23"/>
      <c r="AP1732" s="23"/>
      <c r="AQ1732" s="23"/>
      <c r="AR1732" s="35"/>
      <c r="AS1732" s="35"/>
      <c r="AT1732" s="35"/>
      <c r="AU1732" s="31"/>
      <c r="AV1732" s="36"/>
      <c r="AW1732" s="36"/>
    </row>
    <row r="1733" spans="4:49">
      <c r="D1733" s="31"/>
      <c r="E1733" s="31"/>
      <c r="F1733" s="31"/>
      <c r="G1733" s="31"/>
      <c r="H1733" s="32"/>
      <c r="J1733" s="33"/>
      <c r="K1733" s="33"/>
      <c r="L1733" s="33"/>
      <c r="X1733" s="23"/>
      <c r="Y1733" s="23"/>
      <c r="Z1733" s="23"/>
      <c r="AA1733" s="23"/>
      <c r="AF1733" s="23"/>
      <c r="AG1733" s="23"/>
      <c r="AH1733" s="23"/>
      <c r="AI1733" s="23"/>
      <c r="AN1733" s="23"/>
      <c r="AO1733" s="23"/>
      <c r="AP1733" s="23"/>
      <c r="AQ1733" s="23"/>
      <c r="AR1733" s="35"/>
      <c r="AS1733" s="35"/>
      <c r="AT1733" s="35"/>
      <c r="AU1733" s="31"/>
      <c r="AV1733" s="36"/>
      <c r="AW1733" s="36"/>
    </row>
    <row r="1734" spans="4:49">
      <c r="D1734" s="31"/>
      <c r="E1734" s="31"/>
      <c r="F1734" s="31"/>
      <c r="G1734" s="31"/>
      <c r="H1734" s="32"/>
      <c r="J1734" s="33"/>
      <c r="K1734" s="33"/>
      <c r="L1734" s="33"/>
      <c r="X1734" s="23"/>
      <c r="Y1734" s="23"/>
      <c r="Z1734" s="23"/>
      <c r="AA1734" s="23"/>
      <c r="AF1734" s="23"/>
      <c r="AG1734" s="23"/>
      <c r="AH1734" s="23"/>
      <c r="AI1734" s="23"/>
      <c r="AN1734" s="23"/>
      <c r="AO1734" s="23"/>
      <c r="AP1734" s="23"/>
      <c r="AQ1734" s="23"/>
      <c r="AR1734" s="35"/>
      <c r="AS1734" s="35"/>
      <c r="AT1734" s="35"/>
      <c r="AU1734" s="31"/>
      <c r="AV1734" s="36"/>
      <c r="AW1734" s="36"/>
    </row>
    <row r="1735" spans="4:49">
      <c r="D1735" s="31"/>
      <c r="E1735" s="31"/>
      <c r="F1735" s="31"/>
      <c r="G1735" s="31"/>
      <c r="H1735" s="32"/>
      <c r="J1735" s="33"/>
      <c r="K1735" s="33"/>
      <c r="L1735" s="33"/>
      <c r="X1735" s="23"/>
      <c r="Y1735" s="23"/>
      <c r="Z1735" s="23"/>
      <c r="AA1735" s="23"/>
      <c r="AF1735" s="23"/>
      <c r="AG1735" s="23"/>
      <c r="AH1735" s="23"/>
      <c r="AI1735" s="23"/>
      <c r="AN1735" s="23"/>
      <c r="AO1735" s="23"/>
      <c r="AP1735" s="23"/>
      <c r="AQ1735" s="23"/>
      <c r="AR1735" s="35"/>
      <c r="AS1735" s="35"/>
      <c r="AT1735" s="35"/>
      <c r="AU1735" s="31"/>
      <c r="AV1735" s="36"/>
      <c r="AW1735" s="36"/>
    </row>
    <row r="1736" spans="4:49">
      <c r="D1736" s="31"/>
      <c r="E1736" s="31"/>
      <c r="F1736" s="31"/>
      <c r="G1736" s="31"/>
      <c r="H1736" s="32"/>
      <c r="J1736" s="33"/>
      <c r="K1736" s="33"/>
      <c r="L1736" s="33"/>
      <c r="X1736" s="23"/>
      <c r="Y1736" s="23"/>
      <c r="Z1736" s="23"/>
      <c r="AA1736" s="23"/>
      <c r="AF1736" s="23"/>
      <c r="AG1736" s="23"/>
      <c r="AH1736" s="23"/>
      <c r="AI1736" s="23"/>
      <c r="AN1736" s="23"/>
      <c r="AO1736" s="23"/>
      <c r="AP1736" s="23"/>
      <c r="AQ1736" s="23"/>
      <c r="AR1736" s="35"/>
      <c r="AS1736" s="35"/>
      <c r="AT1736" s="35"/>
      <c r="AU1736" s="31"/>
      <c r="AV1736" s="36"/>
      <c r="AW1736" s="36"/>
    </row>
    <row r="1737" spans="4:49">
      <c r="D1737" s="31"/>
      <c r="E1737" s="31"/>
      <c r="F1737" s="31"/>
      <c r="G1737" s="31"/>
      <c r="H1737" s="32"/>
      <c r="J1737" s="33"/>
      <c r="K1737" s="33"/>
      <c r="L1737" s="33"/>
      <c r="X1737" s="23"/>
      <c r="Y1737" s="23"/>
      <c r="Z1737" s="23"/>
      <c r="AA1737" s="23"/>
      <c r="AF1737" s="23"/>
      <c r="AG1737" s="23"/>
      <c r="AH1737" s="23"/>
      <c r="AI1737" s="23"/>
      <c r="AN1737" s="23"/>
      <c r="AO1737" s="23"/>
      <c r="AP1737" s="23"/>
      <c r="AQ1737" s="23"/>
      <c r="AR1737" s="35"/>
      <c r="AS1737" s="35"/>
      <c r="AT1737" s="35"/>
      <c r="AU1737" s="31"/>
      <c r="AV1737" s="36"/>
      <c r="AW1737" s="36"/>
    </row>
    <row r="1738" spans="4:49">
      <c r="D1738" s="31"/>
      <c r="E1738" s="31"/>
      <c r="F1738" s="31"/>
      <c r="G1738" s="31"/>
      <c r="H1738" s="32"/>
      <c r="J1738" s="33"/>
      <c r="K1738" s="33"/>
      <c r="L1738" s="33"/>
      <c r="X1738" s="23"/>
      <c r="Y1738" s="23"/>
      <c r="Z1738" s="23"/>
      <c r="AA1738" s="23"/>
      <c r="AF1738" s="23"/>
      <c r="AG1738" s="23"/>
      <c r="AH1738" s="23"/>
      <c r="AI1738" s="23"/>
      <c r="AN1738" s="23"/>
      <c r="AO1738" s="23"/>
      <c r="AP1738" s="23"/>
      <c r="AQ1738" s="23"/>
      <c r="AR1738" s="35"/>
      <c r="AS1738" s="35"/>
      <c r="AT1738" s="35"/>
      <c r="AU1738" s="31"/>
      <c r="AV1738" s="36"/>
      <c r="AW1738" s="36"/>
    </row>
    <row r="1739" spans="4:49">
      <c r="D1739" s="31"/>
      <c r="E1739" s="31"/>
      <c r="F1739" s="31"/>
      <c r="G1739" s="31"/>
      <c r="H1739" s="32"/>
      <c r="J1739" s="33"/>
      <c r="K1739" s="33"/>
      <c r="L1739" s="33"/>
      <c r="X1739" s="23"/>
      <c r="Y1739" s="23"/>
      <c r="Z1739" s="23"/>
      <c r="AA1739" s="23"/>
      <c r="AF1739" s="23"/>
      <c r="AG1739" s="23"/>
      <c r="AH1739" s="23"/>
      <c r="AI1739" s="23"/>
      <c r="AN1739" s="23"/>
      <c r="AO1739" s="23"/>
      <c r="AP1739" s="23"/>
      <c r="AQ1739" s="23"/>
      <c r="AR1739" s="35"/>
      <c r="AS1739" s="35"/>
      <c r="AT1739" s="35"/>
      <c r="AU1739" s="31"/>
      <c r="AV1739" s="36"/>
      <c r="AW1739" s="36"/>
    </row>
    <row r="1740" spans="4:49">
      <c r="D1740" s="31"/>
      <c r="E1740" s="31"/>
      <c r="F1740" s="31"/>
      <c r="G1740" s="31"/>
      <c r="H1740" s="32"/>
      <c r="J1740" s="33"/>
      <c r="K1740" s="33"/>
      <c r="L1740" s="33"/>
      <c r="X1740" s="23"/>
      <c r="Y1740" s="23"/>
      <c r="Z1740" s="23"/>
      <c r="AA1740" s="23"/>
      <c r="AF1740" s="23"/>
      <c r="AG1740" s="23"/>
      <c r="AH1740" s="23"/>
      <c r="AI1740" s="23"/>
      <c r="AN1740" s="23"/>
      <c r="AO1740" s="23"/>
      <c r="AP1740" s="23"/>
      <c r="AQ1740" s="23"/>
      <c r="AR1740" s="35"/>
      <c r="AS1740" s="35"/>
      <c r="AT1740" s="35"/>
      <c r="AU1740" s="31"/>
      <c r="AV1740" s="36"/>
      <c r="AW1740" s="36"/>
    </row>
    <row r="1741" spans="4:49">
      <c r="D1741" s="31"/>
      <c r="E1741" s="31"/>
      <c r="F1741" s="31"/>
      <c r="G1741" s="31"/>
      <c r="H1741" s="32"/>
      <c r="J1741" s="33"/>
      <c r="K1741" s="33"/>
      <c r="L1741" s="33"/>
      <c r="X1741" s="23"/>
      <c r="Y1741" s="23"/>
      <c r="Z1741" s="23"/>
      <c r="AA1741" s="23"/>
      <c r="AF1741" s="23"/>
      <c r="AG1741" s="23"/>
      <c r="AH1741" s="23"/>
      <c r="AI1741" s="23"/>
      <c r="AN1741" s="23"/>
      <c r="AO1741" s="23"/>
      <c r="AP1741" s="23"/>
      <c r="AQ1741" s="23"/>
      <c r="AR1741" s="35"/>
      <c r="AS1741" s="35"/>
      <c r="AT1741" s="35"/>
      <c r="AU1741" s="31"/>
      <c r="AV1741" s="36"/>
      <c r="AW1741" s="36"/>
    </row>
    <row r="1742" spans="4:49">
      <c r="D1742" s="31"/>
      <c r="E1742" s="31"/>
      <c r="F1742" s="31"/>
      <c r="G1742" s="31"/>
      <c r="H1742" s="32"/>
      <c r="J1742" s="33"/>
      <c r="K1742" s="33"/>
      <c r="L1742" s="33"/>
      <c r="X1742" s="23"/>
      <c r="Y1742" s="23"/>
      <c r="Z1742" s="23"/>
      <c r="AA1742" s="23"/>
      <c r="AF1742" s="23"/>
      <c r="AG1742" s="23"/>
      <c r="AH1742" s="23"/>
      <c r="AI1742" s="23"/>
      <c r="AN1742" s="23"/>
      <c r="AO1742" s="23"/>
      <c r="AP1742" s="23"/>
      <c r="AQ1742" s="23"/>
      <c r="AR1742" s="35"/>
      <c r="AS1742" s="35"/>
      <c r="AT1742" s="35"/>
      <c r="AU1742" s="31"/>
      <c r="AV1742" s="36"/>
      <c r="AW1742" s="36"/>
    </row>
    <row r="1743" spans="4:49">
      <c r="D1743" s="31"/>
      <c r="E1743" s="31"/>
      <c r="F1743" s="31"/>
      <c r="G1743" s="31"/>
      <c r="H1743" s="32"/>
      <c r="J1743" s="33"/>
      <c r="K1743" s="33"/>
      <c r="L1743" s="33"/>
      <c r="X1743" s="23"/>
      <c r="Y1743" s="23"/>
      <c r="Z1743" s="23"/>
      <c r="AA1743" s="23"/>
      <c r="AF1743" s="23"/>
      <c r="AG1743" s="23"/>
      <c r="AH1743" s="23"/>
      <c r="AI1743" s="23"/>
      <c r="AN1743" s="23"/>
      <c r="AO1743" s="23"/>
      <c r="AP1743" s="23"/>
      <c r="AQ1743" s="23"/>
      <c r="AR1743" s="35"/>
      <c r="AS1743" s="35"/>
      <c r="AT1743" s="35"/>
      <c r="AU1743" s="31"/>
      <c r="AV1743" s="36"/>
      <c r="AW1743" s="36"/>
    </row>
    <row r="1744" spans="4:49">
      <c r="D1744" s="31"/>
      <c r="E1744" s="31"/>
      <c r="F1744" s="31"/>
      <c r="G1744" s="31"/>
      <c r="H1744" s="32"/>
      <c r="J1744" s="33"/>
      <c r="K1744" s="33"/>
      <c r="L1744" s="33"/>
      <c r="X1744" s="23"/>
      <c r="Y1744" s="23"/>
      <c r="Z1744" s="23"/>
      <c r="AA1744" s="23"/>
      <c r="AF1744" s="23"/>
      <c r="AG1744" s="23"/>
      <c r="AH1744" s="23"/>
      <c r="AI1744" s="23"/>
      <c r="AN1744" s="23"/>
      <c r="AO1744" s="23"/>
      <c r="AP1744" s="23"/>
      <c r="AQ1744" s="23"/>
      <c r="AR1744" s="35"/>
      <c r="AS1744" s="35"/>
      <c r="AT1744" s="35"/>
      <c r="AU1744" s="31"/>
      <c r="AV1744" s="36"/>
      <c r="AW1744" s="36"/>
    </row>
    <row r="1745" spans="4:49">
      <c r="D1745" s="31"/>
      <c r="E1745" s="31"/>
      <c r="F1745" s="31"/>
      <c r="G1745" s="31"/>
      <c r="H1745" s="32"/>
      <c r="J1745" s="33"/>
      <c r="K1745" s="33"/>
      <c r="L1745" s="33"/>
      <c r="X1745" s="23"/>
      <c r="Y1745" s="23"/>
      <c r="Z1745" s="23"/>
      <c r="AA1745" s="23"/>
      <c r="AF1745" s="23"/>
      <c r="AG1745" s="23"/>
      <c r="AH1745" s="23"/>
      <c r="AI1745" s="23"/>
      <c r="AN1745" s="23"/>
      <c r="AO1745" s="23"/>
      <c r="AP1745" s="23"/>
      <c r="AQ1745" s="23"/>
      <c r="AR1745" s="35"/>
      <c r="AS1745" s="35"/>
      <c r="AT1745" s="35"/>
      <c r="AU1745" s="31"/>
      <c r="AV1745" s="36"/>
      <c r="AW1745" s="36"/>
    </row>
    <row r="1746" spans="4:49">
      <c r="D1746" s="31"/>
      <c r="E1746" s="31"/>
      <c r="F1746" s="31"/>
      <c r="G1746" s="31"/>
      <c r="H1746" s="32"/>
      <c r="J1746" s="33"/>
      <c r="K1746" s="33"/>
      <c r="L1746" s="33"/>
      <c r="X1746" s="23"/>
      <c r="Y1746" s="23"/>
      <c r="Z1746" s="23"/>
      <c r="AA1746" s="23"/>
      <c r="AF1746" s="23"/>
      <c r="AG1746" s="23"/>
      <c r="AH1746" s="23"/>
      <c r="AI1746" s="23"/>
      <c r="AN1746" s="23"/>
      <c r="AO1746" s="23"/>
      <c r="AP1746" s="23"/>
      <c r="AQ1746" s="23"/>
      <c r="AR1746" s="35"/>
      <c r="AS1746" s="35"/>
      <c r="AT1746" s="35"/>
      <c r="AU1746" s="31"/>
      <c r="AV1746" s="36"/>
      <c r="AW1746" s="36"/>
    </row>
    <row r="1747" spans="4:49">
      <c r="D1747" s="31"/>
      <c r="E1747" s="31"/>
      <c r="F1747" s="31"/>
      <c r="G1747" s="31"/>
      <c r="H1747" s="32"/>
      <c r="J1747" s="33"/>
      <c r="K1747" s="33"/>
      <c r="L1747" s="33"/>
      <c r="X1747" s="23"/>
      <c r="Y1747" s="23"/>
      <c r="Z1747" s="23"/>
      <c r="AA1747" s="23"/>
      <c r="AF1747" s="23"/>
      <c r="AG1747" s="23"/>
      <c r="AH1747" s="23"/>
      <c r="AI1747" s="23"/>
      <c r="AN1747" s="23"/>
      <c r="AO1747" s="23"/>
      <c r="AP1747" s="23"/>
      <c r="AQ1747" s="23"/>
      <c r="AR1747" s="35"/>
      <c r="AS1747" s="35"/>
      <c r="AT1747" s="35"/>
      <c r="AU1747" s="31"/>
      <c r="AV1747" s="36"/>
      <c r="AW1747" s="36"/>
    </row>
    <row r="1748" spans="4:49">
      <c r="D1748" s="31"/>
      <c r="E1748" s="31"/>
      <c r="F1748" s="31"/>
      <c r="G1748" s="31"/>
      <c r="H1748" s="32"/>
      <c r="J1748" s="33"/>
      <c r="K1748" s="33"/>
      <c r="L1748" s="33"/>
      <c r="X1748" s="23"/>
      <c r="Y1748" s="23"/>
      <c r="Z1748" s="23"/>
      <c r="AA1748" s="23"/>
      <c r="AF1748" s="23"/>
      <c r="AG1748" s="23"/>
      <c r="AH1748" s="23"/>
      <c r="AI1748" s="23"/>
      <c r="AN1748" s="23"/>
      <c r="AO1748" s="23"/>
      <c r="AP1748" s="23"/>
      <c r="AQ1748" s="23"/>
      <c r="AR1748" s="35"/>
      <c r="AS1748" s="35"/>
      <c r="AT1748" s="35"/>
      <c r="AU1748" s="31"/>
      <c r="AV1748" s="36"/>
      <c r="AW1748" s="36"/>
    </row>
    <row r="1749" spans="4:49">
      <c r="D1749" s="31"/>
      <c r="E1749" s="31"/>
      <c r="F1749" s="31"/>
      <c r="G1749" s="31"/>
      <c r="H1749" s="32"/>
      <c r="J1749" s="33"/>
      <c r="K1749" s="33"/>
      <c r="L1749" s="33"/>
      <c r="X1749" s="23"/>
      <c r="Y1749" s="23"/>
      <c r="Z1749" s="23"/>
      <c r="AA1749" s="23"/>
      <c r="AF1749" s="23"/>
      <c r="AG1749" s="23"/>
      <c r="AH1749" s="23"/>
      <c r="AI1749" s="23"/>
      <c r="AN1749" s="23"/>
      <c r="AO1749" s="23"/>
      <c r="AP1749" s="23"/>
      <c r="AQ1749" s="23"/>
      <c r="AR1749" s="35"/>
      <c r="AS1749" s="35"/>
      <c r="AT1749" s="35"/>
      <c r="AU1749" s="31"/>
      <c r="AV1749" s="36"/>
      <c r="AW1749" s="36"/>
    </row>
    <row r="1750" spans="4:49">
      <c r="D1750" s="31"/>
      <c r="E1750" s="31"/>
      <c r="F1750" s="31"/>
      <c r="G1750" s="31"/>
      <c r="H1750" s="32"/>
      <c r="J1750" s="33"/>
      <c r="K1750" s="33"/>
      <c r="L1750" s="33"/>
      <c r="X1750" s="23"/>
      <c r="Y1750" s="23"/>
      <c r="Z1750" s="23"/>
      <c r="AA1750" s="23"/>
      <c r="AF1750" s="23"/>
      <c r="AG1750" s="23"/>
      <c r="AH1750" s="23"/>
      <c r="AI1750" s="23"/>
      <c r="AN1750" s="23"/>
      <c r="AO1750" s="23"/>
      <c r="AP1750" s="23"/>
      <c r="AQ1750" s="23"/>
      <c r="AR1750" s="35"/>
      <c r="AS1750" s="35"/>
      <c r="AT1750" s="35"/>
      <c r="AU1750" s="31"/>
      <c r="AV1750" s="36"/>
      <c r="AW1750" s="36"/>
    </row>
    <row r="1751" spans="4:49">
      <c r="D1751" s="31"/>
      <c r="E1751" s="31"/>
      <c r="F1751" s="31"/>
      <c r="G1751" s="31"/>
      <c r="H1751" s="32"/>
      <c r="J1751" s="33"/>
      <c r="K1751" s="33"/>
      <c r="L1751" s="33"/>
      <c r="X1751" s="23"/>
      <c r="Y1751" s="23"/>
      <c r="Z1751" s="23"/>
      <c r="AA1751" s="23"/>
      <c r="AF1751" s="23"/>
      <c r="AG1751" s="23"/>
      <c r="AH1751" s="23"/>
      <c r="AI1751" s="23"/>
      <c r="AN1751" s="23"/>
      <c r="AO1751" s="23"/>
      <c r="AP1751" s="23"/>
      <c r="AQ1751" s="23"/>
      <c r="AR1751" s="35"/>
      <c r="AS1751" s="35"/>
      <c r="AT1751" s="35"/>
      <c r="AU1751" s="31"/>
      <c r="AV1751" s="36"/>
      <c r="AW1751" s="36"/>
    </row>
    <row r="1752" spans="4:49">
      <c r="D1752" s="31"/>
      <c r="E1752" s="31"/>
      <c r="F1752" s="31"/>
      <c r="G1752" s="31"/>
      <c r="H1752" s="32"/>
      <c r="J1752" s="33"/>
      <c r="K1752" s="33"/>
      <c r="L1752" s="33"/>
      <c r="X1752" s="23"/>
      <c r="Y1752" s="23"/>
      <c r="Z1752" s="23"/>
      <c r="AA1752" s="23"/>
      <c r="AF1752" s="23"/>
      <c r="AG1752" s="23"/>
      <c r="AH1752" s="23"/>
      <c r="AI1752" s="23"/>
      <c r="AN1752" s="23"/>
      <c r="AO1752" s="23"/>
      <c r="AP1752" s="23"/>
      <c r="AQ1752" s="23"/>
      <c r="AR1752" s="35"/>
      <c r="AS1752" s="35"/>
      <c r="AT1752" s="35"/>
      <c r="AU1752" s="31"/>
      <c r="AV1752" s="36"/>
      <c r="AW1752" s="36"/>
    </row>
    <row r="1753" spans="4:49">
      <c r="D1753" s="31"/>
      <c r="E1753" s="31"/>
      <c r="F1753" s="31"/>
      <c r="G1753" s="31"/>
      <c r="H1753" s="32"/>
      <c r="J1753" s="33"/>
      <c r="K1753" s="33"/>
      <c r="L1753" s="33"/>
      <c r="X1753" s="23"/>
      <c r="Y1753" s="23"/>
      <c r="Z1753" s="23"/>
      <c r="AA1753" s="23"/>
      <c r="AF1753" s="23"/>
      <c r="AG1753" s="23"/>
      <c r="AH1753" s="23"/>
      <c r="AI1753" s="23"/>
      <c r="AN1753" s="23"/>
      <c r="AO1753" s="23"/>
      <c r="AP1753" s="23"/>
      <c r="AQ1753" s="23"/>
      <c r="AR1753" s="35"/>
      <c r="AS1753" s="35"/>
      <c r="AT1753" s="35"/>
      <c r="AU1753" s="31"/>
      <c r="AV1753" s="36"/>
      <c r="AW1753" s="36"/>
    </row>
    <row r="1754" spans="4:49">
      <c r="D1754" s="31"/>
      <c r="E1754" s="31"/>
      <c r="F1754" s="31"/>
      <c r="G1754" s="31"/>
      <c r="H1754" s="32"/>
      <c r="J1754" s="33"/>
      <c r="K1754" s="33"/>
      <c r="L1754" s="33"/>
      <c r="X1754" s="23"/>
      <c r="Y1754" s="23"/>
      <c r="Z1754" s="23"/>
      <c r="AA1754" s="23"/>
      <c r="AF1754" s="23"/>
      <c r="AG1754" s="23"/>
      <c r="AH1754" s="23"/>
      <c r="AI1754" s="23"/>
      <c r="AN1754" s="23"/>
      <c r="AO1754" s="23"/>
      <c r="AP1754" s="23"/>
      <c r="AQ1754" s="23"/>
      <c r="AR1754" s="35"/>
      <c r="AS1754" s="35"/>
      <c r="AT1754" s="35"/>
      <c r="AU1754" s="31"/>
      <c r="AV1754" s="36"/>
      <c r="AW1754" s="36"/>
    </row>
    <row r="1755" spans="4:49">
      <c r="D1755" s="31"/>
      <c r="E1755" s="31"/>
      <c r="F1755" s="31"/>
      <c r="G1755" s="31"/>
      <c r="H1755" s="32"/>
      <c r="J1755" s="33"/>
      <c r="K1755" s="33"/>
      <c r="L1755" s="33"/>
      <c r="X1755" s="23"/>
      <c r="Y1755" s="23"/>
      <c r="Z1755" s="23"/>
      <c r="AA1755" s="23"/>
      <c r="AF1755" s="23"/>
      <c r="AG1755" s="23"/>
      <c r="AH1755" s="23"/>
      <c r="AI1755" s="23"/>
      <c r="AN1755" s="23"/>
      <c r="AO1755" s="23"/>
      <c r="AP1755" s="23"/>
      <c r="AQ1755" s="23"/>
      <c r="AR1755" s="35"/>
      <c r="AS1755" s="35"/>
      <c r="AT1755" s="35"/>
      <c r="AU1755" s="31"/>
      <c r="AV1755" s="36"/>
      <c r="AW1755" s="36"/>
    </row>
    <row r="1756" spans="4:49">
      <c r="D1756" s="31"/>
      <c r="E1756" s="31"/>
      <c r="F1756" s="31"/>
      <c r="G1756" s="31"/>
      <c r="H1756" s="32"/>
      <c r="J1756" s="33"/>
      <c r="K1756" s="33"/>
      <c r="L1756" s="33"/>
      <c r="X1756" s="23"/>
      <c r="Y1756" s="23"/>
      <c r="Z1756" s="23"/>
      <c r="AA1756" s="23"/>
      <c r="AF1756" s="23"/>
      <c r="AG1756" s="23"/>
      <c r="AH1756" s="23"/>
      <c r="AI1756" s="23"/>
      <c r="AN1756" s="23"/>
      <c r="AO1756" s="23"/>
      <c r="AP1756" s="23"/>
      <c r="AQ1756" s="23"/>
      <c r="AR1756" s="35"/>
      <c r="AS1756" s="35"/>
      <c r="AT1756" s="35"/>
      <c r="AU1756" s="31"/>
      <c r="AV1756" s="36"/>
      <c r="AW1756" s="36"/>
    </row>
    <row r="1757" spans="4:49">
      <c r="D1757" s="31"/>
      <c r="E1757" s="31"/>
      <c r="F1757" s="31"/>
      <c r="G1757" s="31"/>
      <c r="H1757" s="32"/>
      <c r="J1757" s="33"/>
      <c r="K1757" s="33"/>
      <c r="L1757" s="33"/>
      <c r="X1757" s="23"/>
      <c r="Y1757" s="23"/>
      <c r="Z1757" s="23"/>
      <c r="AA1757" s="23"/>
      <c r="AF1757" s="23"/>
      <c r="AG1757" s="23"/>
      <c r="AH1757" s="23"/>
      <c r="AI1757" s="23"/>
      <c r="AN1757" s="23"/>
      <c r="AO1757" s="23"/>
      <c r="AP1757" s="23"/>
      <c r="AQ1757" s="23"/>
      <c r="AR1757" s="35"/>
      <c r="AS1757" s="35"/>
      <c r="AT1757" s="35"/>
      <c r="AU1757" s="31"/>
      <c r="AV1757" s="36"/>
      <c r="AW1757" s="36"/>
    </row>
    <row r="1758" spans="4:49">
      <c r="D1758" s="31"/>
      <c r="E1758" s="31"/>
      <c r="F1758" s="31"/>
      <c r="G1758" s="31"/>
      <c r="H1758" s="32"/>
      <c r="J1758" s="33"/>
      <c r="K1758" s="33"/>
      <c r="L1758" s="33"/>
      <c r="X1758" s="23"/>
      <c r="Y1758" s="23"/>
      <c r="Z1758" s="23"/>
      <c r="AA1758" s="23"/>
      <c r="AF1758" s="23"/>
      <c r="AG1758" s="23"/>
      <c r="AH1758" s="23"/>
      <c r="AI1758" s="23"/>
      <c r="AN1758" s="23"/>
      <c r="AO1758" s="23"/>
      <c r="AP1758" s="23"/>
      <c r="AQ1758" s="23"/>
      <c r="AR1758" s="35"/>
      <c r="AS1758" s="35"/>
      <c r="AT1758" s="35"/>
      <c r="AU1758" s="31"/>
      <c r="AV1758" s="36"/>
      <c r="AW1758" s="36"/>
    </row>
    <row r="1759" spans="4:49">
      <c r="D1759" s="31"/>
      <c r="E1759" s="31"/>
      <c r="F1759" s="31"/>
      <c r="G1759" s="31"/>
      <c r="H1759" s="32"/>
      <c r="J1759" s="33"/>
      <c r="K1759" s="33"/>
      <c r="L1759" s="33"/>
      <c r="X1759" s="23"/>
      <c r="Y1759" s="23"/>
      <c r="Z1759" s="23"/>
      <c r="AA1759" s="23"/>
      <c r="AF1759" s="23"/>
      <c r="AG1759" s="23"/>
      <c r="AH1759" s="23"/>
      <c r="AI1759" s="23"/>
      <c r="AN1759" s="23"/>
      <c r="AO1759" s="23"/>
      <c r="AP1759" s="23"/>
      <c r="AQ1759" s="23"/>
      <c r="AR1759" s="35"/>
      <c r="AS1759" s="35"/>
      <c r="AT1759" s="35"/>
      <c r="AU1759" s="31"/>
      <c r="AV1759" s="36"/>
      <c r="AW1759" s="36"/>
    </row>
    <row r="1760" spans="4:49">
      <c r="D1760" s="31"/>
      <c r="E1760" s="31"/>
      <c r="F1760" s="31"/>
      <c r="G1760" s="31"/>
      <c r="H1760" s="32"/>
      <c r="J1760" s="33"/>
      <c r="K1760" s="33"/>
      <c r="L1760" s="33"/>
      <c r="X1760" s="23"/>
      <c r="Y1760" s="23"/>
      <c r="Z1760" s="23"/>
      <c r="AA1760" s="23"/>
      <c r="AF1760" s="23"/>
      <c r="AG1760" s="23"/>
      <c r="AH1760" s="23"/>
      <c r="AI1760" s="23"/>
      <c r="AN1760" s="23"/>
      <c r="AO1760" s="23"/>
      <c r="AP1760" s="23"/>
      <c r="AQ1760" s="23"/>
      <c r="AR1760" s="35"/>
      <c r="AS1760" s="35"/>
      <c r="AT1760" s="35"/>
      <c r="AU1760" s="31"/>
      <c r="AV1760" s="36"/>
      <c r="AW1760" s="36"/>
    </row>
    <row r="1761" spans="4:49">
      <c r="D1761" s="31"/>
      <c r="E1761" s="31"/>
      <c r="F1761" s="31"/>
      <c r="G1761" s="31"/>
      <c r="H1761" s="32"/>
      <c r="J1761" s="33"/>
      <c r="K1761" s="33"/>
      <c r="L1761" s="33"/>
      <c r="X1761" s="23"/>
      <c r="Y1761" s="23"/>
      <c r="Z1761" s="23"/>
      <c r="AA1761" s="23"/>
      <c r="AF1761" s="23"/>
      <c r="AG1761" s="23"/>
      <c r="AH1761" s="23"/>
      <c r="AI1761" s="23"/>
      <c r="AN1761" s="23"/>
      <c r="AO1761" s="23"/>
      <c r="AP1761" s="23"/>
      <c r="AQ1761" s="23"/>
      <c r="AR1761" s="35"/>
      <c r="AS1761" s="35"/>
      <c r="AT1761" s="35"/>
      <c r="AU1761" s="31"/>
      <c r="AV1761" s="36"/>
      <c r="AW1761" s="36"/>
    </row>
    <row r="1762" spans="4:49">
      <c r="D1762" s="31"/>
      <c r="E1762" s="31"/>
      <c r="F1762" s="31"/>
      <c r="G1762" s="31"/>
      <c r="H1762" s="32"/>
      <c r="J1762" s="33"/>
      <c r="K1762" s="33"/>
      <c r="L1762" s="33"/>
      <c r="X1762" s="23"/>
      <c r="Y1762" s="23"/>
      <c r="Z1762" s="23"/>
      <c r="AA1762" s="23"/>
      <c r="AF1762" s="23"/>
      <c r="AG1762" s="23"/>
      <c r="AH1762" s="23"/>
      <c r="AI1762" s="23"/>
      <c r="AN1762" s="23"/>
      <c r="AO1762" s="23"/>
      <c r="AP1762" s="23"/>
      <c r="AQ1762" s="23"/>
      <c r="AR1762" s="35"/>
      <c r="AS1762" s="35"/>
      <c r="AT1762" s="35"/>
      <c r="AU1762" s="31"/>
      <c r="AV1762" s="36"/>
      <c r="AW1762" s="36"/>
    </row>
    <row r="1763" spans="4:49">
      <c r="D1763" s="31"/>
      <c r="E1763" s="31"/>
      <c r="F1763" s="31"/>
      <c r="G1763" s="31"/>
      <c r="H1763" s="32"/>
      <c r="J1763" s="33"/>
      <c r="K1763" s="33"/>
      <c r="L1763" s="33"/>
      <c r="X1763" s="23"/>
      <c r="Y1763" s="23"/>
      <c r="Z1763" s="23"/>
      <c r="AA1763" s="23"/>
      <c r="AF1763" s="23"/>
      <c r="AG1763" s="23"/>
      <c r="AH1763" s="23"/>
      <c r="AI1763" s="23"/>
      <c r="AN1763" s="23"/>
      <c r="AO1763" s="23"/>
      <c r="AP1763" s="23"/>
      <c r="AQ1763" s="23"/>
      <c r="AR1763" s="35"/>
      <c r="AS1763" s="35"/>
      <c r="AT1763" s="35"/>
      <c r="AU1763" s="31"/>
      <c r="AV1763" s="36"/>
      <c r="AW1763" s="36"/>
    </row>
    <row r="1764" spans="4:49">
      <c r="D1764" s="31"/>
      <c r="E1764" s="31"/>
      <c r="F1764" s="31"/>
      <c r="G1764" s="31"/>
      <c r="H1764" s="32"/>
      <c r="J1764" s="33"/>
      <c r="K1764" s="33"/>
      <c r="L1764" s="33"/>
      <c r="X1764" s="23"/>
      <c r="Y1764" s="23"/>
      <c r="Z1764" s="23"/>
      <c r="AA1764" s="23"/>
      <c r="AF1764" s="23"/>
      <c r="AG1764" s="23"/>
      <c r="AH1764" s="23"/>
      <c r="AI1764" s="23"/>
      <c r="AN1764" s="23"/>
      <c r="AO1764" s="23"/>
      <c r="AP1764" s="23"/>
      <c r="AQ1764" s="23"/>
      <c r="AR1764" s="35"/>
      <c r="AS1764" s="35"/>
      <c r="AT1764" s="35"/>
      <c r="AU1764" s="31"/>
      <c r="AV1764" s="36"/>
      <c r="AW1764" s="36"/>
    </row>
    <row r="1765" spans="4:49">
      <c r="D1765" s="31"/>
      <c r="E1765" s="31"/>
      <c r="F1765" s="31"/>
      <c r="G1765" s="31"/>
      <c r="H1765" s="32"/>
      <c r="J1765" s="33"/>
      <c r="K1765" s="33"/>
      <c r="L1765" s="33"/>
      <c r="X1765" s="23"/>
      <c r="Y1765" s="23"/>
      <c r="Z1765" s="23"/>
      <c r="AA1765" s="23"/>
      <c r="AF1765" s="23"/>
      <c r="AG1765" s="23"/>
      <c r="AH1765" s="23"/>
      <c r="AI1765" s="23"/>
      <c r="AN1765" s="23"/>
      <c r="AO1765" s="23"/>
      <c r="AP1765" s="23"/>
      <c r="AQ1765" s="23"/>
      <c r="AR1765" s="35"/>
      <c r="AS1765" s="35"/>
      <c r="AT1765" s="35"/>
      <c r="AU1765" s="31"/>
      <c r="AV1765" s="36"/>
      <c r="AW1765" s="36"/>
    </row>
    <row r="1766" spans="4:49">
      <c r="D1766" s="31"/>
      <c r="E1766" s="31"/>
      <c r="F1766" s="31"/>
      <c r="G1766" s="31"/>
      <c r="H1766" s="32"/>
      <c r="J1766" s="33"/>
      <c r="K1766" s="33"/>
      <c r="L1766" s="33"/>
      <c r="X1766" s="23"/>
      <c r="Y1766" s="23"/>
      <c r="Z1766" s="23"/>
      <c r="AA1766" s="23"/>
      <c r="AF1766" s="23"/>
      <c r="AG1766" s="23"/>
      <c r="AH1766" s="23"/>
      <c r="AI1766" s="23"/>
      <c r="AN1766" s="23"/>
      <c r="AO1766" s="23"/>
      <c r="AP1766" s="23"/>
      <c r="AQ1766" s="23"/>
      <c r="AR1766" s="35"/>
      <c r="AS1766" s="35"/>
      <c r="AT1766" s="35"/>
      <c r="AU1766" s="31"/>
      <c r="AV1766" s="36"/>
      <c r="AW1766" s="36"/>
    </row>
    <row r="1767" spans="4:49">
      <c r="D1767" s="31"/>
      <c r="E1767" s="31"/>
      <c r="F1767" s="31"/>
      <c r="G1767" s="31"/>
      <c r="H1767" s="32"/>
      <c r="J1767" s="33"/>
      <c r="K1767" s="33"/>
      <c r="L1767" s="33"/>
      <c r="X1767" s="23"/>
      <c r="Y1767" s="23"/>
      <c r="Z1767" s="23"/>
      <c r="AA1767" s="23"/>
      <c r="AF1767" s="23"/>
      <c r="AG1767" s="23"/>
      <c r="AH1767" s="23"/>
      <c r="AI1767" s="23"/>
      <c r="AN1767" s="23"/>
      <c r="AO1767" s="23"/>
      <c r="AP1767" s="23"/>
      <c r="AQ1767" s="23"/>
      <c r="AR1767" s="35"/>
      <c r="AS1767" s="35"/>
      <c r="AT1767" s="35"/>
      <c r="AU1767" s="31"/>
      <c r="AV1767" s="36"/>
      <c r="AW1767" s="36"/>
    </row>
    <row r="1768" spans="4:49">
      <c r="D1768" s="31"/>
      <c r="E1768" s="31"/>
      <c r="F1768" s="31"/>
      <c r="G1768" s="31"/>
      <c r="H1768" s="32"/>
      <c r="J1768" s="33"/>
      <c r="K1768" s="33"/>
      <c r="L1768" s="33"/>
      <c r="X1768" s="23"/>
      <c r="Y1768" s="23"/>
      <c r="Z1768" s="23"/>
      <c r="AA1768" s="23"/>
      <c r="AF1768" s="23"/>
      <c r="AG1768" s="23"/>
      <c r="AH1768" s="23"/>
      <c r="AI1768" s="23"/>
      <c r="AN1768" s="23"/>
      <c r="AO1768" s="23"/>
      <c r="AP1768" s="23"/>
      <c r="AQ1768" s="23"/>
      <c r="AR1768" s="35"/>
      <c r="AS1768" s="35"/>
      <c r="AT1768" s="35"/>
      <c r="AU1768" s="31"/>
      <c r="AV1768" s="36"/>
      <c r="AW1768" s="36"/>
    </row>
    <row r="1769" spans="4:49">
      <c r="D1769" s="31"/>
      <c r="E1769" s="31"/>
      <c r="F1769" s="31"/>
      <c r="G1769" s="31"/>
      <c r="H1769" s="32"/>
      <c r="J1769" s="33"/>
      <c r="K1769" s="33"/>
      <c r="L1769" s="33"/>
      <c r="X1769" s="23"/>
      <c r="Y1769" s="23"/>
      <c r="Z1769" s="23"/>
      <c r="AA1769" s="23"/>
      <c r="AF1769" s="23"/>
      <c r="AG1769" s="23"/>
      <c r="AH1769" s="23"/>
      <c r="AI1769" s="23"/>
      <c r="AN1769" s="23"/>
      <c r="AO1769" s="23"/>
      <c r="AP1769" s="23"/>
      <c r="AQ1769" s="23"/>
      <c r="AR1769" s="35"/>
      <c r="AS1769" s="35"/>
      <c r="AT1769" s="35"/>
      <c r="AU1769" s="31"/>
      <c r="AV1769" s="36"/>
      <c r="AW1769" s="36"/>
    </row>
    <row r="1770" spans="4:49">
      <c r="D1770" s="31"/>
      <c r="E1770" s="31"/>
      <c r="F1770" s="31"/>
      <c r="G1770" s="31"/>
      <c r="H1770" s="32"/>
      <c r="J1770" s="33"/>
      <c r="K1770" s="33"/>
      <c r="L1770" s="33"/>
      <c r="X1770" s="23"/>
      <c r="Y1770" s="23"/>
      <c r="Z1770" s="23"/>
      <c r="AA1770" s="23"/>
      <c r="AF1770" s="23"/>
      <c r="AG1770" s="23"/>
      <c r="AH1770" s="23"/>
      <c r="AI1770" s="23"/>
      <c r="AN1770" s="23"/>
      <c r="AO1770" s="23"/>
      <c r="AP1770" s="23"/>
      <c r="AQ1770" s="23"/>
      <c r="AR1770" s="35"/>
      <c r="AS1770" s="35"/>
      <c r="AT1770" s="35"/>
      <c r="AU1770" s="31"/>
      <c r="AV1770" s="36"/>
      <c r="AW1770" s="36"/>
    </row>
    <row r="1771" spans="4:49">
      <c r="D1771" s="31"/>
      <c r="E1771" s="31"/>
      <c r="F1771" s="31"/>
      <c r="G1771" s="31"/>
      <c r="H1771" s="32"/>
      <c r="J1771" s="33"/>
      <c r="K1771" s="33"/>
      <c r="L1771" s="33"/>
      <c r="X1771" s="23"/>
      <c r="Y1771" s="23"/>
      <c r="Z1771" s="23"/>
      <c r="AA1771" s="23"/>
      <c r="AF1771" s="23"/>
      <c r="AG1771" s="23"/>
      <c r="AH1771" s="23"/>
      <c r="AI1771" s="23"/>
      <c r="AN1771" s="23"/>
      <c r="AO1771" s="23"/>
      <c r="AP1771" s="23"/>
      <c r="AQ1771" s="23"/>
      <c r="AR1771" s="35"/>
      <c r="AS1771" s="35"/>
      <c r="AT1771" s="35"/>
      <c r="AU1771" s="31"/>
      <c r="AV1771" s="36"/>
      <c r="AW1771" s="36"/>
    </row>
    <row r="1772" spans="4:49">
      <c r="D1772" s="31"/>
      <c r="E1772" s="31"/>
      <c r="F1772" s="31"/>
      <c r="G1772" s="31"/>
      <c r="H1772" s="32"/>
      <c r="J1772" s="33"/>
      <c r="K1772" s="33"/>
      <c r="L1772" s="33"/>
      <c r="X1772" s="23"/>
      <c r="Y1772" s="23"/>
      <c r="Z1772" s="23"/>
      <c r="AA1772" s="23"/>
      <c r="AF1772" s="23"/>
      <c r="AG1772" s="23"/>
      <c r="AH1772" s="23"/>
      <c r="AI1772" s="23"/>
      <c r="AN1772" s="23"/>
      <c r="AO1772" s="23"/>
      <c r="AP1772" s="23"/>
      <c r="AQ1772" s="23"/>
      <c r="AR1772" s="35"/>
      <c r="AS1772" s="35"/>
      <c r="AT1772" s="35"/>
      <c r="AU1772" s="31"/>
      <c r="AV1772" s="36"/>
      <c r="AW1772" s="36"/>
    </row>
    <row r="1773" spans="4:49">
      <c r="D1773" s="31"/>
      <c r="E1773" s="31"/>
      <c r="F1773" s="31"/>
      <c r="G1773" s="31"/>
      <c r="H1773" s="32"/>
      <c r="J1773" s="33"/>
      <c r="K1773" s="33"/>
      <c r="L1773" s="33"/>
      <c r="X1773" s="23"/>
      <c r="Y1773" s="23"/>
      <c r="Z1773" s="23"/>
      <c r="AA1773" s="23"/>
      <c r="AF1773" s="23"/>
      <c r="AG1773" s="23"/>
      <c r="AH1773" s="23"/>
      <c r="AI1773" s="23"/>
      <c r="AN1773" s="23"/>
      <c r="AO1773" s="23"/>
      <c r="AP1773" s="23"/>
      <c r="AQ1773" s="23"/>
      <c r="AR1773" s="35"/>
      <c r="AS1773" s="35"/>
      <c r="AT1773" s="35"/>
      <c r="AU1773" s="31"/>
      <c r="AV1773" s="36"/>
      <c r="AW1773" s="36"/>
    </row>
    <row r="1774" spans="4:49">
      <c r="D1774" s="31"/>
      <c r="E1774" s="31"/>
      <c r="F1774" s="31"/>
      <c r="G1774" s="31"/>
      <c r="H1774" s="32"/>
      <c r="J1774" s="33"/>
      <c r="K1774" s="33"/>
      <c r="L1774" s="33"/>
      <c r="X1774" s="23"/>
      <c r="Y1774" s="23"/>
      <c r="Z1774" s="23"/>
      <c r="AA1774" s="23"/>
      <c r="AF1774" s="23"/>
      <c r="AG1774" s="23"/>
      <c r="AH1774" s="23"/>
      <c r="AI1774" s="23"/>
      <c r="AN1774" s="23"/>
      <c r="AO1774" s="23"/>
      <c r="AP1774" s="23"/>
      <c r="AQ1774" s="23"/>
      <c r="AR1774" s="35"/>
      <c r="AS1774" s="35"/>
      <c r="AT1774" s="35"/>
      <c r="AU1774" s="31"/>
      <c r="AV1774" s="36"/>
      <c r="AW1774" s="36"/>
    </row>
    <row r="1775" spans="4:49">
      <c r="D1775" s="31"/>
      <c r="E1775" s="31"/>
      <c r="F1775" s="31"/>
      <c r="G1775" s="31"/>
      <c r="H1775" s="32"/>
      <c r="J1775" s="33"/>
      <c r="K1775" s="33"/>
      <c r="L1775" s="33"/>
      <c r="X1775" s="23"/>
      <c r="Y1775" s="23"/>
      <c r="Z1775" s="23"/>
      <c r="AA1775" s="23"/>
      <c r="AF1775" s="23"/>
      <c r="AG1775" s="23"/>
      <c r="AH1775" s="23"/>
      <c r="AI1775" s="23"/>
      <c r="AN1775" s="23"/>
      <c r="AO1775" s="23"/>
      <c r="AP1775" s="23"/>
      <c r="AQ1775" s="23"/>
      <c r="AR1775" s="35"/>
      <c r="AS1775" s="35"/>
      <c r="AT1775" s="35"/>
      <c r="AU1775" s="31"/>
      <c r="AV1775" s="36"/>
      <c r="AW1775" s="36"/>
    </row>
    <row r="1776" spans="4:49">
      <c r="D1776" s="31"/>
      <c r="E1776" s="31"/>
      <c r="F1776" s="31"/>
      <c r="G1776" s="31"/>
      <c r="H1776" s="32"/>
      <c r="J1776" s="33"/>
      <c r="K1776" s="33"/>
      <c r="L1776" s="33"/>
      <c r="X1776" s="23"/>
      <c r="Y1776" s="23"/>
      <c r="Z1776" s="23"/>
      <c r="AA1776" s="23"/>
      <c r="AF1776" s="23"/>
      <c r="AG1776" s="23"/>
      <c r="AH1776" s="23"/>
      <c r="AI1776" s="23"/>
      <c r="AN1776" s="23"/>
      <c r="AO1776" s="23"/>
      <c r="AP1776" s="23"/>
      <c r="AQ1776" s="23"/>
      <c r="AR1776" s="35"/>
      <c r="AS1776" s="35"/>
      <c r="AT1776" s="35"/>
      <c r="AU1776" s="31"/>
      <c r="AV1776" s="36"/>
      <c r="AW1776" s="36"/>
    </row>
    <row r="1777" spans="4:49">
      <c r="D1777" s="31"/>
      <c r="E1777" s="31"/>
      <c r="F1777" s="31"/>
      <c r="G1777" s="31"/>
      <c r="H1777" s="32"/>
      <c r="J1777" s="33"/>
      <c r="K1777" s="33"/>
      <c r="L1777" s="33"/>
      <c r="X1777" s="23"/>
      <c r="Y1777" s="23"/>
      <c r="Z1777" s="23"/>
      <c r="AA1777" s="23"/>
      <c r="AF1777" s="23"/>
      <c r="AG1777" s="23"/>
      <c r="AH1777" s="23"/>
      <c r="AI1777" s="23"/>
      <c r="AN1777" s="23"/>
      <c r="AO1777" s="23"/>
      <c r="AP1777" s="23"/>
      <c r="AQ1777" s="23"/>
      <c r="AR1777" s="35"/>
      <c r="AS1777" s="35"/>
      <c r="AT1777" s="35"/>
      <c r="AU1777" s="31"/>
      <c r="AV1777" s="36"/>
      <c r="AW1777" s="36"/>
    </row>
    <row r="1778" spans="4:49">
      <c r="D1778" s="31"/>
      <c r="E1778" s="31"/>
      <c r="F1778" s="31"/>
      <c r="G1778" s="31"/>
      <c r="H1778" s="32"/>
      <c r="J1778" s="33"/>
      <c r="K1778" s="33"/>
      <c r="L1778" s="33"/>
      <c r="X1778" s="23"/>
      <c r="Y1778" s="23"/>
      <c r="Z1778" s="23"/>
      <c r="AA1778" s="23"/>
      <c r="AF1778" s="23"/>
      <c r="AG1778" s="23"/>
      <c r="AH1778" s="23"/>
      <c r="AI1778" s="23"/>
      <c r="AN1778" s="23"/>
      <c r="AO1778" s="23"/>
      <c r="AP1778" s="23"/>
      <c r="AQ1778" s="23"/>
      <c r="AR1778" s="35"/>
      <c r="AS1778" s="35"/>
      <c r="AT1778" s="35"/>
      <c r="AU1778" s="31"/>
      <c r="AV1778" s="36"/>
      <c r="AW1778" s="36"/>
    </row>
    <row r="1779" spans="4:49">
      <c r="D1779" s="31"/>
      <c r="E1779" s="31"/>
      <c r="F1779" s="31"/>
      <c r="G1779" s="31"/>
      <c r="H1779" s="32"/>
      <c r="J1779" s="33"/>
      <c r="K1779" s="33"/>
      <c r="L1779" s="33"/>
      <c r="X1779" s="23"/>
      <c r="Y1779" s="23"/>
      <c r="Z1779" s="23"/>
      <c r="AA1779" s="23"/>
      <c r="AF1779" s="23"/>
      <c r="AG1779" s="23"/>
      <c r="AH1779" s="23"/>
      <c r="AI1779" s="23"/>
      <c r="AN1779" s="23"/>
      <c r="AO1779" s="23"/>
      <c r="AP1779" s="23"/>
      <c r="AQ1779" s="23"/>
      <c r="AR1779" s="35"/>
      <c r="AS1779" s="35"/>
      <c r="AT1779" s="35"/>
      <c r="AU1779" s="31"/>
      <c r="AV1779" s="36"/>
      <c r="AW1779" s="36"/>
    </row>
    <row r="1780" spans="4:49">
      <c r="D1780" s="31"/>
      <c r="E1780" s="31"/>
      <c r="F1780" s="31"/>
      <c r="G1780" s="31"/>
      <c r="H1780" s="32"/>
      <c r="J1780" s="33"/>
      <c r="K1780" s="33"/>
      <c r="L1780" s="33"/>
      <c r="X1780" s="23"/>
      <c r="Y1780" s="23"/>
      <c r="Z1780" s="23"/>
      <c r="AA1780" s="23"/>
      <c r="AF1780" s="23"/>
      <c r="AG1780" s="23"/>
      <c r="AH1780" s="23"/>
      <c r="AI1780" s="23"/>
      <c r="AN1780" s="23"/>
      <c r="AO1780" s="23"/>
      <c r="AP1780" s="23"/>
      <c r="AQ1780" s="23"/>
      <c r="AR1780" s="35"/>
      <c r="AS1780" s="35"/>
      <c r="AT1780" s="35"/>
      <c r="AU1780" s="31"/>
      <c r="AV1780" s="36"/>
      <c r="AW1780" s="36"/>
    </row>
    <row r="1781" spans="4:49">
      <c r="D1781" s="31"/>
      <c r="E1781" s="31"/>
      <c r="F1781" s="31"/>
      <c r="G1781" s="31"/>
      <c r="H1781" s="32"/>
      <c r="J1781" s="33"/>
      <c r="K1781" s="33"/>
      <c r="L1781" s="33"/>
      <c r="X1781" s="23"/>
      <c r="Y1781" s="23"/>
      <c r="Z1781" s="23"/>
      <c r="AA1781" s="23"/>
      <c r="AF1781" s="23"/>
      <c r="AG1781" s="23"/>
      <c r="AH1781" s="23"/>
      <c r="AI1781" s="23"/>
      <c r="AN1781" s="23"/>
      <c r="AO1781" s="23"/>
      <c r="AP1781" s="23"/>
      <c r="AQ1781" s="23"/>
      <c r="AR1781" s="35"/>
      <c r="AS1781" s="35"/>
      <c r="AT1781" s="35"/>
      <c r="AU1781" s="31"/>
      <c r="AV1781" s="36"/>
      <c r="AW1781" s="36"/>
    </row>
    <row r="1782" spans="4:49">
      <c r="D1782" s="31"/>
      <c r="E1782" s="31"/>
      <c r="F1782" s="31"/>
      <c r="G1782" s="31"/>
      <c r="H1782" s="32"/>
      <c r="J1782" s="33"/>
      <c r="K1782" s="33"/>
      <c r="L1782" s="33"/>
      <c r="X1782" s="23"/>
      <c r="Y1782" s="23"/>
      <c r="Z1782" s="23"/>
      <c r="AA1782" s="23"/>
      <c r="AF1782" s="23"/>
      <c r="AG1782" s="23"/>
      <c r="AH1782" s="23"/>
      <c r="AI1782" s="23"/>
      <c r="AN1782" s="23"/>
      <c r="AO1782" s="23"/>
      <c r="AP1782" s="23"/>
      <c r="AQ1782" s="23"/>
      <c r="AR1782" s="35"/>
      <c r="AS1782" s="35"/>
      <c r="AT1782" s="35"/>
      <c r="AU1782" s="31"/>
      <c r="AV1782" s="36"/>
      <c r="AW1782" s="36"/>
    </row>
    <row r="1783" spans="4:49">
      <c r="D1783" s="31"/>
      <c r="E1783" s="31"/>
      <c r="F1783" s="31"/>
      <c r="G1783" s="31"/>
      <c r="H1783" s="32"/>
      <c r="J1783" s="33"/>
      <c r="K1783" s="33"/>
      <c r="L1783" s="33"/>
      <c r="X1783" s="23"/>
      <c r="Y1783" s="23"/>
      <c r="Z1783" s="23"/>
      <c r="AA1783" s="23"/>
      <c r="AF1783" s="23"/>
      <c r="AG1783" s="23"/>
      <c r="AH1783" s="23"/>
      <c r="AI1783" s="23"/>
      <c r="AN1783" s="23"/>
      <c r="AO1783" s="23"/>
      <c r="AP1783" s="23"/>
      <c r="AQ1783" s="23"/>
      <c r="AR1783" s="35"/>
      <c r="AS1783" s="35"/>
      <c r="AT1783" s="35"/>
      <c r="AU1783" s="31"/>
      <c r="AV1783" s="36"/>
      <c r="AW1783" s="36"/>
    </row>
    <row r="1784" spans="4:49">
      <c r="D1784" s="31"/>
      <c r="E1784" s="31"/>
      <c r="F1784" s="31"/>
      <c r="G1784" s="31"/>
      <c r="H1784" s="32"/>
      <c r="J1784" s="33"/>
      <c r="K1784" s="33"/>
      <c r="L1784" s="33"/>
      <c r="X1784" s="23"/>
      <c r="Y1784" s="23"/>
      <c r="Z1784" s="23"/>
      <c r="AA1784" s="23"/>
      <c r="AF1784" s="23"/>
      <c r="AG1784" s="23"/>
      <c r="AH1784" s="23"/>
      <c r="AI1784" s="23"/>
      <c r="AN1784" s="23"/>
      <c r="AO1784" s="23"/>
      <c r="AP1784" s="23"/>
      <c r="AQ1784" s="23"/>
      <c r="AR1784" s="35"/>
      <c r="AS1784" s="35"/>
      <c r="AT1784" s="35"/>
      <c r="AU1784" s="31"/>
      <c r="AV1784" s="36"/>
      <c r="AW1784" s="36"/>
    </row>
    <row r="1785" spans="4:49">
      <c r="D1785" s="31"/>
      <c r="E1785" s="31"/>
      <c r="F1785" s="31"/>
      <c r="G1785" s="31"/>
      <c r="H1785" s="32"/>
      <c r="J1785" s="33"/>
      <c r="K1785" s="33"/>
      <c r="L1785" s="33"/>
      <c r="X1785" s="23"/>
      <c r="Y1785" s="23"/>
      <c r="Z1785" s="23"/>
      <c r="AA1785" s="23"/>
      <c r="AF1785" s="23"/>
      <c r="AG1785" s="23"/>
      <c r="AH1785" s="23"/>
      <c r="AI1785" s="23"/>
      <c r="AN1785" s="23"/>
      <c r="AO1785" s="23"/>
      <c r="AP1785" s="23"/>
      <c r="AQ1785" s="23"/>
      <c r="AR1785" s="35"/>
      <c r="AS1785" s="35"/>
      <c r="AT1785" s="35"/>
      <c r="AU1785" s="31"/>
      <c r="AV1785" s="36"/>
      <c r="AW1785" s="36"/>
    </row>
    <row r="1786" spans="4:49">
      <c r="D1786" s="31"/>
      <c r="E1786" s="31"/>
      <c r="F1786" s="31"/>
      <c r="G1786" s="31"/>
      <c r="H1786" s="32"/>
      <c r="J1786" s="33"/>
      <c r="K1786" s="33"/>
      <c r="L1786" s="33"/>
      <c r="X1786" s="23"/>
      <c r="Y1786" s="23"/>
      <c r="Z1786" s="23"/>
      <c r="AA1786" s="23"/>
      <c r="AF1786" s="23"/>
      <c r="AG1786" s="23"/>
      <c r="AH1786" s="23"/>
      <c r="AI1786" s="23"/>
      <c r="AN1786" s="23"/>
      <c r="AO1786" s="23"/>
      <c r="AP1786" s="23"/>
      <c r="AQ1786" s="23"/>
      <c r="AR1786" s="35"/>
      <c r="AS1786" s="35"/>
      <c r="AT1786" s="35"/>
      <c r="AU1786" s="31"/>
      <c r="AV1786" s="36"/>
      <c r="AW1786" s="36"/>
    </row>
    <row r="1787" spans="4:49">
      <c r="D1787" s="31"/>
      <c r="E1787" s="31"/>
      <c r="F1787" s="31"/>
      <c r="G1787" s="31"/>
      <c r="H1787" s="32"/>
      <c r="J1787" s="33"/>
      <c r="K1787" s="33"/>
      <c r="L1787" s="33"/>
      <c r="X1787" s="23"/>
      <c r="Y1787" s="23"/>
      <c r="Z1787" s="23"/>
      <c r="AA1787" s="23"/>
      <c r="AF1787" s="23"/>
      <c r="AG1787" s="23"/>
      <c r="AH1787" s="23"/>
      <c r="AI1787" s="23"/>
      <c r="AN1787" s="23"/>
      <c r="AO1787" s="23"/>
      <c r="AP1787" s="23"/>
      <c r="AQ1787" s="23"/>
      <c r="AR1787" s="35"/>
      <c r="AS1787" s="35"/>
      <c r="AT1787" s="35"/>
      <c r="AU1787" s="31"/>
      <c r="AV1787" s="36"/>
      <c r="AW1787" s="36"/>
    </row>
    <row r="1788" spans="4:49">
      <c r="D1788" s="31"/>
      <c r="E1788" s="31"/>
      <c r="F1788" s="31"/>
      <c r="G1788" s="31"/>
      <c r="H1788" s="32"/>
      <c r="J1788" s="33"/>
      <c r="K1788" s="33"/>
      <c r="L1788" s="33"/>
      <c r="X1788" s="23"/>
      <c r="Y1788" s="23"/>
      <c r="Z1788" s="23"/>
      <c r="AA1788" s="23"/>
      <c r="AF1788" s="23"/>
      <c r="AG1788" s="23"/>
      <c r="AH1788" s="23"/>
      <c r="AI1788" s="23"/>
      <c r="AN1788" s="23"/>
      <c r="AO1788" s="23"/>
      <c r="AP1788" s="23"/>
      <c r="AQ1788" s="23"/>
      <c r="AR1788" s="35"/>
      <c r="AS1788" s="35"/>
      <c r="AT1788" s="35"/>
      <c r="AU1788" s="31"/>
      <c r="AV1788" s="36"/>
      <c r="AW1788" s="36"/>
    </row>
    <row r="1789" spans="4:49">
      <c r="D1789" s="31"/>
      <c r="E1789" s="31"/>
      <c r="F1789" s="31"/>
      <c r="G1789" s="31"/>
      <c r="H1789" s="32"/>
      <c r="J1789" s="33"/>
      <c r="K1789" s="33"/>
      <c r="L1789" s="33"/>
      <c r="X1789" s="23"/>
      <c r="Y1789" s="23"/>
      <c r="Z1789" s="23"/>
      <c r="AA1789" s="23"/>
      <c r="AF1789" s="23"/>
      <c r="AG1789" s="23"/>
      <c r="AH1789" s="23"/>
      <c r="AI1789" s="23"/>
      <c r="AN1789" s="23"/>
      <c r="AO1789" s="23"/>
      <c r="AP1789" s="23"/>
      <c r="AQ1789" s="23"/>
      <c r="AR1789" s="35"/>
      <c r="AS1789" s="35"/>
      <c r="AT1789" s="35"/>
      <c r="AU1789" s="31"/>
      <c r="AV1789" s="36"/>
      <c r="AW1789" s="36"/>
    </row>
    <row r="1790" spans="4:49">
      <c r="D1790" s="31"/>
      <c r="E1790" s="31"/>
      <c r="F1790" s="31"/>
      <c r="G1790" s="31"/>
      <c r="H1790" s="32"/>
      <c r="J1790" s="33"/>
      <c r="K1790" s="33"/>
      <c r="L1790" s="33"/>
      <c r="X1790" s="23"/>
      <c r="Y1790" s="23"/>
      <c r="Z1790" s="23"/>
      <c r="AA1790" s="23"/>
      <c r="AF1790" s="23"/>
      <c r="AG1790" s="23"/>
      <c r="AH1790" s="23"/>
      <c r="AI1790" s="23"/>
      <c r="AN1790" s="23"/>
      <c r="AO1790" s="23"/>
      <c r="AP1790" s="23"/>
      <c r="AQ1790" s="23"/>
      <c r="AR1790" s="35"/>
      <c r="AS1790" s="35"/>
      <c r="AT1790" s="35"/>
      <c r="AU1790" s="31"/>
      <c r="AV1790" s="36"/>
      <c r="AW1790" s="36"/>
    </row>
    <row r="1791" spans="4:49">
      <c r="D1791" s="31"/>
      <c r="E1791" s="31"/>
      <c r="F1791" s="31"/>
      <c r="G1791" s="31"/>
      <c r="H1791" s="32"/>
      <c r="J1791" s="33"/>
      <c r="K1791" s="33"/>
      <c r="L1791" s="33"/>
      <c r="X1791" s="23"/>
      <c r="Y1791" s="23"/>
      <c r="Z1791" s="23"/>
      <c r="AA1791" s="23"/>
      <c r="AF1791" s="23"/>
      <c r="AG1791" s="23"/>
      <c r="AH1791" s="23"/>
      <c r="AI1791" s="23"/>
      <c r="AN1791" s="23"/>
      <c r="AO1791" s="23"/>
      <c r="AP1791" s="23"/>
      <c r="AQ1791" s="23"/>
      <c r="AR1791" s="35"/>
      <c r="AS1791" s="35"/>
      <c r="AT1791" s="35"/>
      <c r="AU1791" s="31"/>
      <c r="AV1791" s="36"/>
      <c r="AW1791" s="36"/>
    </row>
    <row r="1792" spans="4:49">
      <c r="D1792" s="31"/>
      <c r="E1792" s="31"/>
      <c r="F1792" s="31"/>
      <c r="G1792" s="31"/>
      <c r="H1792" s="32"/>
      <c r="J1792" s="33"/>
      <c r="K1792" s="33"/>
      <c r="L1792" s="33"/>
      <c r="X1792" s="23"/>
      <c r="Y1792" s="23"/>
      <c r="Z1792" s="23"/>
      <c r="AA1792" s="23"/>
      <c r="AF1792" s="23"/>
      <c r="AG1792" s="23"/>
      <c r="AH1792" s="23"/>
      <c r="AI1792" s="23"/>
      <c r="AN1792" s="23"/>
      <c r="AO1792" s="23"/>
      <c r="AP1792" s="23"/>
      <c r="AQ1792" s="23"/>
      <c r="AR1792" s="35"/>
      <c r="AS1792" s="35"/>
      <c r="AT1792" s="35"/>
      <c r="AU1792" s="31"/>
      <c r="AV1792" s="36"/>
      <c r="AW1792" s="36"/>
    </row>
    <row r="1793" spans="4:49">
      <c r="D1793" s="31"/>
      <c r="E1793" s="31"/>
      <c r="F1793" s="31"/>
      <c r="G1793" s="31"/>
      <c r="H1793" s="32"/>
      <c r="J1793" s="33"/>
      <c r="K1793" s="33"/>
      <c r="L1793" s="33"/>
      <c r="X1793" s="23"/>
      <c r="Y1793" s="23"/>
      <c r="Z1793" s="23"/>
      <c r="AA1793" s="23"/>
      <c r="AF1793" s="23"/>
      <c r="AG1793" s="23"/>
      <c r="AH1793" s="23"/>
      <c r="AI1793" s="23"/>
      <c r="AN1793" s="23"/>
      <c r="AO1793" s="23"/>
      <c r="AP1793" s="23"/>
      <c r="AQ1793" s="23"/>
      <c r="AR1793" s="35"/>
      <c r="AS1793" s="35"/>
      <c r="AT1793" s="35"/>
      <c r="AU1793" s="31"/>
      <c r="AV1793" s="36"/>
      <c r="AW1793" s="36"/>
    </row>
    <row r="1794" spans="4:49">
      <c r="D1794" s="31"/>
      <c r="E1794" s="31"/>
      <c r="F1794" s="31"/>
      <c r="G1794" s="31"/>
      <c r="H1794" s="32"/>
      <c r="J1794" s="33"/>
      <c r="K1794" s="33"/>
      <c r="L1794" s="33"/>
      <c r="X1794" s="23"/>
      <c r="Y1794" s="23"/>
      <c r="Z1794" s="23"/>
      <c r="AA1794" s="23"/>
      <c r="AF1794" s="23"/>
      <c r="AG1794" s="23"/>
      <c r="AH1794" s="23"/>
      <c r="AI1794" s="23"/>
      <c r="AN1794" s="23"/>
      <c r="AO1794" s="23"/>
      <c r="AP1794" s="23"/>
      <c r="AQ1794" s="23"/>
      <c r="AR1794" s="35"/>
      <c r="AS1794" s="35"/>
      <c r="AT1794" s="35"/>
      <c r="AU1794" s="31"/>
      <c r="AV1794" s="36"/>
      <c r="AW1794" s="36"/>
    </row>
    <row r="1795" spans="4:49">
      <c r="D1795" s="31"/>
      <c r="E1795" s="31"/>
      <c r="F1795" s="31"/>
      <c r="G1795" s="31"/>
      <c r="H1795" s="32"/>
      <c r="J1795" s="33"/>
      <c r="K1795" s="33"/>
      <c r="L1795" s="33"/>
      <c r="X1795" s="23"/>
      <c r="Y1795" s="23"/>
      <c r="Z1795" s="23"/>
      <c r="AA1795" s="23"/>
      <c r="AF1795" s="23"/>
      <c r="AG1795" s="23"/>
      <c r="AH1795" s="23"/>
      <c r="AI1795" s="23"/>
      <c r="AN1795" s="23"/>
      <c r="AO1795" s="23"/>
      <c r="AP1795" s="23"/>
      <c r="AQ1795" s="23"/>
      <c r="AR1795" s="35"/>
      <c r="AS1795" s="35"/>
      <c r="AT1795" s="35"/>
      <c r="AU1795" s="31"/>
      <c r="AV1795" s="36"/>
      <c r="AW1795" s="36"/>
    </row>
    <row r="1796" spans="4:49">
      <c r="D1796" s="31"/>
      <c r="E1796" s="31"/>
      <c r="F1796" s="31"/>
      <c r="G1796" s="31"/>
      <c r="H1796" s="32"/>
      <c r="J1796" s="33"/>
      <c r="K1796" s="33"/>
      <c r="L1796" s="33"/>
      <c r="X1796" s="23"/>
      <c r="Y1796" s="23"/>
      <c r="Z1796" s="23"/>
      <c r="AA1796" s="23"/>
      <c r="AF1796" s="23"/>
      <c r="AG1796" s="23"/>
      <c r="AH1796" s="23"/>
      <c r="AI1796" s="23"/>
      <c r="AN1796" s="23"/>
      <c r="AO1796" s="23"/>
      <c r="AP1796" s="23"/>
      <c r="AQ1796" s="23"/>
      <c r="AR1796" s="35"/>
      <c r="AS1796" s="35"/>
      <c r="AT1796" s="35"/>
      <c r="AU1796" s="31"/>
      <c r="AV1796" s="36"/>
      <c r="AW1796" s="36"/>
    </row>
    <row r="1797" spans="4:49">
      <c r="D1797" s="31"/>
      <c r="E1797" s="31"/>
      <c r="F1797" s="31"/>
      <c r="G1797" s="31"/>
      <c r="H1797" s="32"/>
      <c r="J1797" s="33"/>
      <c r="K1797" s="33"/>
      <c r="L1797" s="33"/>
      <c r="X1797" s="23"/>
      <c r="Y1797" s="23"/>
      <c r="Z1797" s="23"/>
      <c r="AA1797" s="23"/>
      <c r="AF1797" s="23"/>
      <c r="AG1797" s="23"/>
      <c r="AH1797" s="23"/>
      <c r="AI1797" s="23"/>
      <c r="AN1797" s="23"/>
      <c r="AO1797" s="23"/>
      <c r="AP1797" s="23"/>
      <c r="AQ1797" s="23"/>
      <c r="AR1797" s="35"/>
      <c r="AS1797" s="35"/>
      <c r="AT1797" s="35"/>
      <c r="AU1797" s="31"/>
      <c r="AV1797" s="36"/>
      <c r="AW1797" s="36"/>
    </row>
    <row r="1798" spans="4:49">
      <c r="D1798" s="31"/>
      <c r="E1798" s="31"/>
      <c r="F1798" s="31"/>
      <c r="G1798" s="31"/>
      <c r="H1798" s="32"/>
      <c r="J1798" s="33"/>
      <c r="K1798" s="33"/>
      <c r="L1798" s="33"/>
      <c r="X1798" s="23"/>
      <c r="Y1798" s="23"/>
      <c r="Z1798" s="23"/>
      <c r="AA1798" s="23"/>
      <c r="AF1798" s="23"/>
      <c r="AG1798" s="23"/>
      <c r="AH1798" s="23"/>
      <c r="AI1798" s="23"/>
      <c r="AN1798" s="23"/>
      <c r="AO1798" s="23"/>
      <c r="AP1798" s="23"/>
      <c r="AQ1798" s="23"/>
      <c r="AR1798" s="35"/>
      <c r="AS1798" s="35"/>
      <c r="AT1798" s="35"/>
      <c r="AU1798" s="31"/>
      <c r="AV1798" s="36"/>
      <c r="AW1798" s="36"/>
    </row>
    <row r="1799" spans="4:49">
      <c r="D1799" s="31"/>
      <c r="E1799" s="31"/>
      <c r="F1799" s="31"/>
      <c r="G1799" s="31"/>
      <c r="H1799" s="32"/>
      <c r="J1799" s="33"/>
      <c r="K1799" s="33"/>
      <c r="L1799" s="33"/>
      <c r="X1799" s="23"/>
      <c r="Y1799" s="23"/>
      <c r="Z1799" s="23"/>
      <c r="AA1799" s="23"/>
      <c r="AF1799" s="23"/>
      <c r="AG1799" s="23"/>
      <c r="AH1799" s="23"/>
      <c r="AI1799" s="23"/>
      <c r="AN1799" s="23"/>
      <c r="AO1799" s="23"/>
      <c r="AP1799" s="23"/>
      <c r="AQ1799" s="23"/>
      <c r="AR1799" s="35"/>
      <c r="AS1799" s="35"/>
      <c r="AT1799" s="35"/>
      <c r="AU1799" s="31"/>
      <c r="AV1799" s="36"/>
      <c r="AW1799" s="36"/>
    </row>
    <row r="1800" spans="4:49">
      <c r="D1800" s="31"/>
      <c r="E1800" s="31"/>
      <c r="F1800" s="31"/>
      <c r="G1800" s="31"/>
      <c r="H1800" s="32"/>
      <c r="J1800" s="33"/>
      <c r="K1800" s="33"/>
      <c r="L1800" s="33"/>
      <c r="X1800" s="23"/>
      <c r="Y1800" s="23"/>
      <c r="Z1800" s="23"/>
      <c r="AA1800" s="23"/>
      <c r="AF1800" s="23"/>
      <c r="AG1800" s="23"/>
      <c r="AH1800" s="23"/>
      <c r="AI1800" s="23"/>
      <c r="AN1800" s="23"/>
      <c r="AO1800" s="23"/>
      <c r="AP1800" s="23"/>
      <c r="AQ1800" s="23"/>
      <c r="AR1800" s="35"/>
      <c r="AS1800" s="35"/>
      <c r="AT1800" s="35"/>
      <c r="AU1800" s="31"/>
      <c r="AV1800" s="36"/>
      <c r="AW1800" s="36"/>
    </row>
    <row r="1801" spans="4:49">
      <c r="D1801" s="31"/>
      <c r="E1801" s="31"/>
      <c r="F1801" s="31"/>
      <c r="G1801" s="31"/>
      <c r="H1801" s="32"/>
      <c r="J1801" s="33"/>
      <c r="K1801" s="33"/>
      <c r="L1801" s="33"/>
      <c r="X1801" s="23"/>
      <c r="Y1801" s="23"/>
      <c r="Z1801" s="23"/>
      <c r="AA1801" s="23"/>
      <c r="AF1801" s="23"/>
      <c r="AG1801" s="23"/>
      <c r="AH1801" s="23"/>
      <c r="AI1801" s="23"/>
      <c r="AN1801" s="23"/>
      <c r="AO1801" s="23"/>
      <c r="AP1801" s="23"/>
      <c r="AQ1801" s="23"/>
      <c r="AR1801" s="35"/>
      <c r="AS1801" s="35"/>
      <c r="AT1801" s="35"/>
      <c r="AU1801" s="31"/>
      <c r="AV1801" s="36"/>
      <c r="AW1801" s="36"/>
    </row>
    <row r="1802" spans="4:49">
      <c r="D1802" s="31"/>
      <c r="E1802" s="31"/>
      <c r="F1802" s="31"/>
      <c r="G1802" s="31"/>
      <c r="H1802" s="32"/>
      <c r="J1802" s="33"/>
      <c r="K1802" s="33"/>
      <c r="L1802" s="33"/>
      <c r="X1802" s="23"/>
      <c r="Y1802" s="23"/>
      <c r="Z1802" s="23"/>
      <c r="AA1802" s="23"/>
      <c r="AF1802" s="23"/>
      <c r="AG1802" s="23"/>
      <c r="AH1802" s="23"/>
      <c r="AI1802" s="23"/>
      <c r="AN1802" s="23"/>
      <c r="AO1802" s="23"/>
      <c r="AP1802" s="23"/>
      <c r="AQ1802" s="23"/>
      <c r="AR1802" s="35"/>
      <c r="AS1802" s="35"/>
      <c r="AT1802" s="35"/>
      <c r="AU1802" s="31"/>
      <c r="AV1802" s="36"/>
      <c r="AW1802" s="36"/>
    </row>
    <row r="1803" spans="4:49">
      <c r="D1803" s="31"/>
      <c r="E1803" s="31"/>
      <c r="F1803" s="31"/>
      <c r="G1803" s="31"/>
      <c r="H1803" s="32"/>
      <c r="J1803" s="33"/>
      <c r="K1803" s="33"/>
      <c r="L1803" s="33"/>
      <c r="X1803" s="23"/>
      <c r="Y1803" s="23"/>
      <c r="Z1803" s="23"/>
      <c r="AA1803" s="23"/>
      <c r="AF1803" s="23"/>
      <c r="AG1803" s="23"/>
      <c r="AH1803" s="23"/>
      <c r="AI1803" s="23"/>
      <c r="AN1803" s="23"/>
      <c r="AO1803" s="23"/>
      <c r="AP1803" s="23"/>
      <c r="AQ1803" s="23"/>
      <c r="AR1803" s="35"/>
      <c r="AS1803" s="35"/>
      <c r="AT1803" s="35"/>
      <c r="AU1803" s="31"/>
      <c r="AV1803" s="36"/>
      <c r="AW1803" s="36"/>
    </row>
    <row r="1804" spans="4:49">
      <c r="D1804" s="31"/>
      <c r="E1804" s="31"/>
      <c r="F1804" s="31"/>
      <c r="G1804" s="31"/>
      <c r="H1804" s="32"/>
      <c r="J1804" s="33"/>
      <c r="K1804" s="33"/>
      <c r="L1804" s="33"/>
      <c r="X1804" s="23"/>
      <c r="Y1804" s="23"/>
      <c r="Z1804" s="23"/>
      <c r="AA1804" s="23"/>
      <c r="AF1804" s="23"/>
      <c r="AG1804" s="23"/>
      <c r="AH1804" s="23"/>
      <c r="AI1804" s="23"/>
      <c r="AN1804" s="23"/>
      <c r="AO1804" s="23"/>
      <c r="AP1804" s="23"/>
      <c r="AQ1804" s="23"/>
      <c r="AR1804" s="35"/>
      <c r="AS1804" s="35"/>
      <c r="AT1804" s="35"/>
      <c r="AU1804" s="31"/>
      <c r="AV1804" s="36"/>
      <c r="AW1804" s="36"/>
    </row>
    <row r="1805" spans="4:49">
      <c r="D1805" s="31"/>
      <c r="E1805" s="31"/>
      <c r="F1805" s="31"/>
      <c r="G1805" s="31"/>
      <c r="H1805" s="32"/>
      <c r="J1805" s="33"/>
      <c r="K1805" s="33"/>
      <c r="L1805" s="33"/>
      <c r="X1805" s="23"/>
      <c r="Y1805" s="23"/>
      <c r="Z1805" s="23"/>
      <c r="AA1805" s="23"/>
      <c r="AF1805" s="23"/>
      <c r="AG1805" s="23"/>
      <c r="AH1805" s="23"/>
      <c r="AI1805" s="23"/>
      <c r="AN1805" s="23"/>
      <c r="AO1805" s="23"/>
      <c r="AP1805" s="23"/>
      <c r="AQ1805" s="23"/>
      <c r="AR1805" s="35"/>
      <c r="AS1805" s="35"/>
      <c r="AT1805" s="35"/>
      <c r="AU1805" s="31"/>
      <c r="AV1805" s="36"/>
      <c r="AW1805" s="36"/>
    </row>
    <row r="1806" spans="4:49">
      <c r="D1806" s="31"/>
      <c r="E1806" s="31"/>
      <c r="F1806" s="31"/>
      <c r="G1806" s="31"/>
      <c r="H1806" s="32"/>
      <c r="J1806" s="33"/>
      <c r="K1806" s="33"/>
      <c r="L1806" s="33"/>
      <c r="X1806" s="23"/>
      <c r="Y1806" s="23"/>
      <c r="Z1806" s="23"/>
      <c r="AA1806" s="23"/>
      <c r="AF1806" s="23"/>
      <c r="AG1806" s="23"/>
      <c r="AH1806" s="23"/>
      <c r="AI1806" s="23"/>
      <c r="AN1806" s="23"/>
      <c r="AO1806" s="23"/>
      <c r="AP1806" s="23"/>
      <c r="AQ1806" s="23"/>
      <c r="AR1806" s="35"/>
      <c r="AS1806" s="35"/>
      <c r="AT1806" s="35"/>
      <c r="AU1806" s="31"/>
      <c r="AV1806" s="36"/>
      <c r="AW1806" s="36"/>
    </row>
    <row r="1807" spans="4:49">
      <c r="D1807" s="31"/>
      <c r="E1807" s="31"/>
      <c r="F1807" s="31"/>
      <c r="G1807" s="31"/>
      <c r="H1807" s="32"/>
      <c r="J1807" s="33"/>
      <c r="K1807" s="33"/>
      <c r="L1807" s="33"/>
      <c r="X1807" s="23"/>
      <c r="Y1807" s="23"/>
      <c r="Z1807" s="23"/>
      <c r="AA1807" s="23"/>
      <c r="AF1807" s="23"/>
      <c r="AG1807" s="23"/>
      <c r="AH1807" s="23"/>
      <c r="AI1807" s="23"/>
      <c r="AN1807" s="23"/>
      <c r="AO1807" s="23"/>
      <c r="AP1807" s="23"/>
      <c r="AQ1807" s="23"/>
      <c r="AR1807" s="35"/>
      <c r="AS1807" s="35"/>
      <c r="AT1807" s="35"/>
      <c r="AU1807" s="31"/>
      <c r="AV1807" s="36"/>
      <c r="AW1807" s="36"/>
    </row>
    <row r="1808" spans="4:49">
      <c r="D1808" s="31"/>
      <c r="E1808" s="31"/>
      <c r="F1808" s="31"/>
      <c r="G1808" s="31"/>
      <c r="H1808" s="32"/>
      <c r="J1808" s="33"/>
      <c r="K1808" s="33"/>
      <c r="L1808" s="33"/>
      <c r="X1808" s="23"/>
      <c r="Y1808" s="23"/>
      <c r="Z1808" s="23"/>
      <c r="AA1808" s="23"/>
      <c r="AF1808" s="23"/>
      <c r="AG1808" s="23"/>
      <c r="AH1808" s="23"/>
      <c r="AI1808" s="23"/>
      <c r="AN1808" s="23"/>
      <c r="AO1808" s="23"/>
      <c r="AP1808" s="23"/>
      <c r="AQ1808" s="23"/>
      <c r="AR1808" s="35"/>
      <c r="AS1808" s="35"/>
      <c r="AT1808" s="35"/>
      <c r="AU1808" s="31"/>
      <c r="AV1808" s="36"/>
      <c r="AW1808" s="36"/>
    </row>
    <row r="1809" spans="4:49">
      <c r="D1809" s="31"/>
      <c r="E1809" s="31"/>
      <c r="F1809" s="31"/>
      <c r="G1809" s="31"/>
      <c r="H1809" s="32"/>
      <c r="J1809" s="33"/>
      <c r="K1809" s="33"/>
      <c r="L1809" s="33"/>
      <c r="X1809" s="23"/>
      <c r="Y1809" s="23"/>
      <c r="Z1809" s="23"/>
      <c r="AA1809" s="23"/>
      <c r="AF1809" s="23"/>
      <c r="AG1809" s="23"/>
      <c r="AH1809" s="23"/>
      <c r="AI1809" s="23"/>
      <c r="AN1809" s="23"/>
      <c r="AO1809" s="23"/>
      <c r="AP1809" s="23"/>
      <c r="AQ1809" s="23"/>
      <c r="AR1809" s="35"/>
      <c r="AS1809" s="35"/>
      <c r="AT1809" s="35"/>
      <c r="AU1809" s="31"/>
      <c r="AV1809" s="36"/>
      <c r="AW1809" s="36"/>
    </row>
    <row r="1810" spans="4:49">
      <c r="D1810" s="31"/>
      <c r="E1810" s="31"/>
      <c r="F1810" s="31"/>
      <c r="G1810" s="31"/>
      <c r="H1810" s="32"/>
      <c r="J1810" s="33"/>
      <c r="K1810" s="33"/>
      <c r="L1810" s="33"/>
      <c r="X1810" s="23"/>
      <c r="Y1810" s="23"/>
      <c r="Z1810" s="23"/>
      <c r="AA1810" s="23"/>
      <c r="AF1810" s="23"/>
      <c r="AG1810" s="23"/>
      <c r="AH1810" s="23"/>
      <c r="AI1810" s="23"/>
      <c r="AN1810" s="23"/>
      <c r="AO1810" s="23"/>
      <c r="AP1810" s="23"/>
      <c r="AQ1810" s="23"/>
      <c r="AR1810" s="35"/>
      <c r="AS1810" s="35"/>
      <c r="AT1810" s="35"/>
      <c r="AU1810" s="31"/>
      <c r="AV1810" s="36"/>
      <c r="AW1810" s="36"/>
    </row>
    <row r="1811" spans="4:49">
      <c r="D1811" s="31"/>
      <c r="E1811" s="31"/>
      <c r="F1811" s="31"/>
      <c r="G1811" s="31"/>
      <c r="H1811" s="32"/>
      <c r="J1811" s="33"/>
      <c r="K1811" s="33"/>
      <c r="L1811" s="33"/>
      <c r="X1811" s="23"/>
      <c r="Y1811" s="23"/>
      <c r="Z1811" s="23"/>
      <c r="AA1811" s="23"/>
      <c r="AF1811" s="23"/>
      <c r="AG1811" s="23"/>
      <c r="AH1811" s="23"/>
      <c r="AI1811" s="23"/>
      <c r="AN1811" s="23"/>
      <c r="AO1811" s="23"/>
      <c r="AP1811" s="23"/>
      <c r="AQ1811" s="23"/>
      <c r="AR1811" s="35"/>
      <c r="AS1811" s="35"/>
      <c r="AT1811" s="35"/>
      <c r="AU1811" s="31"/>
      <c r="AV1811" s="36"/>
      <c r="AW1811" s="36"/>
    </row>
    <row r="1812" spans="4:49">
      <c r="D1812" s="31"/>
      <c r="E1812" s="31"/>
      <c r="F1812" s="31"/>
      <c r="G1812" s="31"/>
      <c r="H1812" s="32"/>
      <c r="J1812" s="33"/>
      <c r="K1812" s="33"/>
      <c r="L1812" s="33"/>
      <c r="X1812" s="23"/>
      <c r="Y1812" s="23"/>
      <c r="Z1812" s="23"/>
      <c r="AA1812" s="23"/>
      <c r="AF1812" s="23"/>
      <c r="AG1812" s="23"/>
      <c r="AH1812" s="23"/>
      <c r="AI1812" s="23"/>
      <c r="AN1812" s="23"/>
      <c r="AO1812" s="23"/>
      <c r="AP1812" s="23"/>
      <c r="AQ1812" s="23"/>
      <c r="AR1812" s="35"/>
      <c r="AS1812" s="35"/>
      <c r="AT1812" s="35"/>
      <c r="AU1812" s="31"/>
      <c r="AV1812" s="36"/>
      <c r="AW1812" s="36"/>
    </row>
    <row r="1813" spans="4:49">
      <c r="D1813" s="31"/>
      <c r="E1813" s="31"/>
      <c r="F1813" s="31"/>
      <c r="G1813" s="31"/>
      <c r="H1813" s="32"/>
      <c r="J1813" s="33"/>
      <c r="K1813" s="33"/>
      <c r="L1813" s="33"/>
      <c r="X1813" s="23"/>
      <c r="Y1813" s="23"/>
      <c r="Z1813" s="23"/>
      <c r="AA1813" s="23"/>
      <c r="AF1813" s="23"/>
      <c r="AG1813" s="23"/>
      <c r="AH1813" s="23"/>
      <c r="AI1813" s="23"/>
      <c r="AN1813" s="23"/>
      <c r="AO1813" s="23"/>
      <c r="AP1813" s="23"/>
      <c r="AQ1813" s="23"/>
      <c r="AR1813" s="35"/>
      <c r="AS1813" s="35"/>
      <c r="AT1813" s="35"/>
      <c r="AU1813" s="31"/>
      <c r="AV1813" s="36"/>
      <c r="AW1813" s="36"/>
    </row>
    <row r="1814" spans="4:49">
      <c r="D1814" s="31"/>
      <c r="E1814" s="31"/>
      <c r="F1814" s="31"/>
      <c r="G1814" s="31"/>
      <c r="H1814" s="32"/>
      <c r="J1814" s="33"/>
      <c r="K1814" s="33"/>
      <c r="L1814" s="33"/>
      <c r="X1814" s="23"/>
      <c r="Y1814" s="23"/>
      <c r="Z1814" s="23"/>
      <c r="AA1814" s="23"/>
      <c r="AF1814" s="23"/>
      <c r="AG1814" s="23"/>
      <c r="AH1814" s="23"/>
      <c r="AI1814" s="23"/>
      <c r="AN1814" s="23"/>
      <c r="AO1814" s="23"/>
      <c r="AP1814" s="23"/>
      <c r="AQ1814" s="23"/>
      <c r="AR1814" s="35"/>
      <c r="AS1814" s="35"/>
      <c r="AT1814" s="35"/>
      <c r="AU1814" s="31"/>
      <c r="AV1814" s="36"/>
      <c r="AW1814" s="36"/>
    </row>
    <row r="1815" spans="4:49">
      <c r="D1815" s="31"/>
      <c r="E1815" s="31"/>
      <c r="F1815" s="31"/>
      <c r="G1815" s="31"/>
      <c r="H1815" s="32"/>
      <c r="J1815" s="33"/>
      <c r="K1815" s="33"/>
      <c r="L1815" s="33"/>
      <c r="X1815" s="23"/>
      <c r="Y1815" s="23"/>
      <c r="Z1815" s="23"/>
      <c r="AA1815" s="23"/>
      <c r="AF1815" s="23"/>
      <c r="AG1815" s="23"/>
      <c r="AH1815" s="23"/>
      <c r="AI1815" s="23"/>
      <c r="AN1815" s="23"/>
      <c r="AO1815" s="23"/>
      <c r="AP1815" s="23"/>
      <c r="AQ1815" s="23"/>
      <c r="AR1815" s="35"/>
      <c r="AS1815" s="35"/>
      <c r="AT1815" s="35"/>
      <c r="AU1815" s="31"/>
      <c r="AV1815" s="36"/>
      <c r="AW1815" s="36"/>
    </row>
    <row r="1816" spans="4:49">
      <c r="D1816" s="31"/>
      <c r="E1816" s="31"/>
      <c r="F1816" s="31"/>
      <c r="G1816" s="31"/>
      <c r="H1816" s="32"/>
      <c r="J1816" s="33"/>
      <c r="K1816" s="33"/>
      <c r="L1816" s="33"/>
      <c r="X1816" s="23"/>
      <c r="Y1816" s="23"/>
      <c r="Z1816" s="23"/>
      <c r="AA1816" s="23"/>
      <c r="AF1816" s="23"/>
      <c r="AG1816" s="23"/>
      <c r="AH1816" s="23"/>
      <c r="AI1816" s="23"/>
      <c r="AN1816" s="23"/>
      <c r="AO1816" s="23"/>
      <c r="AP1816" s="23"/>
      <c r="AQ1816" s="23"/>
      <c r="AR1816" s="35"/>
      <c r="AS1816" s="35"/>
      <c r="AT1816" s="35"/>
      <c r="AU1816" s="31"/>
      <c r="AV1816" s="36"/>
      <c r="AW1816" s="36"/>
    </row>
    <row r="1817" spans="4:49">
      <c r="D1817" s="31"/>
      <c r="E1817" s="31"/>
      <c r="F1817" s="31"/>
      <c r="G1817" s="31"/>
      <c r="H1817" s="32"/>
      <c r="J1817" s="33"/>
      <c r="K1817" s="33"/>
      <c r="L1817" s="33"/>
      <c r="X1817" s="23"/>
      <c r="Y1817" s="23"/>
      <c r="Z1817" s="23"/>
      <c r="AA1817" s="23"/>
      <c r="AF1817" s="23"/>
      <c r="AG1817" s="23"/>
      <c r="AH1817" s="23"/>
      <c r="AI1817" s="23"/>
      <c r="AN1817" s="23"/>
      <c r="AO1817" s="23"/>
      <c r="AP1817" s="23"/>
      <c r="AQ1817" s="23"/>
      <c r="AR1817" s="35"/>
      <c r="AS1817" s="35"/>
      <c r="AT1817" s="35"/>
      <c r="AU1817" s="31"/>
      <c r="AV1817" s="36"/>
      <c r="AW1817" s="36"/>
    </row>
    <row r="1818" spans="4:49">
      <c r="D1818" s="31"/>
      <c r="E1818" s="31"/>
      <c r="F1818" s="31"/>
      <c r="G1818" s="31"/>
      <c r="H1818" s="32"/>
      <c r="J1818" s="33"/>
      <c r="K1818" s="33"/>
      <c r="L1818" s="33"/>
      <c r="X1818" s="23"/>
      <c r="Y1818" s="23"/>
      <c r="Z1818" s="23"/>
      <c r="AA1818" s="23"/>
      <c r="AF1818" s="23"/>
      <c r="AG1818" s="23"/>
      <c r="AH1818" s="23"/>
      <c r="AI1818" s="23"/>
      <c r="AN1818" s="23"/>
      <c r="AO1818" s="23"/>
      <c r="AP1818" s="23"/>
      <c r="AQ1818" s="23"/>
      <c r="AR1818" s="35"/>
      <c r="AS1818" s="35"/>
      <c r="AT1818" s="35"/>
      <c r="AU1818" s="31"/>
      <c r="AV1818" s="36"/>
      <c r="AW1818" s="36"/>
    </row>
    <row r="1819" spans="4:49">
      <c r="D1819" s="31"/>
      <c r="E1819" s="31"/>
      <c r="F1819" s="31"/>
      <c r="G1819" s="31"/>
      <c r="H1819" s="32"/>
      <c r="J1819" s="33"/>
      <c r="K1819" s="33"/>
      <c r="L1819" s="33"/>
      <c r="X1819" s="23"/>
      <c r="Y1819" s="23"/>
      <c r="Z1819" s="23"/>
      <c r="AA1819" s="23"/>
      <c r="AF1819" s="23"/>
      <c r="AG1819" s="23"/>
      <c r="AH1819" s="23"/>
      <c r="AI1819" s="23"/>
      <c r="AN1819" s="23"/>
      <c r="AO1819" s="23"/>
      <c r="AP1819" s="23"/>
      <c r="AQ1819" s="23"/>
      <c r="AR1819" s="35"/>
      <c r="AS1819" s="35"/>
      <c r="AT1819" s="35"/>
      <c r="AU1819" s="31"/>
      <c r="AV1819" s="36"/>
      <c r="AW1819" s="36"/>
    </row>
    <row r="1820" spans="4:49">
      <c r="D1820" s="31"/>
      <c r="E1820" s="31"/>
      <c r="F1820" s="31"/>
      <c r="G1820" s="31"/>
      <c r="H1820" s="32"/>
      <c r="J1820" s="33"/>
      <c r="K1820" s="33"/>
      <c r="L1820" s="33"/>
      <c r="X1820" s="23"/>
      <c r="Y1820" s="23"/>
      <c r="Z1820" s="23"/>
      <c r="AA1820" s="23"/>
      <c r="AF1820" s="23"/>
      <c r="AG1820" s="23"/>
      <c r="AH1820" s="23"/>
      <c r="AI1820" s="23"/>
      <c r="AN1820" s="23"/>
      <c r="AO1820" s="23"/>
      <c r="AP1820" s="23"/>
      <c r="AQ1820" s="23"/>
      <c r="AR1820" s="35"/>
      <c r="AS1820" s="35"/>
      <c r="AT1820" s="35"/>
      <c r="AU1820" s="31"/>
      <c r="AV1820" s="36"/>
      <c r="AW1820" s="36"/>
    </row>
    <row r="1821" spans="4:49">
      <c r="D1821" s="31"/>
      <c r="E1821" s="31"/>
      <c r="F1821" s="31"/>
      <c r="G1821" s="31"/>
      <c r="H1821" s="32"/>
      <c r="J1821" s="33"/>
      <c r="K1821" s="33"/>
      <c r="L1821" s="33"/>
      <c r="X1821" s="23"/>
      <c r="Y1821" s="23"/>
      <c r="Z1821" s="23"/>
      <c r="AA1821" s="23"/>
      <c r="AF1821" s="23"/>
      <c r="AG1821" s="23"/>
      <c r="AH1821" s="23"/>
      <c r="AI1821" s="23"/>
      <c r="AN1821" s="23"/>
      <c r="AO1821" s="23"/>
      <c r="AP1821" s="23"/>
      <c r="AQ1821" s="23"/>
      <c r="AR1821" s="35"/>
      <c r="AS1821" s="35"/>
      <c r="AT1821" s="35"/>
      <c r="AU1821" s="31"/>
      <c r="AV1821" s="36"/>
      <c r="AW1821" s="36"/>
    </row>
    <row r="1822" spans="4:49">
      <c r="D1822" s="31"/>
      <c r="E1822" s="31"/>
      <c r="F1822" s="31"/>
      <c r="G1822" s="31"/>
      <c r="H1822" s="32"/>
      <c r="J1822" s="33"/>
      <c r="K1822" s="33"/>
      <c r="L1822" s="33"/>
      <c r="X1822" s="23"/>
      <c r="Y1822" s="23"/>
      <c r="Z1822" s="23"/>
      <c r="AA1822" s="23"/>
      <c r="AF1822" s="23"/>
      <c r="AG1822" s="23"/>
      <c r="AH1822" s="23"/>
      <c r="AI1822" s="23"/>
      <c r="AN1822" s="23"/>
      <c r="AO1822" s="23"/>
      <c r="AP1822" s="23"/>
      <c r="AQ1822" s="23"/>
      <c r="AR1822" s="35"/>
      <c r="AS1822" s="35"/>
      <c r="AT1822" s="35"/>
      <c r="AU1822" s="31"/>
      <c r="AV1822" s="36"/>
      <c r="AW1822" s="36"/>
    </row>
    <row r="1823" spans="4:49">
      <c r="D1823" s="31"/>
      <c r="E1823" s="31"/>
      <c r="F1823" s="31"/>
      <c r="G1823" s="31"/>
      <c r="H1823" s="32"/>
      <c r="J1823" s="33"/>
      <c r="K1823" s="33"/>
      <c r="L1823" s="33"/>
      <c r="X1823" s="23"/>
      <c r="Y1823" s="23"/>
      <c r="Z1823" s="23"/>
      <c r="AA1823" s="23"/>
      <c r="AF1823" s="23"/>
      <c r="AG1823" s="23"/>
      <c r="AH1823" s="23"/>
      <c r="AI1823" s="23"/>
      <c r="AN1823" s="23"/>
      <c r="AO1823" s="23"/>
      <c r="AP1823" s="23"/>
      <c r="AQ1823" s="23"/>
      <c r="AR1823" s="35"/>
      <c r="AS1823" s="35"/>
      <c r="AT1823" s="35"/>
      <c r="AU1823" s="31"/>
      <c r="AV1823" s="36"/>
      <c r="AW1823" s="36"/>
    </row>
    <row r="1824" spans="4:49">
      <c r="D1824" s="31"/>
      <c r="E1824" s="31"/>
      <c r="F1824" s="31"/>
      <c r="G1824" s="31"/>
      <c r="H1824" s="32"/>
      <c r="J1824" s="33"/>
      <c r="K1824" s="33"/>
      <c r="L1824" s="33"/>
      <c r="X1824" s="23"/>
      <c r="Y1824" s="23"/>
      <c r="Z1824" s="23"/>
      <c r="AA1824" s="23"/>
      <c r="AF1824" s="23"/>
      <c r="AG1824" s="23"/>
      <c r="AH1824" s="23"/>
      <c r="AI1824" s="23"/>
      <c r="AN1824" s="23"/>
      <c r="AO1824" s="23"/>
      <c r="AP1824" s="23"/>
      <c r="AQ1824" s="23"/>
      <c r="AR1824" s="35"/>
      <c r="AS1824" s="35"/>
      <c r="AT1824" s="35"/>
      <c r="AU1824" s="31"/>
      <c r="AV1824" s="36"/>
      <c r="AW1824" s="36"/>
    </row>
    <row r="1825" spans="4:49">
      <c r="D1825" s="31"/>
      <c r="E1825" s="31"/>
      <c r="F1825" s="31"/>
      <c r="G1825" s="31"/>
      <c r="H1825" s="32"/>
      <c r="J1825" s="33"/>
      <c r="K1825" s="33"/>
      <c r="L1825" s="33"/>
      <c r="X1825" s="23"/>
      <c r="Y1825" s="23"/>
      <c r="Z1825" s="23"/>
      <c r="AA1825" s="23"/>
      <c r="AF1825" s="23"/>
      <c r="AG1825" s="23"/>
      <c r="AH1825" s="23"/>
      <c r="AI1825" s="23"/>
      <c r="AN1825" s="23"/>
      <c r="AO1825" s="23"/>
      <c r="AP1825" s="23"/>
      <c r="AQ1825" s="23"/>
      <c r="AR1825" s="35"/>
      <c r="AS1825" s="35"/>
      <c r="AT1825" s="35"/>
      <c r="AU1825" s="31"/>
      <c r="AV1825" s="36"/>
      <c r="AW1825" s="36"/>
    </row>
    <row r="1826" spans="4:49">
      <c r="D1826" s="31"/>
      <c r="E1826" s="31"/>
      <c r="F1826" s="31"/>
      <c r="G1826" s="31"/>
      <c r="H1826" s="32"/>
      <c r="J1826" s="33"/>
      <c r="K1826" s="33"/>
      <c r="L1826" s="33"/>
      <c r="X1826" s="23"/>
      <c r="Y1826" s="23"/>
      <c r="Z1826" s="23"/>
      <c r="AA1826" s="23"/>
      <c r="AF1826" s="23"/>
      <c r="AG1826" s="23"/>
      <c r="AH1826" s="23"/>
      <c r="AI1826" s="23"/>
      <c r="AN1826" s="23"/>
      <c r="AO1826" s="23"/>
      <c r="AP1826" s="23"/>
      <c r="AQ1826" s="23"/>
      <c r="AR1826" s="35"/>
      <c r="AS1826" s="35"/>
      <c r="AT1826" s="35"/>
      <c r="AU1826" s="31"/>
      <c r="AV1826" s="36"/>
      <c r="AW1826" s="36"/>
    </row>
    <row r="1827" spans="4:49">
      <c r="D1827" s="31"/>
      <c r="E1827" s="31"/>
      <c r="F1827" s="31"/>
      <c r="G1827" s="31"/>
      <c r="H1827" s="32"/>
      <c r="J1827" s="33"/>
      <c r="K1827" s="33"/>
      <c r="L1827" s="33"/>
      <c r="X1827" s="23"/>
      <c r="Y1827" s="23"/>
      <c r="Z1827" s="23"/>
      <c r="AA1827" s="23"/>
      <c r="AF1827" s="23"/>
      <c r="AG1827" s="23"/>
      <c r="AH1827" s="23"/>
      <c r="AI1827" s="23"/>
      <c r="AN1827" s="23"/>
      <c r="AO1827" s="23"/>
      <c r="AP1827" s="23"/>
      <c r="AQ1827" s="23"/>
      <c r="AR1827" s="35"/>
      <c r="AS1827" s="35"/>
      <c r="AT1827" s="35"/>
      <c r="AU1827" s="31"/>
      <c r="AV1827" s="36"/>
      <c r="AW1827" s="36"/>
    </row>
    <row r="1828" spans="4:49">
      <c r="D1828" s="31"/>
      <c r="E1828" s="31"/>
      <c r="F1828" s="31"/>
      <c r="G1828" s="31"/>
      <c r="H1828" s="32"/>
      <c r="J1828" s="33"/>
      <c r="K1828" s="33"/>
      <c r="L1828" s="33"/>
      <c r="X1828" s="23"/>
      <c r="Y1828" s="23"/>
      <c r="Z1828" s="23"/>
      <c r="AA1828" s="23"/>
      <c r="AF1828" s="23"/>
      <c r="AG1828" s="23"/>
      <c r="AH1828" s="23"/>
      <c r="AI1828" s="23"/>
      <c r="AN1828" s="23"/>
      <c r="AO1828" s="23"/>
      <c r="AP1828" s="23"/>
      <c r="AQ1828" s="23"/>
      <c r="AR1828" s="35"/>
      <c r="AS1828" s="35"/>
      <c r="AT1828" s="35"/>
      <c r="AU1828" s="31"/>
      <c r="AV1828" s="36"/>
      <c r="AW1828" s="36"/>
    </row>
    <row r="1829" spans="4:49">
      <c r="D1829" s="31"/>
      <c r="E1829" s="31"/>
      <c r="F1829" s="31"/>
      <c r="G1829" s="31"/>
      <c r="H1829" s="32"/>
      <c r="J1829" s="33"/>
      <c r="K1829" s="33"/>
      <c r="L1829" s="33"/>
      <c r="X1829" s="23"/>
      <c r="Y1829" s="23"/>
      <c r="Z1829" s="23"/>
      <c r="AA1829" s="23"/>
      <c r="AF1829" s="23"/>
      <c r="AG1829" s="23"/>
      <c r="AH1829" s="23"/>
      <c r="AI1829" s="23"/>
      <c r="AN1829" s="23"/>
      <c r="AO1829" s="23"/>
      <c r="AP1829" s="23"/>
      <c r="AQ1829" s="23"/>
      <c r="AR1829" s="35"/>
      <c r="AS1829" s="35"/>
      <c r="AT1829" s="35"/>
      <c r="AU1829" s="31"/>
      <c r="AV1829" s="36"/>
      <c r="AW1829" s="36"/>
    </row>
    <row r="1830" spans="4:49">
      <c r="D1830" s="31"/>
      <c r="E1830" s="31"/>
      <c r="F1830" s="31"/>
      <c r="G1830" s="31"/>
      <c r="H1830" s="32"/>
      <c r="J1830" s="33"/>
      <c r="K1830" s="33"/>
      <c r="L1830" s="33"/>
      <c r="X1830" s="23"/>
      <c r="Y1830" s="23"/>
      <c r="Z1830" s="23"/>
      <c r="AA1830" s="23"/>
      <c r="AF1830" s="23"/>
      <c r="AG1830" s="23"/>
      <c r="AH1830" s="23"/>
      <c r="AI1830" s="23"/>
      <c r="AN1830" s="23"/>
      <c r="AO1830" s="23"/>
      <c r="AP1830" s="23"/>
      <c r="AQ1830" s="23"/>
      <c r="AR1830" s="35"/>
      <c r="AS1830" s="35"/>
      <c r="AT1830" s="35"/>
      <c r="AU1830" s="31"/>
      <c r="AV1830" s="36"/>
      <c r="AW1830" s="36"/>
    </row>
    <row r="1831" spans="4:49">
      <c r="D1831" s="31"/>
      <c r="E1831" s="31"/>
      <c r="F1831" s="31"/>
      <c r="G1831" s="31"/>
      <c r="H1831" s="32"/>
      <c r="J1831" s="33"/>
      <c r="K1831" s="33"/>
      <c r="L1831" s="33"/>
      <c r="X1831" s="23"/>
      <c r="Y1831" s="23"/>
      <c r="Z1831" s="23"/>
      <c r="AA1831" s="23"/>
      <c r="AF1831" s="23"/>
      <c r="AG1831" s="23"/>
      <c r="AH1831" s="23"/>
      <c r="AI1831" s="23"/>
      <c r="AN1831" s="23"/>
      <c r="AO1831" s="23"/>
      <c r="AP1831" s="23"/>
      <c r="AQ1831" s="23"/>
      <c r="AR1831" s="35"/>
      <c r="AS1831" s="35"/>
      <c r="AT1831" s="35"/>
      <c r="AU1831" s="31"/>
      <c r="AV1831" s="36"/>
      <c r="AW1831" s="36"/>
    </row>
    <row r="1832" spans="4:49">
      <c r="D1832" s="31"/>
      <c r="E1832" s="31"/>
      <c r="F1832" s="31"/>
      <c r="G1832" s="31"/>
      <c r="H1832" s="32"/>
      <c r="J1832" s="33"/>
      <c r="K1832" s="33"/>
      <c r="L1832" s="33"/>
      <c r="X1832" s="23"/>
      <c r="Y1832" s="23"/>
      <c r="Z1832" s="23"/>
      <c r="AA1832" s="23"/>
      <c r="AF1832" s="23"/>
      <c r="AG1832" s="23"/>
      <c r="AH1832" s="23"/>
      <c r="AI1832" s="23"/>
      <c r="AN1832" s="23"/>
      <c r="AO1832" s="23"/>
      <c r="AP1832" s="23"/>
      <c r="AQ1832" s="23"/>
      <c r="AR1832" s="35"/>
      <c r="AS1832" s="35"/>
      <c r="AT1832" s="35"/>
      <c r="AU1832" s="31"/>
      <c r="AV1832" s="36"/>
      <c r="AW1832" s="36"/>
    </row>
    <row r="1833" spans="4:49">
      <c r="D1833" s="31"/>
      <c r="E1833" s="31"/>
      <c r="F1833" s="31"/>
      <c r="G1833" s="31"/>
      <c r="H1833" s="32"/>
      <c r="J1833" s="33"/>
      <c r="K1833" s="33"/>
      <c r="L1833" s="33"/>
      <c r="X1833" s="23"/>
      <c r="Y1833" s="23"/>
      <c r="Z1833" s="23"/>
      <c r="AA1833" s="23"/>
      <c r="AF1833" s="23"/>
      <c r="AG1833" s="23"/>
      <c r="AH1833" s="23"/>
      <c r="AI1833" s="23"/>
      <c r="AN1833" s="23"/>
      <c r="AO1833" s="23"/>
      <c r="AP1833" s="23"/>
      <c r="AQ1833" s="23"/>
      <c r="AR1833" s="35"/>
      <c r="AS1833" s="35"/>
      <c r="AT1833" s="35"/>
      <c r="AU1833" s="31"/>
      <c r="AV1833" s="36"/>
      <c r="AW1833" s="36"/>
    </row>
    <row r="1834" spans="4:49">
      <c r="D1834" s="31"/>
      <c r="E1834" s="31"/>
      <c r="F1834" s="31"/>
      <c r="G1834" s="31"/>
      <c r="H1834" s="32"/>
      <c r="J1834" s="33"/>
      <c r="K1834" s="33"/>
      <c r="L1834" s="33"/>
      <c r="X1834" s="23"/>
      <c r="Y1834" s="23"/>
      <c r="Z1834" s="23"/>
      <c r="AA1834" s="23"/>
      <c r="AF1834" s="23"/>
      <c r="AG1834" s="23"/>
      <c r="AH1834" s="23"/>
      <c r="AI1834" s="23"/>
      <c r="AN1834" s="23"/>
      <c r="AO1834" s="23"/>
      <c r="AP1834" s="23"/>
      <c r="AQ1834" s="23"/>
      <c r="AR1834" s="35"/>
      <c r="AS1834" s="35"/>
      <c r="AT1834" s="35"/>
      <c r="AU1834" s="31"/>
      <c r="AV1834" s="36"/>
      <c r="AW1834" s="36"/>
    </row>
    <row r="1835" spans="4:49">
      <c r="D1835" s="31"/>
      <c r="E1835" s="31"/>
      <c r="F1835" s="31"/>
      <c r="G1835" s="31"/>
      <c r="H1835" s="32"/>
      <c r="J1835" s="33"/>
      <c r="K1835" s="33"/>
      <c r="L1835" s="33"/>
      <c r="X1835" s="23"/>
      <c r="Y1835" s="23"/>
      <c r="Z1835" s="23"/>
      <c r="AA1835" s="23"/>
      <c r="AF1835" s="23"/>
      <c r="AG1835" s="23"/>
      <c r="AH1835" s="23"/>
      <c r="AI1835" s="23"/>
      <c r="AN1835" s="23"/>
      <c r="AO1835" s="23"/>
      <c r="AP1835" s="23"/>
      <c r="AQ1835" s="23"/>
      <c r="AR1835" s="35"/>
      <c r="AS1835" s="35"/>
      <c r="AT1835" s="35"/>
      <c r="AU1835" s="31"/>
      <c r="AV1835" s="36"/>
      <c r="AW1835" s="36"/>
    </row>
    <row r="1836" spans="4:49">
      <c r="D1836" s="31"/>
      <c r="E1836" s="31"/>
      <c r="F1836" s="31"/>
      <c r="G1836" s="31"/>
      <c r="H1836" s="32"/>
      <c r="J1836" s="33"/>
      <c r="K1836" s="33"/>
      <c r="L1836" s="33"/>
      <c r="X1836" s="23"/>
      <c r="Y1836" s="23"/>
      <c r="Z1836" s="23"/>
      <c r="AA1836" s="23"/>
      <c r="AF1836" s="23"/>
      <c r="AG1836" s="23"/>
      <c r="AH1836" s="23"/>
      <c r="AI1836" s="23"/>
      <c r="AN1836" s="23"/>
      <c r="AO1836" s="23"/>
      <c r="AP1836" s="23"/>
      <c r="AQ1836" s="23"/>
      <c r="AR1836" s="35"/>
      <c r="AS1836" s="35"/>
      <c r="AT1836" s="35"/>
      <c r="AU1836" s="31"/>
      <c r="AV1836" s="36"/>
      <c r="AW1836" s="36"/>
    </row>
    <row r="1837" spans="4:49">
      <c r="D1837" s="31"/>
      <c r="E1837" s="31"/>
      <c r="F1837" s="31"/>
      <c r="G1837" s="31"/>
      <c r="H1837" s="32"/>
      <c r="J1837" s="33"/>
      <c r="K1837" s="33"/>
      <c r="L1837" s="33"/>
      <c r="X1837" s="23"/>
      <c r="Y1837" s="23"/>
      <c r="Z1837" s="23"/>
      <c r="AA1837" s="23"/>
      <c r="AF1837" s="23"/>
      <c r="AG1837" s="23"/>
      <c r="AH1837" s="23"/>
      <c r="AI1837" s="23"/>
      <c r="AN1837" s="23"/>
      <c r="AO1837" s="23"/>
      <c r="AP1837" s="23"/>
      <c r="AQ1837" s="23"/>
      <c r="AR1837" s="35"/>
      <c r="AS1837" s="35"/>
      <c r="AT1837" s="35"/>
      <c r="AU1837" s="31"/>
      <c r="AV1837" s="36"/>
      <c r="AW1837" s="36"/>
    </row>
    <row r="1838" spans="4:49">
      <c r="D1838" s="31"/>
      <c r="E1838" s="31"/>
      <c r="F1838" s="31"/>
      <c r="G1838" s="31"/>
      <c r="H1838" s="32"/>
      <c r="J1838" s="33"/>
      <c r="K1838" s="33"/>
      <c r="L1838" s="33"/>
      <c r="X1838" s="23"/>
      <c r="Y1838" s="23"/>
      <c r="Z1838" s="23"/>
      <c r="AA1838" s="23"/>
      <c r="AF1838" s="23"/>
      <c r="AG1838" s="23"/>
      <c r="AH1838" s="23"/>
      <c r="AI1838" s="23"/>
      <c r="AN1838" s="23"/>
      <c r="AO1838" s="23"/>
      <c r="AP1838" s="23"/>
      <c r="AQ1838" s="23"/>
      <c r="AR1838" s="35"/>
      <c r="AS1838" s="35"/>
      <c r="AT1838" s="35"/>
      <c r="AU1838" s="31"/>
      <c r="AV1838" s="36"/>
      <c r="AW1838" s="36"/>
    </row>
    <row r="1839" spans="4:49">
      <c r="D1839" s="31"/>
      <c r="E1839" s="31"/>
      <c r="F1839" s="31"/>
      <c r="G1839" s="31"/>
      <c r="H1839" s="32"/>
      <c r="J1839" s="33"/>
      <c r="K1839" s="33"/>
      <c r="L1839" s="33"/>
      <c r="X1839" s="23"/>
      <c r="Y1839" s="23"/>
      <c r="Z1839" s="23"/>
      <c r="AA1839" s="23"/>
      <c r="AF1839" s="23"/>
      <c r="AG1839" s="23"/>
      <c r="AH1839" s="23"/>
      <c r="AI1839" s="23"/>
      <c r="AN1839" s="23"/>
      <c r="AO1839" s="23"/>
      <c r="AP1839" s="23"/>
      <c r="AQ1839" s="23"/>
      <c r="AR1839" s="35"/>
      <c r="AS1839" s="35"/>
      <c r="AT1839" s="35"/>
      <c r="AU1839" s="31"/>
      <c r="AV1839" s="36"/>
      <c r="AW1839" s="36"/>
    </row>
    <row r="1840" spans="4:49">
      <c r="D1840" s="31"/>
      <c r="E1840" s="31"/>
      <c r="F1840" s="31"/>
      <c r="G1840" s="31"/>
      <c r="H1840" s="32"/>
      <c r="J1840" s="33"/>
      <c r="K1840" s="33"/>
      <c r="L1840" s="33"/>
      <c r="X1840" s="23"/>
      <c r="Y1840" s="23"/>
      <c r="Z1840" s="23"/>
      <c r="AA1840" s="23"/>
      <c r="AF1840" s="23"/>
      <c r="AG1840" s="23"/>
      <c r="AH1840" s="23"/>
      <c r="AI1840" s="23"/>
      <c r="AN1840" s="23"/>
      <c r="AO1840" s="23"/>
      <c r="AP1840" s="23"/>
      <c r="AQ1840" s="23"/>
      <c r="AR1840" s="35"/>
      <c r="AS1840" s="35"/>
      <c r="AT1840" s="35"/>
      <c r="AU1840" s="31"/>
      <c r="AV1840" s="36"/>
      <c r="AW1840" s="36"/>
    </row>
    <row r="1841" spans="4:49">
      <c r="D1841" s="31"/>
      <c r="E1841" s="31"/>
      <c r="F1841" s="31"/>
      <c r="G1841" s="31"/>
      <c r="H1841" s="32"/>
      <c r="J1841" s="33"/>
      <c r="K1841" s="33"/>
      <c r="L1841" s="33"/>
      <c r="X1841" s="23"/>
      <c r="Y1841" s="23"/>
      <c r="Z1841" s="23"/>
      <c r="AA1841" s="23"/>
      <c r="AF1841" s="23"/>
      <c r="AG1841" s="23"/>
      <c r="AH1841" s="23"/>
      <c r="AI1841" s="23"/>
      <c r="AN1841" s="23"/>
      <c r="AO1841" s="23"/>
      <c r="AP1841" s="23"/>
      <c r="AQ1841" s="23"/>
      <c r="AR1841" s="35"/>
      <c r="AS1841" s="35"/>
      <c r="AT1841" s="35"/>
      <c r="AU1841" s="31"/>
      <c r="AV1841" s="36"/>
      <c r="AW1841" s="36"/>
    </row>
    <row r="1842" spans="4:49">
      <c r="D1842" s="31"/>
      <c r="E1842" s="31"/>
      <c r="F1842" s="31"/>
      <c r="G1842" s="31"/>
      <c r="H1842" s="32"/>
      <c r="J1842" s="33"/>
      <c r="K1842" s="33"/>
      <c r="L1842" s="33"/>
      <c r="X1842" s="23"/>
      <c r="Y1842" s="23"/>
      <c r="Z1842" s="23"/>
      <c r="AA1842" s="23"/>
      <c r="AF1842" s="23"/>
      <c r="AG1842" s="23"/>
      <c r="AH1842" s="23"/>
      <c r="AI1842" s="23"/>
      <c r="AN1842" s="23"/>
      <c r="AO1842" s="23"/>
      <c r="AP1842" s="23"/>
      <c r="AQ1842" s="23"/>
      <c r="AR1842" s="35"/>
      <c r="AS1842" s="35"/>
      <c r="AT1842" s="35"/>
      <c r="AU1842" s="31"/>
      <c r="AV1842" s="36"/>
      <c r="AW1842" s="36"/>
    </row>
    <row r="1843" spans="4:49">
      <c r="D1843" s="31"/>
      <c r="E1843" s="31"/>
      <c r="F1843" s="31"/>
      <c r="G1843" s="31"/>
      <c r="H1843" s="32"/>
      <c r="J1843" s="33"/>
      <c r="K1843" s="33"/>
      <c r="L1843" s="33"/>
      <c r="X1843" s="23"/>
      <c r="Y1843" s="23"/>
      <c r="Z1843" s="23"/>
      <c r="AA1843" s="23"/>
      <c r="AF1843" s="23"/>
      <c r="AG1843" s="23"/>
      <c r="AH1843" s="23"/>
      <c r="AI1843" s="23"/>
      <c r="AN1843" s="23"/>
      <c r="AO1843" s="23"/>
      <c r="AP1843" s="23"/>
      <c r="AQ1843" s="23"/>
      <c r="AR1843" s="35"/>
      <c r="AS1843" s="35"/>
      <c r="AT1843" s="35"/>
      <c r="AU1843" s="31"/>
      <c r="AV1843" s="36"/>
      <c r="AW1843" s="36"/>
    </row>
    <row r="1844" spans="4:49">
      <c r="D1844" s="31"/>
      <c r="E1844" s="31"/>
      <c r="F1844" s="31"/>
      <c r="G1844" s="31"/>
      <c r="H1844" s="32"/>
      <c r="J1844" s="33"/>
      <c r="K1844" s="33"/>
      <c r="L1844" s="33"/>
      <c r="X1844" s="23"/>
      <c r="Y1844" s="23"/>
      <c r="Z1844" s="23"/>
      <c r="AA1844" s="23"/>
      <c r="AF1844" s="23"/>
      <c r="AG1844" s="23"/>
      <c r="AH1844" s="23"/>
      <c r="AI1844" s="23"/>
      <c r="AN1844" s="23"/>
      <c r="AO1844" s="23"/>
      <c r="AP1844" s="23"/>
      <c r="AQ1844" s="23"/>
      <c r="AR1844" s="35"/>
      <c r="AS1844" s="35"/>
      <c r="AT1844" s="35"/>
      <c r="AU1844" s="31"/>
      <c r="AV1844" s="36"/>
      <c r="AW1844" s="36"/>
    </row>
    <row r="1845" spans="4:49">
      <c r="D1845" s="31"/>
      <c r="E1845" s="31"/>
      <c r="F1845" s="31"/>
      <c r="G1845" s="31"/>
      <c r="H1845" s="32"/>
      <c r="J1845" s="33"/>
      <c r="K1845" s="33"/>
      <c r="L1845" s="33"/>
      <c r="X1845" s="23"/>
      <c r="Y1845" s="23"/>
      <c r="Z1845" s="23"/>
      <c r="AA1845" s="23"/>
      <c r="AF1845" s="23"/>
      <c r="AG1845" s="23"/>
      <c r="AH1845" s="23"/>
      <c r="AI1845" s="23"/>
      <c r="AN1845" s="23"/>
      <c r="AO1845" s="23"/>
      <c r="AP1845" s="23"/>
      <c r="AQ1845" s="23"/>
      <c r="AR1845" s="35"/>
      <c r="AS1845" s="35"/>
      <c r="AT1845" s="35"/>
      <c r="AU1845" s="31"/>
      <c r="AV1845" s="36"/>
      <c r="AW1845" s="36"/>
    </row>
    <row r="1846" spans="4:49">
      <c r="D1846" s="31"/>
      <c r="E1846" s="31"/>
      <c r="F1846" s="31"/>
      <c r="G1846" s="31"/>
      <c r="H1846" s="32"/>
      <c r="J1846" s="33"/>
      <c r="K1846" s="33"/>
      <c r="L1846" s="33"/>
      <c r="X1846" s="23"/>
      <c r="Y1846" s="23"/>
      <c r="Z1846" s="23"/>
      <c r="AA1846" s="23"/>
      <c r="AF1846" s="23"/>
      <c r="AG1846" s="23"/>
      <c r="AH1846" s="23"/>
      <c r="AI1846" s="23"/>
      <c r="AN1846" s="23"/>
      <c r="AO1846" s="23"/>
      <c r="AP1846" s="23"/>
      <c r="AQ1846" s="23"/>
      <c r="AR1846" s="35"/>
      <c r="AS1846" s="35"/>
      <c r="AT1846" s="35"/>
      <c r="AU1846" s="31"/>
      <c r="AV1846" s="36"/>
      <c r="AW1846" s="36"/>
    </row>
    <row r="1847" spans="4:49">
      <c r="D1847" s="31"/>
      <c r="E1847" s="31"/>
      <c r="F1847" s="31"/>
      <c r="G1847" s="31"/>
      <c r="H1847" s="32"/>
      <c r="J1847" s="33"/>
      <c r="K1847" s="33"/>
      <c r="L1847" s="33"/>
      <c r="X1847" s="23"/>
      <c r="Y1847" s="23"/>
      <c r="Z1847" s="23"/>
      <c r="AA1847" s="23"/>
      <c r="AF1847" s="23"/>
      <c r="AG1847" s="23"/>
      <c r="AH1847" s="23"/>
      <c r="AI1847" s="23"/>
      <c r="AN1847" s="23"/>
      <c r="AO1847" s="23"/>
      <c r="AP1847" s="23"/>
      <c r="AQ1847" s="23"/>
      <c r="AR1847" s="35"/>
      <c r="AS1847" s="35"/>
      <c r="AT1847" s="35"/>
      <c r="AU1847" s="31"/>
      <c r="AV1847" s="36"/>
      <c r="AW1847" s="36"/>
    </row>
    <row r="1848" spans="4:49">
      <c r="D1848" s="31"/>
      <c r="E1848" s="31"/>
      <c r="F1848" s="31"/>
      <c r="G1848" s="31"/>
      <c r="H1848" s="32"/>
      <c r="J1848" s="33"/>
      <c r="K1848" s="33"/>
      <c r="L1848" s="33"/>
      <c r="X1848" s="23"/>
      <c r="Y1848" s="23"/>
      <c r="Z1848" s="23"/>
      <c r="AA1848" s="23"/>
      <c r="AF1848" s="23"/>
      <c r="AG1848" s="23"/>
      <c r="AH1848" s="23"/>
      <c r="AI1848" s="23"/>
      <c r="AN1848" s="23"/>
      <c r="AO1848" s="23"/>
      <c r="AP1848" s="23"/>
      <c r="AQ1848" s="23"/>
      <c r="AR1848" s="35"/>
      <c r="AS1848" s="35"/>
      <c r="AT1848" s="35"/>
      <c r="AU1848" s="31"/>
      <c r="AV1848" s="36"/>
      <c r="AW1848" s="36"/>
    </row>
    <row r="1849" spans="4:49">
      <c r="D1849" s="31"/>
      <c r="E1849" s="31"/>
      <c r="F1849" s="31"/>
      <c r="G1849" s="31"/>
      <c r="H1849" s="32"/>
      <c r="J1849" s="33"/>
      <c r="K1849" s="33"/>
      <c r="L1849" s="33"/>
      <c r="X1849" s="23"/>
      <c r="Y1849" s="23"/>
      <c r="Z1849" s="23"/>
      <c r="AA1849" s="23"/>
      <c r="AF1849" s="23"/>
      <c r="AG1849" s="23"/>
      <c r="AH1849" s="23"/>
      <c r="AI1849" s="23"/>
      <c r="AN1849" s="23"/>
      <c r="AO1849" s="23"/>
      <c r="AP1849" s="23"/>
      <c r="AQ1849" s="23"/>
      <c r="AR1849" s="35"/>
      <c r="AS1849" s="35"/>
      <c r="AT1849" s="35"/>
      <c r="AU1849" s="31"/>
      <c r="AV1849" s="36"/>
      <c r="AW1849" s="36"/>
    </row>
    <row r="1850" spans="4:49">
      <c r="D1850" s="31"/>
      <c r="E1850" s="31"/>
      <c r="F1850" s="31"/>
      <c r="G1850" s="31"/>
      <c r="H1850" s="32"/>
      <c r="J1850" s="33"/>
      <c r="K1850" s="33"/>
      <c r="L1850" s="33"/>
      <c r="X1850" s="23"/>
      <c r="Y1850" s="23"/>
      <c r="Z1850" s="23"/>
      <c r="AA1850" s="23"/>
      <c r="AF1850" s="23"/>
      <c r="AG1850" s="23"/>
      <c r="AH1850" s="23"/>
      <c r="AI1850" s="23"/>
      <c r="AN1850" s="23"/>
      <c r="AO1850" s="23"/>
      <c r="AP1850" s="23"/>
      <c r="AQ1850" s="23"/>
      <c r="AR1850" s="35"/>
      <c r="AS1850" s="35"/>
      <c r="AT1850" s="35"/>
      <c r="AU1850" s="31"/>
      <c r="AV1850" s="36"/>
      <c r="AW1850" s="36"/>
    </row>
    <row r="1851" spans="4:49">
      <c r="D1851" s="31"/>
      <c r="E1851" s="31"/>
      <c r="F1851" s="31"/>
      <c r="G1851" s="31"/>
      <c r="H1851" s="32"/>
      <c r="J1851" s="33"/>
      <c r="K1851" s="33"/>
      <c r="L1851" s="33"/>
      <c r="X1851" s="23"/>
      <c r="Y1851" s="23"/>
      <c r="Z1851" s="23"/>
      <c r="AA1851" s="23"/>
      <c r="AF1851" s="23"/>
      <c r="AG1851" s="23"/>
      <c r="AH1851" s="23"/>
      <c r="AI1851" s="23"/>
      <c r="AN1851" s="23"/>
      <c r="AO1851" s="23"/>
      <c r="AP1851" s="23"/>
      <c r="AQ1851" s="23"/>
      <c r="AR1851" s="35"/>
      <c r="AS1851" s="35"/>
      <c r="AT1851" s="35"/>
      <c r="AU1851" s="31"/>
      <c r="AV1851" s="36"/>
      <c r="AW1851" s="36"/>
    </row>
    <row r="1852" spans="4:49">
      <c r="D1852" s="31"/>
      <c r="E1852" s="31"/>
      <c r="F1852" s="31"/>
      <c r="G1852" s="31"/>
      <c r="H1852" s="32"/>
      <c r="J1852" s="33"/>
      <c r="K1852" s="33"/>
      <c r="L1852" s="33"/>
      <c r="X1852" s="23"/>
      <c r="Y1852" s="23"/>
      <c r="Z1852" s="23"/>
      <c r="AA1852" s="23"/>
      <c r="AF1852" s="23"/>
      <c r="AG1852" s="23"/>
      <c r="AH1852" s="23"/>
      <c r="AI1852" s="23"/>
      <c r="AN1852" s="23"/>
      <c r="AO1852" s="23"/>
      <c r="AP1852" s="23"/>
      <c r="AQ1852" s="23"/>
      <c r="AR1852" s="35"/>
      <c r="AS1852" s="35"/>
      <c r="AT1852" s="35"/>
      <c r="AU1852" s="31"/>
      <c r="AV1852" s="36"/>
      <c r="AW1852" s="36"/>
    </row>
    <row r="1853" spans="4:49">
      <c r="D1853" s="31"/>
      <c r="E1853" s="31"/>
      <c r="F1853" s="31"/>
      <c r="G1853" s="31"/>
      <c r="H1853" s="32"/>
      <c r="J1853" s="33"/>
      <c r="K1853" s="33"/>
      <c r="L1853" s="33"/>
      <c r="X1853" s="23"/>
      <c r="Y1853" s="23"/>
      <c r="Z1853" s="23"/>
      <c r="AA1853" s="23"/>
      <c r="AF1853" s="23"/>
      <c r="AG1853" s="23"/>
      <c r="AH1853" s="23"/>
      <c r="AI1853" s="23"/>
      <c r="AN1853" s="23"/>
      <c r="AO1853" s="23"/>
      <c r="AP1853" s="23"/>
      <c r="AQ1853" s="23"/>
      <c r="AR1853" s="35"/>
      <c r="AS1853" s="35"/>
      <c r="AT1853" s="35"/>
      <c r="AU1853" s="31"/>
      <c r="AV1853" s="36"/>
      <c r="AW1853" s="36"/>
    </row>
    <row r="1854" spans="4:49">
      <c r="D1854" s="31"/>
      <c r="E1854" s="31"/>
      <c r="F1854" s="31"/>
      <c r="G1854" s="31"/>
      <c r="H1854" s="32"/>
      <c r="J1854" s="33"/>
      <c r="K1854" s="33"/>
      <c r="L1854" s="33"/>
      <c r="X1854" s="23"/>
      <c r="Y1854" s="23"/>
      <c r="Z1854" s="23"/>
      <c r="AA1854" s="23"/>
      <c r="AF1854" s="23"/>
      <c r="AG1854" s="23"/>
      <c r="AH1854" s="23"/>
      <c r="AI1854" s="23"/>
      <c r="AN1854" s="23"/>
      <c r="AO1854" s="23"/>
      <c r="AP1854" s="23"/>
      <c r="AQ1854" s="23"/>
      <c r="AR1854" s="35"/>
      <c r="AS1854" s="35"/>
      <c r="AT1854" s="35"/>
      <c r="AU1854" s="31"/>
      <c r="AV1854" s="36"/>
      <c r="AW1854" s="36"/>
    </row>
    <row r="1855" spans="4:49">
      <c r="D1855" s="31"/>
      <c r="E1855" s="31"/>
      <c r="F1855" s="31"/>
      <c r="G1855" s="31"/>
      <c r="H1855" s="32"/>
      <c r="J1855" s="33"/>
      <c r="K1855" s="33"/>
      <c r="L1855" s="33"/>
      <c r="X1855" s="23"/>
      <c r="Y1855" s="23"/>
      <c r="Z1855" s="23"/>
      <c r="AA1855" s="23"/>
      <c r="AF1855" s="23"/>
      <c r="AG1855" s="23"/>
      <c r="AH1855" s="23"/>
      <c r="AI1855" s="23"/>
      <c r="AN1855" s="23"/>
      <c r="AO1855" s="23"/>
      <c r="AP1855" s="23"/>
      <c r="AQ1855" s="23"/>
      <c r="AR1855" s="35"/>
      <c r="AS1855" s="35"/>
      <c r="AT1855" s="35"/>
      <c r="AU1855" s="31"/>
      <c r="AV1855" s="36"/>
      <c r="AW1855" s="36"/>
    </row>
    <row r="1856" spans="4:49">
      <c r="D1856" s="31"/>
      <c r="E1856" s="31"/>
      <c r="F1856" s="31"/>
      <c r="G1856" s="31"/>
      <c r="H1856" s="32"/>
      <c r="J1856" s="33"/>
      <c r="K1856" s="33"/>
      <c r="L1856" s="33"/>
      <c r="X1856" s="23"/>
      <c r="Y1856" s="23"/>
      <c r="Z1856" s="23"/>
      <c r="AA1856" s="23"/>
      <c r="AF1856" s="23"/>
      <c r="AG1856" s="23"/>
      <c r="AH1856" s="23"/>
      <c r="AI1856" s="23"/>
      <c r="AN1856" s="23"/>
      <c r="AO1856" s="23"/>
      <c r="AP1856" s="23"/>
      <c r="AQ1856" s="23"/>
      <c r="AR1856" s="35"/>
      <c r="AS1856" s="35"/>
      <c r="AT1856" s="35"/>
      <c r="AU1856" s="31"/>
      <c r="AV1856" s="36"/>
      <c r="AW1856" s="36"/>
    </row>
    <row r="1857" spans="4:49">
      <c r="D1857" s="31"/>
      <c r="E1857" s="31"/>
      <c r="F1857" s="31"/>
      <c r="G1857" s="31"/>
      <c r="H1857" s="32"/>
      <c r="J1857" s="33"/>
      <c r="K1857" s="33"/>
      <c r="L1857" s="33"/>
      <c r="X1857" s="23"/>
      <c r="Y1857" s="23"/>
      <c r="Z1857" s="23"/>
      <c r="AA1857" s="23"/>
      <c r="AF1857" s="23"/>
      <c r="AG1857" s="23"/>
      <c r="AH1857" s="23"/>
      <c r="AI1857" s="23"/>
      <c r="AN1857" s="23"/>
      <c r="AO1857" s="23"/>
      <c r="AP1857" s="23"/>
      <c r="AQ1857" s="23"/>
      <c r="AR1857" s="35"/>
      <c r="AS1857" s="35"/>
      <c r="AT1857" s="35"/>
      <c r="AU1857" s="31"/>
      <c r="AV1857" s="36"/>
      <c r="AW1857" s="36"/>
    </row>
    <row r="1858" spans="4:49">
      <c r="D1858" s="31"/>
      <c r="E1858" s="31"/>
      <c r="F1858" s="31"/>
      <c r="G1858" s="31"/>
      <c r="H1858" s="32"/>
      <c r="J1858" s="33"/>
      <c r="K1858" s="33"/>
      <c r="L1858" s="33"/>
      <c r="X1858" s="23"/>
      <c r="Y1858" s="23"/>
      <c r="Z1858" s="23"/>
      <c r="AA1858" s="23"/>
      <c r="AF1858" s="23"/>
      <c r="AG1858" s="23"/>
      <c r="AH1858" s="23"/>
      <c r="AI1858" s="23"/>
      <c r="AN1858" s="23"/>
      <c r="AO1858" s="23"/>
      <c r="AP1858" s="23"/>
      <c r="AQ1858" s="23"/>
      <c r="AR1858" s="35"/>
      <c r="AS1858" s="35"/>
      <c r="AT1858" s="35"/>
      <c r="AU1858" s="31"/>
      <c r="AV1858" s="36"/>
      <c r="AW1858" s="36"/>
    </row>
    <row r="1859" spans="4:49">
      <c r="D1859" s="31"/>
      <c r="E1859" s="31"/>
      <c r="F1859" s="31"/>
      <c r="G1859" s="31"/>
      <c r="H1859" s="32"/>
      <c r="J1859" s="33"/>
      <c r="K1859" s="33"/>
      <c r="L1859" s="33"/>
      <c r="X1859" s="23"/>
      <c r="Y1859" s="23"/>
      <c r="Z1859" s="23"/>
      <c r="AA1859" s="23"/>
      <c r="AF1859" s="23"/>
      <c r="AG1859" s="23"/>
      <c r="AH1859" s="23"/>
      <c r="AI1859" s="23"/>
      <c r="AN1859" s="23"/>
      <c r="AO1859" s="23"/>
      <c r="AP1859" s="23"/>
      <c r="AQ1859" s="23"/>
      <c r="AR1859" s="35"/>
      <c r="AS1859" s="35"/>
      <c r="AT1859" s="35"/>
      <c r="AU1859" s="31"/>
      <c r="AV1859" s="36"/>
      <c r="AW1859" s="36"/>
    </row>
    <row r="1860" spans="4:49">
      <c r="D1860" s="31"/>
      <c r="E1860" s="31"/>
      <c r="F1860" s="31"/>
      <c r="G1860" s="31"/>
      <c r="H1860" s="32"/>
      <c r="J1860" s="33"/>
      <c r="K1860" s="33"/>
      <c r="L1860" s="33"/>
      <c r="X1860" s="23"/>
      <c r="Y1860" s="23"/>
      <c r="Z1860" s="23"/>
      <c r="AA1860" s="23"/>
      <c r="AF1860" s="23"/>
      <c r="AG1860" s="23"/>
      <c r="AH1860" s="23"/>
      <c r="AI1860" s="23"/>
      <c r="AN1860" s="23"/>
      <c r="AO1860" s="23"/>
      <c r="AP1860" s="23"/>
      <c r="AQ1860" s="23"/>
      <c r="AR1860" s="35"/>
      <c r="AS1860" s="35"/>
      <c r="AT1860" s="35"/>
      <c r="AU1860" s="31"/>
      <c r="AV1860" s="36"/>
      <c r="AW1860" s="36"/>
    </row>
    <row r="1861" spans="4:49">
      <c r="D1861" s="31"/>
      <c r="E1861" s="31"/>
      <c r="F1861" s="31"/>
      <c r="G1861" s="31"/>
      <c r="H1861" s="32"/>
      <c r="J1861" s="33"/>
      <c r="K1861" s="33"/>
      <c r="L1861" s="33"/>
      <c r="X1861" s="23"/>
      <c r="Y1861" s="23"/>
      <c r="Z1861" s="23"/>
      <c r="AA1861" s="23"/>
      <c r="AF1861" s="23"/>
      <c r="AG1861" s="23"/>
      <c r="AH1861" s="23"/>
      <c r="AI1861" s="23"/>
      <c r="AN1861" s="23"/>
      <c r="AO1861" s="23"/>
      <c r="AP1861" s="23"/>
      <c r="AQ1861" s="23"/>
      <c r="AR1861" s="35"/>
      <c r="AS1861" s="35"/>
      <c r="AT1861" s="35"/>
      <c r="AU1861" s="31"/>
      <c r="AV1861" s="36"/>
      <c r="AW1861" s="36"/>
    </row>
    <row r="1862" spans="4:49">
      <c r="D1862" s="31"/>
      <c r="E1862" s="31"/>
      <c r="F1862" s="31"/>
      <c r="G1862" s="31"/>
      <c r="H1862" s="32"/>
      <c r="J1862" s="33"/>
      <c r="K1862" s="33"/>
      <c r="L1862" s="33"/>
      <c r="X1862" s="23"/>
      <c r="Y1862" s="23"/>
      <c r="Z1862" s="23"/>
      <c r="AA1862" s="23"/>
      <c r="AF1862" s="23"/>
      <c r="AG1862" s="23"/>
      <c r="AH1862" s="23"/>
      <c r="AI1862" s="23"/>
      <c r="AN1862" s="23"/>
      <c r="AO1862" s="23"/>
      <c r="AP1862" s="23"/>
      <c r="AQ1862" s="23"/>
      <c r="AR1862" s="35"/>
      <c r="AS1862" s="35"/>
      <c r="AT1862" s="35"/>
      <c r="AU1862" s="31"/>
      <c r="AV1862" s="36"/>
      <c r="AW1862" s="36"/>
    </row>
    <row r="1863" spans="4:49">
      <c r="D1863" s="31"/>
      <c r="E1863" s="31"/>
      <c r="F1863" s="31"/>
      <c r="G1863" s="31"/>
      <c r="H1863" s="32"/>
      <c r="J1863" s="33"/>
      <c r="K1863" s="33"/>
      <c r="L1863" s="33"/>
      <c r="X1863" s="23"/>
      <c r="Y1863" s="23"/>
      <c r="Z1863" s="23"/>
      <c r="AA1863" s="23"/>
      <c r="AF1863" s="23"/>
      <c r="AG1863" s="23"/>
      <c r="AH1863" s="23"/>
      <c r="AI1863" s="23"/>
      <c r="AN1863" s="23"/>
      <c r="AO1863" s="23"/>
      <c r="AP1863" s="23"/>
      <c r="AQ1863" s="23"/>
      <c r="AR1863" s="35"/>
      <c r="AS1863" s="35"/>
      <c r="AT1863" s="35"/>
      <c r="AU1863" s="31"/>
      <c r="AV1863" s="36"/>
      <c r="AW1863" s="36"/>
    </row>
    <row r="1864" spans="4:49">
      <c r="D1864" s="31"/>
      <c r="E1864" s="31"/>
      <c r="F1864" s="31"/>
      <c r="G1864" s="31"/>
      <c r="H1864" s="32"/>
      <c r="J1864" s="33"/>
      <c r="K1864" s="33"/>
      <c r="L1864" s="33"/>
      <c r="X1864" s="23"/>
      <c r="Y1864" s="23"/>
      <c r="Z1864" s="23"/>
      <c r="AA1864" s="23"/>
      <c r="AF1864" s="23"/>
      <c r="AG1864" s="23"/>
      <c r="AH1864" s="23"/>
      <c r="AI1864" s="23"/>
      <c r="AN1864" s="23"/>
      <c r="AO1864" s="23"/>
      <c r="AP1864" s="23"/>
      <c r="AQ1864" s="23"/>
      <c r="AR1864" s="35"/>
      <c r="AS1864" s="35"/>
      <c r="AT1864" s="35"/>
      <c r="AU1864" s="31"/>
      <c r="AV1864" s="36"/>
      <c r="AW1864" s="36"/>
    </row>
    <row r="1865" spans="4:49">
      <c r="D1865" s="31"/>
      <c r="E1865" s="31"/>
      <c r="F1865" s="31"/>
      <c r="G1865" s="31"/>
      <c r="H1865" s="32"/>
      <c r="J1865" s="33"/>
      <c r="K1865" s="33"/>
      <c r="L1865" s="33"/>
      <c r="X1865" s="23"/>
      <c r="Y1865" s="23"/>
      <c r="Z1865" s="23"/>
      <c r="AA1865" s="23"/>
      <c r="AF1865" s="23"/>
      <c r="AG1865" s="23"/>
      <c r="AH1865" s="23"/>
      <c r="AI1865" s="23"/>
      <c r="AN1865" s="23"/>
      <c r="AO1865" s="23"/>
      <c r="AP1865" s="23"/>
      <c r="AQ1865" s="23"/>
      <c r="AR1865" s="35"/>
      <c r="AS1865" s="35"/>
      <c r="AT1865" s="35"/>
      <c r="AU1865" s="31"/>
      <c r="AV1865" s="36"/>
      <c r="AW1865" s="36"/>
    </row>
    <row r="1866" spans="4:49">
      <c r="D1866" s="31"/>
      <c r="E1866" s="31"/>
      <c r="F1866" s="31"/>
      <c r="G1866" s="31"/>
      <c r="H1866" s="32"/>
      <c r="J1866" s="33"/>
      <c r="K1866" s="33"/>
      <c r="L1866" s="33"/>
      <c r="X1866" s="23"/>
      <c r="Y1866" s="23"/>
      <c r="Z1866" s="23"/>
      <c r="AA1866" s="23"/>
      <c r="AF1866" s="23"/>
      <c r="AG1866" s="23"/>
      <c r="AH1866" s="23"/>
      <c r="AI1866" s="23"/>
      <c r="AN1866" s="23"/>
      <c r="AO1866" s="23"/>
      <c r="AP1866" s="23"/>
      <c r="AQ1866" s="23"/>
      <c r="AR1866" s="35"/>
      <c r="AS1866" s="35"/>
      <c r="AT1866" s="35"/>
      <c r="AU1866" s="31"/>
      <c r="AV1866" s="36"/>
      <c r="AW1866" s="36"/>
    </row>
    <row r="1867" spans="4:49">
      <c r="D1867" s="31"/>
      <c r="E1867" s="31"/>
      <c r="F1867" s="31"/>
      <c r="G1867" s="31"/>
      <c r="H1867" s="32"/>
      <c r="J1867" s="33"/>
      <c r="K1867" s="33"/>
      <c r="L1867" s="33"/>
      <c r="X1867" s="23"/>
      <c r="Y1867" s="23"/>
      <c r="Z1867" s="23"/>
      <c r="AA1867" s="23"/>
      <c r="AF1867" s="23"/>
      <c r="AG1867" s="23"/>
      <c r="AH1867" s="23"/>
      <c r="AI1867" s="23"/>
      <c r="AN1867" s="23"/>
      <c r="AO1867" s="23"/>
      <c r="AP1867" s="23"/>
      <c r="AQ1867" s="23"/>
      <c r="AR1867" s="35"/>
      <c r="AS1867" s="35"/>
      <c r="AT1867" s="35"/>
      <c r="AU1867" s="31"/>
      <c r="AV1867" s="36"/>
      <c r="AW1867" s="36"/>
    </row>
    <row r="1868" spans="4:49">
      <c r="D1868" s="31"/>
      <c r="E1868" s="31"/>
      <c r="F1868" s="31"/>
      <c r="G1868" s="31"/>
      <c r="H1868" s="32"/>
      <c r="J1868" s="33"/>
      <c r="K1868" s="33"/>
      <c r="L1868" s="33"/>
      <c r="X1868" s="23"/>
      <c r="Y1868" s="23"/>
      <c r="Z1868" s="23"/>
      <c r="AA1868" s="23"/>
      <c r="AF1868" s="23"/>
      <c r="AG1868" s="23"/>
      <c r="AH1868" s="23"/>
      <c r="AI1868" s="23"/>
      <c r="AN1868" s="23"/>
      <c r="AO1868" s="23"/>
      <c r="AP1868" s="23"/>
      <c r="AQ1868" s="23"/>
      <c r="AR1868" s="35"/>
      <c r="AS1868" s="35"/>
      <c r="AT1868" s="35"/>
      <c r="AU1868" s="31"/>
      <c r="AV1868" s="36"/>
      <c r="AW1868" s="36"/>
    </row>
    <row r="1869" spans="4:49">
      <c r="D1869" s="31"/>
      <c r="E1869" s="31"/>
      <c r="F1869" s="31"/>
      <c r="G1869" s="31"/>
      <c r="H1869" s="32"/>
      <c r="J1869" s="33"/>
      <c r="K1869" s="33"/>
      <c r="L1869" s="33"/>
      <c r="X1869" s="23"/>
      <c r="Y1869" s="23"/>
      <c r="Z1869" s="23"/>
      <c r="AA1869" s="23"/>
      <c r="AF1869" s="23"/>
      <c r="AG1869" s="23"/>
      <c r="AH1869" s="23"/>
      <c r="AI1869" s="23"/>
      <c r="AN1869" s="23"/>
      <c r="AO1869" s="23"/>
      <c r="AP1869" s="23"/>
      <c r="AQ1869" s="23"/>
      <c r="AR1869" s="35"/>
      <c r="AS1869" s="35"/>
      <c r="AT1869" s="35"/>
      <c r="AU1869" s="31"/>
      <c r="AV1869" s="36"/>
      <c r="AW1869" s="36"/>
    </row>
    <row r="1870" spans="4:49">
      <c r="D1870" s="31"/>
      <c r="E1870" s="31"/>
      <c r="F1870" s="31"/>
      <c r="G1870" s="31"/>
      <c r="H1870" s="32"/>
      <c r="J1870" s="33"/>
      <c r="K1870" s="33"/>
      <c r="L1870" s="33"/>
      <c r="X1870" s="23"/>
      <c r="Y1870" s="23"/>
      <c r="Z1870" s="23"/>
      <c r="AA1870" s="23"/>
      <c r="AF1870" s="23"/>
      <c r="AG1870" s="23"/>
      <c r="AH1870" s="23"/>
      <c r="AI1870" s="23"/>
      <c r="AN1870" s="23"/>
      <c r="AO1870" s="23"/>
      <c r="AP1870" s="23"/>
      <c r="AQ1870" s="23"/>
      <c r="AR1870" s="35"/>
      <c r="AS1870" s="35"/>
      <c r="AT1870" s="35"/>
      <c r="AU1870" s="31"/>
      <c r="AV1870" s="36"/>
      <c r="AW1870" s="36"/>
    </row>
    <row r="1871" spans="4:49">
      <c r="D1871" s="31"/>
      <c r="E1871" s="31"/>
      <c r="F1871" s="31"/>
      <c r="G1871" s="31"/>
      <c r="H1871" s="32"/>
      <c r="J1871" s="33"/>
      <c r="K1871" s="33"/>
      <c r="L1871" s="33"/>
      <c r="X1871" s="23"/>
      <c r="Y1871" s="23"/>
      <c r="Z1871" s="23"/>
      <c r="AA1871" s="23"/>
      <c r="AF1871" s="23"/>
      <c r="AG1871" s="23"/>
      <c r="AH1871" s="23"/>
      <c r="AI1871" s="23"/>
      <c r="AN1871" s="23"/>
      <c r="AO1871" s="23"/>
      <c r="AP1871" s="23"/>
      <c r="AQ1871" s="23"/>
      <c r="AR1871" s="35"/>
      <c r="AS1871" s="35"/>
      <c r="AT1871" s="35"/>
      <c r="AU1871" s="31"/>
      <c r="AV1871" s="36"/>
      <c r="AW1871" s="36"/>
    </row>
    <row r="1872" spans="4:49">
      <c r="D1872" s="31"/>
      <c r="E1872" s="31"/>
      <c r="F1872" s="31"/>
      <c r="G1872" s="31"/>
      <c r="H1872" s="32"/>
      <c r="J1872" s="33"/>
      <c r="K1872" s="33"/>
      <c r="L1872" s="33"/>
      <c r="X1872" s="23"/>
      <c r="Y1872" s="23"/>
      <c r="Z1872" s="23"/>
      <c r="AA1872" s="23"/>
      <c r="AF1872" s="23"/>
      <c r="AG1872" s="23"/>
      <c r="AH1872" s="23"/>
      <c r="AI1872" s="23"/>
      <c r="AN1872" s="23"/>
      <c r="AO1872" s="23"/>
      <c r="AP1872" s="23"/>
      <c r="AQ1872" s="23"/>
      <c r="AR1872" s="35"/>
      <c r="AS1872" s="35"/>
      <c r="AT1872" s="35"/>
      <c r="AU1872" s="31"/>
      <c r="AV1872" s="36"/>
      <c r="AW1872" s="36"/>
    </row>
    <row r="1873" spans="4:49">
      <c r="D1873" s="31"/>
      <c r="E1873" s="31"/>
      <c r="F1873" s="31"/>
      <c r="G1873" s="31"/>
      <c r="H1873" s="32"/>
      <c r="J1873" s="33"/>
      <c r="K1873" s="33"/>
      <c r="L1873" s="33"/>
      <c r="X1873" s="23"/>
      <c r="Y1873" s="23"/>
      <c r="Z1873" s="23"/>
      <c r="AA1873" s="23"/>
      <c r="AF1873" s="23"/>
      <c r="AG1873" s="23"/>
      <c r="AH1873" s="23"/>
      <c r="AI1873" s="23"/>
      <c r="AN1873" s="23"/>
      <c r="AO1873" s="23"/>
      <c r="AP1873" s="23"/>
      <c r="AQ1873" s="23"/>
      <c r="AR1873" s="35"/>
      <c r="AS1873" s="35"/>
      <c r="AT1873" s="35"/>
      <c r="AU1873" s="31"/>
      <c r="AV1873" s="36"/>
      <c r="AW1873" s="36"/>
    </row>
    <row r="1874" spans="4:49">
      <c r="D1874" s="31"/>
      <c r="E1874" s="31"/>
      <c r="F1874" s="31"/>
      <c r="G1874" s="31"/>
      <c r="H1874" s="32"/>
      <c r="J1874" s="33"/>
      <c r="K1874" s="33"/>
      <c r="L1874" s="33"/>
      <c r="X1874" s="23"/>
      <c r="Y1874" s="23"/>
      <c r="Z1874" s="23"/>
      <c r="AA1874" s="23"/>
      <c r="AF1874" s="23"/>
      <c r="AG1874" s="23"/>
      <c r="AH1874" s="23"/>
      <c r="AI1874" s="23"/>
      <c r="AN1874" s="23"/>
      <c r="AO1874" s="23"/>
      <c r="AP1874" s="23"/>
      <c r="AQ1874" s="23"/>
      <c r="AR1874" s="35"/>
      <c r="AS1874" s="35"/>
      <c r="AT1874" s="35"/>
      <c r="AU1874" s="31"/>
      <c r="AV1874" s="36"/>
      <c r="AW1874" s="36"/>
    </row>
    <row r="1875" spans="4:49">
      <c r="D1875" s="31"/>
      <c r="E1875" s="31"/>
      <c r="F1875" s="31"/>
      <c r="G1875" s="31"/>
      <c r="H1875" s="32"/>
      <c r="J1875" s="33"/>
      <c r="K1875" s="33"/>
      <c r="L1875" s="33"/>
      <c r="X1875" s="23"/>
      <c r="Y1875" s="23"/>
      <c r="Z1875" s="23"/>
      <c r="AA1875" s="23"/>
      <c r="AF1875" s="23"/>
      <c r="AG1875" s="23"/>
      <c r="AH1875" s="23"/>
      <c r="AI1875" s="23"/>
      <c r="AN1875" s="23"/>
      <c r="AO1875" s="23"/>
      <c r="AP1875" s="23"/>
      <c r="AQ1875" s="23"/>
      <c r="AR1875" s="35"/>
      <c r="AS1875" s="35"/>
      <c r="AT1875" s="35"/>
      <c r="AU1875" s="31"/>
      <c r="AV1875" s="36"/>
      <c r="AW1875" s="36"/>
    </row>
    <row r="1876" spans="4:49">
      <c r="D1876" s="31"/>
      <c r="E1876" s="31"/>
      <c r="F1876" s="31"/>
      <c r="G1876" s="31"/>
      <c r="H1876" s="32"/>
      <c r="J1876" s="33"/>
      <c r="K1876" s="33"/>
      <c r="L1876" s="33"/>
      <c r="X1876" s="23"/>
      <c r="Y1876" s="23"/>
      <c r="Z1876" s="23"/>
      <c r="AA1876" s="23"/>
      <c r="AF1876" s="23"/>
      <c r="AG1876" s="23"/>
      <c r="AH1876" s="23"/>
      <c r="AI1876" s="23"/>
      <c r="AN1876" s="23"/>
      <c r="AO1876" s="23"/>
      <c r="AP1876" s="23"/>
      <c r="AQ1876" s="23"/>
      <c r="AR1876" s="35"/>
      <c r="AS1876" s="35"/>
      <c r="AT1876" s="35"/>
      <c r="AU1876" s="31"/>
      <c r="AV1876" s="36"/>
      <c r="AW1876" s="36"/>
    </row>
    <row r="1877" spans="4:49">
      <c r="D1877" s="31"/>
      <c r="E1877" s="31"/>
      <c r="F1877" s="31"/>
      <c r="G1877" s="31"/>
      <c r="H1877" s="32"/>
      <c r="J1877" s="33"/>
      <c r="K1877" s="33"/>
      <c r="L1877" s="33"/>
      <c r="X1877" s="23"/>
      <c r="Y1877" s="23"/>
      <c r="Z1877" s="23"/>
      <c r="AA1877" s="23"/>
      <c r="AF1877" s="23"/>
      <c r="AG1877" s="23"/>
      <c r="AH1877" s="23"/>
      <c r="AI1877" s="23"/>
      <c r="AN1877" s="23"/>
      <c r="AO1877" s="23"/>
      <c r="AP1877" s="23"/>
      <c r="AQ1877" s="23"/>
      <c r="AR1877" s="35"/>
      <c r="AS1877" s="35"/>
      <c r="AT1877" s="35"/>
      <c r="AU1877" s="31"/>
      <c r="AV1877" s="36"/>
      <c r="AW1877" s="36"/>
    </row>
    <row r="1878" spans="4:49">
      <c r="D1878" s="31"/>
      <c r="E1878" s="31"/>
      <c r="F1878" s="31"/>
      <c r="G1878" s="31"/>
      <c r="H1878" s="32"/>
      <c r="J1878" s="33"/>
      <c r="K1878" s="33"/>
      <c r="L1878" s="33"/>
      <c r="X1878" s="23"/>
      <c r="Y1878" s="23"/>
      <c r="Z1878" s="23"/>
      <c r="AA1878" s="23"/>
      <c r="AF1878" s="23"/>
      <c r="AG1878" s="23"/>
      <c r="AH1878" s="23"/>
      <c r="AI1878" s="23"/>
      <c r="AN1878" s="23"/>
      <c r="AO1878" s="23"/>
      <c r="AP1878" s="23"/>
      <c r="AQ1878" s="23"/>
      <c r="AR1878" s="35"/>
      <c r="AS1878" s="35"/>
      <c r="AT1878" s="35"/>
      <c r="AU1878" s="31"/>
      <c r="AV1878" s="36"/>
      <c r="AW1878" s="36"/>
    </row>
    <row r="1879" spans="4:49">
      <c r="D1879" s="31"/>
      <c r="E1879" s="31"/>
      <c r="F1879" s="31"/>
      <c r="G1879" s="31"/>
      <c r="H1879" s="32"/>
      <c r="J1879" s="33"/>
      <c r="K1879" s="33"/>
      <c r="L1879" s="33"/>
      <c r="X1879" s="23"/>
      <c r="Y1879" s="23"/>
      <c r="Z1879" s="23"/>
      <c r="AA1879" s="23"/>
      <c r="AF1879" s="23"/>
      <c r="AG1879" s="23"/>
      <c r="AH1879" s="23"/>
      <c r="AI1879" s="23"/>
      <c r="AN1879" s="23"/>
      <c r="AO1879" s="23"/>
      <c r="AP1879" s="23"/>
      <c r="AQ1879" s="23"/>
      <c r="AR1879" s="35"/>
      <c r="AS1879" s="35"/>
      <c r="AT1879" s="35"/>
      <c r="AU1879" s="31"/>
      <c r="AV1879" s="36"/>
      <c r="AW1879" s="36"/>
    </row>
    <row r="1880" spans="4:49">
      <c r="D1880" s="31"/>
      <c r="E1880" s="31"/>
      <c r="F1880" s="31"/>
      <c r="G1880" s="31"/>
      <c r="H1880" s="32"/>
      <c r="J1880" s="33"/>
      <c r="K1880" s="33"/>
      <c r="L1880" s="33"/>
      <c r="X1880" s="23"/>
      <c r="Y1880" s="23"/>
      <c r="Z1880" s="23"/>
      <c r="AA1880" s="23"/>
      <c r="AF1880" s="23"/>
      <c r="AG1880" s="23"/>
      <c r="AH1880" s="23"/>
      <c r="AI1880" s="23"/>
      <c r="AN1880" s="23"/>
      <c r="AO1880" s="23"/>
      <c r="AP1880" s="23"/>
      <c r="AQ1880" s="23"/>
      <c r="AR1880" s="35"/>
      <c r="AS1880" s="35"/>
      <c r="AT1880" s="35"/>
      <c r="AU1880" s="31"/>
      <c r="AV1880" s="36"/>
      <c r="AW1880" s="36"/>
    </row>
    <row r="1881" spans="4:49">
      <c r="D1881" s="31"/>
      <c r="E1881" s="31"/>
      <c r="F1881" s="31"/>
      <c r="G1881" s="31"/>
      <c r="H1881" s="32"/>
      <c r="J1881" s="33"/>
      <c r="K1881" s="33"/>
      <c r="L1881" s="33"/>
      <c r="X1881" s="23"/>
      <c r="Y1881" s="23"/>
      <c r="Z1881" s="23"/>
      <c r="AA1881" s="23"/>
      <c r="AF1881" s="23"/>
      <c r="AG1881" s="23"/>
      <c r="AH1881" s="23"/>
      <c r="AI1881" s="23"/>
      <c r="AN1881" s="23"/>
      <c r="AO1881" s="23"/>
      <c r="AP1881" s="23"/>
      <c r="AQ1881" s="23"/>
      <c r="AR1881" s="35"/>
      <c r="AS1881" s="35"/>
      <c r="AT1881" s="35"/>
      <c r="AU1881" s="31"/>
      <c r="AV1881" s="36"/>
      <c r="AW1881" s="36"/>
    </row>
    <row r="1882" spans="4:49">
      <c r="D1882" s="31"/>
      <c r="E1882" s="31"/>
      <c r="F1882" s="31"/>
      <c r="G1882" s="31"/>
      <c r="H1882" s="32"/>
      <c r="J1882" s="33"/>
      <c r="K1882" s="33"/>
      <c r="L1882" s="33"/>
      <c r="X1882" s="23"/>
      <c r="Y1882" s="23"/>
      <c r="Z1882" s="23"/>
      <c r="AA1882" s="23"/>
      <c r="AF1882" s="23"/>
      <c r="AG1882" s="23"/>
      <c r="AH1882" s="23"/>
      <c r="AI1882" s="23"/>
      <c r="AN1882" s="23"/>
      <c r="AO1882" s="23"/>
      <c r="AP1882" s="23"/>
      <c r="AQ1882" s="23"/>
      <c r="AR1882" s="35"/>
      <c r="AS1882" s="35"/>
      <c r="AT1882" s="35"/>
      <c r="AU1882" s="31"/>
      <c r="AV1882" s="36"/>
      <c r="AW1882" s="36"/>
    </row>
    <row r="1883" spans="4:49">
      <c r="D1883" s="31"/>
      <c r="E1883" s="31"/>
      <c r="F1883" s="31"/>
      <c r="G1883" s="31"/>
      <c r="H1883" s="32"/>
      <c r="J1883" s="33"/>
      <c r="K1883" s="33"/>
      <c r="L1883" s="33"/>
      <c r="X1883" s="23"/>
      <c r="Y1883" s="23"/>
      <c r="Z1883" s="23"/>
      <c r="AA1883" s="23"/>
      <c r="AF1883" s="23"/>
      <c r="AG1883" s="23"/>
      <c r="AH1883" s="23"/>
      <c r="AI1883" s="23"/>
      <c r="AN1883" s="23"/>
      <c r="AO1883" s="23"/>
      <c r="AP1883" s="23"/>
      <c r="AQ1883" s="23"/>
      <c r="AR1883" s="35"/>
      <c r="AS1883" s="35"/>
      <c r="AT1883" s="35"/>
      <c r="AU1883" s="31"/>
      <c r="AV1883" s="36"/>
      <c r="AW1883" s="36"/>
    </row>
    <row r="1884" spans="4:49">
      <c r="D1884" s="31"/>
      <c r="E1884" s="31"/>
      <c r="F1884" s="31"/>
      <c r="G1884" s="31"/>
      <c r="H1884" s="32"/>
      <c r="J1884" s="33"/>
      <c r="K1884" s="33"/>
      <c r="L1884" s="33"/>
      <c r="X1884" s="23"/>
      <c r="Y1884" s="23"/>
      <c r="Z1884" s="23"/>
      <c r="AA1884" s="23"/>
      <c r="AF1884" s="23"/>
      <c r="AG1884" s="23"/>
      <c r="AH1884" s="23"/>
      <c r="AI1884" s="23"/>
      <c r="AN1884" s="23"/>
      <c r="AO1884" s="23"/>
      <c r="AP1884" s="23"/>
      <c r="AQ1884" s="23"/>
      <c r="AR1884" s="35"/>
      <c r="AS1884" s="35"/>
      <c r="AT1884" s="35"/>
      <c r="AU1884" s="31"/>
      <c r="AV1884" s="36"/>
      <c r="AW1884" s="36"/>
    </row>
    <row r="1885" spans="4:49">
      <c r="D1885" s="31"/>
      <c r="E1885" s="31"/>
      <c r="F1885" s="31"/>
      <c r="G1885" s="31"/>
      <c r="H1885" s="32"/>
      <c r="J1885" s="33"/>
      <c r="K1885" s="33"/>
      <c r="L1885" s="33"/>
      <c r="X1885" s="23"/>
      <c r="Y1885" s="23"/>
      <c r="Z1885" s="23"/>
      <c r="AA1885" s="23"/>
      <c r="AF1885" s="23"/>
      <c r="AG1885" s="23"/>
      <c r="AH1885" s="23"/>
      <c r="AI1885" s="23"/>
      <c r="AN1885" s="23"/>
      <c r="AO1885" s="23"/>
      <c r="AP1885" s="23"/>
      <c r="AQ1885" s="23"/>
      <c r="AR1885" s="35"/>
      <c r="AS1885" s="35"/>
      <c r="AT1885" s="35"/>
      <c r="AU1885" s="31"/>
      <c r="AV1885" s="36"/>
      <c r="AW1885" s="36"/>
    </row>
    <row r="1886" spans="4:49">
      <c r="D1886" s="31"/>
      <c r="E1886" s="31"/>
      <c r="F1886" s="31"/>
      <c r="G1886" s="31"/>
      <c r="H1886" s="32"/>
      <c r="J1886" s="33"/>
      <c r="K1886" s="33"/>
      <c r="L1886" s="33"/>
      <c r="X1886" s="23"/>
      <c r="Y1886" s="23"/>
      <c r="Z1886" s="23"/>
      <c r="AA1886" s="23"/>
      <c r="AF1886" s="23"/>
      <c r="AG1886" s="23"/>
      <c r="AH1886" s="23"/>
      <c r="AI1886" s="23"/>
      <c r="AN1886" s="23"/>
      <c r="AO1886" s="23"/>
      <c r="AP1886" s="23"/>
      <c r="AQ1886" s="23"/>
      <c r="AR1886" s="35"/>
      <c r="AS1886" s="35"/>
      <c r="AT1886" s="35"/>
      <c r="AU1886" s="31"/>
      <c r="AV1886" s="36"/>
      <c r="AW1886" s="36"/>
    </row>
    <row r="1887" spans="4:49">
      <c r="D1887" s="31"/>
      <c r="E1887" s="31"/>
      <c r="F1887" s="31"/>
      <c r="G1887" s="31"/>
      <c r="H1887" s="32"/>
      <c r="J1887" s="33"/>
      <c r="K1887" s="33"/>
      <c r="L1887" s="33"/>
      <c r="X1887" s="23"/>
      <c r="Y1887" s="23"/>
      <c r="Z1887" s="23"/>
      <c r="AA1887" s="23"/>
      <c r="AF1887" s="23"/>
      <c r="AG1887" s="23"/>
      <c r="AH1887" s="23"/>
      <c r="AI1887" s="23"/>
      <c r="AN1887" s="23"/>
      <c r="AO1887" s="23"/>
      <c r="AP1887" s="23"/>
      <c r="AQ1887" s="23"/>
      <c r="AR1887" s="35"/>
      <c r="AS1887" s="35"/>
      <c r="AT1887" s="35"/>
      <c r="AU1887" s="31"/>
      <c r="AV1887" s="36"/>
      <c r="AW1887" s="36"/>
    </row>
    <row r="1888" spans="4:49">
      <c r="D1888" s="31"/>
      <c r="E1888" s="31"/>
      <c r="F1888" s="31"/>
      <c r="G1888" s="31"/>
      <c r="H1888" s="32"/>
      <c r="J1888" s="33"/>
      <c r="K1888" s="33"/>
      <c r="L1888" s="33"/>
      <c r="X1888" s="23"/>
      <c r="Y1888" s="23"/>
      <c r="Z1888" s="23"/>
      <c r="AA1888" s="23"/>
      <c r="AF1888" s="23"/>
      <c r="AG1888" s="23"/>
      <c r="AH1888" s="23"/>
      <c r="AI1888" s="23"/>
      <c r="AN1888" s="23"/>
      <c r="AO1888" s="23"/>
      <c r="AP1888" s="23"/>
      <c r="AQ1888" s="23"/>
      <c r="AR1888" s="35"/>
      <c r="AS1888" s="35"/>
      <c r="AT1888" s="35"/>
      <c r="AU1888" s="31"/>
      <c r="AV1888" s="36"/>
      <c r="AW1888" s="36"/>
    </row>
    <row r="1889" spans="4:49">
      <c r="D1889" s="31"/>
      <c r="E1889" s="31"/>
      <c r="F1889" s="31"/>
      <c r="G1889" s="31"/>
      <c r="H1889" s="32"/>
      <c r="J1889" s="33"/>
      <c r="K1889" s="33"/>
      <c r="L1889" s="33"/>
      <c r="X1889" s="23"/>
      <c r="Y1889" s="23"/>
      <c r="Z1889" s="23"/>
      <c r="AA1889" s="23"/>
      <c r="AF1889" s="23"/>
      <c r="AG1889" s="23"/>
      <c r="AH1889" s="23"/>
      <c r="AI1889" s="23"/>
      <c r="AN1889" s="23"/>
      <c r="AO1889" s="23"/>
      <c r="AP1889" s="23"/>
      <c r="AQ1889" s="23"/>
      <c r="AR1889" s="35"/>
      <c r="AS1889" s="35"/>
      <c r="AT1889" s="35"/>
      <c r="AU1889" s="31"/>
      <c r="AV1889" s="36"/>
      <c r="AW1889" s="36"/>
    </row>
    <row r="1890" spans="4:49">
      <c r="D1890" s="31"/>
      <c r="E1890" s="31"/>
      <c r="F1890" s="31"/>
      <c r="G1890" s="31"/>
      <c r="H1890" s="32"/>
      <c r="J1890" s="33"/>
      <c r="K1890" s="33"/>
      <c r="L1890" s="33"/>
      <c r="X1890" s="23"/>
      <c r="Y1890" s="23"/>
      <c r="Z1890" s="23"/>
      <c r="AA1890" s="23"/>
      <c r="AF1890" s="23"/>
      <c r="AG1890" s="23"/>
      <c r="AH1890" s="23"/>
      <c r="AI1890" s="23"/>
      <c r="AN1890" s="23"/>
      <c r="AO1890" s="23"/>
      <c r="AP1890" s="23"/>
      <c r="AQ1890" s="23"/>
      <c r="AR1890" s="35"/>
      <c r="AS1890" s="35"/>
      <c r="AT1890" s="35"/>
      <c r="AU1890" s="31"/>
      <c r="AV1890" s="36"/>
      <c r="AW1890" s="36"/>
    </row>
    <row r="1891" spans="4:49">
      <c r="D1891" s="31"/>
      <c r="E1891" s="31"/>
      <c r="F1891" s="31"/>
      <c r="G1891" s="31"/>
      <c r="H1891" s="32"/>
      <c r="J1891" s="33"/>
      <c r="K1891" s="33"/>
      <c r="L1891" s="33"/>
      <c r="X1891" s="23"/>
      <c r="Y1891" s="23"/>
      <c r="Z1891" s="23"/>
      <c r="AA1891" s="23"/>
      <c r="AF1891" s="23"/>
      <c r="AG1891" s="23"/>
      <c r="AH1891" s="23"/>
      <c r="AI1891" s="23"/>
      <c r="AN1891" s="23"/>
      <c r="AO1891" s="23"/>
      <c r="AP1891" s="23"/>
      <c r="AQ1891" s="23"/>
      <c r="AR1891" s="35"/>
      <c r="AS1891" s="35"/>
      <c r="AT1891" s="35"/>
      <c r="AU1891" s="31"/>
      <c r="AV1891" s="36"/>
      <c r="AW1891" s="36"/>
    </row>
    <row r="1892" spans="4:49">
      <c r="D1892" s="31"/>
      <c r="E1892" s="31"/>
      <c r="F1892" s="31"/>
      <c r="G1892" s="31"/>
      <c r="H1892" s="32"/>
      <c r="J1892" s="33"/>
      <c r="K1892" s="33"/>
      <c r="L1892" s="33"/>
      <c r="X1892" s="23"/>
      <c r="Y1892" s="23"/>
      <c r="Z1892" s="23"/>
      <c r="AA1892" s="23"/>
      <c r="AF1892" s="23"/>
      <c r="AG1892" s="23"/>
      <c r="AH1892" s="23"/>
      <c r="AI1892" s="23"/>
      <c r="AN1892" s="23"/>
      <c r="AO1892" s="23"/>
      <c r="AP1892" s="23"/>
      <c r="AQ1892" s="23"/>
      <c r="AR1892" s="35"/>
      <c r="AS1892" s="35"/>
      <c r="AT1892" s="35"/>
      <c r="AU1892" s="31"/>
      <c r="AV1892" s="36"/>
      <c r="AW1892" s="36"/>
    </row>
    <row r="1893" spans="4:49">
      <c r="D1893" s="31"/>
      <c r="E1893" s="31"/>
      <c r="F1893" s="31"/>
      <c r="G1893" s="31"/>
      <c r="H1893" s="32"/>
      <c r="J1893" s="33"/>
      <c r="K1893" s="33"/>
      <c r="L1893" s="33"/>
      <c r="X1893" s="23"/>
      <c r="Y1893" s="23"/>
      <c r="Z1893" s="23"/>
      <c r="AA1893" s="23"/>
      <c r="AF1893" s="23"/>
      <c r="AG1893" s="23"/>
      <c r="AH1893" s="23"/>
      <c r="AI1893" s="23"/>
      <c r="AN1893" s="23"/>
      <c r="AO1893" s="23"/>
      <c r="AP1893" s="23"/>
      <c r="AQ1893" s="23"/>
      <c r="AR1893" s="35"/>
      <c r="AS1893" s="35"/>
      <c r="AT1893" s="35"/>
      <c r="AU1893" s="31"/>
      <c r="AV1893" s="36"/>
      <c r="AW1893" s="36"/>
    </row>
    <row r="1894" spans="4:49">
      <c r="D1894" s="31"/>
      <c r="E1894" s="31"/>
      <c r="F1894" s="31"/>
      <c r="G1894" s="31"/>
      <c r="H1894" s="32"/>
      <c r="J1894" s="33"/>
      <c r="K1894" s="33"/>
      <c r="L1894" s="33"/>
      <c r="X1894" s="23"/>
      <c r="Y1894" s="23"/>
      <c r="Z1894" s="23"/>
      <c r="AA1894" s="23"/>
      <c r="AF1894" s="23"/>
      <c r="AG1894" s="23"/>
      <c r="AH1894" s="23"/>
      <c r="AI1894" s="23"/>
      <c r="AN1894" s="23"/>
      <c r="AO1894" s="23"/>
      <c r="AP1894" s="23"/>
      <c r="AQ1894" s="23"/>
      <c r="AR1894" s="35"/>
      <c r="AS1894" s="35"/>
      <c r="AT1894" s="35"/>
      <c r="AU1894" s="31"/>
      <c r="AV1894" s="36"/>
      <c r="AW1894" s="36"/>
    </row>
    <row r="1895" spans="4:49">
      <c r="D1895" s="31"/>
      <c r="E1895" s="31"/>
      <c r="F1895" s="31"/>
      <c r="G1895" s="31"/>
      <c r="H1895" s="32"/>
      <c r="J1895" s="33"/>
      <c r="K1895" s="33"/>
      <c r="L1895" s="33"/>
      <c r="X1895" s="23"/>
      <c r="Y1895" s="23"/>
      <c r="Z1895" s="23"/>
      <c r="AA1895" s="23"/>
      <c r="AF1895" s="23"/>
      <c r="AG1895" s="23"/>
      <c r="AH1895" s="23"/>
      <c r="AI1895" s="23"/>
      <c r="AN1895" s="23"/>
      <c r="AO1895" s="23"/>
      <c r="AP1895" s="23"/>
      <c r="AQ1895" s="23"/>
      <c r="AR1895" s="35"/>
      <c r="AS1895" s="35"/>
      <c r="AT1895" s="35"/>
      <c r="AU1895" s="31"/>
      <c r="AV1895" s="36"/>
      <c r="AW1895" s="36"/>
    </row>
    <row r="1896" spans="4:49">
      <c r="D1896" s="31"/>
      <c r="E1896" s="31"/>
      <c r="F1896" s="31"/>
      <c r="G1896" s="31"/>
      <c r="H1896" s="32"/>
      <c r="J1896" s="33"/>
      <c r="K1896" s="33"/>
      <c r="L1896" s="33"/>
      <c r="X1896" s="23"/>
      <c r="Y1896" s="23"/>
      <c r="Z1896" s="23"/>
      <c r="AA1896" s="23"/>
      <c r="AF1896" s="23"/>
      <c r="AG1896" s="23"/>
      <c r="AH1896" s="23"/>
      <c r="AI1896" s="23"/>
      <c r="AN1896" s="23"/>
      <c r="AO1896" s="23"/>
      <c r="AP1896" s="23"/>
      <c r="AQ1896" s="23"/>
      <c r="AR1896" s="35"/>
      <c r="AS1896" s="35"/>
      <c r="AT1896" s="35"/>
      <c r="AU1896" s="31"/>
      <c r="AV1896" s="36"/>
      <c r="AW1896" s="36"/>
    </row>
    <row r="1897" spans="4:49">
      <c r="D1897" s="31"/>
      <c r="E1897" s="31"/>
      <c r="F1897" s="31"/>
      <c r="G1897" s="31"/>
      <c r="H1897" s="32"/>
      <c r="J1897" s="33"/>
      <c r="K1897" s="33"/>
      <c r="L1897" s="33"/>
      <c r="X1897" s="23"/>
      <c r="Y1897" s="23"/>
      <c r="Z1897" s="23"/>
      <c r="AA1897" s="23"/>
      <c r="AF1897" s="23"/>
      <c r="AG1897" s="23"/>
      <c r="AH1897" s="23"/>
      <c r="AI1897" s="23"/>
      <c r="AN1897" s="23"/>
      <c r="AO1897" s="23"/>
      <c r="AP1897" s="23"/>
      <c r="AQ1897" s="23"/>
      <c r="AR1897" s="35"/>
      <c r="AS1897" s="35"/>
      <c r="AT1897" s="35"/>
      <c r="AU1897" s="31"/>
      <c r="AV1897" s="36"/>
      <c r="AW1897" s="36"/>
    </row>
    <row r="1898" spans="4:49">
      <c r="D1898" s="31"/>
      <c r="E1898" s="31"/>
      <c r="F1898" s="31"/>
      <c r="G1898" s="31"/>
      <c r="H1898" s="32"/>
      <c r="J1898" s="33"/>
      <c r="K1898" s="33"/>
      <c r="L1898" s="33"/>
      <c r="X1898" s="23"/>
      <c r="Y1898" s="23"/>
      <c r="Z1898" s="23"/>
      <c r="AA1898" s="23"/>
      <c r="AF1898" s="23"/>
      <c r="AG1898" s="23"/>
      <c r="AH1898" s="23"/>
      <c r="AI1898" s="23"/>
      <c r="AN1898" s="23"/>
      <c r="AO1898" s="23"/>
      <c r="AP1898" s="23"/>
      <c r="AQ1898" s="23"/>
      <c r="AR1898" s="35"/>
      <c r="AS1898" s="35"/>
      <c r="AT1898" s="35"/>
      <c r="AU1898" s="31"/>
      <c r="AV1898" s="36"/>
      <c r="AW1898" s="36"/>
    </row>
    <row r="1899" spans="4:49">
      <c r="D1899" s="31"/>
      <c r="E1899" s="31"/>
      <c r="F1899" s="31"/>
      <c r="G1899" s="31"/>
      <c r="H1899" s="32"/>
      <c r="J1899" s="33"/>
      <c r="K1899" s="33"/>
      <c r="L1899" s="33"/>
      <c r="X1899" s="23"/>
      <c r="Y1899" s="23"/>
      <c r="Z1899" s="23"/>
      <c r="AA1899" s="23"/>
      <c r="AF1899" s="23"/>
      <c r="AG1899" s="23"/>
      <c r="AH1899" s="23"/>
      <c r="AI1899" s="23"/>
      <c r="AN1899" s="23"/>
      <c r="AO1899" s="23"/>
      <c r="AP1899" s="23"/>
      <c r="AQ1899" s="23"/>
      <c r="AR1899" s="35"/>
      <c r="AS1899" s="35"/>
      <c r="AT1899" s="35"/>
      <c r="AU1899" s="31"/>
      <c r="AV1899" s="36"/>
      <c r="AW1899" s="36"/>
    </row>
    <row r="1900" spans="4:49">
      <c r="D1900" s="31"/>
      <c r="E1900" s="31"/>
      <c r="F1900" s="31"/>
      <c r="G1900" s="31"/>
      <c r="H1900" s="32"/>
      <c r="J1900" s="33"/>
      <c r="K1900" s="33"/>
      <c r="L1900" s="33"/>
      <c r="X1900" s="23"/>
      <c r="Y1900" s="23"/>
      <c r="Z1900" s="23"/>
      <c r="AA1900" s="23"/>
      <c r="AF1900" s="23"/>
      <c r="AG1900" s="23"/>
      <c r="AH1900" s="23"/>
      <c r="AI1900" s="23"/>
      <c r="AN1900" s="23"/>
      <c r="AO1900" s="23"/>
      <c r="AP1900" s="23"/>
      <c r="AQ1900" s="23"/>
      <c r="AR1900" s="35"/>
      <c r="AS1900" s="35"/>
      <c r="AT1900" s="35"/>
      <c r="AU1900" s="31"/>
      <c r="AV1900" s="36"/>
      <c r="AW1900" s="36"/>
    </row>
    <row r="1901" spans="4:49">
      <c r="D1901" s="31"/>
      <c r="E1901" s="31"/>
      <c r="F1901" s="31"/>
      <c r="G1901" s="31"/>
      <c r="H1901" s="32"/>
      <c r="J1901" s="33"/>
      <c r="K1901" s="33"/>
      <c r="L1901" s="33"/>
      <c r="X1901" s="23"/>
      <c r="Y1901" s="23"/>
      <c r="Z1901" s="23"/>
      <c r="AA1901" s="23"/>
      <c r="AF1901" s="23"/>
      <c r="AG1901" s="23"/>
      <c r="AH1901" s="23"/>
      <c r="AI1901" s="23"/>
      <c r="AN1901" s="23"/>
      <c r="AO1901" s="23"/>
      <c r="AP1901" s="23"/>
      <c r="AQ1901" s="23"/>
      <c r="AR1901" s="35"/>
      <c r="AS1901" s="35"/>
      <c r="AT1901" s="35"/>
      <c r="AU1901" s="31"/>
      <c r="AV1901" s="36"/>
      <c r="AW1901" s="36"/>
    </row>
    <row r="1902" spans="4:49">
      <c r="D1902" s="31"/>
      <c r="E1902" s="31"/>
      <c r="F1902" s="31"/>
      <c r="G1902" s="31"/>
      <c r="H1902" s="32"/>
      <c r="J1902" s="33"/>
      <c r="K1902" s="33"/>
      <c r="L1902" s="33"/>
      <c r="X1902" s="23"/>
      <c r="Y1902" s="23"/>
      <c r="Z1902" s="23"/>
      <c r="AA1902" s="23"/>
      <c r="AF1902" s="23"/>
      <c r="AG1902" s="23"/>
      <c r="AH1902" s="23"/>
      <c r="AI1902" s="23"/>
      <c r="AN1902" s="23"/>
      <c r="AO1902" s="23"/>
      <c r="AP1902" s="23"/>
      <c r="AQ1902" s="23"/>
      <c r="AR1902" s="35"/>
      <c r="AS1902" s="35"/>
      <c r="AT1902" s="35"/>
      <c r="AU1902" s="31"/>
      <c r="AV1902" s="36"/>
      <c r="AW1902" s="36"/>
    </row>
    <row r="1903" spans="4:49">
      <c r="D1903" s="31"/>
      <c r="E1903" s="31"/>
      <c r="F1903" s="31"/>
      <c r="G1903" s="31"/>
      <c r="H1903" s="32"/>
      <c r="J1903" s="33"/>
      <c r="K1903" s="33"/>
      <c r="L1903" s="33"/>
      <c r="X1903" s="23"/>
      <c r="Y1903" s="23"/>
      <c r="Z1903" s="23"/>
      <c r="AA1903" s="23"/>
      <c r="AF1903" s="23"/>
      <c r="AG1903" s="23"/>
      <c r="AH1903" s="23"/>
      <c r="AI1903" s="23"/>
      <c r="AN1903" s="23"/>
      <c r="AO1903" s="23"/>
      <c r="AP1903" s="23"/>
      <c r="AQ1903" s="23"/>
      <c r="AR1903" s="35"/>
      <c r="AS1903" s="35"/>
      <c r="AT1903" s="35"/>
      <c r="AU1903" s="31"/>
      <c r="AV1903" s="36"/>
      <c r="AW1903" s="36"/>
    </row>
    <row r="1904" spans="4:49">
      <c r="D1904" s="31"/>
      <c r="E1904" s="31"/>
      <c r="F1904" s="31"/>
      <c r="G1904" s="31"/>
      <c r="H1904" s="32"/>
      <c r="J1904" s="33"/>
      <c r="K1904" s="33"/>
      <c r="L1904" s="33"/>
      <c r="X1904" s="23"/>
      <c r="Y1904" s="23"/>
      <c r="Z1904" s="23"/>
      <c r="AA1904" s="23"/>
      <c r="AF1904" s="23"/>
      <c r="AG1904" s="23"/>
      <c r="AH1904" s="23"/>
      <c r="AI1904" s="23"/>
      <c r="AN1904" s="23"/>
      <c r="AO1904" s="23"/>
      <c r="AP1904" s="23"/>
      <c r="AQ1904" s="23"/>
      <c r="AR1904" s="35"/>
      <c r="AS1904" s="35"/>
      <c r="AT1904" s="35"/>
      <c r="AU1904" s="31"/>
      <c r="AV1904" s="36"/>
      <c r="AW1904" s="36"/>
    </row>
    <row r="1905" spans="4:49">
      <c r="D1905" s="31"/>
      <c r="E1905" s="31"/>
      <c r="F1905" s="31"/>
      <c r="G1905" s="31"/>
      <c r="H1905" s="32"/>
      <c r="J1905" s="33"/>
      <c r="K1905" s="33"/>
      <c r="L1905" s="33"/>
      <c r="X1905" s="23"/>
      <c r="Y1905" s="23"/>
      <c r="Z1905" s="23"/>
      <c r="AA1905" s="23"/>
      <c r="AF1905" s="23"/>
      <c r="AG1905" s="23"/>
      <c r="AH1905" s="23"/>
      <c r="AI1905" s="23"/>
      <c r="AN1905" s="23"/>
      <c r="AO1905" s="23"/>
      <c r="AP1905" s="23"/>
      <c r="AQ1905" s="23"/>
      <c r="AR1905" s="35"/>
      <c r="AS1905" s="35"/>
      <c r="AT1905" s="35"/>
      <c r="AU1905" s="31"/>
      <c r="AV1905" s="36"/>
      <c r="AW1905" s="36"/>
    </row>
    <row r="1906" spans="4:49">
      <c r="D1906" s="31"/>
      <c r="E1906" s="31"/>
      <c r="F1906" s="31"/>
      <c r="G1906" s="31"/>
      <c r="H1906" s="32"/>
      <c r="J1906" s="33"/>
      <c r="K1906" s="33"/>
      <c r="L1906" s="33"/>
      <c r="X1906" s="23"/>
      <c r="Y1906" s="23"/>
      <c r="Z1906" s="23"/>
      <c r="AA1906" s="23"/>
      <c r="AF1906" s="23"/>
      <c r="AG1906" s="23"/>
      <c r="AH1906" s="23"/>
      <c r="AI1906" s="23"/>
      <c r="AN1906" s="23"/>
      <c r="AO1906" s="23"/>
      <c r="AP1906" s="23"/>
      <c r="AQ1906" s="23"/>
      <c r="AR1906" s="35"/>
      <c r="AS1906" s="35"/>
      <c r="AT1906" s="35"/>
      <c r="AU1906" s="31"/>
      <c r="AV1906" s="36"/>
      <c r="AW1906" s="36"/>
    </row>
    <row r="1907" spans="4:49">
      <c r="D1907" s="31"/>
      <c r="E1907" s="31"/>
      <c r="F1907" s="31"/>
      <c r="G1907" s="31"/>
      <c r="H1907" s="32"/>
      <c r="J1907" s="33"/>
      <c r="K1907" s="33"/>
      <c r="L1907" s="33"/>
      <c r="X1907" s="23"/>
      <c r="Y1907" s="23"/>
      <c r="Z1907" s="23"/>
      <c r="AA1907" s="23"/>
      <c r="AF1907" s="23"/>
      <c r="AG1907" s="23"/>
      <c r="AH1907" s="23"/>
      <c r="AI1907" s="23"/>
      <c r="AN1907" s="23"/>
      <c r="AO1907" s="23"/>
      <c r="AP1907" s="23"/>
      <c r="AQ1907" s="23"/>
      <c r="AR1907" s="35"/>
      <c r="AS1907" s="35"/>
      <c r="AT1907" s="35"/>
      <c r="AU1907" s="31"/>
      <c r="AV1907" s="36"/>
      <c r="AW1907" s="36"/>
    </row>
    <row r="1908" spans="4:49">
      <c r="D1908" s="31"/>
      <c r="E1908" s="31"/>
      <c r="F1908" s="31"/>
      <c r="G1908" s="31"/>
      <c r="H1908" s="32"/>
      <c r="J1908" s="33"/>
      <c r="K1908" s="33"/>
      <c r="L1908" s="33"/>
      <c r="X1908" s="23"/>
      <c r="Y1908" s="23"/>
      <c r="Z1908" s="23"/>
      <c r="AA1908" s="23"/>
      <c r="AF1908" s="23"/>
      <c r="AG1908" s="23"/>
      <c r="AH1908" s="23"/>
      <c r="AI1908" s="23"/>
      <c r="AN1908" s="23"/>
      <c r="AO1908" s="23"/>
      <c r="AP1908" s="23"/>
      <c r="AQ1908" s="23"/>
      <c r="AR1908" s="35"/>
      <c r="AS1908" s="35"/>
      <c r="AT1908" s="35"/>
      <c r="AU1908" s="31"/>
      <c r="AV1908" s="36"/>
      <c r="AW1908" s="36"/>
    </row>
    <row r="1909" spans="4:49">
      <c r="D1909" s="31"/>
      <c r="E1909" s="31"/>
      <c r="F1909" s="31"/>
      <c r="G1909" s="31"/>
      <c r="H1909" s="32"/>
      <c r="J1909" s="33"/>
      <c r="K1909" s="33"/>
      <c r="L1909" s="33"/>
      <c r="X1909" s="23"/>
      <c r="Y1909" s="23"/>
      <c r="Z1909" s="23"/>
      <c r="AA1909" s="23"/>
      <c r="AF1909" s="23"/>
      <c r="AG1909" s="23"/>
      <c r="AH1909" s="23"/>
      <c r="AI1909" s="23"/>
      <c r="AN1909" s="23"/>
      <c r="AO1909" s="23"/>
      <c r="AP1909" s="23"/>
      <c r="AQ1909" s="23"/>
      <c r="AR1909" s="35"/>
      <c r="AS1909" s="35"/>
      <c r="AT1909" s="35"/>
      <c r="AU1909" s="31"/>
      <c r="AV1909" s="36"/>
      <c r="AW1909" s="36"/>
    </row>
    <row r="1910" spans="4:49">
      <c r="D1910" s="31"/>
      <c r="E1910" s="31"/>
      <c r="F1910" s="31"/>
      <c r="G1910" s="31"/>
      <c r="H1910" s="32"/>
      <c r="J1910" s="33"/>
      <c r="K1910" s="33"/>
      <c r="L1910" s="33"/>
      <c r="X1910" s="23"/>
      <c r="Y1910" s="23"/>
      <c r="Z1910" s="23"/>
      <c r="AA1910" s="23"/>
      <c r="AF1910" s="23"/>
      <c r="AG1910" s="23"/>
      <c r="AH1910" s="23"/>
      <c r="AI1910" s="23"/>
      <c r="AN1910" s="23"/>
      <c r="AO1910" s="23"/>
      <c r="AP1910" s="23"/>
      <c r="AQ1910" s="23"/>
      <c r="AR1910" s="35"/>
      <c r="AS1910" s="35"/>
      <c r="AT1910" s="35"/>
      <c r="AU1910" s="31"/>
      <c r="AV1910" s="36"/>
      <c r="AW1910" s="36"/>
    </row>
    <row r="1911" spans="4:49">
      <c r="D1911" s="31"/>
      <c r="E1911" s="31"/>
      <c r="F1911" s="31"/>
      <c r="G1911" s="31"/>
      <c r="H1911" s="32"/>
      <c r="J1911" s="33"/>
      <c r="K1911" s="33"/>
      <c r="L1911" s="33"/>
      <c r="X1911" s="23"/>
      <c r="Y1911" s="23"/>
      <c r="Z1911" s="23"/>
      <c r="AA1911" s="23"/>
      <c r="AF1911" s="23"/>
      <c r="AG1911" s="23"/>
      <c r="AH1911" s="23"/>
      <c r="AI1911" s="23"/>
      <c r="AN1911" s="23"/>
      <c r="AO1911" s="23"/>
      <c r="AP1911" s="23"/>
      <c r="AQ1911" s="23"/>
      <c r="AR1911" s="35"/>
      <c r="AS1911" s="35"/>
      <c r="AT1911" s="35"/>
      <c r="AU1911" s="31"/>
      <c r="AV1911" s="36"/>
      <c r="AW1911" s="36"/>
    </row>
    <row r="1912" spans="4:49">
      <c r="D1912" s="31"/>
      <c r="E1912" s="31"/>
      <c r="F1912" s="31"/>
      <c r="G1912" s="31"/>
      <c r="H1912" s="32"/>
      <c r="J1912" s="33"/>
      <c r="K1912" s="33"/>
      <c r="L1912" s="33"/>
      <c r="X1912" s="23"/>
      <c r="Y1912" s="23"/>
      <c r="Z1912" s="23"/>
      <c r="AA1912" s="23"/>
      <c r="AF1912" s="23"/>
      <c r="AG1912" s="23"/>
      <c r="AH1912" s="23"/>
      <c r="AI1912" s="23"/>
      <c r="AN1912" s="23"/>
      <c r="AO1912" s="23"/>
      <c r="AP1912" s="23"/>
      <c r="AQ1912" s="23"/>
      <c r="AR1912" s="35"/>
      <c r="AS1912" s="35"/>
      <c r="AT1912" s="35"/>
      <c r="AU1912" s="31"/>
      <c r="AV1912" s="36"/>
      <c r="AW1912" s="36"/>
    </row>
    <row r="1913" spans="4:49">
      <c r="D1913" s="31"/>
      <c r="E1913" s="31"/>
      <c r="F1913" s="31"/>
      <c r="G1913" s="31"/>
      <c r="H1913" s="32"/>
      <c r="J1913" s="33"/>
      <c r="K1913" s="33"/>
      <c r="L1913" s="33"/>
      <c r="X1913" s="23"/>
      <c r="Y1913" s="23"/>
      <c r="Z1913" s="23"/>
      <c r="AA1913" s="23"/>
      <c r="AF1913" s="23"/>
      <c r="AG1913" s="23"/>
      <c r="AH1913" s="23"/>
      <c r="AI1913" s="23"/>
      <c r="AN1913" s="23"/>
      <c r="AO1913" s="23"/>
      <c r="AP1913" s="23"/>
      <c r="AQ1913" s="23"/>
      <c r="AR1913" s="35"/>
      <c r="AS1913" s="35"/>
      <c r="AT1913" s="35"/>
      <c r="AU1913" s="31"/>
      <c r="AV1913" s="36"/>
      <c r="AW1913" s="36"/>
    </row>
    <row r="1914" spans="4:49">
      <c r="D1914" s="31"/>
      <c r="E1914" s="31"/>
      <c r="F1914" s="31"/>
      <c r="G1914" s="31"/>
      <c r="H1914" s="32"/>
      <c r="J1914" s="33"/>
      <c r="K1914" s="33"/>
      <c r="L1914" s="33"/>
      <c r="X1914" s="23"/>
      <c r="Y1914" s="23"/>
      <c r="Z1914" s="23"/>
      <c r="AA1914" s="23"/>
      <c r="AF1914" s="23"/>
      <c r="AG1914" s="23"/>
      <c r="AH1914" s="23"/>
      <c r="AI1914" s="23"/>
      <c r="AN1914" s="23"/>
      <c r="AO1914" s="23"/>
      <c r="AP1914" s="23"/>
      <c r="AQ1914" s="23"/>
      <c r="AR1914" s="35"/>
      <c r="AS1914" s="35"/>
      <c r="AT1914" s="35"/>
      <c r="AU1914" s="31"/>
      <c r="AV1914" s="36"/>
      <c r="AW1914" s="36"/>
    </row>
    <row r="1915" spans="4:49">
      <c r="D1915" s="31"/>
      <c r="E1915" s="31"/>
      <c r="F1915" s="31"/>
      <c r="G1915" s="31"/>
      <c r="H1915" s="32"/>
      <c r="J1915" s="33"/>
      <c r="K1915" s="33"/>
      <c r="L1915" s="33"/>
      <c r="X1915" s="23"/>
      <c r="Y1915" s="23"/>
      <c r="Z1915" s="23"/>
      <c r="AA1915" s="23"/>
      <c r="AF1915" s="23"/>
      <c r="AG1915" s="23"/>
      <c r="AH1915" s="23"/>
      <c r="AI1915" s="23"/>
      <c r="AN1915" s="23"/>
      <c r="AO1915" s="23"/>
      <c r="AP1915" s="23"/>
      <c r="AQ1915" s="23"/>
      <c r="AR1915" s="35"/>
      <c r="AS1915" s="35"/>
      <c r="AT1915" s="35"/>
      <c r="AU1915" s="31"/>
      <c r="AV1915" s="36"/>
      <c r="AW1915" s="36"/>
    </row>
    <row r="1916" spans="4:49">
      <c r="D1916" s="31"/>
      <c r="E1916" s="31"/>
      <c r="F1916" s="31"/>
      <c r="G1916" s="31"/>
      <c r="H1916" s="32"/>
      <c r="J1916" s="33"/>
      <c r="K1916" s="33"/>
      <c r="L1916" s="33"/>
      <c r="X1916" s="23"/>
      <c r="Y1916" s="23"/>
      <c r="Z1916" s="23"/>
      <c r="AA1916" s="23"/>
      <c r="AF1916" s="23"/>
      <c r="AG1916" s="23"/>
      <c r="AH1916" s="23"/>
      <c r="AI1916" s="23"/>
      <c r="AN1916" s="23"/>
      <c r="AO1916" s="23"/>
      <c r="AP1916" s="23"/>
      <c r="AQ1916" s="23"/>
      <c r="AR1916" s="35"/>
      <c r="AS1916" s="35"/>
      <c r="AT1916" s="35"/>
      <c r="AU1916" s="31"/>
      <c r="AV1916" s="36"/>
      <c r="AW1916" s="36"/>
    </row>
    <row r="1917" spans="4:49">
      <c r="D1917" s="31"/>
      <c r="E1917" s="31"/>
      <c r="F1917" s="31"/>
      <c r="G1917" s="31"/>
      <c r="H1917" s="32"/>
      <c r="J1917" s="33"/>
      <c r="K1917" s="33"/>
      <c r="L1917" s="33"/>
      <c r="X1917" s="23"/>
      <c r="Y1917" s="23"/>
      <c r="Z1917" s="23"/>
      <c r="AA1917" s="23"/>
      <c r="AF1917" s="23"/>
      <c r="AG1917" s="23"/>
      <c r="AH1917" s="23"/>
      <c r="AI1917" s="23"/>
      <c r="AN1917" s="23"/>
      <c r="AO1917" s="23"/>
      <c r="AP1917" s="23"/>
      <c r="AQ1917" s="23"/>
      <c r="AR1917" s="35"/>
      <c r="AS1917" s="35"/>
      <c r="AT1917" s="35"/>
      <c r="AU1917" s="31"/>
      <c r="AV1917" s="36"/>
      <c r="AW1917" s="36"/>
    </row>
    <row r="1918" spans="4:49">
      <c r="D1918" s="31"/>
      <c r="E1918" s="31"/>
      <c r="F1918" s="31"/>
      <c r="G1918" s="31"/>
      <c r="H1918" s="32"/>
      <c r="J1918" s="33"/>
      <c r="K1918" s="33"/>
      <c r="L1918" s="33"/>
      <c r="X1918" s="23"/>
      <c r="Y1918" s="23"/>
      <c r="Z1918" s="23"/>
      <c r="AA1918" s="23"/>
      <c r="AF1918" s="23"/>
      <c r="AG1918" s="23"/>
      <c r="AH1918" s="23"/>
      <c r="AI1918" s="23"/>
      <c r="AN1918" s="23"/>
      <c r="AO1918" s="23"/>
      <c r="AP1918" s="23"/>
      <c r="AQ1918" s="23"/>
      <c r="AR1918" s="35"/>
      <c r="AS1918" s="35"/>
      <c r="AT1918" s="35"/>
      <c r="AU1918" s="31"/>
      <c r="AV1918" s="36"/>
      <c r="AW1918" s="36"/>
    </row>
    <row r="1919" spans="4:49">
      <c r="D1919" s="31"/>
      <c r="E1919" s="31"/>
      <c r="F1919" s="31"/>
      <c r="G1919" s="31"/>
      <c r="H1919" s="32"/>
      <c r="J1919" s="33"/>
      <c r="K1919" s="33"/>
      <c r="L1919" s="33"/>
      <c r="X1919" s="23"/>
      <c r="Y1919" s="23"/>
      <c r="Z1919" s="23"/>
      <c r="AA1919" s="23"/>
      <c r="AF1919" s="23"/>
      <c r="AG1919" s="23"/>
      <c r="AH1919" s="23"/>
      <c r="AI1919" s="23"/>
      <c r="AN1919" s="23"/>
      <c r="AO1919" s="23"/>
      <c r="AP1919" s="23"/>
      <c r="AQ1919" s="23"/>
      <c r="AR1919" s="35"/>
      <c r="AS1919" s="35"/>
      <c r="AT1919" s="35"/>
      <c r="AU1919" s="31"/>
      <c r="AV1919" s="36"/>
      <c r="AW1919" s="36"/>
    </row>
    <row r="1920" spans="4:49">
      <c r="D1920" s="31"/>
      <c r="E1920" s="31"/>
      <c r="F1920" s="31"/>
      <c r="G1920" s="31"/>
      <c r="H1920" s="32"/>
      <c r="J1920" s="33"/>
      <c r="K1920" s="33"/>
      <c r="L1920" s="33"/>
      <c r="X1920" s="23"/>
      <c r="Y1920" s="23"/>
      <c r="Z1920" s="23"/>
      <c r="AA1920" s="23"/>
      <c r="AF1920" s="23"/>
      <c r="AG1920" s="23"/>
      <c r="AH1920" s="23"/>
      <c r="AI1920" s="23"/>
      <c r="AN1920" s="23"/>
      <c r="AO1920" s="23"/>
      <c r="AP1920" s="23"/>
      <c r="AQ1920" s="23"/>
      <c r="AR1920" s="35"/>
      <c r="AS1920" s="35"/>
      <c r="AT1920" s="35"/>
      <c r="AU1920" s="31"/>
      <c r="AV1920" s="36"/>
      <c r="AW1920" s="36"/>
    </row>
    <row r="1921" spans="4:49">
      <c r="D1921" s="31"/>
      <c r="E1921" s="31"/>
      <c r="F1921" s="31"/>
      <c r="G1921" s="31"/>
      <c r="H1921" s="32"/>
      <c r="J1921" s="33"/>
      <c r="K1921" s="33"/>
      <c r="L1921" s="33"/>
      <c r="X1921" s="23"/>
      <c r="Y1921" s="23"/>
      <c r="Z1921" s="23"/>
      <c r="AA1921" s="23"/>
      <c r="AF1921" s="23"/>
      <c r="AG1921" s="23"/>
      <c r="AH1921" s="23"/>
      <c r="AI1921" s="23"/>
      <c r="AN1921" s="23"/>
      <c r="AO1921" s="23"/>
      <c r="AP1921" s="23"/>
      <c r="AQ1921" s="23"/>
      <c r="AR1921" s="35"/>
      <c r="AS1921" s="35"/>
      <c r="AT1921" s="35"/>
      <c r="AU1921" s="31"/>
      <c r="AV1921" s="36"/>
      <c r="AW1921" s="36"/>
    </row>
    <row r="1922" spans="4:49">
      <c r="D1922" s="31"/>
      <c r="E1922" s="31"/>
      <c r="F1922" s="31"/>
      <c r="G1922" s="31"/>
      <c r="H1922" s="32"/>
      <c r="J1922" s="33"/>
      <c r="K1922" s="33"/>
      <c r="L1922" s="33"/>
      <c r="X1922" s="23"/>
      <c r="Y1922" s="23"/>
      <c r="Z1922" s="23"/>
      <c r="AA1922" s="23"/>
      <c r="AF1922" s="23"/>
      <c r="AG1922" s="23"/>
      <c r="AH1922" s="23"/>
      <c r="AI1922" s="23"/>
      <c r="AN1922" s="23"/>
      <c r="AO1922" s="23"/>
      <c r="AP1922" s="23"/>
      <c r="AQ1922" s="23"/>
      <c r="AR1922" s="35"/>
      <c r="AS1922" s="35"/>
      <c r="AT1922" s="35"/>
      <c r="AU1922" s="31"/>
      <c r="AV1922" s="36"/>
      <c r="AW1922" s="36"/>
    </row>
    <row r="1923" spans="4:49">
      <c r="D1923" s="31"/>
      <c r="E1923" s="31"/>
      <c r="F1923" s="31"/>
      <c r="G1923" s="31"/>
      <c r="H1923" s="32"/>
      <c r="J1923" s="33"/>
      <c r="K1923" s="33"/>
      <c r="L1923" s="33"/>
      <c r="X1923" s="23"/>
      <c r="Y1923" s="23"/>
      <c r="Z1923" s="23"/>
      <c r="AA1923" s="23"/>
      <c r="AF1923" s="23"/>
      <c r="AG1923" s="23"/>
      <c r="AH1923" s="23"/>
      <c r="AI1923" s="23"/>
      <c r="AN1923" s="23"/>
      <c r="AO1923" s="23"/>
      <c r="AP1923" s="23"/>
      <c r="AQ1923" s="23"/>
      <c r="AR1923" s="35"/>
      <c r="AS1923" s="35"/>
      <c r="AT1923" s="35"/>
      <c r="AU1923" s="31"/>
      <c r="AV1923" s="36"/>
      <c r="AW1923" s="36"/>
    </row>
    <row r="1924" spans="4:49">
      <c r="D1924" s="31"/>
      <c r="E1924" s="31"/>
      <c r="F1924" s="31"/>
      <c r="G1924" s="31"/>
      <c r="H1924" s="32"/>
      <c r="J1924" s="33"/>
      <c r="K1924" s="33"/>
      <c r="L1924" s="33"/>
      <c r="X1924" s="23"/>
      <c r="Y1924" s="23"/>
      <c r="Z1924" s="23"/>
      <c r="AA1924" s="23"/>
      <c r="AF1924" s="23"/>
      <c r="AG1924" s="23"/>
      <c r="AH1924" s="23"/>
      <c r="AI1924" s="23"/>
      <c r="AN1924" s="23"/>
      <c r="AO1924" s="23"/>
      <c r="AP1924" s="23"/>
      <c r="AQ1924" s="23"/>
      <c r="AR1924" s="35"/>
      <c r="AS1924" s="35"/>
      <c r="AT1924" s="35"/>
      <c r="AU1924" s="31"/>
      <c r="AV1924" s="36"/>
      <c r="AW1924" s="36"/>
    </row>
    <row r="1925" spans="4:49">
      <c r="D1925" s="31"/>
      <c r="E1925" s="31"/>
      <c r="F1925" s="31"/>
      <c r="G1925" s="31"/>
      <c r="H1925" s="32"/>
      <c r="J1925" s="33"/>
      <c r="K1925" s="33"/>
      <c r="L1925" s="33"/>
      <c r="X1925" s="23"/>
      <c r="Y1925" s="23"/>
      <c r="Z1925" s="23"/>
      <c r="AA1925" s="23"/>
      <c r="AF1925" s="23"/>
      <c r="AG1925" s="23"/>
      <c r="AH1925" s="23"/>
      <c r="AI1925" s="23"/>
      <c r="AN1925" s="23"/>
      <c r="AO1925" s="23"/>
      <c r="AP1925" s="23"/>
      <c r="AQ1925" s="23"/>
      <c r="AR1925" s="35"/>
      <c r="AS1925" s="35"/>
      <c r="AT1925" s="35"/>
      <c r="AU1925" s="31"/>
      <c r="AV1925" s="36"/>
      <c r="AW1925" s="36"/>
    </row>
    <row r="1926" spans="4:49">
      <c r="D1926" s="31"/>
      <c r="E1926" s="31"/>
      <c r="F1926" s="31"/>
      <c r="G1926" s="31"/>
      <c r="H1926" s="32"/>
      <c r="J1926" s="33"/>
      <c r="K1926" s="33"/>
      <c r="L1926" s="33"/>
      <c r="X1926" s="23"/>
      <c r="Y1926" s="23"/>
      <c r="Z1926" s="23"/>
      <c r="AA1926" s="23"/>
      <c r="AF1926" s="23"/>
      <c r="AG1926" s="23"/>
      <c r="AH1926" s="23"/>
      <c r="AI1926" s="23"/>
      <c r="AN1926" s="23"/>
      <c r="AO1926" s="23"/>
      <c r="AP1926" s="23"/>
      <c r="AQ1926" s="23"/>
      <c r="AR1926" s="35"/>
      <c r="AS1926" s="35"/>
      <c r="AT1926" s="35"/>
      <c r="AU1926" s="31"/>
      <c r="AV1926" s="36"/>
      <c r="AW1926" s="36"/>
    </row>
    <row r="1927" spans="4:49">
      <c r="D1927" s="31"/>
      <c r="E1927" s="31"/>
      <c r="F1927" s="31"/>
      <c r="G1927" s="31"/>
      <c r="H1927" s="32"/>
      <c r="J1927" s="33"/>
      <c r="K1927" s="33"/>
      <c r="L1927" s="33"/>
      <c r="X1927" s="23"/>
      <c r="Y1927" s="23"/>
      <c r="Z1927" s="23"/>
      <c r="AA1927" s="23"/>
      <c r="AF1927" s="23"/>
      <c r="AG1927" s="23"/>
      <c r="AH1927" s="23"/>
      <c r="AI1927" s="23"/>
      <c r="AN1927" s="23"/>
      <c r="AO1927" s="23"/>
      <c r="AP1927" s="23"/>
      <c r="AQ1927" s="23"/>
      <c r="AR1927" s="35"/>
      <c r="AS1927" s="35"/>
      <c r="AT1927" s="35"/>
      <c r="AU1927" s="31"/>
      <c r="AV1927" s="36"/>
      <c r="AW1927" s="36"/>
    </row>
    <row r="1928" spans="4:49">
      <c r="D1928" s="31"/>
      <c r="E1928" s="31"/>
      <c r="F1928" s="31"/>
      <c r="G1928" s="31"/>
      <c r="H1928" s="32"/>
      <c r="J1928" s="33"/>
      <c r="K1928" s="33"/>
      <c r="L1928" s="33"/>
      <c r="X1928" s="23"/>
      <c r="Y1928" s="23"/>
      <c r="Z1928" s="23"/>
      <c r="AA1928" s="23"/>
      <c r="AF1928" s="23"/>
      <c r="AG1928" s="23"/>
      <c r="AH1928" s="23"/>
      <c r="AI1928" s="23"/>
      <c r="AN1928" s="23"/>
      <c r="AO1928" s="23"/>
      <c r="AP1928" s="23"/>
      <c r="AQ1928" s="23"/>
      <c r="AR1928" s="35"/>
      <c r="AS1928" s="35"/>
      <c r="AT1928" s="35"/>
      <c r="AU1928" s="31"/>
      <c r="AV1928" s="36"/>
      <c r="AW1928" s="36"/>
    </row>
    <row r="1929" spans="4:49">
      <c r="D1929" s="31"/>
      <c r="E1929" s="31"/>
      <c r="F1929" s="31"/>
      <c r="G1929" s="31"/>
      <c r="H1929" s="32"/>
      <c r="J1929" s="33"/>
      <c r="K1929" s="33"/>
      <c r="L1929" s="33"/>
      <c r="X1929" s="23"/>
      <c r="Y1929" s="23"/>
      <c r="Z1929" s="23"/>
      <c r="AA1929" s="23"/>
      <c r="AF1929" s="23"/>
      <c r="AG1929" s="23"/>
      <c r="AH1929" s="23"/>
      <c r="AI1929" s="23"/>
      <c r="AN1929" s="23"/>
      <c r="AO1929" s="23"/>
      <c r="AP1929" s="23"/>
      <c r="AQ1929" s="23"/>
      <c r="AR1929" s="35"/>
      <c r="AS1929" s="35"/>
      <c r="AT1929" s="35"/>
      <c r="AU1929" s="31"/>
      <c r="AV1929" s="36"/>
      <c r="AW1929" s="36"/>
    </row>
    <row r="1930" spans="4:49">
      <c r="D1930" s="31"/>
      <c r="E1930" s="31"/>
      <c r="F1930" s="31"/>
      <c r="G1930" s="31"/>
      <c r="H1930" s="32"/>
      <c r="J1930" s="33"/>
      <c r="K1930" s="33"/>
      <c r="L1930" s="33"/>
      <c r="X1930" s="23"/>
      <c r="Y1930" s="23"/>
      <c r="Z1930" s="23"/>
      <c r="AA1930" s="23"/>
      <c r="AF1930" s="23"/>
      <c r="AG1930" s="23"/>
      <c r="AH1930" s="23"/>
      <c r="AI1930" s="23"/>
      <c r="AN1930" s="23"/>
      <c r="AO1930" s="23"/>
      <c r="AP1930" s="23"/>
      <c r="AQ1930" s="23"/>
      <c r="AR1930" s="35"/>
      <c r="AS1930" s="35"/>
      <c r="AT1930" s="35"/>
      <c r="AU1930" s="31"/>
      <c r="AV1930" s="36"/>
      <c r="AW1930" s="36"/>
    </row>
    <row r="1931" spans="4:49">
      <c r="D1931" s="31"/>
      <c r="E1931" s="31"/>
      <c r="F1931" s="31"/>
      <c r="G1931" s="31"/>
      <c r="H1931" s="32"/>
      <c r="J1931" s="33"/>
      <c r="K1931" s="33"/>
      <c r="L1931" s="33"/>
      <c r="X1931" s="23"/>
      <c r="Y1931" s="23"/>
      <c r="Z1931" s="23"/>
      <c r="AA1931" s="23"/>
      <c r="AF1931" s="23"/>
      <c r="AG1931" s="23"/>
      <c r="AH1931" s="23"/>
      <c r="AI1931" s="23"/>
      <c r="AN1931" s="23"/>
      <c r="AO1931" s="23"/>
      <c r="AP1931" s="23"/>
      <c r="AQ1931" s="23"/>
      <c r="AR1931" s="35"/>
      <c r="AS1931" s="35"/>
      <c r="AT1931" s="35"/>
      <c r="AU1931" s="31"/>
      <c r="AV1931" s="36"/>
      <c r="AW1931" s="36"/>
    </row>
    <row r="1932" spans="4:49">
      <c r="D1932" s="31"/>
      <c r="E1932" s="31"/>
      <c r="F1932" s="31"/>
      <c r="G1932" s="31"/>
      <c r="H1932" s="32"/>
      <c r="J1932" s="33"/>
      <c r="K1932" s="33"/>
      <c r="L1932" s="33"/>
      <c r="X1932" s="23"/>
      <c r="Y1932" s="23"/>
      <c r="Z1932" s="23"/>
      <c r="AA1932" s="23"/>
      <c r="AF1932" s="23"/>
      <c r="AG1932" s="23"/>
      <c r="AH1932" s="23"/>
      <c r="AI1932" s="23"/>
      <c r="AN1932" s="23"/>
      <c r="AO1932" s="23"/>
      <c r="AP1932" s="23"/>
      <c r="AQ1932" s="23"/>
      <c r="AR1932" s="35"/>
      <c r="AS1932" s="35"/>
      <c r="AT1932" s="35"/>
      <c r="AU1932" s="31"/>
      <c r="AV1932" s="36"/>
      <c r="AW1932" s="36"/>
    </row>
    <row r="1933" spans="4:49">
      <c r="D1933" s="31"/>
      <c r="E1933" s="31"/>
      <c r="F1933" s="31"/>
      <c r="G1933" s="31"/>
      <c r="H1933" s="32"/>
      <c r="J1933" s="33"/>
      <c r="K1933" s="33"/>
      <c r="L1933" s="33"/>
      <c r="X1933" s="23"/>
      <c r="Y1933" s="23"/>
      <c r="Z1933" s="23"/>
      <c r="AA1933" s="23"/>
      <c r="AF1933" s="23"/>
      <c r="AG1933" s="23"/>
      <c r="AH1933" s="23"/>
      <c r="AI1933" s="23"/>
      <c r="AN1933" s="23"/>
      <c r="AO1933" s="23"/>
      <c r="AP1933" s="23"/>
      <c r="AQ1933" s="23"/>
      <c r="AR1933" s="35"/>
      <c r="AS1933" s="35"/>
      <c r="AT1933" s="35"/>
      <c r="AU1933" s="31"/>
      <c r="AV1933" s="36"/>
      <c r="AW1933" s="36"/>
    </row>
    <row r="1934" spans="4:49">
      <c r="D1934" s="31"/>
      <c r="E1934" s="31"/>
      <c r="F1934" s="31"/>
      <c r="G1934" s="31"/>
      <c r="H1934" s="32"/>
      <c r="J1934" s="33"/>
      <c r="K1934" s="33"/>
      <c r="L1934" s="33"/>
      <c r="X1934" s="23"/>
      <c r="Y1934" s="23"/>
      <c r="Z1934" s="23"/>
      <c r="AA1934" s="23"/>
      <c r="AF1934" s="23"/>
      <c r="AG1934" s="23"/>
      <c r="AH1934" s="23"/>
      <c r="AI1934" s="23"/>
      <c r="AN1934" s="23"/>
      <c r="AO1934" s="23"/>
      <c r="AP1934" s="23"/>
      <c r="AQ1934" s="23"/>
      <c r="AR1934" s="35"/>
      <c r="AS1934" s="35"/>
      <c r="AT1934" s="35"/>
      <c r="AU1934" s="31"/>
      <c r="AV1934" s="36"/>
      <c r="AW1934" s="36"/>
    </row>
    <row r="1935" spans="4:49">
      <c r="D1935" s="31"/>
      <c r="E1935" s="31"/>
      <c r="F1935" s="31"/>
      <c r="G1935" s="31"/>
      <c r="H1935" s="32"/>
      <c r="J1935" s="33"/>
      <c r="K1935" s="33"/>
      <c r="L1935" s="33"/>
      <c r="X1935" s="23"/>
      <c r="Y1935" s="23"/>
      <c r="Z1935" s="23"/>
      <c r="AA1935" s="23"/>
      <c r="AF1935" s="23"/>
      <c r="AG1935" s="23"/>
      <c r="AH1935" s="23"/>
      <c r="AI1935" s="23"/>
      <c r="AN1935" s="23"/>
      <c r="AO1935" s="23"/>
      <c r="AP1935" s="23"/>
      <c r="AQ1935" s="23"/>
      <c r="AR1935" s="35"/>
      <c r="AS1935" s="35"/>
      <c r="AT1935" s="35"/>
      <c r="AU1935" s="31"/>
      <c r="AV1935" s="36"/>
      <c r="AW1935" s="36"/>
    </row>
    <row r="1936" spans="4:49">
      <c r="D1936" s="31"/>
      <c r="E1936" s="31"/>
      <c r="F1936" s="31"/>
      <c r="G1936" s="31"/>
      <c r="H1936" s="32"/>
      <c r="J1936" s="33"/>
      <c r="K1936" s="33"/>
      <c r="L1936" s="33"/>
      <c r="X1936" s="23"/>
      <c r="Y1936" s="23"/>
      <c r="Z1936" s="23"/>
      <c r="AA1936" s="23"/>
      <c r="AF1936" s="23"/>
      <c r="AG1936" s="23"/>
      <c r="AH1936" s="23"/>
      <c r="AI1936" s="23"/>
      <c r="AN1936" s="23"/>
      <c r="AO1936" s="23"/>
      <c r="AP1936" s="23"/>
      <c r="AQ1936" s="23"/>
      <c r="AR1936" s="35"/>
      <c r="AS1936" s="35"/>
      <c r="AT1936" s="35"/>
      <c r="AU1936" s="31"/>
      <c r="AV1936" s="36"/>
      <c r="AW1936" s="36"/>
    </row>
    <row r="1937" spans="4:49">
      <c r="D1937" s="31"/>
      <c r="E1937" s="31"/>
      <c r="F1937" s="31"/>
      <c r="G1937" s="31"/>
      <c r="H1937" s="32"/>
      <c r="J1937" s="33"/>
      <c r="K1937" s="33"/>
      <c r="L1937" s="33"/>
      <c r="X1937" s="23"/>
      <c r="Y1937" s="23"/>
      <c r="Z1937" s="23"/>
      <c r="AA1937" s="23"/>
      <c r="AF1937" s="23"/>
      <c r="AG1937" s="23"/>
      <c r="AH1937" s="23"/>
      <c r="AI1937" s="23"/>
      <c r="AN1937" s="23"/>
      <c r="AO1937" s="23"/>
      <c r="AP1937" s="23"/>
      <c r="AQ1937" s="23"/>
      <c r="AR1937" s="35"/>
      <c r="AS1937" s="35"/>
      <c r="AT1937" s="35"/>
      <c r="AU1937" s="31"/>
      <c r="AV1937" s="36"/>
      <c r="AW1937" s="36"/>
    </row>
    <row r="1938" spans="4:49">
      <c r="D1938" s="31"/>
      <c r="E1938" s="31"/>
      <c r="F1938" s="31"/>
      <c r="G1938" s="31"/>
      <c r="H1938" s="32"/>
      <c r="J1938" s="33"/>
      <c r="K1938" s="33"/>
      <c r="L1938" s="33"/>
      <c r="X1938" s="23"/>
      <c r="Y1938" s="23"/>
      <c r="Z1938" s="23"/>
      <c r="AA1938" s="23"/>
      <c r="AF1938" s="23"/>
      <c r="AG1938" s="23"/>
      <c r="AH1938" s="23"/>
      <c r="AI1938" s="23"/>
      <c r="AN1938" s="23"/>
      <c r="AO1938" s="23"/>
      <c r="AP1938" s="23"/>
      <c r="AQ1938" s="23"/>
      <c r="AR1938" s="35"/>
      <c r="AS1938" s="35"/>
      <c r="AT1938" s="35"/>
      <c r="AU1938" s="31"/>
      <c r="AV1938" s="36"/>
      <c r="AW1938" s="36"/>
    </row>
    <row r="1939" spans="4:49">
      <c r="D1939" s="31"/>
      <c r="E1939" s="31"/>
      <c r="F1939" s="31"/>
      <c r="G1939" s="31"/>
      <c r="H1939" s="32"/>
      <c r="J1939" s="33"/>
      <c r="K1939" s="33"/>
      <c r="L1939" s="33"/>
      <c r="X1939" s="23"/>
      <c r="Y1939" s="23"/>
      <c r="Z1939" s="23"/>
      <c r="AA1939" s="23"/>
      <c r="AF1939" s="23"/>
      <c r="AG1939" s="23"/>
      <c r="AH1939" s="23"/>
      <c r="AI1939" s="23"/>
      <c r="AN1939" s="23"/>
      <c r="AO1939" s="23"/>
      <c r="AP1939" s="23"/>
      <c r="AQ1939" s="23"/>
      <c r="AR1939" s="35"/>
      <c r="AS1939" s="35"/>
      <c r="AT1939" s="35"/>
      <c r="AU1939" s="31"/>
      <c r="AV1939" s="36"/>
      <c r="AW1939" s="36"/>
    </row>
    <row r="1940" spans="4:49">
      <c r="D1940" s="31"/>
      <c r="E1940" s="31"/>
      <c r="F1940" s="31"/>
      <c r="G1940" s="31"/>
      <c r="H1940" s="32"/>
      <c r="J1940" s="33"/>
      <c r="K1940" s="33"/>
      <c r="L1940" s="33"/>
      <c r="X1940" s="23"/>
      <c r="Y1940" s="23"/>
      <c r="Z1940" s="23"/>
      <c r="AA1940" s="23"/>
      <c r="AF1940" s="23"/>
      <c r="AG1940" s="23"/>
      <c r="AH1940" s="23"/>
      <c r="AI1940" s="23"/>
      <c r="AN1940" s="23"/>
      <c r="AO1940" s="23"/>
      <c r="AP1940" s="23"/>
      <c r="AQ1940" s="23"/>
      <c r="AR1940" s="35"/>
      <c r="AS1940" s="35"/>
      <c r="AT1940" s="35"/>
      <c r="AU1940" s="31"/>
      <c r="AV1940" s="36"/>
      <c r="AW1940" s="36"/>
    </row>
    <row r="1941" spans="4:49">
      <c r="D1941" s="31"/>
      <c r="E1941" s="31"/>
      <c r="F1941" s="31"/>
      <c r="G1941" s="31"/>
      <c r="H1941" s="32"/>
      <c r="J1941" s="33"/>
      <c r="K1941" s="33"/>
      <c r="L1941" s="33"/>
      <c r="X1941" s="23"/>
      <c r="Y1941" s="23"/>
      <c r="Z1941" s="23"/>
      <c r="AA1941" s="23"/>
      <c r="AF1941" s="23"/>
      <c r="AG1941" s="23"/>
      <c r="AH1941" s="23"/>
      <c r="AI1941" s="23"/>
      <c r="AN1941" s="23"/>
      <c r="AO1941" s="23"/>
      <c r="AP1941" s="23"/>
      <c r="AQ1941" s="23"/>
      <c r="AR1941" s="35"/>
      <c r="AS1941" s="35"/>
      <c r="AT1941" s="35"/>
      <c r="AU1941" s="31"/>
      <c r="AV1941" s="36"/>
      <c r="AW1941" s="36"/>
    </row>
    <row r="1942" spans="4:49">
      <c r="D1942" s="31"/>
      <c r="E1942" s="31"/>
      <c r="F1942" s="31"/>
      <c r="G1942" s="31"/>
      <c r="H1942" s="32"/>
      <c r="J1942" s="33"/>
      <c r="K1942" s="33"/>
      <c r="L1942" s="33"/>
      <c r="X1942" s="23"/>
      <c r="Y1942" s="23"/>
      <c r="Z1942" s="23"/>
      <c r="AA1942" s="23"/>
      <c r="AF1942" s="23"/>
      <c r="AG1942" s="23"/>
      <c r="AH1942" s="23"/>
      <c r="AI1942" s="23"/>
      <c r="AN1942" s="23"/>
      <c r="AO1942" s="23"/>
      <c r="AP1942" s="23"/>
      <c r="AQ1942" s="23"/>
      <c r="AR1942" s="35"/>
      <c r="AS1942" s="35"/>
      <c r="AT1942" s="35"/>
      <c r="AU1942" s="31"/>
      <c r="AV1942" s="36"/>
      <c r="AW1942" s="36"/>
    </row>
    <row r="1943" spans="4:49">
      <c r="D1943" s="31"/>
      <c r="E1943" s="31"/>
      <c r="F1943" s="31"/>
      <c r="G1943" s="31"/>
      <c r="H1943" s="32"/>
      <c r="J1943" s="33"/>
      <c r="K1943" s="33"/>
      <c r="L1943" s="33"/>
      <c r="X1943" s="23"/>
      <c r="Y1943" s="23"/>
      <c r="Z1943" s="23"/>
      <c r="AA1943" s="23"/>
      <c r="AF1943" s="23"/>
      <c r="AG1943" s="23"/>
      <c r="AH1943" s="23"/>
      <c r="AI1943" s="23"/>
      <c r="AN1943" s="23"/>
      <c r="AO1943" s="23"/>
      <c r="AP1943" s="23"/>
      <c r="AQ1943" s="23"/>
      <c r="AR1943" s="35"/>
      <c r="AS1943" s="35"/>
      <c r="AT1943" s="35"/>
      <c r="AU1943" s="31"/>
      <c r="AV1943" s="36"/>
      <c r="AW1943" s="36"/>
    </row>
    <row r="1944" spans="4:49">
      <c r="D1944" s="31"/>
      <c r="E1944" s="31"/>
      <c r="F1944" s="31"/>
      <c r="G1944" s="31"/>
      <c r="H1944" s="32"/>
      <c r="J1944" s="33"/>
      <c r="K1944" s="33"/>
      <c r="L1944" s="33"/>
      <c r="X1944" s="23"/>
      <c r="Y1944" s="23"/>
      <c r="Z1944" s="23"/>
      <c r="AA1944" s="23"/>
      <c r="AF1944" s="23"/>
      <c r="AG1944" s="23"/>
      <c r="AH1944" s="23"/>
      <c r="AI1944" s="23"/>
      <c r="AN1944" s="23"/>
      <c r="AO1944" s="23"/>
      <c r="AP1944" s="23"/>
      <c r="AQ1944" s="23"/>
      <c r="AR1944" s="35"/>
      <c r="AS1944" s="35"/>
      <c r="AT1944" s="35"/>
      <c r="AU1944" s="31"/>
      <c r="AV1944" s="36"/>
      <c r="AW1944" s="36"/>
    </row>
    <row r="1945" spans="4:49">
      <c r="D1945" s="31"/>
      <c r="E1945" s="31"/>
      <c r="F1945" s="31"/>
      <c r="G1945" s="31"/>
      <c r="H1945" s="32"/>
      <c r="J1945" s="33"/>
      <c r="K1945" s="33"/>
      <c r="L1945" s="33"/>
      <c r="X1945" s="23"/>
      <c r="Y1945" s="23"/>
      <c r="Z1945" s="23"/>
      <c r="AA1945" s="23"/>
      <c r="AF1945" s="23"/>
      <c r="AG1945" s="23"/>
      <c r="AH1945" s="23"/>
      <c r="AI1945" s="23"/>
      <c r="AN1945" s="23"/>
      <c r="AO1945" s="23"/>
      <c r="AP1945" s="23"/>
      <c r="AQ1945" s="23"/>
      <c r="AR1945" s="35"/>
      <c r="AS1945" s="35"/>
      <c r="AT1945" s="35"/>
      <c r="AU1945" s="31"/>
      <c r="AV1945" s="36"/>
      <c r="AW1945" s="36"/>
    </row>
    <row r="1946" spans="4:49">
      <c r="D1946" s="31"/>
      <c r="E1946" s="31"/>
      <c r="F1946" s="31"/>
      <c r="G1946" s="31"/>
      <c r="H1946" s="32"/>
      <c r="J1946" s="33"/>
      <c r="K1946" s="33"/>
      <c r="L1946" s="33"/>
      <c r="X1946" s="23"/>
      <c r="Y1946" s="23"/>
      <c r="Z1946" s="23"/>
      <c r="AA1946" s="23"/>
      <c r="AF1946" s="23"/>
      <c r="AG1946" s="23"/>
      <c r="AH1946" s="23"/>
      <c r="AI1946" s="23"/>
      <c r="AN1946" s="23"/>
      <c r="AO1946" s="23"/>
      <c r="AP1946" s="23"/>
      <c r="AQ1946" s="23"/>
      <c r="AR1946" s="35"/>
      <c r="AS1946" s="35"/>
      <c r="AT1946" s="35"/>
      <c r="AU1946" s="31"/>
      <c r="AV1946" s="36"/>
      <c r="AW1946" s="36"/>
    </row>
    <row r="1947" spans="4:49">
      <c r="D1947" s="31"/>
      <c r="E1947" s="31"/>
      <c r="F1947" s="31"/>
      <c r="G1947" s="31"/>
      <c r="H1947" s="32"/>
      <c r="J1947" s="33"/>
      <c r="K1947" s="33"/>
      <c r="L1947" s="33"/>
      <c r="X1947" s="23"/>
      <c r="Y1947" s="23"/>
      <c r="Z1947" s="23"/>
      <c r="AA1947" s="23"/>
      <c r="AF1947" s="23"/>
      <c r="AG1947" s="23"/>
      <c r="AH1947" s="23"/>
      <c r="AI1947" s="23"/>
      <c r="AN1947" s="23"/>
      <c r="AO1947" s="23"/>
      <c r="AP1947" s="23"/>
      <c r="AQ1947" s="23"/>
      <c r="AR1947" s="35"/>
      <c r="AS1947" s="35"/>
      <c r="AT1947" s="35"/>
      <c r="AU1947" s="31"/>
      <c r="AV1947" s="36"/>
      <c r="AW1947" s="36"/>
    </row>
    <row r="1948" spans="4:49">
      <c r="D1948" s="31"/>
      <c r="E1948" s="31"/>
      <c r="F1948" s="31"/>
      <c r="G1948" s="31"/>
      <c r="H1948" s="32"/>
      <c r="J1948" s="33"/>
      <c r="K1948" s="33"/>
      <c r="L1948" s="33"/>
      <c r="X1948" s="23"/>
      <c r="Y1948" s="23"/>
      <c r="Z1948" s="23"/>
      <c r="AA1948" s="23"/>
      <c r="AF1948" s="23"/>
      <c r="AG1948" s="23"/>
      <c r="AH1948" s="23"/>
      <c r="AI1948" s="23"/>
      <c r="AN1948" s="23"/>
      <c r="AO1948" s="23"/>
      <c r="AP1948" s="23"/>
      <c r="AQ1948" s="23"/>
      <c r="AR1948" s="35"/>
      <c r="AS1948" s="35"/>
      <c r="AT1948" s="35"/>
      <c r="AU1948" s="31"/>
      <c r="AV1948" s="36"/>
      <c r="AW1948" s="36"/>
    </row>
    <row r="1949" spans="4:49">
      <c r="D1949" s="31"/>
      <c r="E1949" s="31"/>
      <c r="F1949" s="31"/>
      <c r="G1949" s="31"/>
      <c r="H1949" s="32"/>
      <c r="J1949" s="33"/>
      <c r="K1949" s="33"/>
      <c r="L1949" s="33"/>
      <c r="X1949" s="23"/>
      <c r="Y1949" s="23"/>
      <c r="Z1949" s="23"/>
      <c r="AA1949" s="23"/>
      <c r="AF1949" s="23"/>
      <c r="AG1949" s="23"/>
      <c r="AH1949" s="23"/>
      <c r="AI1949" s="23"/>
      <c r="AN1949" s="23"/>
      <c r="AO1949" s="23"/>
      <c r="AP1949" s="23"/>
      <c r="AQ1949" s="23"/>
      <c r="AR1949" s="35"/>
      <c r="AS1949" s="35"/>
      <c r="AT1949" s="35"/>
      <c r="AU1949" s="31"/>
      <c r="AV1949" s="36"/>
      <c r="AW1949" s="36"/>
    </row>
    <row r="1950" spans="4:49">
      <c r="D1950" s="31"/>
      <c r="E1950" s="31"/>
      <c r="F1950" s="31"/>
      <c r="G1950" s="31"/>
      <c r="H1950" s="32"/>
      <c r="J1950" s="33"/>
      <c r="K1950" s="33"/>
      <c r="L1950" s="33"/>
      <c r="X1950" s="23"/>
      <c r="Y1950" s="23"/>
      <c r="Z1950" s="23"/>
      <c r="AA1950" s="23"/>
      <c r="AF1950" s="23"/>
      <c r="AG1950" s="23"/>
      <c r="AH1950" s="23"/>
      <c r="AI1950" s="23"/>
      <c r="AN1950" s="23"/>
      <c r="AO1950" s="23"/>
      <c r="AP1950" s="23"/>
      <c r="AQ1950" s="23"/>
      <c r="AR1950" s="35"/>
      <c r="AS1950" s="35"/>
      <c r="AT1950" s="35"/>
      <c r="AU1950" s="31"/>
      <c r="AV1950" s="36"/>
      <c r="AW1950" s="36"/>
    </row>
    <row r="1951" spans="4:49">
      <c r="D1951" s="31"/>
      <c r="E1951" s="31"/>
      <c r="F1951" s="31"/>
      <c r="G1951" s="31"/>
      <c r="H1951" s="32"/>
      <c r="J1951" s="33"/>
      <c r="K1951" s="33"/>
      <c r="L1951" s="33"/>
      <c r="X1951" s="23"/>
      <c r="Y1951" s="23"/>
      <c r="Z1951" s="23"/>
      <c r="AA1951" s="23"/>
      <c r="AF1951" s="23"/>
      <c r="AG1951" s="23"/>
      <c r="AH1951" s="23"/>
      <c r="AI1951" s="23"/>
      <c r="AN1951" s="23"/>
      <c r="AO1951" s="23"/>
      <c r="AP1951" s="23"/>
      <c r="AQ1951" s="23"/>
      <c r="AR1951" s="35"/>
      <c r="AS1951" s="35"/>
      <c r="AT1951" s="35"/>
      <c r="AU1951" s="31"/>
      <c r="AV1951" s="36"/>
      <c r="AW1951" s="36"/>
    </row>
    <row r="1952" spans="4:49">
      <c r="D1952" s="31"/>
      <c r="E1952" s="31"/>
      <c r="F1952" s="31"/>
      <c r="G1952" s="31"/>
      <c r="H1952" s="32"/>
      <c r="J1952" s="33"/>
      <c r="K1952" s="33"/>
      <c r="L1952" s="33"/>
      <c r="X1952" s="23"/>
      <c r="Y1952" s="23"/>
      <c r="Z1952" s="23"/>
      <c r="AA1952" s="23"/>
      <c r="AF1952" s="23"/>
      <c r="AG1952" s="23"/>
      <c r="AH1952" s="23"/>
      <c r="AI1952" s="23"/>
      <c r="AN1952" s="23"/>
      <c r="AO1952" s="23"/>
      <c r="AP1952" s="23"/>
      <c r="AQ1952" s="23"/>
      <c r="AR1952" s="35"/>
      <c r="AS1952" s="35"/>
      <c r="AT1952" s="35"/>
      <c r="AU1952" s="31"/>
      <c r="AV1952" s="36"/>
      <c r="AW1952" s="36"/>
    </row>
    <row r="1953" spans="4:49">
      <c r="D1953" s="31"/>
      <c r="E1953" s="31"/>
      <c r="F1953" s="31"/>
      <c r="G1953" s="31"/>
      <c r="H1953" s="32"/>
      <c r="J1953" s="33"/>
      <c r="K1953" s="33"/>
      <c r="L1953" s="33"/>
      <c r="X1953" s="23"/>
      <c r="Y1953" s="23"/>
      <c r="Z1953" s="23"/>
      <c r="AA1953" s="23"/>
      <c r="AF1953" s="23"/>
      <c r="AG1953" s="23"/>
      <c r="AH1953" s="23"/>
      <c r="AI1953" s="23"/>
      <c r="AN1953" s="23"/>
      <c r="AO1953" s="23"/>
      <c r="AP1953" s="23"/>
      <c r="AQ1953" s="23"/>
      <c r="AR1953" s="35"/>
      <c r="AS1953" s="35"/>
      <c r="AT1953" s="35"/>
      <c r="AU1953" s="31"/>
      <c r="AV1953" s="36"/>
      <c r="AW1953" s="36"/>
    </row>
    <row r="1954" spans="4:49">
      <c r="D1954" s="31"/>
      <c r="E1954" s="31"/>
      <c r="F1954" s="31"/>
      <c r="G1954" s="31"/>
      <c r="H1954" s="32"/>
      <c r="J1954" s="33"/>
      <c r="K1954" s="33"/>
      <c r="L1954" s="33"/>
      <c r="X1954" s="23"/>
      <c r="Y1954" s="23"/>
      <c r="Z1954" s="23"/>
      <c r="AA1954" s="23"/>
      <c r="AF1954" s="23"/>
      <c r="AG1954" s="23"/>
      <c r="AH1954" s="23"/>
      <c r="AI1954" s="23"/>
      <c r="AN1954" s="23"/>
      <c r="AO1954" s="23"/>
      <c r="AP1954" s="23"/>
      <c r="AQ1954" s="23"/>
      <c r="AR1954" s="35"/>
      <c r="AS1954" s="35"/>
      <c r="AT1954" s="35"/>
      <c r="AU1954" s="31"/>
      <c r="AV1954" s="36"/>
      <c r="AW1954" s="36"/>
    </row>
    <row r="1955" spans="4:49">
      <c r="D1955" s="31"/>
      <c r="E1955" s="31"/>
      <c r="F1955" s="31"/>
      <c r="G1955" s="31"/>
      <c r="H1955" s="32"/>
      <c r="J1955" s="33"/>
      <c r="K1955" s="33"/>
      <c r="L1955" s="33"/>
      <c r="X1955" s="23"/>
      <c r="Y1955" s="23"/>
      <c r="Z1955" s="23"/>
      <c r="AA1955" s="23"/>
      <c r="AF1955" s="23"/>
      <c r="AG1955" s="23"/>
      <c r="AH1955" s="23"/>
      <c r="AI1955" s="23"/>
      <c r="AN1955" s="23"/>
      <c r="AO1955" s="23"/>
      <c r="AP1955" s="23"/>
      <c r="AQ1955" s="23"/>
      <c r="AR1955" s="35"/>
      <c r="AS1955" s="35"/>
      <c r="AT1955" s="35"/>
      <c r="AU1955" s="31"/>
      <c r="AV1955" s="36"/>
      <c r="AW1955" s="36"/>
    </row>
    <row r="1956" spans="4:49">
      <c r="D1956" s="31"/>
      <c r="E1956" s="31"/>
      <c r="F1956" s="31"/>
      <c r="G1956" s="31"/>
      <c r="H1956" s="32"/>
      <c r="J1956" s="33"/>
      <c r="K1956" s="33"/>
      <c r="L1956" s="33"/>
      <c r="X1956" s="23"/>
      <c r="Y1956" s="23"/>
      <c r="Z1956" s="23"/>
      <c r="AA1956" s="23"/>
      <c r="AF1956" s="23"/>
      <c r="AG1956" s="23"/>
      <c r="AH1956" s="23"/>
      <c r="AI1956" s="23"/>
      <c r="AN1956" s="23"/>
      <c r="AO1956" s="23"/>
      <c r="AP1956" s="23"/>
      <c r="AQ1956" s="23"/>
      <c r="AR1956" s="35"/>
      <c r="AS1956" s="35"/>
      <c r="AT1956" s="35"/>
      <c r="AU1956" s="31"/>
      <c r="AV1956" s="36"/>
      <c r="AW1956" s="36"/>
    </row>
    <row r="1957" spans="4:49">
      <c r="D1957" s="31"/>
      <c r="E1957" s="31"/>
      <c r="F1957" s="31"/>
      <c r="G1957" s="31"/>
      <c r="H1957" s="32"/>
      <c r="J1957" s="33"/>
      <c r="K1957" s="33"/>
      <c r="L1957" s="33"/>
      <c r="X1957" s="23"/>
      <c r="Y1957" s="23"/>
      <c r="Z1957" s="23"/>
      <c r="AA1957" s="23"/>
      <c r="AF1957" s="23"/>
      <c r="AG1957" s="23"/>
      <c r="AH1957" s="23"/>
      <c r="AI1957" s="23"/>
      <c r="AN1957" s="23"/>
      <c r="AO1957" s="23"/>
      <c r="AP1957" s="23"/>
      <c r="AQ1957" s="23"/>
      <c r="AR1957" s="35"/>
      <c r="AS1957" s="35"/>
      <c r="AT1957" s="35"/>
      <c r="AU1957" s="31"/>
      <c r="AV1957" s="36"/>
      <c r="AW1957" s="36"/>
    </row>
    <row r="1958" spans="4:49">
      <c r="D1958" s="31"/>
      <c r="E1958" s="31"/>
      <c r="F1958" s="31"/>
      <c r="G1958" s="31"/>
      <c r="H1958" s="32"/>
      <c r="J1958" s="33"/>
      <c r="K1958" s="33"/>
      <c r="L1958" s="33"/>
      <c r="X1958" s="23"/>
      <c r="Y1958" s="23"/>
      <c r="Z1958" s="23"/>
      <c r="AA1958" s="23"/>
      <c r="AF1958" s="23"/>
      <c r="AG1958" s="23"/>
      <c r="AH1958" s="23"/>
      <c r="AI1958" s="23"/>
      <c r="AN1958" s="23"/>
      <c r="AO1958" s="23"/>
      <c r="AP1958" s="23"/>
      <c r="AQ1958" s="23"/>
      <c r="AR1958" s="35"/>
      <c r="AS1958" s="35"/>
      <c r="AT1958" s="35"/>
      <c r="AU1958" s="31"/>
      <c r="AV1958" s="36"/>
      <c r="AW1958" s="36"/>
    </row>
    <row r="1959" spans="4:49">
      <c r="D1959" s="31"/>
      <c r="E1959" s="31"/>
      <c r="F1959" s="31"/>
      <c r="G1959" s="31"/>
      <c r="H1959" s="32"/>
      <c r="J1959" s="33"/>
      <c r="K1959" s="33"/>
      <c r="L1959" s="33"/>
      <c r="X1959" s="23"/>
      <c r="Y1959" s="23"/>
      <c r="Z1959" s="23"/>
      <c r="AA1959" s="23"/>
      <c r="AF1959" s="23"/>
      <c r="AG1959" s="23"/>
      <c r="AH1959" s="23"/>
      <c r="AI1959" s="23"/>
      <c r="AN1959" s="23"/>
      <c r="AO1959" s="23"/>
      <c r="AP1959" s="23"/>
      <c r="AQ1959" s="23"/>
      <c r="AR1959" s="35"/>
      <c r="AS1959" s="35"/>
      <c r="AT1959" s="35"/>
      <c r="AU1959" s="31"/>
      <c r="AV1959" s="36"/>
      <c r="AW1959" s="36"/>
    </row>
    <row r="1960" spans="4:49">
      <c r="D1960" s="31"/>
      <c r="E1960" s="31"/>
      <c r="F1960" s="31"/>
      <c r="G1960" s="31"/>
      <c r="H1960" s="32"/>
      <c r="J1960" s="33"/>
      <c r="K1960" s="33"/>
      <c r="L1960" s="33"/>
      <c r="X1960" s="23"/>
      <c r="Y1960" s="23"/>
      <c r="Z1960" s="23"/>
      <c r="AA1960" s="23"/>
      <c r="AF1960" s="23"/>
      <c r="AG1960" s="23"/>
      <c r="AH1960" s="23"/>
      <c r="AI1960" s="23"/>
      <c r="AN1960" s="23"/>
      <c r="AO1960" s="23"/>
      <c r="AP1960" s="23"/>
      <c r="AQ1960" s="23"/>
      <c r="AR1960" s="35"/>
      <c r="AS1960" s="35"/>
      <c r="AT1960" s="35"/>
      <c r="AU1960" s="31"/>
      <c r="AV1960" s="36"/>
      <c r="AW1960" s="36"/>
    </row>
    <row r="1961" spans="4:49">
      <c r="D1961" s="31"/>
      <c r="E1961" s="31"/>
      <c r="F1961" s="31"/>
      <c r="G1961" s="31"/>
      <c r="H1961" s="32"/>
      <c r="J1961" s="33"/>
      <c r="K1961" s="33"/>
      <c r="L1961" s="33"/>
      <c r="X1961" s="23"/>
      <c r="Y1961" s="23"/>
      <c r="Z1961" s="23"/>
      <c r="AA1961" s="23"/>
      <c r="AF1961" s="23"/>
      <c r="AG1961" s="23"/>
      <c r="AH1961" s="23"/>
      <c r="AI1961" s="23"/>
      <c r="AN1961" s="23"/>
      <c r="AO1961" s="23"/>
      <c r="AP1961" s="23"/>
      <c r="AQ1961" s="23"/>
      <c r="AR1961" s="35"/>
      <c r="AS1961" s="35"/>
      <c r="AT1961" s="35"/>
      <c r="AU1961" s="31"/>
      <c r="AV1961" s="36"/>
      <c r="AW1961" s="36"/>
    </row>
    <row r="1962" spans="4:49">
      <c r="D1962" s="31"/>
      <c r="E1962" s="31"/>
      <c r="F1962" s="31"/>
      <c r="G1962" s="31"/>
      <c r="H1962" s="32"/>
      <c r="J1962" s="33"/>
      <c r="K1962" s="33"/>
      <c r="L1962" s="33"/>
      <c r="X1962" s="23"/>
      <c r="Y1962" s="23"/>
      <c r="Z1962" s="23"/>
      <c r="AA1962" s="23"/>
      <c r="AF1962" s="23"/>
      <c r="AG1962" s="23"/>
      <c r="AH1962" s="23"/>
      <c r="AI1962" s="23"/>
      <c r="AN1962" s="23"/>
      <c r="AO1962" s="23"/>
      <c r="AP1962" s="23"/>
      <c r="AQ1962" s="23"/>
      <c r="AR1962" s="35"/>
      <c r="AS1962" s="35"/>
      <c r="AT1962" s="35"/>
      <c r="AU1962" s="31"/>
      <c r="AV1962" s="36"/>
      <c r="AW1962" s="36"/>
    </row>
    <row r="1963" spans="4:49">
      <c r="D1963" s="31"/>
      <c r="E1963" s="31"/>
      <c r="F1963" s="31"/>
      <c r="G1963" s="31"/>
      <c r="H1963" s="32"/>
      <c r="J1963" s="33"/>
      <c r="K1963" s="33"/>
      <c r="L1963" s="33"/>
      <c r="X1963" s="23"/>
      <c r="Y1963" s="23"/>
      <c r="Z1963" s="23"/>
      <c r="AA1963" s="23"/>
      <c r="AF1963" s="23"/>
      <c r="AG1963" s="23"/>
      <c r="AH1963" s="23"/>
      <c r="AI1963" s="23"/>
      <c r="AN1963" s="23"/>
      <c r="AO1963" s="23"/>
      <c r="AP1963" s="23"/>
      <c r="AQ1963" s="23"/>
      <c r="AR1963" s="35"/>
      <c r="AS1963" s="35"/>
      <c r="AT1963" s="35"/>
      <c r="AU1963" s="31"/>
      <c r="AV1963" s="36"/>
      <c r="AW1963" s="36"/>
    </row>
    <row r="1964" spans="4:49">
      <c r="D1964" s="31"/>
      <c r="E1964" s="31"/>
      <c r="F1964" s="31"/>
      <c r="G1964" s="31"/>
      <c r="H1964" s="32"/>
      <c r="J1964" s="33"/>
      <c r="K1964" s="33"/>
      <c r="L1964" s="33"/>
      <c r="X1964" s="23"/>
      <c r="Y1964" s="23"/>
      <c r="Z1964" s="23"/>
      <c r="AA1964" s="23"/>
      <c r="AF1964" s="23"/>
      <c r="AG1964" s="23"/>
      <c r="AH1964" s="23"/>
      <c r="AI1964" s="23"/>
      <c r="AN1964" s="23"/>
      <c r="AO1964" s="23"/>
      <c r="AP1964" s="23"/>
      <c r="AQ1964" s="23"/>
      <c r="AR1964" s="35"/>
      <c r="AS1964" s="35"/>
      <c r="AT1964" s="35"/>
      <c r="AU1964" s="31"/>
      <c r="AV1964" s="36"/>
      <c r="AW1964" s="36"/>
    </row>
    <row r="1965" spans="4:49">
      <c r="D1965" s="31"/>
      <c r="E1965" s="31"/>
      <c r="F1965" s="31"/>
      <c r="G1965" s="31"/>
      <c r="H1965" s="32"/>
      <c r="J1965" s="33"/>
      <c r="K1965" s="33"/>
      <c r="L1965" s="33"/>
      <c r="X1965" s="23"/>
      <c r="Y1965" s="23"/>
      <c r="Z1965" s="23"/>
      <c r="AA1965" s="23"/>
      <c r="AF1965" s="23"/>
      <c r="AG1965" s="23"/>
      <c r="AH1965" s="23"/>
      <c r="AI1965" s="23"/>
      <c r="AN1965" s="23"/>
      <c r="AO1965" s="23"/>
      <c r="AP1965" s="23"/>
      <c r="AQ1965" s="23"/>
      <c r="AR1965" s="35"/>
      <c r="AS1965" s="35"/>
      <c r="AT1965" s="35"/>
      <c r="AU1965" s="31"/>
      <c r="AV1965" s="36"/>
      <c r="AW1965" s="36"/>
    </row>
    <row r="1966" spans="4:49">
      <c r="D1966" s="31"/>
      <c r="E1966" s="31"/>
      <c r="F1966" s="31"/>
      <c r="G1966" s="31"/>
      <c r="H1966" s="32"/>
      <c r="J1966" s="33"/>
      <c r="K1966" s="33"/>
      <c r="L1966" s="33"/>
      <c r="X1966" s="23"/>
      <c r="Y1966" s="23"/>
      <c r="Z1966" s="23"/>
      <c r="AA1966" s="23"/>
      <c r="AF1966" s="23"/>
      <c r="AG1966" s="23"/>
      <c r="AH1966" s="23"/>
      <c r="AI1966" s="23"/>
      <c r="AN1966" s="23"/>
      <c r="AO1966" s="23"/>
      <c r="AP1966" s="23"/>
      <c r="AQ1966" s="23"/>
      <c r="AR1966" s="35"/>
      <c r="AS1966" s="35"/>
      <c r="AT1966" s="35"/>
      <c r="AU1966" s="31"/>
      <c r="AV1966" s="36"/>
      <c r="AW1966" s="36"/>
    </row>
    <row r="1967" spans="4:49">
      <c r="D1967" s="31"/>
      <c r="E1967" s="31"/>
      <c r="F1967" s="31"/>
      <c r="G1967" s="31"/>
      <c r="H1967" s="32"/>
      <c r="J1967" s="33"/>
      <c r="K1967" s="33"/>
      <c r="L1967" s="33"/>
      <c r="X1967" s="23"/>
      <c r="Y1967" s="23"/>
      <c r="Z1967" s="23"/>
      <c r="AA1967" s="23"/>
      <c r="AF1967" s="23"/>
      <c r="AG1967" s="23"/>
      <c r="AH1967" s="23"/>
      <c r="AI1967" s="23"/>
      <c r="AN1967" s="23"/>
      <c r="AO1967" s="23"/>
      <c r="AP1967" s="23"/>
      <c r="AQ1967" s="23"/>
      <c r="AR1967" s="35"/>
      <c r="AS1967" s="35"/>
      <c r="AT1967" s="35"/>
      <c r="AU1967" s="31"/>
      <c r="AV1967" s="36"/>
      <c r="AW1967" s="36"/>
    </row>
    <row r="1968" spans="4:49">
      <c r="D1968" s="31"/>
      <c r="E1968" s="31"/>
      <c r="F1968" s="31"/>
      <c r="G1968" s="31"/>
      <c r="H1968" s="32"/>
      <c r="J1968" s="33"/>
      <c r="K1968" s="33"/>
      <c r="L1968" s="33"/>
      <c r="X1968" s="23"/>
      <c r="Y1968" s="23"/>
      <c r="Z1968" s="23"/>
      <c r="AA1968" s="23"/>
      <c r="AF1968" s="23"/>
      <c r="AG1968" s="23"/>
      <c r="AH1968" s="23"/>
      <c r="AI1968" s="23"/>
      <c r="AN1968" s="23"/>
      <c r="AO1968" s="23"/>
      <c r="AP1968" s="23"/>
      <c r="AQ1968" s="23"/>
      <c r="AR1968" s="35"/>
      <c r="AS1968" s="35"/>
      <c r="AT1968" s="35"/>
      <c r="AU1968" s="31"/>
      <c r="AV1968" s="36"/>
      <c r="AW1968" s="36"/>
    </row>
    <row r="1969" spans="4:49">
      <c r="D1969" s="31"/>
      <c r="E1969" s="31"/>
      <c r="F1969" s="31"/>
      <c r="G1969" s="31"/>
      <c r="H1969" s="32"/>
      <c r="J1969" s="33"/>
      <c r="K1969" s="33"/>
      <c r="L1969" s="33"/>
      <c r="X1969" s="23"/>
      <c r="Y1969" s="23"/>
      <c r="Z1969" s="23"/>
      <c r="AA1969" s="23"/>
      <c r="AF1969" s="23"/>
      <c r="AG1969" s="23"/>
      <c r="AH1969" s="23"/>
      <c r="AI1969" s="23"/>
      <c r="AN1969" s="23"/>
      <c r="AO1969" s="23"/>
      <c r="AP1969" s="23"/>
      <c r="AQ1969" s="23"/>
      <c r="AR1969" s="35"/>
      <c r="AS1969" s="35"/>
      <c r="AT1969" s="35"/>
      <c r="AU1969" s="31"/>
      <c r="AV1969" s="36"/>
      <c r="AW1969" s="36"/>
    </row>
    <row r="1970" spans="4:49">
      <c r="D1970" s="31"/>
      <c r="E1970" s="31"/>
      <c r="F1970" s="31"/>
      <c r="G1970" s="31"/>
      <c r="H1970" s="32"/>
      <c r="J1970" s="33"/>
      <c r="K1970" s="33"/>
      <c r="L1970" s="33"/>
      <c r="X1970" s="23"/>
      <c r="Y1970" s="23"/>
      <c r="Z1970" s="23"/>
      <c r="AA1970" s="23"/>
      <c r="AF1970" s="23"/>
      <c r="AG1970" s="23"/>
      <c r="AH1970" s="23"/>
      <c r="AI1970" s="23"/>
      <c r="AN1970" s="23"/>
      <c r="AO1970" s="23"/>
      <c r="AP1970" s="23"/>
      <c r="AQ1970" s="23"/>
      <c r="AR1970" s="35"/>
      <c r="AS1970" s="35"/>
      <c r="AT1970" s="35"/>
      <c r="AU1970" s="31"/>
      <c r="AV1970" s="36"/>
      <c r="AW1970" s="36"/>
    </row>
    <row r="1971" spans="4:49">
      <c r="D1971" s="31"/>
      <c r="E1971" s="31"/>
      <c r="F1971" s="31"/>
      <c r="G1971" s="31"/>
      <c r="H1971" s="32"/>
      <c r="J1971" s="33"/>
      <c r="K1971" s="33"/>
      <c r="L1971" s="33"/>
      <c r="X1971" s="23"/>
      <c r="Y1971" s="23"/>
      <c r="Z1971" s="23"/>
      <c r="AA1971" s="23"/>
      <c r="AF1971" s="23"/>
      <c r="AG1971" s="23"/>
      <c r="AH1971" s="23"/>
      <c r="AI1971" s="23"/>
      <c r="AN1971" s="23"/>
      <c r="AO1971" s="23"/>
      <c r="AP1971" s="23"/>
      <c r="AQ1971" s="23"/>
      <c r="AR1971" s="35"/>
      <c r="AS1971" s="35"/>
      <c r="AT1971" s="35"/>
      <c r="AU1971" s="31"/>
      <c r="AV1971" s="36"/>
      <c r="AW1971" s="36"/>
    </row>
    <row r="1972" spans="4:49">
      <c r="D1972" s="31"/>
      <c r="E1972" s="31"/>
      <c r="F1972" s="31"/>
      <c r="G1972" s="31"/>
      <c r="H1972" s="32"/>
      <c r="J1972" s="33"/>
      <c r="K1972" s="33"/>
      <c r="L1972" s="33"/>
      <c r="X1972" s="23"/>
      <c r="Y1972" s="23"/>
      <c r="Z1972" s="23"/>
      <c r="AA1972" s="23"/>
      <c r="AF1972" s="23"/>
      <c r="AG1972" s="23"/>
      <c r="AH1972" s="23"/>
      <c r="AI1972" s="23"/>
      <c r="AN1972" s="23"/>
      <c r="AO1972" s="23"/>
      <c r="AP1972" s="23"/>
      <c r="AQ1972" s="23"/>
      <c r="AR1972" s="35"/>
      <c r="AS1972" s="35"/>
      <c r="AT1972" s="35"/>
      <c r="AU1972" s="31"/>
      <c r="AV1972" s="36"/>
      <c r="AW1972" s="36"/>
    </row>
    <row r="1973" spans="4:49">
      <c r="D1973" s="31"/>
      <c r="E1973" s="31"/>
      <c r="F1973" s="31"/>
      <c r="G1973" s="31"/>
      <c r="H1973" s="32"/>
      <c r="J1973" s="33"/>
      <c r="K1973" s="33"/>
      <c r="L1973" s="33"/>
      <c r="X1973" s="23"/>
      <c r="Y1973" s="23"/>
      <c r="Z1973" s="23"/>
      <c r="AA1973" s="23"/>
      <c r="AF1973" s="23"/>
      <c r="AG1973" s="23"/>
      <c r="AH1973" s="23"/>
      <c r="AI1973" s="23"/>
      <c r="AN1973" s="23"/>
      <c r="AO1973" s="23"/>
      <c r="AP1973" s="23"/>
      <c r="AQ1973" s="23"/>
      <c r="AR1973" s="35"/>
      <c r="AS1973" s="35"/>
      <c r="AT1973" s="35"/>
      <c r="AU1973" s="31"/>
      <c r="AV1973" s="36"/>
      <c r="AW1973" s="36"/>
    </row>
    <row r="1974" spans="4:49">
      <c r="D1974" s="31"/>
      <c r="E1974" s="31"/>
      <c r="F1974" s="31"/>
      <c r="G1974" s="31"/>
      <c r="H1974" s="32"/>
      <c r="J1974" s="33"/>
      <c r="K1974" s="33"/>
      <c r="L1974" s="33"/>
      <c r="X1974" s="23"/>
      <c r="Y1974" s="23"/>
      <c r="Z1974" s="23"/>
      <c r="AA1974" s="23"/>
      <c r="AF1974" s="23"/>
      <c r="AG1974" s="23"/>
      <c r="AH1974" s="23"/>
      <c r="AI1974" s="23"/>
      <c r="AN1974" s="23"/>
      <c r="AO1974" s="23"/>
      <c r="AP1974" s="23"/>
      <c r="AQ1974" s="23"/>
      <c r="AR1974" s="35"/>
      <c r="AS1974" s="35"/>
      <c r="AT1974" s="35"/>
      <c r="AU1974" s="31"/>
      <c r="AV1974" s="36"/>
      <c r="AW1974" s="36"/>
    </row>
    <row r="1975" spans="4:49">
      <c r="D1975" s="31"/>
      <c r="E1975" s="31"/>
      <c r="F1975" s="31"/>
      <c r="G1975" s="31"/>
      <c r="H1975" s="32"/>
      <c r="J1975" s="33"/>
      <c r="K1975" s="33"/>
      <c r="L1975" s="33"/>
      <c r="X1975" s="23"/>
      <c r="Y1975" s="23"/>
      <c r="Z1975" s="23"/>
      <c r="AA1975" s="23"/>
      <c r="AF1975" s="23"/>
      <c r="AG1975" s="23"/>
      <c r="AH1975" s="23"/>
      <c r="AI1975" s="23"/>
      <c r="AN1975" s="23"/>
      <c r="AO1975" s="23"/>
      <c r="AP1975" s="23"/>
      <c r="AQ1975" s="23"/>
      <c r="AR1975" s="35"/>
      <c r="AS1975" s="35"/>
      <c r="AT1975" s="35"/>
      <c r="AU1975" s="31"/>
      <c r="AV1975" s="36"/>
      <c r="AW1975" s="36"/>
    </row>
    <row r="1976" spans="4:49">
      <c r="D1976" s="31"/>
      <c r="E1976" s="31"/>
      <c r="F1976" s="31"/>
      <c r="G1976" s="31"/>
      <c r="H1976" s="32"/>
      <c r="J1976" s="33"/>
      <c r="K1976" s="33"/>
      <c r="L1976" s="33"/>
      <c r="X1976" s="23"/>
      <c r="Y1976" s="23"/>
      <c r="Z1976" s="23"/>
      <c r="AA1976" s="23"/>
      <c r="AF1976" s="23"/>
      <c r="AG1976" s="23"/>
      <c r="AH1976" s="23"/>
      <c r="AI1976" s="23"/>
      <c r="AN1976" s="23"/>
      <c r="AO1976" s="23"/>
      <c r="AP1976" s="23"/>
      <c r="AQ1976" s="23"/>
      <c r="AR1976" s="35"/>
      <c r="AS1976" s="35"/>
      <c r="AT1976" s="35"/>
      <c r="AU1976" s="31"/>
      <c r="AV1976" s="36"/>
      <c r="AW1976" s="36"/>
    </row>
    <row r="1977" spans="4:49">
      <c r="D1977" s="31"/>
      <c r="E1977" s="31"/>
      <c r="F1977" s="31"/>
      <c r="G1977" s="31"/>
      <c r="H1977" s="32"/>
      <c r="J1977" s="33"/>
      <c r="K1977" s="33"/>
      <c r="L1977" s="33"/>
      <c r="X1977" s="23"/>
      <c r="Y1977" s="23"/>
      <c r="Z1977" s="23"/>
      <c r="AA1977" s="23"/>
      <c r="AF1977" s="23"/>
      <c r="AG1977" s="23"/>
      <c r="AH1977" s="23"/>
      <c r="AI1977" s="23"/>
      <c r="AN1977" s="23"/>
      <c r="AO1977" s="23"/>
      <c r="AP1977" s="23"/>
      <c r="AQ1977" s="23"/>
      <c r="AR1977" s="35"/>
      <c r="AS1977" s="35"/>
      <c r="AT1977" s="35"/>
      <c r="AU1977" s="31"/>
      <c r="AV1977" s="36"/>
      <c r="AW1977" s="36"/>
    </row>
    <row r="1978" spans="4:49">
      <c r="D1978" s="31"/>
      <c r="E1978" s="31"/>
      <c r="F1978" s="31"/>
      <c r="G1978" s="31"/>
      <c r="H1978" s="32"/>
      <c r="J1978" s="33"/>
      <c r="K1978" s="33"/>
      <c r="L1978" s="33"/>
      <c r="X1978" s="23"/>
      <c r="Y1978" s="23"/>
      <c r="Z1978" s="23"/>
      <c r="AA1978" s="23"/>
      <c r="AF1978" s="23"/>
      <c r="AG1978" s="23"/>
      <c r="AH1978" s="23"/>
      <c r="AI1978" s="23"/>
      <c r="AN1978" s="23"/>
      <c r="AO1978" s="23"/>
      <c r="AP1978" s="23"/>
      <c r="AQ1978" s="23"/>
      <c r="AR1978" s="35"/>
      <c r="AS1978" s="35"/>
      <c r="AT1978" s="35"/>
      <c r="AU1978" s="31"/>
      <c r="AV1978" s="36"/>
      <c r="AW1978" s="36"/>
    </row>
    <row r="1979" spans="4:49">
      <c r="D1979" s="31"/>
      <c r="E1979" s="31"/>
      <c r="F1979" s="31"/>
      <c r="G1979" s="31"/>
      <c r="H1979" s="32"/>
      <c r="J1979" s="33"/>
      <c r="K1979" s="33"/>
      <c r="L1979" s="33"/>
      <c r="X1979" s="23"/>
      <c r="Y1979" s="23"/>
      <c r="Z1979" s="23"/>
      <c r="AA1979" s="23"/>
      <c r="AF1979" s="23"/>
      <c r="AG1979" s="23"/>
      <c r="AH1979" s="23"/>
      <c r="AI1979" s="23"/>
      <c r="AN1979" s="23"/>
      <c r="AO1979" s="23"/>
      <c r="AP1979" s="23"/>
      <c r="AQ1979" s="23"/>
      <c r="AR1979" s="35"/>
      <c r="AS1979" s="35"/>
      <c r="AT1979" s="35"/>
      <c r="AU1979" s="31"/>
      <c r="AV1979" s="36"/>
      <c r="AW1979" s="36"/>
    </row>
    <row r="1980" spans="4:49">
      <c r="D1980" s="31"/>
      <c r="E1980" s="31"/>
      <c r="F1980" s="31"/>
      <c r="G1980" s="31"/>
      <c r="H1980" s="32"/>
      <c r="J1980" s="33"/>
      <c r="K1980" s="33"/>
      <c r="L1980" s="33"/>
      <c r="X1980" s="23"/>
      <c r="Y1980" s="23"/>
      <c r="Z1980" s="23"/>
      <c r="AA1980" s="23"/>
      <c r="AF1980" s="23"/>
      <c r="AG1980" s="23"/>
      <c r="AH1980" s="23"/>
      <c r="AI1980" s="23"/>
      <c r="AN1980" s="23"/>
      <c r="AO1980" s="23"/>
      <c r="AP1980" s="23"/>
      <c r="AQ1980" s="23"/>
      <c r="AR1980" s="35"/>
      <c r="AS1980" s="35"/>
      <c r="AT1980" s="35"/>
      <c r="AU1980" s="31"/>
      <c r="AV1980" s="36"/>
      <c r="AW1980" s="36"/>
    </row>
    <row r="1981" spans="4:49">
      <c r="D1981" s="31"/>
      <c r="E1981" s="31"/>
      <c r="F1981" s="31"/>
      <c r="G1981" s="31"/>
      <c r="H1981" s="32"/>
      <c r="J1981" s="33"/>
      <c r="K1981" s="33"/>
      <c r="L1981" s="33"/>
      <c r="X1981" s="23"/>
      <c r="Y1981" s="23"/>
      <c r="Z1981" s="23"/>
      <c r="AA1981" s="23"/>
      <c r="AF1981" s="23"/>
      <c r="AG1981" s="23"/>
      <c r="AH1981" s="23"/>
      <c r="AI1981" s="23"/>
      <c r="AN1981" s="23"/>
      <c r="AO1981" s="23"/>
      <c r="AP1981" s="23"/>
      <c r="AQ1981" s="23"/>
      <c r="AR1981" s="35"/>
      <c r="AS1981" s="35"/>
      <c r="AT1981" s="35"/>
      <c r="AU1981" s="31"/>
      <c r="AV1981" s="36"/>
      <c r="AW1981" s="36"/>
    </row>
    <row r="1982" spans="4:49">
      <c r="D1982" s="31"/>
      <c r="E1982" s="31"/>
      <c r="F1982" s="31"/>
      <c r="G1982" s="31"/>
      <c r="H1982" s="32"/>
      <c r="J1982" s="33"/>
      <c r="K1982" s="33"/>
      <c r="L1982" s="33"/>
      <c r="X1982" s="23"/>
      <c r="Y1982" s="23"/>
      <c r="Z1982" s="23"/>
      <c r="AA1982" s="23"/>
      <c r="AF1982" s="23"/>
      <c r="AG1982" s="23"/>
      <c r="AH1982" s="23"/>
      <c r="AI1982" s="23"/>
      <c r="AN1982" s="23"/>
      <c r="AO1982" s="23"/>
      <c r="AP1982" s="23"/>
      <c r="AQ1982" s="23"/>
      <c r="AR1982" s="35"/>
      <c r="AS1982" s="35"/>
      <c r="AT1982" s="35"/>
      <c r="AU1982" s="31"/>
      <c r="AV1982" s="36"/>
      <c r="AW1982" s="36"/>
    </row>
    <row r="1983" spans="4:49">
      <c r="D1983" s="31"/>
      <c r="E1983" s="31"/>
      <c r="F1983" s="31"/>
      <c r="G1983" s="31"/>
      <c r="H1983" s="32"/>
      <c r="J1983" s="33"/>
      <c r="K1983" s="33"/>
      <c r="L1983" s="33"/>
      <c r="X1983" s="23"/>
      <c r="Y1983" s="23"/>
      <c r="Z1983" s="23"/>
      <c r="AA1983" s="23"/>
      <c r="AF1983" s="23"/>
      <c r="AG1983" s="23"/>
      <c r="AH1983" s="23"/>
      <c r="AI1983" s="23"/>
      <c r="AN1983" s="23"/>
      <c r="AO1983" s="23"/>
      <c r="AP1983" s="23"/>
      <c r="AQ1983" s="23"/>
      <c r="AR1983" s="35"/>
      <c r="AS1983" s="35"/>
      <c r="AT1983" s="35"/>
      <c r="AU1983" s="31"/>
      <c r="AV1983" s="36"/>
      <c r="AW1983" s="36"/>
    </row>
    <row r="1984" spans="4:49">
      <c r="D1984" s="31"/>
      <c r="E1984" s="31"/>
      <c r="F1984" s="31"/>
      <c r="G1984" s="31"/>
      <c r="H1984" s="32"/>
      <c r="J1984" s="33"/>
      <c r="K1984" s="33"/>
      <c r="L1984" s="33"/>
      <c r="X1984" s="23"/>
      <c r="Y1984" s="23"/>
      <c r="Z1984" s="23"/>
      <c r="AA1984" s="23"/>
      <c r="AF1984" s="23"/>
      <c r="AG1984" s="23"/>
      <c r="AH1984" s="23"/>
      <c r="AI1984" s="23"/>
      <c r="AN1984" s="23"/>
      <c r="AO1984" s="23"/>
      <c r="AP1984" s="23"/>
      <c r="AQ1984" s="23"/>
      <c r="AR1984" s="35"/>
      <c r="AS1984" s="35"/>
      <c r="AT1984" s="35"/>
      <c r="AU1984" s="31"/>
      <c r="AV1984" s="36"/>
      <c r="AW1984" s="36"/>
    </row>
    <row r="1985" spans="4:49">
      <c r="D1985" s="31"/>
      <c r="E1985" s="31"/>
      <c r="F1985" s="31"/>
      <c r="G1985" s="31"/>
      <c r="H1985" s="32"/>
      <c r="J1985" s="33"/>
      <c r="K1985" s="33"/>
      <c r="L1985" s="33"/>
      <c r="X1985" s="23"/>
      <c r="Y1985" s="23"/>
      <c r="Z1985" s="23"/>
      <c r="AA1985" s="23"/>
      <c r="AF1985" s="23"/>
      <c r="AG1985" s="23"/>
      <c r="AH1985" s="23"/>
      <c r="AI1985" s="23"/>
      <c r="AN1985" s="23"/>
      <c r="AO1985" s="23"/>
      <c r="AP1985" s="23"/>
      <c r="AQ1985" s="23"/>
      <c r="AR1985" s="35"/>
      <c r="AS1985" s="35"/>
      <c r="AT1985" s="35"/>
      <c r="AU1985" s="31"/>
      <c r="AV1985" s="36"/>
      <c r="AW1985" s="36"/>
    </row>
    <row r="1986" spans="4:49">
      <c r="D1986" s="31"/>
      <c r="E1986" s="31"/>
      <c r="F1986" s="31"/>
      <c r="G1986" s="31"/>
      <c r="H1986" s="32"/>
      <c r="J1986" s="33"/>
      <c r="K1986" s="33"/>
      <c r="L1986" s="33"/>
      <c r="X1986" s="23"/>
      <c r="Y1986" s="23"/>
      <c r="Z1986" s="23"/>
      <c r="AA1986" s="23"/>
      <c r="AF1986" s="23"/>
      <c r="AG1986" s="23"/>
      <c r="AH1986" s="23"/>
      <c r="AI1986" s="23"/>
      <c r="AN1986" s="23"/>
      <c r="AO1986" s="23"/>
      <c r="AP1986" s="23"/>
      <c r="AQ1986" s="23"/>
      <c r="AR1986" s="35"/>
      <c r="AS1986" s="35"/>
      <c r="AT1986" s="35"/>
      <c r="AU1986" s="31"/>
      <c r="AV1986" s="36"/>
      <c r="AW1986" s="36"/>
    </row>
    <row r="1987" spans="4:49">
      <c r="D1987" s="31"/>
      <c r="E1987" s="31"/>
      <c r="F1987" s="31"/>
      <c r="G1987" s="31"/>
      <c r="H1987" s="32"/>
      <c r="J1987" s="33"/>
      <c r="K1987" s="33"/>
      <c r="L1987" s="33"/>
      <c r="X1987" s="23"/>
      <c r="Y1987" s="23"/>
      <c r="Z1987" s="23"/>
      <c r="AA1987" s="23"/>
      <c r="AF1987" s="23"/>
      <c r="AG1987" s="23"/>
      <c r="AH1987" s="23"/>
      <c r="AI1987" s="23"/>
      <c r="AN1987" s="23"/>
      <c r="AO1987" s="23"/>
      <c r="AP1987" s="23"/>
      <c r="AQ1987" s="23"/>
      <c r="AR1987" s="35"/>
      <c r="AS1987" s="35"/>
      <c r="AT1987" s="35"/>
      <c r="AU1987" s="31"/>
      <c r="AV1987" s="36"/>
      <c r="AW1987" s="36"/>
    </row>
    <row r="1988" spans="4:49">
      <c r="D1988" s="31"/>
      <c r="E1988" s="31"/>
      <c r="F1988" s="31"/>
      <c r="G1988" s="31"/>
      <c r="H1988" s="32"/>
      <c r="J1988" s="33"/>
      <c r="K1988" s="33"/>
      <c r="L1988" s="33"/>
      <c r="X1988" s="23"/>
      <c r="Y1988" s="23"/>
      <c r="Z1988" s="23"/>
      <c r="AA1988" s="23"/>
      <c r="AF1988" s="23"/>
      <c r="AG1988" s="23"/>
      <c r="AH1988" s="23"/>
      <c r="AI1988" s="23"/>
      <c r="AN1988" s="23"/>
      <c r="AO1988" s="23"/>
      <c r="AP1988" s="23"/>
      <c r="AQ1988" s="23"/>
      <c r="AR1988" s="35"/>
      <c r="AS1988" s="35"/>
      <c r="AT1988" s="35"/>
      <c r="AU1988" s="31"/>
      <c r="AV1988" s="36"/>
      <c r="AW1988" s="36"/>
    </row>
    <row r="1989" spans="4:49">
      <c r="D1989" s="31"/>
      <c r="E1989" s="31"/>
      <c r="F1989" s="31"/>
      <c r="G1989" s="31"/>
      <c r="H1989" s="32"/>
      <c r="J1989" s="33"/>
      <c r="K1989" s="33"/>
      <c r="L1989" s="33"/>
      <c r="X1989" s="23"/>
      <c r="Y1989" s="23"/>
      <c r="Z1989" s="23"/>
      <c r="AA1989" s="23"/>
      <c r="AF1989" s="23"/>
      <c r="AG1989" s="23"/>
      <c r="AH1989" s="23"/>
      <c r="AI1989" s="23"/>
      <c r="AN1989" s="23"/>
      <c r="AO1989" s="23"/>
      <c r="AP1989" s="23"/>
      <c r="AQ1989" s="23"/>
      <c r="AR1989" s="35"/>
      <c r="AS1989" s="35"/>
      <c r="AT1989" s="35"/>
      <c r="AU1989" s="31"/>
      <c r="AV1989" s="36"/>
      <c r="AW1989" s="36"/>
    </row>
    <row r="1990" spans="4:49">
      <c r="D1990" s="31"/>
      <c r="E1990" s="31"/>
      <c r="F1990" s="31"/>
      <c r="G1990" s="31"/>
      <c r="H1990" s="32"/>
      <c r="J1990" s="33"/>
      <c r="K1990" s="33"/>
      <c r="L1990" s="33"/>
      <c r="X1990" s="23"/>
      <c r="Y1990" s="23"/>
      <c r="Z1990" s="23"/>
      <c r="AA1990" s="23"/>
      <c r="AF1990" s="23"/>
      <c r="AG1990" s="23"/>
      <c r="AH1990" s="23"/>
      <c r="AI1990" s="23"/>
      <c r="AN1990" s="23"/>
      <c r="AO1990" s="23"/>
      <c r="AP1990" s="23"/>
      <c r="AQ1990" s="23"/>
      <c r="AR1990" s="35"/>
      <c r="AS1990" s="35"/>
      <c r="AT1990" s="35"/>
      <c r="AU1990" s="31"/>
      <c r="AV1990" s="36"/>
      <c r="AW1990" s="36"/>
    </row>
    <row r="1991" spans="4:49">
      <c r="D1991" s="31"/>
      <c r="E1991" s="31"/>
      <c r="F1991" s="31"/>
      <c r="G1991" s="31"/>
      <c r="H1991" s="32"/>
      <c r="J1991" s="33"/>
      <c r="K1991" s="33"/>
      <c r="L1991" s="33"/>
      <c r="X1991" s="23"/>
      <c r="Y1991" s="23"/>
      <c r="Z1991" s="23"/>
      <c r="AA1991" s="23"/>
      <c r="AF1991" s="23"/>
      <c r="AG1991" s="23"/>
      <c r="AH1991" s="23"/>
      <c r="AI1991" s="23"/>
      <c r="AN1991" s="23"/>
      <c r="AO1991" s="23"/>
      <c r="AP1991" s="23"/>
      <c r="AQ1991" s="23"/>
      <c r="AR1991" s="35"/>
      <c r="AS1991" s="35"/>
      <c r="AT1991" s="35"/>
      <c r="AU1991" s="31"/>
      <c r="AV1991" s="36"/>
      <c r="AW1991" s="36"/>
    </row>
    <row r="1992" spans="4:49">
      <c r="D1992" s="31"/>
      <c r="E1992" s="31"/>
      <c r="F1992" s="31"/>
      <c r="G1992" s="31"/>
      <c r="H1992" s="32"/>
      <c r="J1992" s="33"/>
      <c r="K1992" s="33"/>
      <c r="L1992" s="33"/>
      <c r="X1992" s="23"/>
      <c r="Y1992" s="23"/>
      <c r="Z1992" s="23"/>
      <c r="AA1992" s="23"/>
      <c r="AF1992" s="23"/>
      <c r="AG1992" s="23"/>
      <c r="AH1992" s="23"/>
      <c r="AI1992" s="23"/>
      <c r="AN1992" s="23"/>
      <c r="AO1992" s="23"/>
      <c r="AP1992" s="23"/>
      <c r="AQ1992" s="23"/>
      <c r="AR1992" s="35"/>
      <c r="AS1992" s="35"/>
      <c r="AT1992" s="35"/>
      <c r="AU1992" s="31"/>
      <c r="AV1992" s="36"/>
      <c r="AW1992" s="36"/>
    </row>
    <row r="1993" spans="4:49">
      <c r="D1993" s="31"/>
      <c r="E1993" s="31"/>
      <c r="F1993" s="31"/>
      <c r="G1993" s="31"/>
      <c r="H1993" s="32"/>
      <c r="J1993" s="33"/>
      <c r="K1993" s="33"/>
      <c r="L1993" s="33"/>
      <c r="X1993" s="23"/>
      <c r="Y1993" s="23"/>
      <c r="Z1993" s="23"/>
      <c r="AA1993" s="23"/>
      <c r="AF1993" s="23"/>
      <c r="AG1993" s="23"/>
      <c r="AH1993" s="23"/>
      <c r="AI1993" s="23"/>
      <c r="AN1993" s="23"/>
      <c r="AO1993" s="23"/>
      <c r="AP1993" s="23"/>
      <c r="AQ1993" s="23"/>
      <c r="AR1993" s="35"/>
      <c r="AS1993" s="35"/>
      <c r="AT1993" s="35"/>
      <c r="AU1993" s="31"/>
      <c r="AV1993" s="36"/>
      <c r="AW1993" s="36"/>
    </row>
    <row r="1994" spans="4:49">
      <c r="D1994" s="31"/>
      <c r="E1994" s="31"/>
      <c r="F1994" s="31"/>
      <c r="G1994" s="31"/>
      <c r="H1994" s="32"/>
      <c r="J1994" s="33"/>
      <c r="K1994" s="33"/>
      <c r="L1994" s="33"/>
      <c r="X1994" s="23"/>
      <c r="Y1994" s="23"/>
      <c r="Z1994" s="23"/>
      <c r="AA1994" s="23"/>
      <c r="AF1994" s="23"/>
      <c r="AG1994" s="23"/>
      <c r="AH1994" s="23"/>
      <c r="AI1994" s="23"/>
      <c r="AN1994" s="23"/>
      <c r="AO1994" s="23"/>
      <c r="AP1994" s="23"/>
      <c r="AQ1994" s="23"/>
      <c r="AR1994" s="35"/>
      <c r="AS1994" s="35"/>
      <c r="AT1994" s="35"/>
      <c r="AU1994" s="31"/>
      <c r="AV1994" s="36"/>
      <c r="AW1994" s="36"/>
    </row>
    <row r="1995" spans="4:49">
      <c r="D1995" s="31"/>
      <c r="E1995" s="31"/>
      <c r="F1995" s="31"/>
      <c r="G1995" s="31"/>
      <c r="H1995" s="32"/>
      <c r="J1995" s="33"/>
      <c r="K1995" s="33"/>
      <c r="L1995" s="33"/>
      <c r="X1995" s="23"/>
      <c r="Y1995" s="23"/>
      <c r="Z1995" s="23"/>
      <c r="AA1995" s="23"/>
      <c r="AF1995" s="23"/>
      <c r="AG1995" s="23"/>
      <c r="AH1995" s="23"/>
      <c r="AI1995" s="23"/>
      <c r="AN1995" s="23"/>
      <c r="AO1995" s="23"/>
      <c r="AP1995" s="23"/>
      <c r="AQ1995" s="23"/>
      <c r="AR1995" s="35"/>
      <c r="AS1995" s="35"/>
      <c r="AT1995" s="35"/>
      <c r="AU1995" s="31"/>
      <c r="AV1995" s="36"/>
      <c r="AW1995" s="36"/>
    </row>
    <row r="1996" spans="4:49">
      <c r="D1996" s="31"/>
      <c r="E1996" s="31"/>
      <c r="F1996" s="31"/>
      <c r="G1996" s="31"/>
      <c r="H1996" s="32"/>
      <c r="J1996" s="33"/>
      <c r="K1996" s="33"/>
      <c r="L1996" s="33"/>
      <c r="X1996" s="23"/>
      <c r="Y1996" s="23"/>
      <c r="Z1996" s="23"/>
      <c r="AA1996" s="23"/>
      <c r="AF1996" s="23"/>
      <c r="AG1996" s="23"/>
      <c r="AH1996" s="23"/>
      <c r="AI1996" s="23"/>
      <c r="AN1996" s="23"/>
      <c r="AO1996" s="23"/>
      <c r="AP1996" s="23"/>
      <c r="AQ1996" s="23"/>
      <c r="AR1996" s="35"/>
      <c r="AS1996" s="35"/>
      <c r="AT1996" s="35"/>
      <c r="AU1996" s="31"/>
      <c r="AV1996" s="36"/>
      <c r="AW1996" s="36"/>
    </row>
    <row r="1997" spans="4:49">
      <c r="D1997" s="31"/>
      <c r="E1997" s="31"/>
      <c r="F1997" s="31"/>
      <c r="G1997" s="31"/>
      <c r="H1997" s="32"/>
      <c r="J1997" s="33"/>
      <c r="K1997" s="33"/>
      <c r="L1997" s="33"/>
      <c r="X1997" s="23"/>
      <c r="Y1997" s="23"/>
      <c r="Z1997" s="23"/>
      <c r="AA1997" s="23"/>
      <c r="AF1997" s="23"/>
      <c r="AG1997" s="23"/>
      <c r="AH1997" s="23"/>
      <c r="AI1997" s="23"/>
      <c r="AN1997" s="23"/>
      <c r="AO1997" s="23"/>
      <c r="AP1997" s="23"/>
      <c r="AQ1997" s="23"/>
      <c r="AR1997" s="35"/>
      <c r="AS1997" s="35"/>
      <c r="AT1997" s="35"/>
      <c r="AU1997" s="31"/>
      <c r="AV1997" s="36"/>
      <c r="AW1997" s="36"/>
    </row>
    <row r="1998" spans="4:49">
      <c r="D1998" s="31"/>
      <c r="E1998" s="31"/>
      <c r="F1998" s="31"/>
      <c r="G1998" s="31"/>
      <c r="H1998" s="32"/>
      <c r="J1998" s="33"/>
      <c r="K1998" s="33"/>
      <c r="L1998" s="33"/>
      <c r="X1998" s="23"/>
      <c r="Y1998" s="23"/>
      <c r="Z1998" s="23"/>
      <c r="AA1998" s="23"/>
      <c r="AF1998" s="23"/>
      <c r="AG1998" s="23"/>
      <c r="AH1998" s="23"/>
      <c r="AI1998" s="23"/>
      <c r="AN1998" s="23"/>
      <c r="AO1998" s="23"/>
      <c r="AP1998" s="23"/>
      <c r="AQ1998" s="23"/>
      <c r="AR1998" s="35"/>
      <c r="AS1998" s="35"/>
      <c r="AT1998" s="35"/>
      <c r="AU1998" s="31"/>
      <c r="AV1998" s="36"/>
      <c r="AW1998" s="36"/>
    </row>
    <row r="1999" spans="4:49">
      <c r="D1999" s="31"/>
      <c r="E1999" s="31"/>
      <c r="F1999" s="31"/>
      <c r="G1999" s="31"/>
      <c r="H1999" s="32"/>
      <c r="J1999" s="33"/>
      <c r="K1999" s="33"/>
      <c r="L1999" s="33"/>
      <c r="X1999" s="23"/>
      <c r="Y1999" s="23"/>
      <c r="Z1999" s="23"/>
      <c r="AA1999" s="23"/>
      <c r="AF1999" s="23"/>
      <c r="AG1999" s="23"/>
      <c r="AH1999" s="23"/>
      <c r="AI1999" s="23"/>
      <c r="AN1999" s="23"/>
      <c r="AO1999" s="23"/>
      <c r="AP1999" s="23"/>
      <c r="AQ1999" s="23"/>
      <c r="AR1999" s="35"/>
      <c r="AS1999" s="35"/>
      <c r="AT1999" s="35"/>
      <c r="AU1999" s="31"/>
      <c r="AV1999" s="36"/>
      <c r="AW1999" s="36"/>
    </row>
    <row r="2000" spans="4:49">
      <c r="D2000" s="31"/>
      <c r="E2000" s="31"/>
      <c r="F2000" s="31"/>
      <c r="G2000" s="31"/>
      <c r="H2000" s="32"/>
      <c r="J2000" s="33"/>
      <c r="K2000" s="33"/>
      <c r="L2000" s="33"/>
      <c r="X2000" s="23"/>
      <c r="Y2000" s="23"/>
      <c r="Z2000" s="23"/>
      <c r="AA2000" s="23"/>
      <c r="AF2000" s="23"/>
      <c r="AG2000" s="23"/>
      <c r="AH2000" s="23"/>
      <c r="AI2000" s="23"/>
      <c r="AN2000" s="23"/>
      <c r="AO2000" s="23"/>
      <c r="AP2000" s="23"/>
      <c r="AQ2000" s="23"/>
      <c r="AR2000" s="35"/>
      <c r="AS2000" s="35"/>
      <c r="AT2000" s="35"/>
      <c r="AU2000" s="31"/>
      <c r="AV2000" s="36"/>
      <c r="AW2000" s="36"/>
    </row>
    <row r="2001" spans="4:49">
      <c r="D2001" s="31"/>
      <c r="E2001" s="31"/>
      <c r="F2001" s="31"/>
      <c r="G2001" s="31"/>
      <c r="H2001" s="32"/>
      <c r="J2001" s="33"/>
      <c r="K2001" s="33"/>
      <c r="L2001" s="33"/>
      <c r="X2001" s="23"/>
      <c r="Y2001" s="23"/>
      <c r="Z2001" s="23"/>
      <c r="AA2001" s="23"/>
      <c r="AF2001" s="23"/>
      <c r="AG2001" s="23"/>
      <c r="AH2001" s="23"/>
      <c r="AI2001" s="23"/>
      <c r="AN2001" s="23"/>
      <c r="AO2001" s="23"/>
      <c r="AP2001" s="23"/>
      <c r="AQ2001" s="23"/>
      <c r="AR2001" s="35"/>
      <c r="AS2001" s="35"/>
      <c r="AT2001" s="35"/>
      <c r="AU2001" s="31"/>
      <c r="AV2001" s="36"/>
      <c r="AW2001" s="36"/>
    </row>
    <row r="2002" spans="4:49">
      <c r="D2002" s="31"/>
      <c r="E2002" s="31"/>
      <c r="F2002" s="31"/>
      <c r="G2002" s="31"/>
      <c r="H2002" s="32"/>
      <c r="J2002" s="33"/>
      <c r="K2002" s="33"/>
      <c r="L2002" s="33"/>
      <c r="X2002" s="23"/>
      <c r="Y2002" s="23"/>
      <c r="Z2002" s="23"/>
      <c r="AA2002" s="23"/>
      <c r="AF2002" s="23"/>
      <c r="AG2002" s="23"/>
      <c r="AH2002" s="23"/>
      <c r="AI2002" s="23"/>
      <c r="AN2002" s="23"/>
      <c r="AO2002" s="23"/>
      <c r="AP2002" s="23"/>
      <c r="AQ2002" s="23"/>
      <c r="AR2002" s="35"/>
      <c r="AS2002" s="35"/>
      <c r="AT2002" s="35"/>
      <c r="AU2002" s="31"/>
      <c r="AV2002" s="36"/>
      <c r="AW2002" s="36"/>
    </row>
    <row r="2003" spans="4:49">
      <c r="D2003" s="31"/>
      <c r="E2003" s="31"/>
      <c r="F2003" s="31"/>
      <c r="G2003" s="31"/>
      <c r="H2003" s="32"/>
      <c r="J2003" s="33"/>
      <c r="K2003" s="33"/>
      <c r="L2003" s="33"/>
      <c r="X2003" s="23"/>
      <c r="Y2003" s="23"/>
      <c r="Z2003" s="23"/>
      <c r="AA2003" s="23"/>
      <c r="AF2003" s="23"/>
      <c r="AG2003" s="23"/>
      <c r="AH2003" s="23"/>
      <c r="AI2003" s="23"/>
      <c r="AN2003" s="23"/>
      <c r="AO2003" s="23"/>
      <c r="AP2003" s="23"/>
      <c r="AQ2003" s="23"/>
      <c r="AR2003" s="35"/>
      <c r="AS2003" s="35"/>
      <c r="AT2003" s="35"/>
      <c r="AU2003" s="31"/>
      <c r="AV2003" s="36"/>
      <c r="AW2003" s="36"/>
    </row>
    <row r="2004" spans="4:49">
      <c r="D2004" s="31"/>
      <c r="E2004" s="31"/>
      <c r="F2004" s="31"/>
      <c r="G2004" s="31"/>
      <c r="H2004" s="32"/>
      <c r="J2004" s="33"/>
      <c r="K2004" s="33"/>
      <c r="L2004" s="33"/>
      <c r="X2004" s="23"/>
      <c r="Y2004" s="23"/>
      <c r="Z2004" s="23"/>
      <c r="AA2004" s="23"/>
      <c r="AF2004" s="23"/>
      <c r="AG2004" s="23"/>
      <c r="AH2004" s="23"/>
      <c r="AI2004" s="23"/>
      <c r="AN2004" s="23"/>
      <c r="AO2004" s="23"/>
      <c r="AP2004" s="23"/>
      <c r="AQ2004" s="23"/>
      <c r="AR2004" s="35"/>
      <c r="AS2004" s="35"/>
      <c r="AT2004" s="35"/>
      <c r="AU2004" s="31"/>
      <c r="AV2004" s="36"/>
      <c r="AW2004" s="36"/>
    </row>
    <row r="2005" spans="4:49">
      <c r="D2005" s="31"/>
      <c r="E2005" s="31"/>
      <c r="F2005" s="31"/>
      <c r="G2005" s="31"/>
      <c r="H2005" s="32"/>
      <c r="J2005" s="33"/>
      <c r="K2005" s="33"/>
      <c r="L2005" s="33"/>
      <c r="X2005" s="23"/>
      <c r="Y2005" s="23"/>
      <c r="Z2005" s="23"/>
      <c r="AA2005" s="23"/>
      <c r="AF2005" s="23"/>
      <c r="AG2005" s="23"/>
      <c r="AH2005" s="23"/>
      <c r="AI2005" s="23"/>
      <c r="AN2005" s="23"/>
      <c r="AO2005" s="23"/>
      <c r="AP2005" s="23"/>
      <c r="AQ2005" s="23"/>
      <c r="AR2005" s="35"/>
      <c r="AS2005" s="35"/>
      <c r="AT2005" s="35"/>
      <c r="AU2005" s="31"/>
      <c r="AV2005" s="36"/>
      <c r="AW2005" s="36"/>
    </row>
    <row r="2006" spans="4:49">
      <c r="D2006" s="31"/>
      <c r="E2006" s="31"/>
      <c r="F2006" s="31"/>
      <c r="G2006" s="31"/>
      <c r="H2006" s="32"/>
      <c r="J2006" s="33"/>
      <c r="K2006" s="33"/>
      <c r="L2006" s="33"/>
      <c r="X2006" s="23"/>
      <c r="Y2006" s="23"/>
      <c r="Z2006" s="23"/>
      <c r="AA2006" s="23"/>
      <c r="AF2006" s="23"/>
      <c r="AG2006" s="23"/>
      <c r="AH2006" s="23"/>
      <c r="AI2006" s="23"/>
      <c r="AN2006" s="23"/>
      <c r="AO2006" s="23"/>
      <c r="AP2006" s="23"/>
      <c r="AQ2006" s="23"/>
      <c r="AR2006" s="35"/>
      <c r="AS2006" s="35"/>
      <c r="AT2006" s="35"/>
      <c r="AU2006" s="31"/>
      <c r="AV2006" s="36"/>
      <c r="AW2006" s="36"/>
    </row>
    <row r="2007" spans="4:49">
      <c r="D2007" s="31"/>
      <c r="E2007" s="31"/>
      <c r="F2007" s="31"/>
      <c r="G2007" s="31"/>
      <c r="H2007" s="32"/>
      <c r="J2007" s="33"/>
      <c r="K2007" s="33"/>
      <c r="L2007" s="33"/>
      <c r="X2007" s="23"/>
      <c r="Y2007" s="23"/>
      <c r="Z2007" s="23"/>
      <c r="AA2007" s="23"/>
      <c r="AF2007" s="23"/>
      <c r="AG2007" s="23"/>
      <c r="AH2007" s="23"/>
      <c r="AI2007" s="23"/>
      <c r="AN2007" s="23"/>
      <c r="AO2007" s="23"/>
      <c r="AP2007" s="23"/>
      <c r="AQ2007" s="23"/>
      <c r="AR2007" s="35"/>
      <c r="AS2007" s="35"/>
      <c r="AT2007" s="35"/>
      <c r="AU2007" s="31"/>
      <c r="AV2007" s="36"/>
      <c r="AW2007" s="36"/>
    </row>
    <row r="2008" spans="4:49">
      <c r="D2008" s="31"/>
      <c r="E2008" s="31"/>
      <c r="F2008" s="31"/>
      <c r="G2008" s="31"/>
      <c r="H2008" s="32"/>
      <c r="J2008" s="33"/>
      <c r="K2008" s="33"/>
      <c r="L2008" s="33"/>
      <c r="X2008" s="23"/>
      <c r="Y2008" s="23"/>
      <c r="Z2008" s="23"/>
      <c r="AA2008" s="23"/>
      <c r="AF2008" s="23"/>
      <c r="AG2008" s="23"/>
      <c r="AH2008" s="23"/>
      <c r="AI2008" s="23"/>
      <c r="AN2008" s="23"/>
      <c r="AO2008" s="23"/>
      <c r="AP2008" s="23"/>
      <c r="AQ2008" s="23"/>
      <c r="AR2008" s="35"/>
      <c r="AS2008" s="35"/>
      <c r="AT2008" s="35"/>
      <c r="AU2008" s="31"/>
      <c r="AV2008" s="36"/>
      <c r="AW2008" s="36"/>
    </row>
    <row r="2009" spans="4:49">
      <c r="D2009" s="31"/>
      <c r="E2009" s="31"/>
      <c r="F2009" s="31"/>
      <c r="G2009" s="31"/>
      <c r="H2009" s="32"/>
      <c r="J2009" s="33"/>
      <c r="K2009" s="33"/>
      <c r="L2009" s="33"/>
      <c r="X2009" s="23"/>
      <c r="Y2009" s="23"/>
      <c r="Z2009" s="23"/>
      <c r="AA2009" s="23"/>
      <c r="AF2009" s="23"/>
      <c r="AG2009" s="23"/>
      <c r="AH2009" s="23"/>
      <c r="AI2009" s="23"/>
      <c r="AN2009" s="23"/>
      <c r="AO2009" s="23"/>
      <c r="AP2009" s="23"/>
      <c r="AQ2009" s="23"/>
      <c r="AR2009" s="35"/>
      <c r="AS2009" s="35"/>
      <c r="AT2009" s="35"/>
      <c r="AU2009" s="31"/>
      <c r="AV2009" s="36"/>
      <c r="AW2009" s="36"/>
    </row>
    <row r="2010" spans="4:49">
      <c r="D2010" s="31"/>
      <c r="E2010" s="31"/>
      <c r="F2010" s="31"/>
      <c r="G2010" s="31"/>
      <c r="H2010" s="32"/>
      <c r="J2010" s="33"/>
      <c r="K2010" s="33"/>
      <c r="L2010" s="33"/>
      <c r="X2010" s="23"/>
      <c r="Y2010" s="23"/>
      <c r="Z2010" s="23"/>
      <c r="AA2010" s="23"/>
      <c r="AF2010" s="23"/>
      <c r="AG2010" s="23"/>
      <c r="AH2010" s="23"/>
      <c r="AI2010" s="23"/>
      <c r="AN2010" s="23"/>
      <c r="AO2010" s="23"/>
      <c r="AP2010" s="23"/>
      <c r="AQ2010" s="23"/>
      <c r="AR2010" s="35"/>
      <c r="AS2010" s="35"/>
      <c r="AT2010" s="35"/>
      <c r="AU2010" s="31"/>
      <c r="AV2010" s="36"/>
      <c r="AW2010" s="36"/>
    </row>
    <row r="2011" spans="4:49">
      <c r="D2011" s="31"/>
      <c r="E2011" s="31"/>
      <c r="F2011" s="31"/>
      <c r="G2011" s="31"/>
      <c r="H2011" s="32"/>
      <c r="J2011" s="33"/>
      <c r="K2011" s="33"/>
      <c r="L2011" s="33"/>
      <c r="X2011" s="23"/>
      <c r="Y2011" s="23"/>
      <c r="Z2011" s="23"/>
      <c r="AA2011" s="23"/>
      <c r="AF2011" s="23"/>
      <c r="AG2011" s="23"/>
      <c r="AH2011" s="23"/>
      <c r="AI2011" s="23"/>
      <c r="AN2011" s="23"/>
      <c r="AO2011" s="23"/>
      <c r="AP2011" s="23"/>
      <c r="AQ2011" s="23"/>
      <c r="AR2011" s="35"/>
      <c r="AS2011" s="35"/>
      <c r="AT2011" s="35"/>
      <c r="AU2011" s="31"/>
      <c r="AV2011" s="36"/>
      <c r="AW2011" s="36"/>
    </row>
    <row r="2012" spans="4:49">
      <c r="D2012" s="31"/>
      <c r="E2012" s="31"/>
      <c r="F2012" s="31"/>
      <c r="G2012" s="31"/>
      <c r="H2012" s="32"/>
      <c r="J2012" s="33"/>
      <c r="K2012" s="33"/>
      <c r="L2012" s="33"/>
      <c r="X2012" s="23"/>
      <c r="Y2012" s="23"/>
      <c r="Z2012" s="23"/>
      <c r="AA2012" s="23"/>
      <c r="AF2012" s="23"/>
      <c r="AG2012" s="23"/>
      <c r="AH2012" s="23"/>
      <c r="AI2012" s="23"/>
      <c r="AN2012" s="23"/>
      <c r="AO2012" s="23"/>
      <c r="AP2012" s="23"/>
      <c r="AQ2012" s="23"/>
      <c r="AR2012" s="35"/>
      <c r="AS2012" s="35"/>
      <c r="AT2012" s="35"/>
      <c r="AU2012" s="31"/>
      <c r="AV2012" s="36"/>
      <c r="AW2012" s="36"/>
    </row>
    <row r="2013" spans="4:49">
      <c r="D2013" s="31"/>
      <c r="E2013" s="31"/>
      <c r="F2013" s="31"/>
      <c r="G2013" s="31"/>
      <c r="H2013" s="32"/>
      <c r="J2013" s="33"/>
      <c r="K2013" s="33"/>
      <c r="L2013" s="33"/>
      <c r="X2013" s="23"/>
      <c r="Y2013" s="23"/>
      <c r="Z2013" s="23"/>
      <c r="AA2013" s="23"/>
      <c r="AF2013" s="23"/>
      <c r="AG2013" s="23"/>
      <c r="AH2013" s="23"/>
      <c r="AI2013" s="23"/>
      <c r="AN2013" s="23"/>
      <c r="AO2013" s="23"/>
      <c r="AP2013" s="23"/>
      <c r="AQ2013" s="23"/>
      <c r="AR2013" s="35"/>
      <c r="AS2013" s="35"/>
      <c r="AT2013" s="35"/>
      <c r="AU2013" s="31"/>
      <c r="AV2013" s="36"/>
      <c r="AW2013" s="36"/>
    </row>
    <row r="2014" spans="4:49">
      <c r="D2014" s="31"/>
      <c r="E2014" s="31"/>
      <c r="F2014" s="31"/>
      <c r="G2014" s="31"/>
      <c r="H2014" s="32"/>
      <c r="J2014" s="33"/>
      <c r="K2014" s="33"/>
      <c r="L2014" s="33"/>
      <c r="X2014" s="23"/>
      <c r="Y2014" s="23"/>
      <c r="Z2014" s="23"/>
      <c r="AA2014" s="23"/>
      <c r="AF2014" s="23"/>
      <c r="AG2014" s="23"/>
      <c r="AH2014" s="23"/>
      <c r="AI2014" s="23"/>
      <c r="AN2014" s="23"/>
      <c r="AO2014" s="23"/>
      <c r="AP2014" s="23"/>
      <c r="AQ2014" s="23"/>
      <c r="AR2014" s="35"/>
      <c r="AS2014" s="35"/>
      <c r="AT2014" s="35"/>
      <c r="AU2014" s="31"/>
      <c r="AV2014" s="36"/>
      <c r="AW2014" s="36"/>
    </row>
    <row r="2015" spans="4:49">
      <c r="D2015" s="31"/>
      <c r="E2015" s="31"/>
      <c r="F2015" s="31"/>
      <c r="G2015" s="31"/>
      <c r="H2015" s="32"/>
      <c r="J2015" s="33"/>
      <c r="K2015" s="33"/>
      <c r="L2015" s="33"/>
      <c r="X2015" s="23"/>
      <c r="Y2015" s="23"/>
      <c r="Z2015" s="23"/>
      <c r="AA2015" s="23"/>
      <c r="AF2015" s="23"/>
      <c r="AG2015" s="23"/>
      <c r="AH2015" s="23"/>
      <c r="AI2015" s="23"/>
      <c r="AN2015" s="23"/>
      <c r="AO2015" s="23"/>
      <c r="AP2015" s="23"/>
      <c r="AQ2015" s="23"/>
      <c r="AR2015" s="35"/>
      <c r="AS2015" s="35"/>
      <c r="AT2015" s="35"/>
      <c r="AU2015" s="31"/>
      <c r="AV2015" s="36"/>
      <c r="AW2015" s="36"/>
    </row>
    <row r="2016" spans="4:49">
      <c r="D2016" s="31"/>
      <c r="E2016" s="31"/>
      <c r="F2016" s="31"/>
      <c r="G2016" s="31"/>
      <c r="H2016" s="32"/>
      <c r="J2016" s="33"/>
      <c r="K2016" s="33"/>
      <c r="L2016" s="33"/>
      <c r="X2016" s="23"/>
      <c r="Y2016" s="23"/>
      <c r="Z2016" s="23"/>
      <c r="AA2016" s="23"/>
      <c r="AF2016" s="23"/>
      <c r="AG2016" s="23"/>
      <c r="AH2016" s="23"/>
      <c r="AI2016" s="23"/>
      <c r="AN2016" s="23"/>
      <c r="AO2016" s="23"/>
      <c r="AP2016" s="23"/>
      <c r="AQ2016" s="23"/>
      <c r="AR2016" s="35"/>
      <c r="AS2016" s="35"/>
      <c r="AT2016" s="35"/>
      <c r="AU2016" s="31"/>
      <c r="AV2016" s="36"/>
      <c r="AW2016" s="36"/>
    </row>
    <row r="2017" spans="4:49">
      <c r="D2017" s="31"/>
      <c r="E2017" s="31"/>
      <c r="F2017" s="31"/>
      <c r="G2017" s="31"/>
      <c r="H2017" s="32"/>
      <c r="J2017" s="33"/>
      <c r="K2017" s="33"/>
      <c r="L2017" s="33"/>
      <c r="X2017" s="23"/>
      <c r="Y2017" s="23"/>
      <c r="Z2017" s="23"/>
      <c r="AA2017" s="23"/>
      <c r="AF2017" s="23"/>
      <c r="AG2017" s="23"/>
      <c r="AH2017" s="23"/>
      <c r="AI2017" s="23"/>
      <c r="AN2017" s="23"/>
      <c r="AO2017" s="23"/>
      <c r="AP2017" s="23"/>
      <c r="AQ2017" s="23"/>
      <c r="AR2017" s="35"/>
      <c r="AS2017" s="35"/>
      <c r="AT2017" s="35"/>
      <c r="AU2017" s="31"/>
      <c r="AV2017" s="36"/>
      <c r="AW2017" s="36"/>
    </row>
    <row r="2018" spans="4:49">
      <c r="D2018" s="31"/>
      <c r="E2018" s="31"/>
      <c r="F2018" s="31"/>
      <c r="G2018" s="31"/>
      <c r="H2018" s="32"/>
      <c r="J2018" s="33"/>
      <c r="K2018" s="33"/>
      <c r="L2018" s="33"/>
      <c r="X2018" s="23"/>
      <c r="Y2018" s="23"/>
      <c r="Z2018" s="23"/>
      <c r="AA2018" s="23"/>
      <c r="AF2018" s="23"/>
      <c r="AG2018" s="23"/>
      <c r="AH2018" s="23"/>
      <c r="AI2018" s="23"/>
      <c r="AN2018" s="23"/>
      <c r="AO2018" s="23"/>
      <c r="AP2018" s="23"/>
      <c r="AQ2018" s="23"/>
      <c r="AR2018" s="35"/>
      <c r="AS2018" s="35"/>
      <c r="AT2018" s="35"/>
      <c r="AU2018" s="31"/>
      <c r="AV2018" s="36"/>
      <c r="AW2018" s="36"/>
    </row>
    <row r="2019" spans="4:49">
      <c r="D2019" s="31"/>
      <c r="E2019" s="31"/>
      <c r="F2019" s="31"/>
      <c r="G2019" s="31"/>
      <c r="H2019" s="32"/>
      <c r="J2019" s="33"/>
      <c r="K2019" s="33"/>
      <c r="L2019" s="33"/>
      <c r="X2019" s="23"/>
      <c r="Y2019" s="23"/>
      <c r="Z2019" s="23"/>
      <c r="AA2019" s="23"/>
      <c r="AF2019" s="23"/>
      <c r="AG2019" s="23"/>
      <c r="AH2019" s="23"/>
      <c r="AI2019" s="23"/>
      <c r="AN2019" s="23"/>
      <c r="AO2019" s="23"/>
      <c r="AP2019" s="23"/>
      <c r="AQ2019" s="23"/>
      <c r="AR2019" s="35"/>
      <c r="AS2019" s="35"/>
      <c r="AT2019" s="35"/>
      <c r="AU2019" s="31"/>
      <c r="AV2019" s="36"/>
      <c r="AW2019" s="36"/>
    </row>
    <row r="2020" spans="4:49">
      <c r="D2020" s="31"/>
      <c r="E2020" s="31"/>
      <c r="F2020" s="31"/>
      <c r="G2020" s="31"/>
      <c r="H2020" s="32"/>
      <c r="J2020" s="33"/>
      <c r="K2020" s="33"/>
      <c r="L2020" s="33"/>
      <c r="X2020" s="23"/>
      <c r="Y2020" s="23"/>
      <c r="Z2020" s="23"/>
      <c r="AA2020" s="23"/>
      <c r="AF2020" s="23"/>
      <c r="AG2020" s="23"/>
      <c r="AH2020" s="23"/>
      <c r="AI2020" s="23"/>
      <c r="AN2020" s="23"/>
      <c r="AO2020" s="23"/>
      <c r="AP2020" s="23"/>
      <c r="AQ2020" s="23"/>
      <c r="AR2020" s="35"/>
      <c r="AS2020" s="35"/>
      <c r="AT2020" s="35"/>
      <c r="AU2020" s="31"/>
      <c r="AV2020" s="36"/>
      <c r="AW2020" s="36"/>
    </row>
    <row r="2021" spans="4:49">
      <c r="D2021" s="31"/>
      <c r="E2021" s="31"/>
      <c r="F2021" s="31"/>
      <c r="G2021" s="31"/>
      <c r="H2021" s="32"/>
      <c r="J2021" s="33"/>
      <c r="K2021" s="33"/>
      <c r="L2021" s="33"/>
      <c r="X2021" s="23"/>
      <c r="Y2021" s="23"/>
      <c r="Z2021" s="23"/>
      <c r="AA2021" s="23"/>
      <c r="AF2021" s="23"/>
      <c r="AG2021" s="23"/>
      <c r="AH2021" s="23"/>
      <c r="AI2021" s="23"/>
      <c r="AN2021" s="23"/>
      <c r="AO2021" s="23"/>
      <c r="AP2021" s="23"/>
      <c r="AQ2021" s="23"/>
      <c r="AR2021" s="35"/>
      <c r="AS2021" s="35"/>
      <c r="AT2021" s="35"/>
      <c r="AU2021" s="31"/>
      <c r="AV2021" s="36"/>
      <c r="AW2021" s="36"/>
    </row>
    <row r="2022" spans="4:49">
      <c r="D2022" s="31"/>
      <c r="E2022" s="31"/>
      <c r="F2022" s="31"/>
      <c r="G2022" s="31"/>
      <c r="H2022" s="32"/>
      <c r="J2022" s="33"/>
      <c r="K2022" s="33"/>
      <c r="L2022" s="33"/>
      <c r="X2022" s="23"/>
      <c r="Y2022" s="23"/>
      <c r="Z2022" s="23"/>
      <c r="AA2022" s="23"/>
      <c r="AF2022" s="23"/>
      <c r="AG2022" s="23"/>
      <c r="AH2022" s="23"/>
      <c r="AI2022" s="23"/>
      <c r="AN2022" s="23"/>
      <c r="AO2022" s="23"/>
      <c r="AP2022" s="23"/>
      <c r="AQ2022" s="23"/>
      <c r="AR2022" s="35"/>
      <c r="AS2022" s="35"/>
      <c r="AT2022" s="35"/>
      <c r="AU2022" s="31"/>
      <c r="AV2022" s="36"/>
      <c r="AW2022" s="36"/>
    </row>
    <row r="2023" spans="4:49">
      <c r="D2023" s="31"/>
      <c r="E2023" s="31"/>
      <c r="F2023" s="31"/>
      <c r="G2023" s="31"/>
      <c r="H2023" s="32"/>
      <c r="J2023" s="33"/>
      <c r="K2023" s="33"/>
      <c r="L2023" s="33"/>
      <c r="X2023" s="23"/>
      <c r="Y2023" s="23"/>
      <c r="Z2023" s="23"/>
      <c r="AA2023" s="23"/>
      <c r="AF2023" s="23"/>
      <c r="AG2023" s="23"/>
      <c r="AH2023" s="23"/>
      <c r="AI2023" s="23"/>
      <c r="AN2023" s="23"/>
      <c r="AO2023" s="23"/>
      <c r="AP2023" s="23"/>
      <c r="AQ2023" s="23"/>
      <c r="AR2023" s="35"/>
      <c r="AS2023" s="35"/>
      <c r="AT2023" s="35"/>
      <c r="AU2023" s="31"/>
      <c r="AV2023" s="36"/>
      <c r="AW2023" s="36"/>
    </row>
    <row r="2024" spans="4:49">
      <c r="D2024" s="31"/>
      <c r="E2024" s="31"/>
      <c r="F2024" s="31"/>
      <c r="G2024" s="31"/>
      <c r="H2024" s="32"/>
      <c r="J2024" s="33"/>
      <c r="K2024" s="33"/>
      <c r="L2024" s="33"/>
      <c r="X2024" s="23"/>
      <c r="Y2024" s="23"/>
      <c r="Z2024" s="23"/>
      <c r="AA2024" s="23"/>
      <c r="AF2024" s="23"/>
      <c r="AG2024" s="23"/>
      <c r="AH2024" s="23"/>
      <c r="AI2024" s="23"/>
      <c r="AN2024" s="23"/>
      <c r="AO2024" s="23"/>
      <c r="AP2024" s="23"/>
      <c r="AQ2024" s="23"/>
      <c r="AR2024" s="35"/>
      <c r="AS2024" s="35"/>
      <c r="AT2024" s="35"/>
      <c r="AU2024" s="31"/>
      <c r="AV2024" s="36"/>
      <c r="AW2024" s="36"/>
    </row>
    <row r="2025" spans="4:49">
      <c r="D2025" s="31"/>
      <c r="E2025" s="31"/>
      <c r="F2025" s="31"/>
      <c r="G2025" s="31"/>
      <c r="H2025" s="32"/>
      <c r="J2025" s="33"/>
      <c r="K2025" s="33"/>
      <c r="L2025" s="33"/>
      <c r="X2025" s="23"/>
      <c r="Y2025" s="23"/>
      <c r="Z2025" s="23"/>
      <c r="AA2025" s="23"/>
      <c r="AF2025" s="23"/>
      <c r="AG2025" s="23"/>
      <c r="AH2025" s="23"/>
      <c r="AI2025" s="23"/>
      <c r="AN2025" s="23"/>
      <c r="AO2025" s="23"/>
      <c r="AP2025" s="23"/>
      <c r="AQ2025" s="23"/>
      <c r="AR2025" s="35"/>
      <c r="AS2025" s="35"/>
      <c r="AT2025" s="35"/>
      <c r="AU2025" s="31"/>
      <c r="AV2025" s="36"/>
      <c r="AW2025" s="36"/>
    </row>
    <row r="2026" spans="4:49">
      <c r="D2026" s="31"/>
      <c r="E2026" s="31"/>
      <c r="F2026" s="31"/>
      <c r="G2026" s="31"/>
      <c r="H2026" s="32"/>
      <c r="J2026" s="33"/>
      <c r="K2026" s="33"/>
      <c r="L2026" s="33"/>
      <c r="X2026" s="23"/>
      <c r="Y2026" s="23"/>
      <c r="Z2026" s="23"/>
      <c r="AA2026" s="23"/>
      <c r="AF2026" s="23"/>
      <c r="AG2026" s="23"/>
      <c r="AH2026" s="23"/>
      <c r="AI2026" s="23"/>
      <c r="AN2026" s="23"/>
      <c r="AO2026" s="23"/>
      <c r="AP2026" s="23"/>
      <c r="AQ2026" s="23"/>
      <c r="AR2026" s="35"/>
      <c r="AS2026" s="35"/>
      <c r="AT2026" s="35"/>
      <c r="AU2026" s="31"/>
      <c r="AV2026" s="36"/>
      <c r="AW2026" s="36"/>
    </row>
    <row r="2027" spans="4:49">
      <c r="D2027" s="31"/>
      <c r="E2027" s="31"/>
      <c r="F2027" s="31"/>
      <c r="G2027" s="31"/>
      <c r="H2027" s="32"/>
      <c r="J2027" s="33"/>
      <c r="K2027" s="33"/>
      <c r="L2027" s="33"/>
      <c r="X2027" s="23"/>
      <c r="Y2027" s="23"/>
      <c r="Z2027" s="23"/>
      <c r="AA2027" s="23"/>
      <c r="AF2027" s="23"/>
      <c r="AG2027" s="23"/>
      <c r="AH2027" s="23"/>
      <c r="AI2027" s="23"/>
      <c r="AN2027" s="23"/>
      <c r="AO2027" s="23"/>
      <c r="AP2027" s="23"/>
      <c r="AQ2027" s="23"/>
      <c r="AR2027" s="35"/>
      <c r="AS2027" s="35"/>
      <c r="AT2027" s="35"/>
      <c r="AU2027" s="31"/>
      <c r="AV2027" s="36"/>
      <c r="AW2027" s="36"/>
    </row>
    <row r="2028" spans="4:49">
      <c r="D2028" s="31"/>
      <c r="E2028" s="31"/>
      <c r="F2028" s="31"/>
      <c r="G2028" s="31"/>
      <c r="H2028" s="32"/>
      <c r="J2028" s="33"/>
      <c r="K2028" s="33"/>
      <c r="L2028" s="33"/>
      <c r="X2028" s="23"/>
      <c r="Y2028" s="23"/>
      <c r="Z2028" s="23"/>
      <c r="AA2028" s="23"/>
      <c r="AF2028" s="23"/>
      <c r="AG2028" s="23"/>
      <c r="AH2028" s="23"/>
      <c r="AI2028" s="23"/>
      <c r="AN2028" s="23"/>
      <c r="AO2028" s="23"/>
      <c r="AP2028" s="23"/>
      <c r="AQ2028" s="23"/>
      <c r="AR2028" s="35"/>
      <c r="AS2028" s="35"/>
      <c r="AT2028" s="35"/>
      <c r="AU2028" s="31"/>
      <c r="AV2028" s="36"/>
      <c r="AW2028" s="36"/>
    </row>
    <row r="2029" spans="4:49">
      <c r="D2029" s="31"/>
      <c r="E2029" s="31"/>
      <c r="F2029" s="31"/>
      <c r="G2029" s="31"/>
      <c r="H2029" s="32"/>
      <c r="J2029" s="33"/>
      <c r="K2029" s="33"/>
      <c r="L2029" s="33"/>
      <c r="X2029" s="23"/>
      <c r="Y2029" s="23"/>
      <c r="Z2029" s="23"/>
      <c r="AA2029" s="23"/>
      <c r="AF2029" s="23"/>
      <c r="AG2029" s="23"/>
      <c r="AH2029" s="23"/>
      <c r="AI2029" s="23"/>
      <c r="AN2029" s="23"/>
      <c r="AO2029" s="23"/>
      <c r="AP2029" s="23"/>
      <c r="AQ2029" s="23"/>
      <c r="AR2029" s="35"/>
      <c r="AS2029" s="35"/>
      <c r="AT2029" s="35"/>
      <c r="AU2029" s="31"/>
      <c r="AV2029" s="36"/>
      <c r="AW2029" s="36"/>
    </row>
    <row r="2030" spans="4:49">
      <c r="D2030" s="31"/>
      <c r="E2030" s="31"/>
      <c r="F2030" s="31"/>
      <c r="G2030" s="31"/>
      <c r="H2030" s="32"/>
      <c r="J2030" s="33"/>
      <c r="K2030" s="33"/>
      <c r="L2030" s="33"/>
      <c r="X2030" s="23"/>
      <c r="Y2030" s="23"/>
      <c r="Z2030" s="23"/>
      <c r="AA2030" s="23"/>
      <c r="AF2030" s="23"/>
      <c r="AG2030" s="23"/>
      <c r="AH2030" s="23"/>
      <c r="AI2030" s="23"/>
      <c r="AN2030" s="23"/>
      <c r="AO2030" s="23"/>
      <c r="AP2030" s="23"/>
      <c r="AQ2030" s="23"/>
      <c r="AR2030" s="35"/>
      <c r="AS2030" s="35"/>
      <c r="AT2030" s="35"/>
      <c r="AU2030" s="31"/>
      <c r="AV2030" s="36"/>
      <c r="AW2030" s="36"/>
    </row>
    <row r="2031" spans="4:49">
      <c r="D2031" s="31"/>
      <c r="E2031" s="31"/>
      <c r="F2031" s="31"/>
      <c r="G2031" s="31"/>
      <c r="H2031" s="32"/>
      <c r="J2031" s="33"/>
      <c r="K2031" s="33"/>
      <c r="L2031" s="33"/>
      <c r="X2031" s="23"/>
      <c r="Y2031" s="23"/>
      <c r="Z2031" s="23"/>
      <c r="AA2031" s="23"/>
      <c r="AF2031" s="23"/>
      <c r="AG2031" s="23"/>
      <c r="AH2031" s="23"/>
      <c r="AI2031" s="23"/>
      <c r="AN2031" s="23"/>
      <c r="AO2031" s="23"/>
      <c r="AP2031" s="23"/>
      <c r="AQ2031" s="23"/>
      <c r="AR2031" s="35"/>
      <c r="AS2031" s="35"/>
      <c r="AT2031" s="35"/>
      <c r="AU2031" s="31"/>
      <c r="AV2031" s="36"/>
      <c r="AW2031" s="36"/>
    </row>
    <row r="2032" spans="4:49">
      <c r="D2032" s="31"/>
      <c r="E2032" s="31"/>
      <c r="F2032" s="31"/>
      <c r="G2032" s="31"/>
      <c r="H2032" s="32"/>
      <c r="J2032" s="33"/>
      <c r="K2032" s="33"/>
      <c r="L2032" s="33"/>
      <c r="X2032" s="23"/>
      <c r="Y2032" s="23"/>
      <c r="Z2032" s="23"/>
      <c r="AA2032" s="23"/>
      <c r="AF2032" s="23"/>
      <c r="AG2032" s="23"/>
      <c r="AH2032" s="23"/>
      <c r="AI2032" s="23"/>
      <c r="AN2032" s="23"/>
      <c r="AO2032" s="23"/>
      <c r="AP2032" s="23"/>
      <c r="AQ2032" s="23"/>
      <c r="AR2032" s="35"/>
      <c r="AS2032" s="35"/>
      <c r="AT2032" s="35"/>
      <c r="AU2032" s="31"/>
      <c r="AV2032" s="36"/>
      <c r="AW2032" s="36"/>
    </row>
    <row r="2033" spans="4:49">
      <c r="D2033" s="31"/>
      <c r="E2033" s="31"/>
      <c r="F2033" s="31"/>
      <c r="G2033" s="31"/>
      <c r="H2033" s="32"/>
      <c r="J2033" s="33"/>
      <c r="K2033" s="33"/>
      <c r="L2033" s="33"/>
      <c r="X2033" s="23"/>
      <c r="Y2033" s="23"/>
      <c r="Z2033" s="23"/>
      <c r="AA2033" s="23"/>
      <c r="AF2033" s="23"/>
      <c r="AG2033" s="23"/>
      <c r="AH2033" s="23"/>
      <c r="AI2033" s="23"/>
      <c r="AN2033" s="23"/>
      <c r="AO2033" s="23"/>
      <c r="AP2033" s="23"/>
      <c r="AQ2033" s="23"/>
      <c r="AR2033" s="35"/>
      <c r="AS2033" s="35"/>
      <c r="AT2033" s="35"/>
      <c r="AU2033" s="31"/>
      <c r="AV2033" s="36"/>
      <c r="AW2033" s="36"/>
    </row>
    <row r="2034" spans="4:49">
      <c r="D2034" s="31"/>
      <c r="E2034" s="31"/>
      <c r="F2034" s="31"/>
      <c r="G2034" s="31"/>
      <c r="H2034" s="32"/>
      <c r="J2034" s="33"/>
      <c r="K2034" s="33"/>
      <c r="L2034" s="33"/>
      <c r="X2034" s="23"/>
      <c r="Y2034" s="23"/>
      <c r="Z2034" s="23"/>
      <c r="AA2034" s="23"/>
      <c r="AF2034" s="23"/>
      <c r="AG2034" s="23"/>
      <c r="AH2034" s="23"/>
      <c r="AI2034" s="23"/>
      <c r="AN2034" s="23"/>
      <c r="AO2034" s="23"/>
      <c r="AP2034" s="23"/>
      <c r="AQ2034" s="23"/>
      <c r="AR2034" s="35"/>
      <c r="AS2034" s="35"/>
      <c r="AT2034" s="35"/>
      <c r="AU2034" s="31"/>
      <c r="AV2034" s="36"/>
      <c r="AW2034" s="36"/>
    </row>
    <row r="2035" spans="4:49">
      <c r="D2035" s="31"/>
      <c r="E2035" s="31"/>
      <c r="F2035" s="31"/>
      <c r="G2035" s="31"/>
      <c r="H2035" s="32"/>
      <c r="J2035" s="33"/>
      <c r="K2035" s="33"/>
      <c r="L2035" s="33"/>
      <c r="X2035" s="23"/>
      <c r="Y2035" s="23"/>
      <c r="Z2035" s="23"/>
      <c r="AA2035" s="23"/>
      <c r="AF2035" s="23"/>
      <c r="AG2035" s="23"/>
      <c r="AH2035" s="23"/>
      <c r="AI2035" s="23"/>
      <c r="AN2035" s="23"/>
      <c r="AO2035" s="23"/>
      <c r="AP2035" s="23"/>
      <c r="AQ2035" s="23"/>
      <c r="AR2035" s="35"/>
      <c r="AS2035" s="35"/>
      <c r="AT2035" s="35"/>
      <c r="AU2035" s="31"/>
      <c r="AV2035" s="36"/>
      <c r="AW2035" s="36"/>
    </row>
    <row r="2036" spans="4:49">
      <c r="D2036" s="31"/>
      <c r="E2036" s="31"/>
      <c r="F2036" s="31"/>
      <c r="G2036" s="31"/>
      <c r="H2036" s="32"/>
      <c r="J2036" s="33"/>
      <c r="K2036" s="33"/>
      <c r="L2036" s="33"/>
      <c r="X2036" s="23"/>
      <c r="Y2036" s="23"/>
      <c r="Z2036" s="23"/>
      <c r="AA2036" s="23"/>
      <c r="AF2036" s="23"/>
      <c r="AG2036" s="23"/>
      <c r="AH2036" s="23"/>
      <c r="AI2036" s="23"/>
      <c r="AN2036" s="23"/>
      <c r="AO2036" s="23"/>
      <c r="AP2036" s="23"/>
      <c r="AQ2036" s="23"/>
      <c r="AR2036" s="35"/>
      <c r="AS2036" s="35"/>
      <c r="AT2036" s="35"/>
      <c r="AU2036" s="31"/>
      <c r="AV2036" s="36"/>
      <c r="AW2036" s="36"/>
    </row>
    <row r="2037" spans="4:49">
      <c r="D2037" s="31"/>
      <c r="E2037" s="31"/>
      <c r="F2037" s="31"/>
      <c r="G2037" s="31"/>
      <c r="H2037" s="32"/>
      <c r="J2037" s="33"/>
      <c r="K2037" s="33"/>
      <c r="L2037" s="33"/>
      <c r="X2037" s="23"/>
      <c r="Y2037" s="23"/>
      <c r="Z2037" s="23"/>
      <c r="AA2037" s="23"/>
      <c r="AF2037" s="23"/>
      <c r="AG2037" s="23"/>
      <c r="AH2037" s="23"/>
      <c r="AI2037" s="23"/>
      <c r="AN2037" s="23"/>
      <c r="AO2037" s="23"/>
      <c r="AP2037" s="23"/>
      <c r="AQ2037" s="23"/>
      <c r="AR2037" s="35"/>
      <c r="AS2037" s="35"/>
      <c r="AT2037" s="35"/>
      <c r="AU2037" s="31"/>
      <c r="AV2037" s="36"/>
      <c r="AW2037" s="36"/>
    </row>
    <row r="2038" spans="4:49">
      <c r="D2038" s="31"/>
      <c r="E2038" s="31"/>
      <c r="F2038" s="31"/>
      <c r="G2038" s="31"/>
      <c r="H2038" s="32"/>
      <c r="J2038" s="33"/>
      <c r="K2038" s="33"/>
      <c r="L2038" s="33"/>
      <c r="X2038" s="23"/>
      <c r="Y2038" s="23"/>
      <c r="Z2038" s="23"/>
      <c r="AA2038" s="23"/>
      <c r="AF2038" s="23"/>
      <c r="AG2038" s="23"/>
      <c r="AH2038" s="23"/>
      <c r="AI2038" s="23"/>
      <c r="AN2038" s="23"/>
      <c r="AO2038" s="23"/>
      <c r="AP2038" s="23"/>
      <c r="AQ2038" s="23"/>
      <c r="AR2038" s="35"/>
      <c r="AS2038" s="35"/>
      <c r="AT2038" s="35"/>
      <c r="AU2038" s="31"/>
      <c r="AV2038" s="36"/>
      <c r="AW2038" s="36"/>
    </row>
    <row r="2039" spans="4:49">
      <c r="D2039" s="31"/>
      <c r="E2039" s="31"/>
      <c r="F2039" s="31"/>
      <c r="G2039" s="31"/>
      <c r="H2039" s="32"/>
      <c r="J2039" s="33"/>
      <c r="K2039" s="33"/>
      <c r="L2039" s="33"/>
      <c r="X2039" s="23"/>
      <c r="Y2039" s="23"/>
      <c r="Z2039" s="23"/>
      <c r="AA2039" s="23"/>
      <c r="AF2039" s="23"/>
      <c r="AG2039" s="23"/>
      <c r="AH2039" s="23"/>
      <c r="AI2039" s="23"/>
      <c r="AN2039" s="23"/>
      <c r="AO2039" s="23"/>
      <c r="AP2039" s="23"/>
      <c r="AQ2039" s="23"/>
      <c r="AR2039" s="35"/>
      <c r="AS2039" s="35"/>
      <c r="AT2039" s="35"/>
      <c r="AU2039" s="31"/>
      <c r="AV2039" s="36"/>
      <c r="AW2039" s="36"/>
    </row>
    <row r="2040" spans="4:49">
      <c r="D2040" s="31"/>
      <c r="E2040" s="31"/>
      <c r="F2040" s="31"/>
      <c r="G2040" s="31"/>
      <c r="H2040" s="32"/>
      <c r="J2040" s="33"/>
      <c r="K2040" s="33"/>
      <c r="L2040" s="33"/>
      <c r="X2040" s="23"/>
      <c r="Y2040" s="23"/>
      <c r="Z2040" s="23"/>
      <c r="AA2040" s="23"/>
      <c r="AF2040" s="23"/>
      <c r="AG2040" s="23"/>
      <c r="AH2040" s="23"/>
      <c r="AI2040" s="23"/>
      <c r="AN2040" s="23"/>
      <c r="AO2040" s="23"/>
      <c r="AP2040" s="23"/>
      <c r="AQ2040" s="23"/>
      <c r="AR2040" s="35"/>
      <c r="AS2040" s="35"/>
      <c r="AT2040" s="35"/>
      <c r="AU2040" s="31"/>
      <c r="AV2040" s="36"/>
      <c r="AW2040" s="36"/>
    </row>
    <row r="2041" spans="4:49">
      <c r="D2041" s="31"/>
      <c r="E2041" s="31"/>
      <c r="F2041" s="31"/>
      <c r="G2041" s="31"/>
      <c r="H2041" s="32"/>
      <c r="J2041" s="33"/>
      <c r="K2041" s="33"/>
      <c r="L2041" s="33"/>
      <c r="X2041" s="23"/>
      <c r="Y2041" s="23"/>
      <c r="Z2041" s="23"/>
      <c r="AA2041" s="23"/>
      <c r="AF2041" s="23"/>
      <c r="AG2041" s="23"/>
      <c r="AH2041" s="23"/>
      <c r="AI2041" s="23"/>
      <c r="AN2041" s="23"/>
      <c r="AO2041" s="23"/>
      <c r="AP2041" s="23"/>
      <c r="AQ2041" s="23"/>
      <c r="AR2041" s="35"/>
      <c r="AS2041" s="35"/>
      <c r="AT2041" s="35"/>
      <c r="AU2041" s="31"/>
      <c r="AV2041" s="36"/>
      <c r="AW2041" s="36"/>
    </row>
    <row r="2042" spans="4:49">
      <c r="D2042" s="31"/>
      <c r="E2042" s="31"/>
      <c r="F2042" s="31"/>
      <c r="G2042" s="31"/>
      <c r="H2042" s="32"/>
      <c r="J2042" s="33"/>
      <c r="K2042" s="33"/>
      <c r="L2042" s="33"/>
      <c r="X2042" s="23"/>
      <c r="Y2042" s="23"/>
      <c r="Z2042" s="23"/>
      <c r="AA2042" s="23"/>
      <c r="AF2042" s="23"/>
      <c r="AG2042" s="23"/>
      <c r="AH2042" s="23"/>
      <c r="AI2042" s="23"/>
      <c r="AN2042" s="23"/>
      <c r="AO2042" s="23"/>
      <c r="AP2042" s="23"/>
      <c r="AQ2042" s="23"/>
      <c r="AR2042" s="35"/>
      <c r="AS2042" s="35"/>
      <c r="AT2042" s="35"/>
      <c r="AU2042" s="31"/>
      <c r="AV2042" s="36"/>
      <c r="AW2042" s="36"/>
    </row>
    <row r="2043" spans="4:49">
      <c r="D2043" s="31"/>
      <c r="E2043" s="31"/>
      <c r="F2043" s="31"/>
      <c r="G2043" s="31"/>
      <c r="H2043" s="32"/>
      <c r="J2043" s="33"/>
      <c r="K2043" s="33"/>
      <c r="L2043" s="33"/>
      <c r="X2043" s="23"/>
      <c r="Y2043" s="23"/>
      <c r="Z2043" s="23"/>
      <c r="AA2043" s="23"/>
      <c r="AF2043" s="23"/>
      <c r="AG2043" s="23"/>
      <c r="AH2043" s="23"/>
      <c r="AI2043" s="23"/>
      <c r="AN2043" s="23"/>
      <c r="AO2043" s="23"/>
      <c r="AP2043" s="23"/>
      <c r="AQ2043" s="23"/>
      <c r="AR2043" s="35"/>
      <c r="AS2043" s="35"/>
      <c r="AT2043" s="35"/>
      <c r="AU2043" s="31"/>
      <c r="AV2043" s="36"/>
      <c r="AW2043" s="36"/>
    </row>
    <row r="2044" spans="4:49">
      <c r="D2044" s="31"/>
      <c r="E2044" s="31"/>
      <c r="F2044" s="31"/>
      <c r="G2044" s="31"/>
      <c r="H2044" s="32"/>
      <c r="J2044" s="33"/>
      <c r="K2044" s="33"/>
      <c r="L2044" s="33"/>
      <c r="X2044" s="23"/>
      <c r="Y2044" s="23"/>
      <c r="Z2044" s="23"/>
      <c r="AA2044" s="23"/>
      <c r="AF2044" s="23"/>
      <c r="AG2044" s="23"/>
      <c r="AH2044" s="23"/>
      <c r="AI2044" s="23"/>
      <c r="AN2044" s="23"/>
      <c r="AO2044" s="23"/>
      <c r="AP2044" s="23"/>
      <c r="AQ2044" s="23"/>
      <c r="AR2044" s="35"/>
      <c r="AS2044" s="35"/>
      <c r="AT2044" s="35"/>
      <c r="AU2044" s="31"/>
      <c r="AV2044" s="36"/>
      <c r="AW2044" s="36"/>
    </row>
    <row r="2045" spans="4:49">
      <c r="D2045" s="31"/>
      <c r="E2045" s="31"/>
      <c r="F2045" s="31"/>
      <c r="G2045" s="31"/>
      <c r="H2045" s="32"/>
      <c r="J2045" s="33"/>
      <c r="K2045" s="33"/>
      <c r="L2045" s="33"/>
      <c r="X2045" s="23"/>
      <c r="Y2045" s="23"/>
      <c r="Z2045" s="23"/>
      <c r="AA2045" s="23"/>
      <c r="AF2045" s="23"/>
      <c r="AG2045" s="23"/>
      <c r="AH2045" s="23"/>
      <c r="AI2045" s="23"/>
      <c r="AN2045" s="23"/>
      <c r="AO2045" s="23"/>
      <c r="AP2045" s="23"/>
      <c r="AQ2045" s="23"/>
      <c r="AR2045" s="35"/>
      <c r="AS2045" s="35"/>
      <c r="AT2045" s="35"/>
      <c r="AU2045" s="31"/>
      <c r="AV2045" s="36"/>
      <c r="AW2045" s="36"/>
    </row>
    <row r="2046" spans="4:49">
      <c r="D2046" s="31"/>
      <c r="E2046" s="31"/>
      <c r="F2046" s="31"/>
      <c r="G2046" s="31"/>
      <c r="H2046" s="32"/>
      <c r="J2046" s="33"/>
      <c r="K2046" s="33"/>
      <c r="L2046" s="33"/>
      <c r="X2046" s="23"/>
      <c r="Y2046" s="23"/>
      <c r="Z2046" s="23"/>
      <c r="AA2046" s="23"/>
      <c r="AF2046" s="23"/>
      <c r="AG2046" s="23"/>
      <c r="AH2046" s="23"/>
      <c r="AI2046" s="23"/>
      <c r="AN2046" s="23"/>
      <c r="AO2046" s="23"/>
      <c r="AP2046" s="23"/>
      <c r="AQ2046" s="23"/>
      <c r="AR2046" s="35"/>
      <c r="AS2046" s="35"/>
      <c r="AT2046" s="35"/>
      <c r="AU2046" s="31"/>
      <c r="AV2046" s="36"/>
      <c r="AW2046" s="36"/>
    </row>
    <row r="2047" spans="4:49">
      <c r="D2047" s="31"/>
      <c r="E2047" s="31"/>
      <c r="F2047" s="31"/>
      <c r="G2047" s="31"/>
      <c r="H2047" s="32"/>
      <c r="J2047" s="33"/>
      <c r="K2047" s="33"/>
      <c r="L2047" s="33"/>
      <c r="X2047" s="23"/>
      <c r="Y2047" s="23"/>
      <c r="Z2047" s="23"/>
      <c r="AA2047" s="23"/>
      <c r="AF2047" s="23"/>
      <c r="AG2047" s="23"/>
      <c r="AH2047" s="23"/>
      <c r="AI2047" s="23"/>
      <c r="AN2047" s="23"/>
      <c r="AO2047" s="23"/>
      <c r="AP2047" s="23"/>
      <c r="AQ2047" s="23"/>
      <c r="AR2047" s="35"/>
      <c r="AS2047" s="35"/>
      <c r="AT2047" s="35"/>
      <c r="AU2047" s="31"/>
      <c r="AV2047" s="36"/>
      <c r="AW2047" s="36"/>
    </row>
    <row r="2048" spans="4:49">
      <c r="D2048" s="31"/>
      <c r="E2048" s="31"/>
      <c r="F2048" s="31"/>
      <c r="G2048" s="31"/>
      <c r="H2048" s="32"/>
      <c r="J2048" s="33"/>
      <c r="K2048" s="33"/>
      <c r="L2048" s="33"/>
      <c r="X2048" s="23"/>
      <c r="Y2048" s="23"/>
      <c r="Z2048" s="23"/>
      <c r="AA2048" s="23"/>
      <c r="AF2048" s="23"/>
      <c r="AG2048" s="23"/>
      <c r="AH2048" s="23"/>
      <c r="AI2048" s="23"/>
      <c r="AN2048" s="23"/>
      <c r="AO2048" s="23"/>
      <c r="AP2048" s="23"/>
      <c r="AQ2048" s="23"/>
      <c r="AR2048" s="35"/>
      <c r="AS2048" s="35"/>
      <c r="AT2048" s="35"/>
      <c r="AU2048" s="31"/>
      <c r="AV2048" s="36"/>
      <c r="AW2048" s="36"/>
    </row>
    <row r="2049" spans="4:49">
      <c r="D2049" s="31"/>
      <c r="E2049" s="31"/>
      <c r="F2049" s="31"/>
      <c r="G2049" s="31"/>
      <c r="H2049" s="32"/>
      <c r="J2049" s="33"/>
      <c r="K2049" s="33"/>
      <c r="L2049" s="33"/>
      <c r="X2049" s="23"/>
      <c r="Y2049" s="23"/>
      <c r="Z2049" s="23"/>
      <c r="AA2049" s="23"/>
      <c r="AF2049" s="23"/>
      <c r="AG2049" s="23"/>
      <c r="AH2049" s="23"/>
      <c r="AI2049" s="23"/>
      <c r="AN2049" s="23"/>
      <c r="AO2049" s="23"/>
      <c r="AP2049" s="23"/>
      <c r="AQ2049" s="23"/>
      <c r="AR2049" s="35"/>
      <c r="AS2049" s="35"/>
      <c r="AT2049" s="35"/>
      <c r="AU2049" s="31"/>
      <c r="AV2049" s="36"/>
      <c r="AW2049" s="36"/>
    </row>
    <row r="2050" spans="4:49">
      <c r="D2050" s="31"/>
      <c r="E2050" s="31"/>
      <c r="F2050" s="31"/>
      <c r="G2050" s="31"/>
      <c r="H2050" s="32"/>
      <c r="J2050" s="33"/>
      <c r="K2050" s="33"/>
      <c r="L2050" s="33"/>
      <c r="X2050" s="23"/>
      <c r="Y2050" s="23"/>
      <c r="Z2050" s="23"/>
      <c r="AA2050" s="23"/>
      <c r="AF2050" s="23"/>
      <c r="AG2050" s="23"/>
      <c r="AH2050" s="23"/>
      <c r="AI2050" s="23"/>
      <c r="AN2050" s="23"/>
      <c r="AO2050" s="23"/>
      <c r="AP2050" s="23"/>
      <c r="AQ2050" s="23"/>
      <c r="AR2050" s="35"/>
      <c r="AS2050" s="35"/>
      <c r="AT2050" s="35"/>
      <c r="AU2050" s="31"/>
      <c r="AV2050" s="36"/>
      <c r="AW2050" s="36"/>
    </row>
    <row r="2051" spans="4:49">
      <c r="D2051" s="31"/>
      <c r="E2051" s="31"/>
      <c r="F2051" s="31"/>
      <c r="G2051" s="31"/>
      <c r="H2051" s="32"/>
      <c r="J2051" s="33"/>
      <c r="K2051" s="33"/>
      <c r="L2051" s="33"/>
      <c r="X2051" s="23"/>
      <c r="Y2051" s="23"/>
      <c r="Z2051" s="23"/>
      <c r="AA2051" s="23"/>
      <c r="AF2051" s="23"/>
      <c r="AG2051" s="23"/>
      <c r="AH2051" s="23"/>
      <c r="AI2051" s="23"/>
      <c r="AN2051" s="23"/>
      <c r="AO2051" s="23"/>
      <c r="AP2051" s="23"/>
      <c r="AQ2051" s="23"/>
      <c r="AR2051" s="35"/>
      <c r="AS2051" s="35"/>
      <c r="AT2051" s="35"/>
      <c r="AU2051" s="31"/>
      <c r="AV2051" s="36"/>
      <c r="AW2051" s="36"/>
    </row>
    <row r="2052" spans="4:49">
      <c r="D2052" s="31"/>
      <c r="E2052" s="31"/>
      <c r="F2052" s="31"/>
      <c r="G2052" s="31"/>
      <c r="H2052" s="32"/>
      <c r="J2052" s="33"/>
      <c r="K2052" s="33"/>
      <c r="L2052" s="33"/>
      <c r="X2052" s="23"/>
      <c r="Y2052" s="23"/>
      <c r="Z2052" s="23"/>
      <c r="AA2052" s="23"/>
      <c r="AF2052" s="23"/>
      <c r="AG2052" s="23"/>
      <c r="AH2052" s="23"/>
      <c r="AI2052" s="23"/>
      <c r="AN2052" s="23"/>
      <c r="AO2052" s="23"/>
      <c r="AP2052" s="23"/>
      <c r="AQ2052" s="23"/>
      <c r="AR2052" s="35"/>
      <c r="AS2052" s="35"/>
      <c r="AT2052" s="35"/>
      <c r="AU2052" s="31"/>
      <c r="AV2052" s="36"/>
      <c r="AW2052" s="36"/>
    </row>
    <row r="2053" spans="4:49">
      <c r="D2053" s="31"/>
      <c r="E2053" s="31"/>
      <c r="F2053" s="31"/>
      <c r="G2053" s="31"/>
      <c r="H2053" s="32"/>
      <c r="J2053" s="33"/>
      <c r="K2053" s="33"/>
      <c r="L2053" s="33"/>
      <c r="X2053" s="23"/>
      <c r="Y2053" s="23"/>
      <c r="Z2053" s="23"/>
      <c r="AA2053" s="23"/>
      <c r="AF2053" s="23"/>
      <c r="AG2053" s="23"/>
      <c r="AH2053" s="23"/>
      <c r="AI2053" s="23"/>
      <c r="AN2053" s="23"/>
      <c r="AO2053" s="23"/>
      <c r="AP2053" s="23"/>
      <c r="AQ2053" s="23"/>
      <c r="AR2053" s="35"/>
      <c r="AS2053" s="35"/>
      <c r="AT2053" s="35"/>
      <c r="AU2053" s="31"/>
      <c r="AV2053" s="36"/>
      <c r="AW2053" s="36"/>
    </row>
    <row r="2054" spans="4:49">
      <c r="D2054" s="31"/>
      <c r="E2054" s="31"/>
      <c r="F2054" s="31"/>
      <c r="G2054" s="31"/>
      <c r="H2054" s="32"/>
      <c r="J2054" s="33"/>
      <c r="K2054" s="33"/>
      <c r="L2054" s="33"/>
      <c r="X2054" s="23"/>
      <c r="Y2054" s="23"/>
      <c r="Z2054" s="23"/>
      <c r="AA2054" s="23"/>
      <c r="AF2054" s="23"/>
      <c r="AG2054" s="23"/>
      <c r="AH2054" s="23"/>
      <c r="AI2054" s="23"/>
      <c r="AN2054" s="23"/>
      <c r="AO2054" s="23"/>
      <c r="AP2054" s="23"/>
      <c r="AQ2054" s="23"/>
      <c r="AR2054" s="35"/>
      <c r="AS2054" s="35"/>
      <c r="AT2054" s="35"/>
      <c r="AU2054" s="31"/>
      <c r="AV2054" s="36"/>
      <c r="AW2054" s="36"/>
    </row>
    <row r="2055" spans="4:49">
      <c r="D2055" s="31"/>
      <c r="E2055" s="31"/>
      <c r="F2055" s="31"/>
      <c r="G2055" s="31"/>
      <c r="H2055" s="32"/>
      <c r="J2055" s="33"/>
      <c r="K2055" s="33"/>
      <c r="L2055" s="33"/>
      <c r="X2055" s="23"/>
      <c r="Y2055" s="23"/>
      <c r="Z2055" s="23"/>
      <c r="AA2055" s="23"/>
      <c r="AF2055" s="23"/>
      <c r="AG2055" s="23"/>
      <c r="AH2055" s="23"/>
      <c r="AI2055" s="23"/>
      <c r="AN2055" s="23"/>
      <c r="AO2055" s="23"/>
      <c r="AP2055" s="23"/>
      <c r="AQ2055" s="23"/>
      <c r="AR2055" s="35"/>
      <c r="AS2055" s="35"/>
      <c r="AT2055" s="35"/>
      <c r="AU2055" s="31"/>
      <c r="AV2055" s="36"/>
      <c r="AW2055" s="36"/>
    </row>
    <row r="2056" spans="4:49">
      <c r="D2056" s="31"/>
      <c r="E2056" s="31"/>
      <c r="F2056" s="31"/>
      <c r="G2056" s="31"/>
      <c r="H2056" s="32"/>
      <c r="J2056" s="33"/>
      <c r="K2056" s="33"/>
      <c r="L2056" s="33"/>
      <c r="X2056" s="23"/>
      <c r="Y2056" s="23"/>
      <c r="Z2056" s="23"/>
      <c r="AA2056" s="23"/>
      <c r="AF2056" s="23"/>
      <c r="AG2056" s="23"/>
      <c r="AH2056" s="23"/>
      <c r="AI2056" s="23"/>
      <c r="AN2056" s="23"/>
      <c r="AO2056" s="23"/>
      <c r="AP2056" s="23"/>
      <c r="AQ2056" s="23"/>
      <c r="AR2056" s="35"/>
      <c r="AS2056" s="35"/>
      <c r="AT2056" s="35"/>
      <c r="AU2056" s="31"/>
      <c r="AV2056" s="36"/>
      <c r="AW2056" s="36"/>
    </row>
    <row r="2057" spans="4:49">
      <c r="D2057" s="31"/>
      <c r="E2057" s="31"/>
      <c r="F2057" s="31"/>
      <c r="G2057" s="31"/>
      <c r="H2057" s="32"/>
      <c r="J2057" s="33"/>
      <c r="K2057" s="33"/>
      <c r="L2057" s="33"/>
      <c r="X2057" s="23"/>
      <c r="Y2057" s="23"/>
      <c r="Z2057" s="23"/>
      <c r="AA2057" s="23"/>
      <c r="AF2057" s="23"/>
      <c r="AG2057" s="23"/>
      <c r="AH2057" s="23"/>
      <c r="AI2057" s="23"/>
      <c r="AN2057" s="23"/>
      <c r="AO2057" s="23"/>
      <c r="AP2057" s="23"/>
      <c r="AQ2057" s="23"/>
      <c r="AR2057" s="35"/>
      <c r="AS2057" s="35"/>
      <c r="AT2057" s="35"/>
      <c r="AU2057" s="31"/>
      <c r="AV2057" s="36"/>
      <c r="AW2057" s="36"/>
    </row>
    <row r="2058" spans="4:49">
      <c r="D2058" s="31"/>
      <c r="E2058" s="31"/>
      <c r="F2058" s="31"/>
      <c r="G2058" s="31"/>
      <c r="H2058" s="32"/>
      <c r="J2058" s="33"/>
      <c r="K2058" s="33"/>
      <c r="L2058" s="33"/>
      <c r="X2058" s="23"/>
      <c r="Y2058" s="23"/>
      <c r="Z2058" s="23"/>
      <c r="AA2058" s="23"/>
      <c r="AF2058" s="23"/>
      <c r="AG2058" s="23"/>
      <c r="AH2058" s="23"/>
      <c r="AI2058" s="23"/>
      <c r="AN2058" s="23"/>
      <c r="AO2058" s="23"/>
      <c r="AP2058" s="23"/>
      <c r="AQ2058" s="23"/>
      <c r="AR2058" s="35"/>
      <c r="AS2058" s="35"/>
      <c r="AT2058" s="35"/>
      <c r="AU2058" s="31"/>
      <c r="AV2058" s="36"/>
      <c r="AW2058" s="36"/>
    </row>
    <row r="2059" spans="4:49">
      <c r="D2059" s="31"/>
      <c r="E2059" s="31"/>
      <c r="F2059" s="31"/>
      <c r="G2059" s="31"/>
      <c r="H2059" s="32"/>
      <c r="J2059" s="33"/>
      <c r="K2059" s="33"/>
      <c r="L2059" s="33"/>
      <c r="X2059" s="23"/>
      <c r="Y2059" s="23"/>
      <c r="Z2059" s="23"/>
      <c r="AA2059" s="23"/>
      <c r="AF2059" s="23"/>
      <c r="AG2059" s="23"/>
      <c r="AH2059" s="23"/>
      <c r="AI2059" s="23"/>
      <c r="AN2059" s="23"/>
      <c r="AO2059" s="23"/>
      <c r="AP2059" s="23"/>
      <c r="AQ2059" s="23"/>
      <c r="AR2059" s="35"/>
      <c r="AS2059" s="35"/>
      <c r="AT2059" s="35"/>
      <c r="AU2059" s="31"/>
      <c r="AV2059" s="36"/>
      <c r="AW2059" s="36"/>
    </row>
    <row r="2060" spans="4:49">
      <c r="D2060" s="31"/>
      <c r="E2060" s="31"/>
      <c r="F2060" s="31"/>
      <c r="G2060" s="31"/>
      <c r="H2060" s="32"/>
      <c r="J2060" s="33"/>
      <c r="K2060" s="33"/>
      <c r="L2060" s="33"/>
      <c r="X2060" s="23"/>
      <c r="Y2060" s="23"/>
      <c r="Z2060" s="23"/>
      <c r="AA2060" s="23"/>
      <c r="AF2060" s="23"/>
      <c r="AG2060" s="23"/>
      <c r="AH2060" s="23"/>
      <c r="AI2060" s="23"/>
      <c r="AN2060" s="23"/>
      <c r="AO2060" s="23"/>
      <c r="AP2060" s="23"/>
      <c r="AQ2060" s="23"/>
      <c r="AR2060" s="35"/>
      <c r="AS2060" s="35"/>
      <c r="AT2060" s="35"/>
      <c r="AU2060" s="31"/>
      <c r="AV2060" s="36"/>
      <c r="AW2060" s="36"/>
    </row>
    <row r="2061" spans="4:49">
      <c r="D2061" s="31"/>
      <c r="E2061" s="31"/>
      <c r="F2061" s="31"/>
      <c r="G2061" s="31"/>
      <c r="H2061" s="32"/>
      <c r="J2061" s="33"/>
      <c r="K2061" s="33"/>
      <c r="L2061" s="33"/>
      <c r="X2061" s="23"/>
      <c r="Y2061" s="23"/>
      <c r="Z2061" s="23"/>
      <c r="AA2061" s="23"/>
      <c r="AF2061" s="23"/>
      <c r="AG2061" s="23"/>
      <c r="AH2061" s="23"/>
      <c r="AI2061" s="23"/>
      <c r="AN2061" s="23"/>
      <c r="AO2061" s="23"/>
      <c r="AP2061" s="23"/>
      <c r="AQ2061" s="23"/>
      <c r="AR2061" s="35"/>
      <c r="AS2061" s="35"/>
      <c r="AT2061" s="35"/>
      <c r="AU2061" s="31"/>
      <c r="AV2061" s="36"/>
      <c r="AW2061" s="36"/>
    </row>
    <row r="2062" spans="4:49">
      <c r="D2062" s="31"/>
      <c r="E2062" s="31"/>
      <c r="F2062" s="31"/>
      <c r="G2062" s="31"/>
      <c r="H2062" s="32"/>
      <c r="J2062" s="33"/>
      <c r="K2062" s="33"/>
      <c r="L2062" s="33"/>
      <c r="X2062" s="23"/>
      <c r="Y2062" s="23"/>
      <c r="Z2062" s="23"/>
      <c r="AA2062" s="23"/>
      <c r="AF2062" s="23"/>
      <c r="AG2062" s="23"/>
      <c r="AH2062" s="23"/>
      <c r="AI2062" s="23"/>
      <c r="AN2062" s="23"/>
      <c r="AO2062" s="23"/>
      <c r="AP2062" s="23"/>
      <c r="AQ2062" s="23"/>
      <c r="AR2062" s="35"/>
      <c r="AS2062" s="35"/>
      <c r="AT2062" s="35"/>
      <c r="AU2062" s="31"/>
      <c r="AV2062" s="36"/>
      <c r="AW2062" s="36"/>
    </row>
    <row r="2063" spans="4:49">
      <c r="D2063" s="31"/>
      <c r="E2063" s="31"/>
      <c r="F2063" s="31"/>
      <c r="G2063" s="31"/>
      <c r="H2063" s="32"/>
      <c r="J2063" s="33"/>
      <c r="K2063" s="33"/>
      <c r="L2063" s="33"/>
      <c r="X2063" s="23"/>
      <c r="Y2063" s="23"/>
      <c r="Z2063" s="23"/>
      <c r="AA2063" s="23"/>
      <c r="AF2063" s="23"/>
      <c r="AG2063" s="23"/>
      <c r="AH2063" s="23"/>
      <c r="AI2063" s="23"/>
      <c r="AN2063" s="23"/>
      <c r="AO2063" s="23"/>
      <c r="AP2063" s="23"/>
      <c r="AQ2063" s="23"/>
      <c r="AR2063" s="35"/>
      <c r="AS2063" s="35"/>
      <c r="AT2063" s="35"/>
      <c r="AU2063" s="31"/>
      <c r="AV2063" s="36"/>
      <c r="AW2063" s="36"/>
    </row>
    <row r="2064" spans="4:49">
      <c r="D2064" s="31"/>
      <c r="E2064" s="31"/>
      <c r="F2064" s="31"/>
      <c r="G2064" s="31"/>
      <c r="H2064" s="32"/>
      <c r="J2064" s="33"/>
      <c r="K2064" s="33"/>
      <c r="L2064" s="33"/>
      <c r="X2064" s="23"/>
      <c r="Y2064" s="23"/>
      <c r="Z2064" s="23"/>
      <c r="AA2064" s="23"/>
      <c r="AF2064" s="23"/>
      <c r="AG2064" s="23"/>
      <c r="AH2064" s="23"/>
      <c r="AI2064" s="23"/>
      <c r="AN2064" s="23"/>
      <c r="AO2064" s="23"/>
      <c r="AP2064" s="23"/>
      <c r="AQ2064" s="23"/>
      <c r="AR2064" s="35"/>
      <c r="AS2064" s="35"/>
      <c r="AT2064" s="35"/>
      <c r="AU2064" s="31"/>
      <c r="AV2064" s="36"/>
      <c r="AW2064" s="36"/>
    </row>
    <row r="2065" spans="4:49">
      <c r="D2065" s="31"/>
      <c r="E2065" s="31"/>
      <c r="F2065" s="31"/>
      <c r="G2065" s="31"/>
      <c r="H2065" s="32"/>
      <c r="J2065" s="33"/>
      <c r="K2065" s="33"/>
      <c r="L2065" s="33"/>
      <c r="X2065" s="23"/>
      <c r="Y2065" s="23"/>
      <c r="Z2065" s="23"/>
      <c r="AA2065" s="23"/>
      <c r="AF2065" s="23"/>
      <c r="AG2065" s="23"/>
      <c r="AH2065" s="23"/>
      <c r="AI2065" s="23"/>
      <c r="AN2065" s="23"/>
      <c r="AO2065" s="23"/>
      <c r="AP2065" s="23"/>
      <c r="AQ2065" s="23"/>
      <c r="AR2065" s="35"/>
      <c r="AS2065" s="35"/>
      <c r="AT2065" s="35"/>
      <c r="AU2065" s="31"/>
      <c r="AV2065" s="36"/>
      <c r="AW2065" s="36"/>
    </row>
    <row r="2066" spans="4:49">
      <c r="D2066" s="31"/>
      <c r="E2066" s="31"/>
      <c r="F2066" s="31"/>
      <c r="G2066" s="31"/>
      <c r="H2066" s="32"/>
      <c r="J2066" s="33"/>
      <c r="K2066" s="33"/>
      <c r="L2066" s="33"/>
      <c r="X2066" s="23"/>
      <c r="Y2066" s="23"/>
      <c r="Z2066" s="23"/>
      <c r="AA2066" s="23"/>
      <c r="AF2066" s="23"/>
      <c r="AG2066" s="23"/>
      <c r="AH2066" s="23"/>
      <c r="AI2066" s="23"/>
      <c r="AN2066" s="23"/>
      <c r="AO2066" s="23"/>
      <c r="AP2066" s="23"/>
      <c r="AQ2066" s="23"/>
      <c r="AR2066" s="35"/>
      <c r="AS2066" s="35"/>
      <c r="AT2066" s="35"/>
      <c r="AU2066" s="31"/>
      <c r="AV2066" s="36"/>
      <c r="AW2066" s="36"/>
    </row>
    <row r="2067" spans="4:49">
      <c r="D2067" s="31"/>
      <c r="E2067" s="31"/>
      <c r="F2067" s="31"/>
      <c r="G2067" s="31"/>
      <c r="H2067" s="32"/>
      <c r="J2067" s="33"/>
      <c r="K2067" s="33"/>
      <c r="L2067" s="33"/>
      <c r="X2067" s="23"/>
      <c r="Y2067" s="23"/>
      <c r="Z2067" s="23"/>
      <c r="AA2067" s="23"/>
      <c r="AF2067" s="23"/>
      <c r="AG2067" s="23"/>
      <c r="AH2067" s="23"/>
      <c r="AI2067" s="23"/>
      <c r="AN2067" s="23"/>
      <c r="AO2067" s="23"/>
      <c r="AP2067" s="23"/>
      <c r="AQ2067" s="23"/>
      <c r="AR2067" s="35"/>
      <c r="AS2067" s="35"/>
      <c r="AT2067" s="35"/>
      <c r="AU2067" s="31"/>
      <c r="AV2067" s="36"/>
      <c r="AW2067" s="36"/>
    </row>
    <row r="2068" spans="4:49">
      <c r="D2068" s="31"/>
      <c r="E2068" s="31"/>
      <c r="F2068" s="31"/>
      <c r="G2068" s="31"/>
      <c r="H2068" s="32"/>
      <c r="J2068" s="33"/>
      <c r="K2068" s="33"/>
      <c r="L2068" s="33"/>
      <c r="X2068" s="23"/>
      <c r="Y2068" s="23"/>
      <c r="Z2068" s="23"/>
      <c r="AA2068" s="23"/>
      <c r="AF2068" s="23"/>
      <c r="AG2068" s="23"/>
      <c r="AH2068" s="23"/>
      <c r="AI2068" s="23"/>
      <c r="AN2068" s="23"/>
      <c r="AO2068" s="23"/>
      <c r="AP2068" s="23"/>
      <c r="AQ2068" s="23"/>
      <c r="AR2068" s="35"/>
      <c r="AS2068" s="35"/>
      <c r="AT2068" s="35"/>
      <c r="AU2068" s="31"/>
      <c r="AV2068" s="36"/>
      <c r="AW2068" s="36"/>
    </row>
    <row r="2069" spans="4:49">
      <c r="D2069" s="31"/>
      <c r="E2069" s="31"/>
      <c r="F2069" s="31"/>
      <c r="G2069" s="31"/>
      <c r="H2069" s="32"/>
      <c r="J2069" s="33"/>
      <c r="K2069" s="33"/>
      <c r="L2069" s="33"/>
      <c r="X2069" s="23"/>
      <c r="Y2069" s="23"/>
      <c r="Z2069" s="23"/>
      <c r="AA2069" s="23"/>
      <c r="AF2069" s="23"/>
      <c r="AG2069" s="23"/>
      <c r="AH2069" s="23"/>
      <c r="AI2069" s="23"/>
      <c r="AN2069" s="23"/>
      <c r="AO2069" s="23"/>
      <c r="AP2069" s="23"/>
      <c r="AQ2069" s="23"/>
      <c r="AR2069" s="35"/>
      <c r="AS2069" s="35"/>
      <c r="AT2069" s="35"/>
      <c r="AU2069" s="31"/>
      <c r="AV2069" s="36"/>
      <c r="AW2069" s="36"/>
    </row>
    <row r="2070" spans="4:49">
      <c r="D2070" s="31"/>
      <c r="E2070" s="31"/>
      <c r="F2070" s="31"/>
      <c r="G2070" s="31"/>
      <c r="H2070" s="32"/>
      <c r="J2070" s="33"/>
      <c r="K2070" s="33"/>
      <c r="L2070" s="33"/>
      <c r="X2070" s="23"/>
      <c r="Y2070" s="23"/>
      <c r="Z2070" s="23"/>
      <c r="AA2070" s="23"/>
      <c r="AF2070" s="23"/>
      <c r="AG2070" s="23"/>
      <c r="AH2070" s="23"/>
      <c r="AI2070" s="23"/>
      <c r="AN2070" s="23"/>
      <c r="AO2070" s="23"/>
      <c r="AP2070" s="23"/>
      <c r="AQ2070" s="23"/>
      <c r="AR2070" s="35"/>
      <c r="AS2070" s="35"/>
      <c r="AT2070" s="35"/>
      <c r="AU2070" s="31"/>
      <c r="AV2070" s="36"/>
      <c r="AW2070" s="36"/>
    </row>
    <row r="2071" spans="4:49">
      <c r="D2071" s="31"/>
      <c r="E2071" s="31"/>
      <c r="F2071" s="31"/>
      <c r="G2071" s="31"/>
      <c r="H2071" s="32"/>
      <c r="J2071" s="33"/>
      <c r="K2071" s="33"/>
      <c r="L2071" s="33"/>
      <c r="X2071" s="23"/>
      <c r="Y2071" s="23"/>
      <c r="Z2071" s="23"/>
      <c r="AA2071" s="23"/>
      <c r="AF2071" s="23"/>
      <c r="AG2071" s="23"/>
      <c r="AH2071" s="23"/>
      <c r="AI2071" s="23"/>
      <c r="AN2071" s="23"/>
      <c r="AO2071" s="23"/>
      <c r="AP2071" s="23"/>
      <c r="AQ2071" s="23"/>
      <c r="AR2071" s="35"/>
      <c r="AS2071" s="35"/>
      <c r="AT2071" s="35"/>
      <c r="AU2071" s="31"/>
      <c r="AV2071" s="36"/>
      <c r="AW2071" s="36"/>
    </row>
    <row r="2072" spans="4:49">
      <c r="D2072" s="31"/>
      <c r="E2072" s="31"/>
      <c r="F2072" s="31"/>
      <c r="G2072" s="31"/>
      <c r="H2072" s="32"/>
      <c r="J2072" s="33"/>
      <c r="K2072" s="33"/>
      <c r="L2072" s="33"/>
      <c r="X2072" s="23"/>
      <c r="Y2072" s="23"/>
      <c r="Z2072" s="23"/>
      <c r="AA2072" s="23"/>
      <c r="AF2072" s="23"/>
      <c r="AG2072" s="23"/>
      <c r="AH2072" s="23"/>
      <c r="AI2072" s="23"/>
      <c r="AN2072" s="23"/>
      <c r="AO2072" s="23"/>
      <c r="AP2072" s="23"/>
      <c r="AQ2072" s="23"/>
      <c r="AR2072" s="35"/>
      <c r="AS2072" s="35"/>
      <c r="AT2072" s="35"/>
      <c r="AU2072" s="31"/>
      <c r="AV2072" s="36"/>
      <c r="AW2072" s="36"/>
    </row>
    <row r="2073" spans="4:49">
      <c r="D2073" s="31"/>
      <c r="E2073" s="31"/>
      <c r="F2073" s="31"/>
      <c r="G2073" s="31"/>
      <c r="H2073" s="32"/>
      <c r="J2073" s="33"/>
      <c r="K2073" s="33"/>
      <c r="L2073" s="33"/>
      <c r="X2073" s="23"/>
      <c r="Y2073" s="23"/>
      <c r="Z2073" s="23"/>
      <c r="AA2073" s="23"/>
      <c r="AF2073" s="23"/>
      <c r="AG2073" s="23"/>
      <c r="AH2073" s="23"/>
      <c r="AI2073" s="23"/>
      <c r="AN2073" s="23"/>
      <c r="AO2073" s="23"/>
      <c r="AP2073" s="23"/>
      <c r="AQ2073" s="23"/>
      <c r="AR2073" s="35"/>
      <c r="AS2073" s="35"/>
      <c r="AT2073" s="35"/>
      <c r="AU2073" s="31"/>
      <c r="AV2073" s="36"/>
      <c r="AW2073" s="36"/>
    </row>
    <row r="2074" spans="4:49">
      <c r="D2074" s="31"/>
      <c r="E2074" s="31"/>
      <c r="F2074" s="31"/>
      <c r="G2074" s="31"/>
      <c r="H2074" s="32"/>
      <c r="J2074" s="33"/>
      <c r="K2074" s="33"/>
      <c r="L2074" s="33"/>
      <c r="X2074" s="23"/>
      <c r="Y2074" s="23"/>
      <c r="Z2074" s="23"/>
      <c r="AA2074" s="23"/>
      <c r="AF2074" s="23"/>
      <c r="AG2074" s="23"/>
      <c r="AH2074" s="23"/>
      <c r="AI2074" s="23"/>
      <c r="AN2074" s="23"/>
      <c r="AO2074" s="23"/>
      <c r="AP2074" s="23"/>
      <c r="AQ2074" s="23"/>
      <c r="AR2074" s="35"/>
      <c r="AS2074" s="35"/>
      <c r="AT2074" s="35"/>
      <c r="AU2074" s="31"/>
      <c r="AV2074" s="36"/>
      <c r="AW2074" s="36"/>
    </row>
    <row r="2075" spans="4:49">
      <c r="D2075" s="31"/>
      <c r="E2075" s="31"/>
      <c r="F2075" s="31"/>
      <c r="G2075" s="31"/>
      <c r="H2075" s="32"/>
      <c r="J2075" s="33"/>
      <c r="K2075" s="33"/>
      <c r="L2075" s="33"/>
      <c r="X2075" s="23"/>
      <c r="Y2075" s="23"/>
      <c r="Z2075" s="23"/>
      <c r="AA2075" s="23"/>
      <c r="AF2075" s="23"/>
      <c r="AG2075" s="23"/>
      <c r="AH2075" s="23"/>
      <c r="AI2075" s="23"/>
      <c r="AN2075" s="23"/>
      <c r="AO2075" s="23"/>
      <c r="AP2075" s="23"/>
      <c r="AQ2075" s="23"/>
      <c r="AR2075" s="35"/>
      <c r="AS2075" s="35"/>
      <c r="AT2075" s="35"/>
      <c r="AU2075" s="31"/>
      <c r="AV2075" s="36"/>
      <c r="AW2075" s="36"/>
    </row>
    <row r="2076" spans="4:49">
      <c r="D2076" s="31"/>
      <c r="E2076" s="31"/>
      <c r="F2076" s="31"/>
      <c r="G2076" s="31"/>
      <c r="H2076" s="32"/>
      <c r="J2076" s="33"/>
      <c r="K2076" s="33"/>
      <c r="L2076" s="33"/>
      <c r="X2076" s="23"/>
      <c r="Y2076" s="23"/>
      <c r="Z2076" s="23"/>
      <c r="AA2076" s="23"/>
      <c r="AF2076" s="23"/>
      <c r="AG2076" s="23"/>
      <c r="AH2076" s="23"/>
      <c r="AI2076" s="23"/>
      <c r="AN2076" s="23"/>
      <c r="AO2076" s="23"/>
      <c r="AP2076" s="23"/>
      <c r="AQ2076" s="23"/>
      <c r="AR2076" s="35"/>
      <c r="AS2076" s="35"/>
      <c r="AT2076" s="35"/>
      <c r="AU2076" s="31"/>
      <c r="AV2076" s="36"/>
      <c r="AW2076" s="36"/>
    </row>
    <row r="2077" spans="4:49">
      <c r="D2077" s="31"/>
      <c r="E2077" s="31"/>
      <c r="F2077" s="31"/>
      <c r="G2077" s="31"/>
      <c r="H2077" s="32"/>
      <c r="J2077" s="33"/>
      <c r="K2077" s="33"/>
      <c r="L2077" s="33"/>
      <c r="X2077" s="23"/>
      <c r="Y2077" s="23"/>
      <c r="Z2077" s="23"/>
      <c r="AA2077" s="23"/>
      <c r="AF2077" s="23"/>
      <c r="AG2077" s="23"/>
      <c r="AH2077" s="23"/>
      <c r="AI2077" s="23"/>
      <c r="AN2077" s="23"/>
      <c r="AO2077" s="23"/>
      <c r="AP2077" s="23"/>
      <c r="AQ2077" s="23"/>
      <c r="AR2077" s="35"/>
      <c r="AS2077" s="35"/>
      <c r="AT2077" s="35"/>
      <c r="AU2077" s="31"/>
      <c r="AV2077" s="36"/>
      <c r="AW2077" s="36"/>
    </row>
    <row r="2078" spans="4:49">
      <c r="D2078" s="31"/>
      <c r="E2078" s="31"/>
      <c r="F2078" s="31"/>
      <c r="G2078" s="31"/>
      <c r="H2078" s="32"/>
      <c r="J2078" s="33"/>
      <c r="K2078" s="33"/>
      <c r="L2078" s="33"/>
      <c r="X2078" s="23"/>
      <c r="Y2078" s="23"/>
      <c r="Z2078" s="23"/>
      <c r="AA2078" s="23"/>
      <c r="AF2078" s="23"/>
      <c r="AG2078" s="23"/>
      <c r="AH2078" s="23"/>
      <c r="AI2078" s="23"/>
      <c r="AN2078" s="23"/>
      <c r="AO2078" s="23"/>
      <c r="AP2078" s="23"/>
      <c r="AQ2078" s="23"/>
      <c r="AR2078" s="35"/>
      <c r="AS2078" s="35"/>
      <c r="AT2078" s="35"/>
      <c r="AU2078" s="31"/>
      <c r="AV2078" s="36"/>
      <c r="AW2078" s="36"/>
    </row>
    <row r="2079" spans="4:49">
      <c r="D2079" s="31"/>
      <c r="E2079" s="31"/>
      <c r="F2079" s="31"/>
      <c r="G2079" s="31"/>
      <c r="H2079" s="32"/>
      <c r="J2079" s="33"/>
      <c r="K2079" s="33"/>
      <c r="L2079" s="33"/>
      <c r="X2079" s="23"/>
      <c r="Y2079" s="23"/>
      <c r="Z2079" s="23"/>
      <c r="AA2079" s="23"/>
      <c r="AF2079" s="23"/>
      <c r="AG2079" s="23"/>
      <c r="AH2079" s="23"/>
      <c r="AI2079" s="23"/>
      <c r="AN2079" s="23"/>
      <c r="AO2079" s="23"/>
      <c r="AP2079" s="23"/>
      <c r="AQ2079" s="23"/>
      <c r="AR2079" s="35"/>
      <c r="AS2079" s="35"/>
      <c r="AT2079" s="35"/>
      <c r="AU2079" s="31"/>
      <c r="AV2079" s="36"/>
      <c r="AW2079" s="36"/>
    </row>
    <row r="2080" spans="4:49">
      <c r="D2080" s="31"/>
      <c r="E2080" s="31"/>
      <c r="F2080" s="31"/>
      <c r="G2080" s="31"/>
      <c r="H2080" s="32"/>
      <c r="J2080" s="33"/>
      <c r="K2080" s="33"/>
      <c r="L2080" s="33"/>
      <c r="X2080" s="23"/>
      <c r="Y2080" s="23"/>
      <c r="Z2080" s="23"/>
      <c r="AA2080" s="23"/>
      <c r="AF2080" s="23"/>
      <c r="AG2080" s="23"/>
      <c r="AH2080" s="23"/>
      <c r="AI2080" s="23"/>
      <c r="AN2080" s="23"/>
      <c r="AO2080" s="23"/>
      <c r="AP2080" s="23"/>
      <c r="AQ2080" s="23"/>
      <c r="AR2080" s="35"/>
      <c r="AS2080" s="35"/>
      <c r="AT2080" s="35"/>
      <c r="AU2080" s="31"/>
      <c r="AV2080" s="36"/>
      <c r="AW2080" s="36"/>
    </row>
    <row r="2081" spans="4:49">
      <c r="D2081" s="31"/>
      <c r="E2081" s="31"/>
      <c r="F2081" s="31"/>
      <c r="G2081" s="31"/>
      <c r="H2081" s="32"/>
      <c r="J2081" s="33"/>
      <c r="K2081" s="33"/>
      <c r="L2081" s="33"/>
      <c r="X2081" s="23"/>
      <c r="Y2081" s="23"/>
      <c r="Z2081" s="23"/>
      <c r="AA2081" s="23"/>
      <c r="AF2081" s="23"/>
      <c r="AG2081" s="23"/>
      <c r="AH2081" s="23"/>
      <c r="AI2081" s="23"/>
      <c r="AN2081" s="23"/>
      <c r="AO2081" s="23"/>
      <c r="AP2081" s="23"/>
      <c r="AQ2081" s="23"/>
      <c r="AR2081" s="35"/>
      <c r="AS2081" s="35"/>
      <c r="AT2081" s="35"/>
      <c r="AU2081" s="31"/>
      <c r="AV2081" s="36"/>
      <c r="AW2081" s="36"/>
    </row>
    <row r="2082" spans="4:49">
      <c r="D2082" s="31"/>
      <c r="E2082" s="31"/>
      <c r="F2082" s="31"/>
      <c r="G2082" s="31"/>
      <c r="H2082" s="32"/>
      <c r="J2082" s="33"/>
      <c r="K2082" s="33"/>
      <c r="L2082" s="33"/>
      <c r="X2082" s="23"/>
      <c r="Y2082" s="23"/>
      <c r="Z2082" s="23"/>
      <c r="AA2082" s="23"/>
      <c r="AF2082" s="23"/>
      <c r="AG2082" s="23"/>
      <c r="AH2082" s="23"/>
      <c r="AI2082" s="23"/>
      <c r="AN2082" s="23"/>
      <c r="AO2082" s="23"/>
      <c r="AP2082" s="23"/>
      <c r="AQ2082" s="23"/>
      <c r="AR2082" s="35"/>
      <c r="AS2082" s="35"/>
      <c r="AT2082" s="35"/>
      <c r="AU2082" s="31"/>
      <c r="AV2082" s="36"/>
      <c r="AW2082" s="36"/>
    </row>
    <row r="2083" spans="4:49">
      <c r="D2083" s="31"/>
      <c r="E2083" s="31"/>
      <c r="F2083" s="31"/>
      <c r="G2083" s="31"/>
      <c r="H2083" s="32"/>
      <c r="J2083" s="33"/>
      <c r="K2083" s="33"/>
      <c r="L2083" s="33"/>
      <c r="X2083" s="23"/>
      <c r="Y2083" s="23"/>
      <c r="Z2083" s="23"/>
      <c r="AA2083" s="23"/>
      <c r="AF2083" s="23"/>
      <c r="AG2083" s="23"/>
      <c r="AH2083" s="23"/>
      <c r="AI2083" s="23"/>
      <c r="AN2083" s="23"/>
      <c r="AO2083" s="23"/>
      <c r="AP2083" s="23"/>
      <c r="AQ2083" s="23"/>
      <c r="AR2083" s="35"/>
      <c r="AS2083" s="35"/>
      <c r="AT2083" s="35"/>
      <c r="AU2083" s="31"/>
      <c r="AV2083" s="36"/>
      <c r="AW2083" s="36"/>
    </row>
    <row r="2084" spans="4:49">
      <c r="D2084" s="31"/>
      <c r="E2084" s="31"/>
      <c r="F2084" s="31"/>
      <c r="G2084" s="31"/>
      <c r="H2084" s="32"/>
      <c r="J2084" s="33"/>
      <c r="K2084" s="33"/>
      <c r="L2084" s="33"/>
      <c r="X2084" s="23"/>
      <c r="Y2084" s="23"/>
      <c r="Z2084" s="23"/>
      <c r="AA2084" s="23"/>
      <c r="AF2084" s="23"/>
      <c r="AG2084" s="23"/>
      <c r="AH2084" s="23"/>
      <c r="AI2084" s="23"/>
      <c r="AN2084" s="23"/>
      <c r="AO2084" s="23"/>
      <c r="AP2084" s="23"/>
      <c r="AQ2084" s="23"/>
      <c r="AR2084" s="35"/>
      <c r="AS2084" s="35"/>
      <c r="AT2084" s="35"/>
      <c r="AU2084" s="31"/>
      <c r="AV2084" s="36"/>
      <c r="AW2084" s="36"/>
    </row>
    <row r="2085" spans="4:49">
      <c r="D2085" s="31"/>
      <c r="E2085" s="31"/>
      <c r="F2085" s="31"/>
      <c r="G2085" s="31"/>
      <c r="H2085" s="32"/>
      <c r="J2085" s="33"/>
      <c r="K2085" s="33"/>
      <c r="L2085" s="33"/>
      <c r="X2085" s="23"/>
      <c r="Y2085" s="23"/>
      <c r="Z2085" s="23"/>
      <c r="AA2085" s="23"/>
      <c r="AF2085" s="23"/>
      <c r="AG2085" s="23"/>
      <c r="AH2085" s="23"/>
      <c r="AI2085" s="23"/>
      <c r="AN2085" s="23"/>
      <c r="AO2085" s="23"/>
      <c r="AP2085" s="23"/>
      <c r="AQ2085" s="23"/>
      <c r="AR2085" s="35"/>
      <c r="AS2085" s="35"/>
      <c r="AT2085" s="35"/>
      <c r="AU2085" s="31"/>
      <c r="AV2085" s="36"/>
      <c r="AW2085" s="36"/>
    </row>
    <row r="2086" spans="4:49">
      <c r="D2086" s="31"/>
      <c r="E2086" s="31"/>
      <c r="F2086" s="31"/>
      <c r="G2086" s="31"/>
      <c r="H2086" s="32"/>
      <c r="J2086" s="33"/>
      <c r="K2086" s="33"/>
      <c r="L2086" s="33"/>
      <c r="X2086" s="23"/>
      <c r="Y2086" s="23"/>
      <c r="Z2086" s="23"/>
      <c r="AA2086" s="23"/>
      <c r="AF2086" s="23"/>
      <c r="AG2086" s="23"/>
      <c r="AH2086" s="23"/>
      <c r="AI2086" s="23"/>
      <c r="AN2086" s="23"/>
      <c r="AO2086" s="23"/>
      <c r="AP2086" s="23"/>
      <c r="AQ2086" s="23"/>
      <c r="AR2086" s="35"/>
      <c r="AS2086" s="35"/>
      <c r="AT2086" s="35"/>
      <c r="AU2086" s="31"/>
      <c r="AV2086" s="36"/>
      <c r="AW2086" s="36"/>
    </row>
    <row r="2087" spans="4:49">
      <c r="D2087" s="31"/>
      <c r="E2087" s="31"/>
      <c r="F2087" s="31"/>
      <c r="G2087" s="31"/>
      <c r="H2087" s="32"/>
      <c r="J2087" s="33"/>
      <c r="K2087" s="33"/>
      <c r="L2087" s="33"/>
      <c r="X2087" s="23"/>
      <c r="Y2087" s="23"/>
      <c r="Z2087" s="23"/>
      <c r="AA2087" s="23"/>
      <c r="AF2087" s="23"/>
      <c r="AG2087" s="23"/>
      <c r="AH2087" s="23"/>
      <c r="AI2087" s="23"/>
      <c r="AN2087" s="23"/>
      <c r="AO2087" s="23"/>
      <c r="AP2087" s="23"/>
      <c r="AQ2087" s="23"/>
      <c r="AR2087" s="35"/>
      <c r="AS2087" s="35"/>
      <c r="AT2087" s="35"/>
      <c r="AU2087" s="31"/>
      <c r="AV2087" s="36"/>
      <c r="AW2087" s="36"/>
    </row>
    <row r="2088" spans="4:49">
      <c r="D2088" s="31"/>
      <c r="E2088" s="31"/>
      <c r="F2088" s="31"/>
      <c r="G2088" s="31"/>
      <c r="H2088" s="32"/>
      <c r="J2088" s="33"/>
      <c r="K2088" s="33"/>
      <c r="L2088" s="33"/>
      <c r="X2088" s="23"/>
      <c r="Y2088" s="23"/>
      <c r="Z2088" s="23"/>
      <c r="AA2088" s="23"/>
      <c r="AF2088" s="23"/>
      <c r="AG2088" s="23"/>
      <c r="AH2088" s="23"/>
      <c r="AI2088" s="23"/>
      <c r="AN2088" s="23"/>
      <c r="AO2088" s="23"/>
      <c r="AP2088" s="23"/>
      <c r="AQ2088" s="23"/>
      <c r="AR2088" s="35"/>
      <c r="AS2088" s="35"/>
      <c r="AT2088" s="35"/>
      <c r="AU2088" s="31"/>
      <c r="AV2088" s="36"/>
      <c r="AW2088" s="36"/>
    </row>
    <row r="2089" spans="4:49">
      <c r="D2089" s="31"/>
      <c r="E2089" s="31"/>
      <c r="F2089" s="31"/>
      <c r="G2089" s="31"/>
      <c r="H2089" s="32"/>
      <c r="J2089" s="33"/>
      <c r="K2089" s="33"/>
      <c r="L2089" s="33"/>
      <c r="X2089" s="23"/>
      <c r="Y2089" s="23"/>
      <c r="Z2089" s="23"/>
      <c r="AA2089" s="23"/>
      <c r="AF2089" s="23"/>
      <c r="AG2089" s="23"/>
      <c r="AH2089" s="23"/>
      <c r="AI2089" s="23"/>
      <c r="AN2089" s="23"/>
      <c r="AO2089" s="23"/>
      <c r="AP2089" s="23"/>
      <c r="AQ2089" s="23"/>
      <c r="AR2089" s="35"/>
      <c r="AS2089" s="35"/>
      <c r="AT2089" s="35"/>
      <c r="AU2089" s="31"/>
      <c r="AV2089" s="36"/>
      <c r="AW2089" s="36"/>
    </row>
    <row r="2090" spans="4:49">
      <c r="D2090" s="31"/>
      <c r="E2090" s="31"/>
      <c r="F2090" s="31"/>
      <c r="G2090" s="31"/>
      <c r="H2090" s="32"/>
      <c r="J2090" s="33"/>
      <c r="K2090" s="33"/>
      <c r="L2090" s="33"/>
      <c r="X2090" s="23"/>
      <c r="Y2090" s="23"/>
      <c r="Z2090" s="23"/>
      <c r="AA2090" s="23"/>
      <c r="AF2090" s="23"/>
      <c r="AG2090" s="23"/>
      <c r="AH2090" s="23"/>
      <c r="AI2090" s="23"/>
      <c r="AN2090" s="23"/>
      <c r="AO2090" s="23"/>
      <c r="AP2090" s="23"/>
      <c r="AQ2090" s="23"/>
      <c r="AR2090" s="35"/>
      <c r="AS2090" s="35"/>
      <c r="AT2090" s="35"/>
      <c r="AU2090" s="31"/>
      <c r="AV2090" s="36"/>
      <c r="AW2090" s="36"/>
    </row>
    <row r="2091" spans="4:49">
      <c r="D2091" s="31"/>
      <c r="E2091" s="31"/>
      <c r="F2091" s="31"/>
      <c r="G2091" s="31"/>
      <c r="H2091" s="32"/>
      <c r="J2091" s="33"/>
      <c r="K2091" s="33"/>
      <c r="L2091" s="33"/>
      <c r="X2091" s="23"/>
      <c r="Y2091" s="23"/>
      <c r="Z2091" s="23"/>
      <c r="AA2091" s="23"/>
      <c r="AF2091" s="23"/>
      <c r="AG2091" s="23"/>
      <c r="AH2091" s="23"/>
      <c r="AI2091" s="23"/>
      <c r="AN2091" s="23"/>
      <c r="AO2091" s="23"/>
      <c r="AP2091" s="23"/>
      <c r="AQ2091" s="23"/>
      <c r="AR2091" s="35"/>
      <c r="AS2091" s="35"/>
      <c r="AT2091" s="35"/>
      <c r="AU2091" s="31"/>
      <c r="AV2091" s="36"/>
      <c r="AW2091" s="36"/>
    </row>
    <row r="2092" spans="4:49">
      <c r="D2092" s="31"/>
      <c r="E2092" s="31"/>
      <c r="F2092" s="31"/>
      <c r="G2092" s="31"/>
      <c r="H2092" s="32"/>
      <c r="J2092" s="33"/>
      <c r="K2092" s="33"/>
      <c r="L2092" s="33"/>
      <c r="X2092" s="23"/>
      <c r="Y2092" s="23"/>
      <c r="Z2092" s="23"/>
      <c r="AA2092" s="23"/>
      <c r="AF2092" s="23"/>
      <c r="AG2092" s="23"/>
      <c r="AH2092" s="23"/>
      <c r="AI2092" s="23"/>
      <c r="AN2092" s="23"/>
      <c r="AO2092" s="23"/>
      <c r="AP2092" s="23"/>
      <c r="AQ2092" s="23"/>
      <c r="AR2092" s="35"/>
      <c r="AS2092" s="35"/>
      <c r="AT2092" s="35"/>
      <c r="AU2092" s="31"/>
      <c r="AV2092" s="36"/>
      <c r="AW2092" s="36"/>
    </row>
    <row r="2093" spans="4:49">
      <c r="D2093" s="31"/>
      <c r="E2093" s="31"/>
      <c r="F2093" s="31"/>
      <c r="G2093" s="31"/>
      <c r="H2093" s="32"/>
      <c r="J2093" s="33"/>
      <c r="K2093" s="33"/>
      <c r="L2093" s="33"/>
      <c r="X2093" s="23"/>
      <c r="Y2093" s="23"/>
      <c r="Z2093" s="23"/>
      <c r="AA2093" s="23"/>
      <c r="AF2093" s="23"/>
      <c r="AG2093" s="23"/>
      <c r="AH2093" s="23"/>
      <c r="AI2093" s="23"/>
      <c r="AN2093" s="23"/>
      <c r="AO2093" s="23"/>
      <c r="AP2093" s="23"/>
      <c r="AQ2093" s="23"/>
      <c r="AR2093" s="35"/>
      <c r="AS2093" s="35"/>
      <c r="AT2093" s="35"/>
      <c r="AU2093" s="31"/>
      <c r="AV2093" s="36"/>
      <c r="AW2093" s="36"/>
    </row>
    <row r="2094" spans="4:49">
      <c r="D2094" s="31"/>
      <c r="E2094" s="31"/>
      <c r="F2094" s="31"/>
      <c r="G2094" s="31"/>
      <c r="H2094" s="32"/>
      <c r="J2094" s="33"/>
      <c r="K2094" s="33"/>
      <c r="L2094" s="33"/>
      <c r="X2094" s="23"/>
      <c r="Y2094" s="23"/>
      <c r="Z2094" s="23"/>
      <c r="AA2094" s="23"/>
      <c r="AF2094" s="23"/>
      <c r="AG2094" s="23"/>
      <c r="AH2094" s="23"/>
      <c r="AI2094" s="23"/>
      <c r="AN2094" s="23"/>
      <c r="AO2094" s="23"/>
      <c r="AP2094" s="23"/>
      <c r="AQ2094" s="23"/>
      <c r="AR2094" s="35"/>
      <c r="AS2094" s="35"/>
      <c r="AT2094" s="35"/>
      <c r="AU2094" s="31"/>
      <c r="AV2094" s="36"/>
      <c r="AW2094" s="36"/>
    </row>
    <row r="2095" spans="4:49">
      <c r="D2095" s="31"/>
      <c r="E2095" s="31"/>
      <c r="F2095" s="31"/>
      <c r="G2095" s="31"/>
      <c r="H2095" s="32"/>
      <c r="J2095" s="33"/>
      <c r="K2095" s="33"/>
      <c r="L2095" s="33"/>
      <c r="X2095" s="23"/>
      <c r="Y2095" s="23"/>
      <c r="Z2095" s="23"/>
      <c r="AA2095" s="23"/>
      <c r="AF2095" s="23"/>
      <c r="AG2095" s="23"/>
      <c r="AH2095" s="23"/>
      <c r="AI2095" s="23"/>
      <c r="AN2095" s="23"/>
      <c r="AO2095" s="23"/>
      <c r="AP2095" s="23"/>
      <c r="AQ2095" s="23"/>
      <c r="AR2095" s="35"/>
      <c r="AS2095" s="35"/>
      <c r="AT2095" s="35"/>
      <c r="AU2095" s="31"/>
      <c r="AV2095" s="36"/>
      <c r="AW2095" s="36"/>
    </row>
    <row r="2096" spans="4:49">
      <c r="D2096" s="31"/>
      <c r="E2096" s="31"/>
      <c r="F2096" s="31"/>
      <c r="G2096" s="31"/>
      <c r="H2096" s="32"/>
      <c r="J2096" s="33"/>
      <c r="K2096" s="33"/>
      <c r="L2096" s="33"/>
      <c r="X2096" s="23"/>
      <c r="Y2096" s="23"/>
      <c r="Z2096" s="23"/>
      <c r="AA2096" s="23"/>
      <c r="AF2096" s="23"/>
      <c r="AG2096" s="23"/>
      <c r="AH2096" s="23"/>
      <c r="AI2096" s="23"/>
      <c r="AN2096" s="23"/>
      <c r="AO2096" s="23"/>
      <c r="AP2096" s="23"/>
      <c r="AQ2096" s="23"/>
      <c r="AR2096" s="35"/>
      <c r="AS2096" s="35"/>
      <c r="AT2096" s="35"/>
      <c r="AU2096" s="31"/>
      <c r="AV2096" s="36"/>
      <c r="AW2096" s="36"/>
    </row>
    <row r="2097" spans="4:49">
      <c r="D2097" s="31"/>
      <c r="E2097" s="31"/>
      <c r="F2097" s="31"/>
      <c r="G2097" s="31"/>
      <c r="H2097" s="32"/>
      <c r="J2097" s="33"/>
      <c r="K2097" s="33"/>
      <c r="L2097" s="33"/>
      <c r="X2097" s="23"/>
      <c r="Y2097" s="23"/>
      <c r="Z2097" s="23"/>
      <c r="AA2097" s="23"/>
      <c r="AF2097" s="23"/>
      <c r="AG2097" s="23"/>
      <c r="AH2097" s="23"/>
      <c r="AI2097" s="23"/>
      <c r="AN2097" s="23"/>
      <c r="AO2097" s="23"/>
      <c r="AP2097" s="23"/>
      <c r="AQ2097" s="23"/>
      <c r="AR2097" s="35"/>
      <c r="AS2097" s="35"/>
      <c r="AT2097" s="35"/>
      <c r="AU2097" s="31"/>
      <c r="AV2097" s="36"/>
      <c r="AW2097" s="36"/>
    </row>
    <row r="2098" spans="4:49">
      <c r="D2098" s="31"/>
      <c r="E2098" s="31"/>
      <c r="F2098" s="31"/>
      <c r="G2098" s="31"/>
      <c r="H2098" s="32"/>
      <c r="J2098" s="33"/>
      <c r="K2098" s="33"/>
      <c r="L2098" s="33"/>
      <c r="X2098" s="23"/>
      <c r="Y2098" s="23"/>
      <c r="Z2098" s="23"/>
      <c r="AA2098" s="23"/>
      <c r="AF2098" s="23"/>
      <c r="AG2098" s="23"/>
      <c r="AH2098" s="23"/>
      <c r="AI2098" s="23"/>
      <c r="AN2098" s="23"/>
      <c r="AO2098" s="23"/>
      <c r="AP2098" s="23"/>
      <c r="AQ2098" s="23"/>
      <c r="AR2098" s="35"/>
      <c r="AS2098" s="35"/>
      <c r="AT2098" s="35"/>
      <c r="AU2098" s="31"/>
      <c r="AV2098" s="36"/>
      <c r="AW2098" s="36"/>
    </row>
    <row r="2099" spans="4:49">
      <c r="D2099" s="31"/>
      <c r="E2099" s="31"/>
      <c r="F2099" s="31"/>
      <c r="G2099" s="31"/>
      <c r="H2099" s="32"/>
      <c r="J2099" s="33"/>
      <c r="K2099" s="33"/>
      <c r="L2099" s="33"/>
      <c r="X2099" s="23"/>
      <c r="Y2099" s="23"/>
      <c r="Z2099" s="23"/>
      <c r="AA2099" s="23"/>
      <c r="AF2099" s="23"/>
      <c r="AG2099" s="23"/>
      <c r="AH2099" s="23"/>
      <c r="AI2099" s="23"/>
      <c r="AN2099" s="23"/>
      <c r="AO2099" s="23"/>
      <c r="AP2099" s="23"/>
      <c r="AQ2099" s="23"/>
      <c r="AR2099" s="35"/>
      <c r="AS2099" s="35"/>
      <c r="AT2099" s="35"/>
      <c r="AU2099" s="31"/>
      <c r="AV2099" s="36"/>
      <c r="AW2099" s="36"/>
    </row>
    <row r="2100" spans="4:48">
      <c r="D2100" s="31"/>
      <c r="E2100" s="31"/>
      <c r="F2100" s="31"/>
      <c r="G2100" s="31"/>
      <c r="H2100" s="32"/>
      <c r="J2100" s="33"/>
      <c r="K2100" s="33"/>
      <c r="L2100" s="33"/>
      <c r="X2100" s="23"/>
      <c r="Y2100" s="23"/>
      <c r="Z2100" s="23"/>
      <c r="AA2100" s="23"/>
      <c r="AF2100" s="23"/>
      <c r="AG2100" s="23"/>
      <c r="AH2100" s="23"/>
      <c r="AI2100" s="23"/>
      <c r="AN2100" s="23"/>
      <c r="AO2100" s="23"/>
      <c r="AP2100" s="23"/>
      <c r="AQ2100" s="23"/>
      <c r="AR2100" s="35"/>
      <c r="AS2100" s="35"/>
      <c r="AT2100" s="35"/>
      <c r="AU2100" s="31"/>
      <c r="AV2100" s="36"/>
    </row>
    <row r="2101" spans="4:48">
      <c r="D2101" s="31"/>
      <c r="E2101" s="31"/>
      <c r="F2101" s="31"/>
      <c r="G2101" s="31"/>
      <c r="H2101" s="32"/>
      <c r="J2101" s="33"/>
      <c r="K2101" s="33"/>
      <c r="L2101" s="33"/>
      <c r="X2101" s="23"/>
      <c r="Y2101" s="23"/>
      <c r="Z2101" s="23"/>
      <c r="AA2101" s="23"/>
      <c r="AF2101" s="23"/>
      <c r="AG2101" s="23"/>
      <c r="AH2101" s="23"/>
      <c r="AI2101" s="23"/>
      <c r="AN2101" s="23"/>
      <c r="AO2101" s="23"/>
      <c r="AP2101" s="23"/>
      <c r="AQ2101" s="23"/>
      <c r="AR2101" s="35"/>
      <c r="AS2101" s="35"/>
      <c r="AT2101" s="35"/>
      <c r="AU2101" s="31"/>
      <c r="AV2101" s="36"/>
    </row>
    <row r="2102" spans="4:48">
      <c r="D2102" s="31"/>
      <c r="E2102" s="31"/>
      <c r="F2102" s="31"/>
      <c r="G2102" s="31"/>
      <c r="H2102" s="32"/>
      <c r="J2102" s="33"/>
      <c r="K2102" s="33"/>
      <c r="L2102" s="33"/>
      <c r="X2102" s="23"/>
      <c r="Y2102" s="23"/>
      <c r="Z2102" s="23"/>
      <c r="AA2102" s="23"/>
      <c r="AF2102" s="23"/>
      <c r="AG2102" s="23"/>
      <c r="AH2102" s="23"/>
      <c r="AI2102" s="23"/>
      <c r="AN2102" s="23"/>
      <c r="AO2102" s="23"/>
      <c r="AP2102" s="23"/>
      <c r="AQ2102" s="23"/>
      <c r="AR2102" s="35"/>
      <c r="AS2102" s="35"/>
      <c r="AT2102" s="35"/>
      <c r="AU2102" s="31"/>
      <c r="AV2102" s="36"/>
    </row>
    <row r="2103" spans="4:48">
      <c r="D2103" s="31"/>
      <c r="E2103" s="31"/>
      <c r="F2103" s="31"/>
      <c r="G2103" s="31"/>
      <c r="H2103" s="32"/>
      <c r="J2103" s="33"/>
      <c r="K2103" s="33"/>
      <c r="L2103" s="33"/>
      <c r="X2103" s="23"/>
      <c r="Y2103" s="23"/>
      <c r="Z2103" s="23"/>
      <c r="AA2103" s="23"/>
      <c r="AF2103" s="23"/>
      <c r="AG2103" s="23"/>
      <c r="AH2103" s="23"/>
      <c r="AI2103" s="23"/>
      <c r="AN2103" s="23"/>
      <c r="AO2103" s="23"/>
      <c r="AP2103" s="23"/>
      <c r="AQ2103" s="23"/>
      <c r="AR2103" s="35"/>
      <c r="AS2103" s="35"/>
      <c r="AT2103" s="35"/>
      <c r="AU2103" s="31"/>
      <c r="AV2103" s="36"/>
    </row>
    <row r="2104" spans="4:48">
      <c r="D2104" s="31"/>
      <c r="E2104" s="31"/>
      <c r="F2104" s="31"/>
      <c r="G2104" s="31"/>
      <c r="H2104" s="32"/>
      <c r="J2104" s="33"/>
      <c r="K2104" s="33"/>
      <c r="L2104" s="33"/>
      <c r="X2104" s="23"/>
      <c r="Y2104" s="23"/>
      <c r="Z2104" s="23"/>
      <c r="AA2104" s="23"/>
      <c r="AF2104" s="23"/>
      <c r="AG2104" s="23"/>
      <c r="AH2104" s="23"/>
      <c r="AI2104" s="23"/>
      <c r="AN2104" s="23"/>
      <c r="AO2104" s="23"/>
      <c r="AP2104" s="23"/>
      <c r="AQ2104" s="23"/>
      <c r="AR2104" s="35"/>
      <c r="AS2104" s="35"/>
      <c r="AT2104" s="35"/>
      <c r="AU2104" s="31"/>
      <c r="AV2104" s="36"/>
    </row>
    <row r="2105" spans="4:48">
      <c r="D2105" s="31"/>
      <c r="E2105" s="31"/>
      <c r="F2105" s="31"/>
      <c r="G2105" s="31"/>
      <c r="H2105" s="32"/>
      <c r="J2105" s="33"/>
      <c r="K2105" s="33"/>
      <c r="L2105" s="33"/>
      <c r="X2105" s="23"/>
      <c r="Y2105" s="23"/>
      <c r="Z2105" s="23"/>
      <c r="AA2105" s="23"/>
      <c r="AF2105" s="23"/>
      <c r="AG2105" s="23"/>
      <c r="AH2105" s="23"/>
      <c r="AI2105" s="23"/>
      <c r="AN2105" s="23"/>
      <c r="AO2105" s="23"/>
      <c r="AP2105" s="23"/>
      <c r="AQ2105" s="23"/>
      <c r="AR2105" s="35"/>
      <c r="AS2105" s="35"/>
      <c r="AT2105" s="35"/>
      <c r="AU2105" s="31"/>
      <c r="AV2105" s="36"/>
    </row>
    <row r="2106" spans="4:48">
      <c r="D2106" s="31"/>
      <c r="E2106" s="31"/>
      <c r="F2106" s="31"/>
      <c r="G2106" s="31"/>
      <c r="H2106" s="32"/>
      <c r="J2106" s="33"/>
      <c r="K2106" s="33"/>
      <c r="L2106" s="33"/>
      <c r="X2106" s="23"/>
      <c r="Y2106" s="23"/>
      <c r="Z2106" s="23"/>
      <c r="AA2106" s="23"/>
      <c r="AF2106" s="23"/>
      <c r="AG2106" s="23"/>
      <c r="AH2106" s="23"/>
      <c r="AI2106" s="23"/>
      <c r="AN2106" s="23"/>
      <c r="AO2106" s="23"/>
      <c r="AP2106" s="23"/>
      <c r="AQ2106" s="23"/>
      <c r="AR2106" s="35"/>
      <c r="AS2106" s="35"/>
      <c r="AT2106" s="35"/>
      <c r="AU2106" s="31"/>
      <c r="AV2106" s="36"/>
    </row>
    <row r="2107" spans="4:48">
      <c r="D2107" s="31"/>
      <c r="E2107" s="31"/>
      <c r="F2107" s="31"/>
      <c r="G2107" s="31"/>
      <c r="H2107" s="32"/>
      <c r="J2107" s="33"/>
      <c r="K2107" s="33"/>
      <c r="L2107" s="33"/>
      <c r="X2107" s="23"/>
      <c r="Y2107" s="23"/>
      <c r="Z2107" s="23"/>
      <c r="AA2107" s="23"/>
      <c r="AF2107" s="23"/>
      <c r="AG2107" s="23"/>
      <c r="AH2107" s="23"/>
      <c r="AI2107" s="23"/>
      <c r="AN2107" s="23"/>
      <c r="AO2107" s="23"/>
      <c r="AP2107" s="23"/>
      <c r="AQ2107" s="23"/>
      <c r="AR2107" s="35"/>
      <c r="AS2107" s="35"/>
      <c r="AT2107" s="35"/>
      <c r="AU2107" s="31"/>
      <c r="AV2107" s="36"/>
    </row>
    <row r="2108" spans="4:48">
      <c r="D2108" s="31"/>
      <c r="E2108" s="31"/>
      <c r="F2108" s="31"/>
      <c r="G2108" s="31"/>
      <c r="H2108" s="32"/>
      <c r="J2108" s="33"/>
      <c r="K2108" s="33"/>
      <c r="L2108" s="33"/>
      <c r="X2108" s="23"/>
      <c r="Y2108" s="23"/>
      <c r="Z2108" s="23"/>
      <c r="AA2108" s="23"/>
      <c r="AF2108" s="23"/>
      <c r="AG2108" s="23"/>
      <c r="AH2108" s="23"/>
      <c r="AI2108" s="23"/>
      <c r="AN2108" s="23"/>
      <c r="AO2108" s="23"/>
      <c r="AP2108" s="23"/>
      <c r="AQ2108" s="23"/>
      <c r="AR2108" s="35"/>
      <c r="AS2108" s="35"/>
      <c r="AT2108" s="35"/>
      <c r="AU2108" s="31"/>
      <c r="AV2108" s="36"/>
    </row>
    <row r="2109" spans="4:48">
      <c r="D2109" s="31"/>
      <c r="E2109" s="31"/>
      <c r="F2109" s="31"/>
      <c r="G2109" s="31"/>
      <c r="H2109" s="32"/>
      <c r="J2109" s="33"/>
      <c r="K2109" s="33"/>
      <c r="L2109" s="33"/>
      <c r="X2109" s="23"/>
      <c r="Y2109" s="23"/>
      <c r="Z2109" s="23"/>
      <c r="AA2109" s="23"/>
      <c r="AF2109" s="23"/>
      <c r="AG2109" s="23"/>
      <c r="AH2109" s="23"/>
      <c r="AI2109" s="23"/>
      <c r="AN2109" s="23"/>
      <c r="AO2109" s="23"/>
      <c r="AP2109" s="23"/>
      <c r="AQ2109" s="23"/>
      <c r="AR2109" s="35"/>
      <c r="AS2109" s="35"/>
      <c r="AT2109" s="35"/>
      <c r="AU2109" s="31"/>
      <c r="AV2109" s="36"/>
    </row>
    <row r="2110" spans="4:48">
      <c r="D2110" s="31"/>
      <c r="E2110" s="31"/>
      <c r="F2110" s="31"/>
      <c r="G2110" s="31"/>
      <c r="H2110" s="32"/>
      <c r="J2110" s="33"/>
      <c r="K2110" s="33"/>
      <c r="L2110" s="33"/>
      <c r="X2110" s="23"/>
      <c r="Y2110" s="23"/>
      <c r="Z2110" s="23"/>
      <c r="AA2110" s="23"/>
      <c r="AF2110" s="23"/>
      <c r="AG2110" s="23"/>
      <c r="AH2110" s="23"/>
      <c r="AI2110" s="23"/>
      <c r="AN2110" s="23"/>
      <c r="AO2110" s="23"/>
      <c r="AP2110" s="23"/>
      <c r="AQ2110" s="23"/>
      <c r="AR2110" s="35"/>
      <c r="AS2110" s="35"/>
      <c r="AT2110" s="35"/>
      <c r="AU2110" s="31"/>
      <c r="AV2110" s="36"/>
    </row>
    <row r="2111" spans="4:48">
      <c r="D2111" s="31"/>
      <c r="E2111" s="31"/>
      <c r="F2111" s="31"/>
      <c r="G2111" s="31"/>
      <c r="H2111" s="32"/>
      <c r="J2111" s="33"/>
      <c r="K2111" s="33"/>
      <c r="L2111" s="33"/>
      <c r="X2111" s="23"/>
      <c r="Y2111" s="23"/>
      <c r="Z2111" s="23"/>
      <c r="AA2111" s="23"/>
      <c r="AF2111" s="23"/>
      <c r="AG2111" s="23"/>
      <c r="AH2111" s="23"/>
      <c r="AI2111" s="23"/>
      <c r="AN2111" s="23"/>
      <c r="AO2111" s="23"/>
      <c r="AP2111" s="23"/>
      <c r="AQ2111" s="23"/>
      <c r="AR2111" s="35"/>
      <c r="AS2111" s="35"/>
      <c r="AT2111" s="35"/>
      <c r="AU2111" s="31"/>
      <c r="AV2111" s="36"/>
    </row>
    <row r="2112" spans="4:48">
      <c r="D2112" s="31"/>
      <c r="E2112" s="31"/>
      <c r="F2112" s="31"/>
      <c r="G2112" s="31"/>
      <c r="H2112" s="32"/>
      <c r="J2112" s="33"/>
      <c r="K2112" s="33"/>
      <c r="L2112" s="33"/>
      <c r="X2112" s="23"/>
      <c r="Y2112" s="23"/>
      <c r="Z2112" s="23"/>
      <c r="AA2112" s="23"/>
      <c r="AF2112" s="23"/>
      <c r="AG2112" s="23"/>
      <c r="AH2112" s="23"/>
      <c r="AI2112" s="23"/>
      <c r="AN2112" s="23"/>
      <c r="AO2112" s="23"/>
      <c r="AP2112" s="23"/>
      <c r="AQ2112" s="23"/>
      <c r="AR2112" s="35"/>
      <c r="AS2112" s="35"/>
      <c r="AT2112" s="35"/>
      <c r="AU2112" s="31"/>
      <c r="AV2112" s="36"/>
    </row>
    <row r="2113" spans="4:48">
      <c r="D2113" s="31"/>
      <c r="E2113" s="31"/>
      <c r="F2113" s="31"/>
      <c r="G2113" s="31"/>
      <c r="H2113" s="32"/>
      <c r="J2113" s="33"/>
      <c r="K2113" s="33"/>
      <c r="L2113" s="33"/>
      <c r="X2113" s="23"/>
      <c r="Y2113" s="23"/>
      <c r="Z2113" s="23"/>
      <c r="AA2113" s="23"/>
      <c r="AF2113" s="23"/>
      <c r="AG2113" s="23"/>
      <c r="AH2113" s="23"/>
      <c r="AI2113" s="23"/>
      <c r="AN2113" s="23"/>
      <c r="AO2113" s="23"/>
      <c r="AP2113" s="23"/>
      <c r="AQ2113" s="23"/>
      <c r="AR2113" s="35"/>
      <c r="AS2113" s="35"/>
      <c r="AT2113" s="35"/>
      <c r="AU2113" s="31"/>
      <c r="AV2113" s="36"/>
    </row>
    <row r="2114" spans="4:48">
      <c r="D2114" s="31"/>
      <c r="E2114" s="31"/>
      <c r="F2114" s="31"/>
      <c r="G2114" s="31"/>
      <c r="H2114" s="32"/>
      <c r="J2114" s="33"/>
      <c r="K2114" s="33"/>
      <c r="L2114" s="33"/>
      <c r="X2114" s="23"/>
      <c r="Y2114" s="23"/>
      <c r="Z2114" s="23"/>
      <c r="AA2114" s="23"/>
      <c r="AF2114" s="23"/>
      <c r="AG2114" s="23"/>
      <c r="AH2114" s="23"/>
      <c r="AI2114" s="23"/>
      <c r="AN2114" s="23"/>
      <c r="AO2114" s="23"/>
      <c r="AP2114" s="23"/>
      <c r="AQ2114" s="23"/>
      <c r="AR2114" s="35"/>
      <c r="AS2114" s="35"/>
      <c r="AT2114" s="35"/>
      <c r="AU2114" s="31"/>
      <c r="AV2114" s="36"/>
    </row>
    <row r="2115" spans="4:48">
      <c r="D2115" s="31"/>
      <c r="E2115" s="31"/>
      <c r="F2115" s="31"/>
      <c r="G2115" s="31"/>
      <c r="H2115" s="32"/>
      <c r="J2115" s="33"/>
      <c r="K2115" s="33"/>
      <c r="L2115" s="33"/>
      <c r="X2115" s="23"/>
      <c r="Y2115" s="23"/>
      <c r="Z2115" s="23"/>
      <c r="AA2115" s="23"/>
      <c r="AF2115" s="23"/>
      <c r="AG2115" s="23"/>
      <c r="AH2115" s="23"/>
      <c r="AI2115" s="23"/>
      <c r="AN2115" s="23"/>
      <c r="AO2115" s="23"/>
      <c r="AP2115" s="23"/>
      <c r="AQ2115" s="23"/>
      <c r="AR2115" s="35"/>
      <c r="AS2115" s="35"/>
      <c r="AT2115" s="35"/>
      <c r="AU2115" s="31"/>
      <c r="AV2115" s="36"/>
    </row>
    <row r="2116" spans="4:48">
      <c r="D2116" s="31"/>
      <c r="E2116" s="31"/>
      <c r="F2116" s="31"/>
      <c r="G2116" s="31"/>
      <c r="H2116" s="32"/>
      <c r="J2116" s="33"/>
      <c r="K2116" s="33"/>
      <c r="L2116" s="33"/>
      <c r="X2116" s="23"/>
      <c r="Y2116" s="23"/>
      <c r="Z2116" s="23"/>
      <c r="AA2116" s="23"/>
      <c r="AF2116" s="23"/>
      <c r="AG2116" s="23"/>
      <c r="AH2116" s="23"/>
      <c r="AI2116" s="23"/>
      <c r="AN2116" s="23"/>
      <c r="AO2116" s="23"/>
      <c r="AP2116" s="23"/>
      <c r="AQ2116" s="23"/>
      <c r="AR2116" s="35"/>
      <c r="AS2116" s="35"/>
      <c r="AT2116" s="35"/>
      <c r="AU2116" s="31"/>
      <c r="AV2116" s="36"/>
    </row>
    <row r="2117" spans="4:48">
      <c r="D2117" s="31"/>
      <c r="E2117" s="31"/>
      <c r="F2117" s="31"/>
      <c r="G2117" s="31"/>
      <c r="H2117" s="32"/>
      <c r="J2117" s="33"/>
      <c r="K2117" s="33"/>
      <c r="L2117" s="33"/>
      <c r="X2117" s="23"/>
      <c r="Y2117" s="23"/>
      <c r="Z2117" s="23"/>
      <c r="AA2117" s="23"/>
      <c r="AF2117" s="23"/>
      <c r="AG2117" s="23"/>
      <c r="AH2117" s="23"/>
      <c r="AI2117" s="23"/>
      <c r="AN2117" s="23"/>
      <c r="AO2117" s="23"/>
      <c r="AP2117" s="23"/>
      <c r="AQ2117" s="23"/>
      <c r="AR2117" s="35"/>
      <c r="AS2117" s="35"/>
      <c r="AT2117" s="35"/>
      <c r="AU2117" s="31"/>
      <c r="AV2117" s="36"/>
    </row>
    <row r="2118" spans="4:48">
      <c r="D2118" s="31"/>
      <c r="E2118" s="31"/>
      <c r="F2118" s="31"/>
      <c r="G2118" s="31"/>
      <c r="H2118" s="32"/>
      <c r="J2118" s="33"/>
      <c r="K2118" s="33"/>
      <c r="L2118" s="33"/>
      <c r="X2118" s="23"/>
      <c r="Y2118" s="23"/>
      <c r="Z2118" s="23"/>
      <c r="AA2118" s="23"/>
      <c r="AF2118" s="23"/>
      <c r="AG2118" s="23"/>
      <c r="AH2118" s="23"/>
      <c r="AI2118" s="23"/>
      <c r="AN2118" s="23"/>
      <c r="AO2118" s="23"/>
      <c r="AP2118" s="23"/>
      <c r="AQ2118" s="23"/>
      <c r="AR2118" s="35"/>
      <c r="AS2118" s="35"/>
      <c r="AT2118" s="35"/>
      <c r="AU2118" s="31"/>
      <c r="AV2118" s="36"/>
    </row>
    <row r="2119" spans="4:48">
      <c r="D2119" s="31"/>
      <c r="E2119" s="31"/>
      <c r="F2119" s="31"/>
      <c r="G2119" s="31"/>
      <c r="H2119" s="32"/>
      <c r="J2119" s="33"/>
      <c r="K2119" s="33"/>
      <c r="L2119" s="33"/>
      <c r="X2119" s="23"/>
      <c r="Y2119" s="23"/>
      <c r="Z2119" s="23"/>
      <c r="AA2119" s="23"/>
      <c r="AF2119" s="23"/>
      <c r="AG2119" s="23"/>
      <c r="AH2119" s="23"/>
      <c r="AI2119" s="23"/>
      <c r="AN2119" s="23"/>
      <c r="AO2119" s="23"/>
      <c r="AP2119" s="23"/>
      <c r="AQ2119" s="23"/>
      <c r="AR2119" s="35"/>
      <c r="AS2119" s="35"/>
      <c r="AT2119" s="35"/>
      <c r="AU2119" s="31"/>
      <c r="AV2119" s="36"/>
    </row>
    <row r="2120" spans="4:48">
      <c r="D2120" s="31"/>
      <c r="E2120" s="31"/>
      <c r="F2120" s="31"/>
      <c r="G2120" s="31"/>
      <c r="H2120" s="32"/>
      <c r="J2120" s="33"/>
      <c r="K2120" s="33"/>
      <c r="L2120" s="33"/>
      <c r="X2120" s="23"/>
      <c r="Y2120" s="23"/>
      <c r="Z2120" s="23"/>
      <c r="AA2120" s="23"/>
      <c r="AF2120" s="23"/>
      <c r="AG2120" s="23"/>
      <c r="AH2120" s="23"/>
      <c r="AI2120" s="23"/>
      <c r="AN2120" s="23"/>
      <c r="AO2120" s="23"/>
      <c r="AP2120" s="23"/>
      <c r="AQ2120" s="23"/>
      <c r="AR2120" s="35"/>
      <c r="AS2120" s="35"/>
      <c r="AT2120" s="35"/>
      <c r="AU2120" s="31"/>
      <c r="AV2120" s="36"/>
    </row>
    <row r="2121" spans="4:48">
      <c r="D2121" s="31"/>
      <c r="E2121" s="31"/>
      <c r="F2121" s="31"/>
      <c r="G2121" s="31"/>
      <c r="H2121" s="32"/>
      <c r="J2121" s="33"/>
      <c r="K2121" s="33"/>
      <c r="L2121" s="33"/>
      <c r="X2121" s="23"/>
      <c r="Y2121" s="23"/>
      <c r="Z2121" s="23"/>
      <c r="AA2121" s="23"/>
      <c r="AF2121" s="23"/>
      <c r="AG2121" s="23"/>
      <c r="AH2121" s="23"/>
      <c r="AI2121" s="23"/>
      <c r="AN2121" s="23"/>
      <c r="AO2121" s="23"/>
      <c r="AP2121" s="23"/>
      <c r="AQ2121" s="23"/>
      <c r="AR2121" s="35"/>
      <c r="AS2121" s="35"/>
      <c r="AT2121" s="35"/>
      <c r="AU2121" s="31"/>
      <c r="AV2121" s="36"/>
    </row>
    <row r="2122" spans="4:48">
      <c r="D2122" s="31"/>
      <c r="E2122" s="31"/>
      <c r="F2122" s="31"/>
      <c r="G2122" s="31"/>
      <c r="H2122" s="32"/>
      <c r="J2122" s="33"/>
      <c r="K2122" s="33"/>
      <c r="L2122" s="33"/>
      <c r="X2122" s="23"/>
      <c r="Y2122" s="23"/>
      <c r="Z2122" s="23"/>
      <c r="AA2122" s="23"/>
      <c r="AF2122" s="23"/>
      <c r="AG2122" s="23"/>
      <c r="AH2122" s="23"/>
      <c r="AI2122" s="23"/>
      <c r="AN2122" s="23"/>
      <c r="AO2122" s="23"/>
      <c r="AP2122" s="23"/>
      <c r="AQ2122" s="23"/>
      <c r="AR2122" s="35"/>
      <c r="AS2122" s="35"/>
      <c r="AT2122" s="35"/>
      <c r="AU2122" s="31"/>
      <c r="AV2122" s="36"/>
    </row>
    <row r="2123" spans="4:48">
      <c r="D2123" s="31"/>
      <c r="E2123" s="31"/>
      <c r="F2123" s="31"/>
      <c r="G2123" s="31"/>
      <c r="H2123" s="32"/>
      <c r="J2123" s="33"/>
      <c r="K2123" s="33"/>
      <c r="L2123" s="33"/>
      <c r="X2123" s="23"/>
      <c r="Y2123" s="23"/>
      <c r="Z2123" s="23"/>
      <c r="AA2123" s="23"/>
      <c r="AF2123" s="23"/>
      <c r="AG2123" s="23"/>
      <c r="AH2123" s="23"/>
      <c r="AI2123" s="23"/>
      <c r="AN2123" s="23"/>
      <c r="AO2123" s="23"/>
      <c r="AP2123" s="23"/>
      <c r="AQ2123" s="23"/>
      <c r="AR2123" s="35"/>
      <c r="AS2123" s="35"/>
      <c r="AT2123" s="35"/>
      <c r="AU2123" s="31"/>
      <c r="AV2123" s="36"/>
    </row>
    <row r="2124" spans="4:48">
      <c r="D2124" s="31"/>
      <c r="E2124" s="31"/>
      <c r="F2124" s="31"/>
      <c r="G2124" s="31"/>
      <c r="H2124" s="32"/>
      <c r="J2124" s="33"/>
      <c r="K2124" s="33"/>
      <c r="L2124" s="33"/>
      <c r="X2124" s="23"/>
      <c r="Y2124" s="23"/>
      <c r="Z2124" s="23"/>
      <c r="AA2124" s="23"/>
      <c r="AF2124" s="23"/>
      <c r="AG2124" s="23"/>
      <c r="AH2124" s="23"/>
      <c r="AI2124" s="23"/>
      <c r="AN2124" s="23"/>
      <c r="AO2124" s="23"/>
      <c r="AP2124" s="23"/>
      <c r="AQ2124" s="23"/>
      <c r="AR2124" s="35"/>
      <c r="AS2124" s="35"/>
      <c r="AT2124" s="35"/>
      <c r="AU2124" s="31"/>
      <c r="AV2124" s="36"/>
    </row>
    <row r="2125" spans="4:48">
      <c r="D2125" s="31"/>
      <c r="E2125" s="31"/>
      <c r="F2125" s="31"/>
      <c r="G2125" s="31"/>
      <c r="H2125" s="32"/>
      <c r="J2125" s="33"/>
      <c r="K2125" s="33"/>
      <c r="L2125" s="33"/>
      <c r="X2125" s="23"/>
      <c r="Y2125" s="23"/>
      <c r="Z2125" s="23"/>
      <c r="AA2125" s="23"/>
      <c r="AF2125" s="23"/>
      <c r="AG2125" s="23"/>
      <c r="AH2125" s="23"/>
      <c r="AI2125" s="23"/>
      <c r="AN2125" s="23"/>
      <c r="AO2125" s="23"/>
      <c r="AP2125" s="23"/>
      <c r="AQ2125" s="23"/>
      <c r="AR2125" s="35"/>
      <c r="AS2125" s="35"/>
      <c r="AT2125" s="35"/>
      <c r="AU2125" s="31"/>
      <c r="AV2125" s="36"/>
    </row>
    <row r="2126" spans="4:48">
      <c r="D2126" s="31"/>
      <c r="E2126" s="31"/>
      <c r="F2126" s="31"/>
      <c r="G2126" s="31"/>
      <c r="H2126" s="32"/>
      <c r="J2126" s="33"/>
      <c r="K2126" s="33"/>
      <c r="L2126" s="33"/>
      <c r="X2126" s="23"/>
      <c r="Y2126" s="23"/>
      <c r="Z2126" s="23"/>
      <c r="AA2126" s="23"/>
      <c r="AF2126" s="23"/>
      <c r="AG2126" s="23"/>
      <c r="AH2126" s="23"/>
      <c r="AI2126" s="23"/>
      <c r="AN2126" s="23"/>
      <c r="AO2126" s="23"/>
      <c r="AP2126" s="23"/>
      <c r="AQ2126" s="23"/>
      <c r="AR2126" s="35"/>
      <c r="AS2126" s="35"/>
      <c r="AT2126" s="35"/>
      <c r="AU2126" s="31"/>
      <c r="AV2126" s="36"/>
    </row>
    <row r="2127" spans="4:48">
      <c r="D2127" s="31"/>
      <c r="E2127" s="31"/>
      <c r="F2127" s="31"/>
      <c r="G2127" s="31"/>
      <c r="H2127" s="32"/>
      <c r="J2127" s="33"/>
      <c r="K2127" s="33"/>
      <c r="L2127" s="33"/>
      <c r="X2127" s="23"/>
      <c r="Y2127" s="23"/>
      <c r="Z2127" s="23"/>
      <c r="AA2127" s="23"/>
      <c r="AF2127" s="23"/>
      <c r="AG2127" s="23"/>
      <c r="AH2127" s="23"/>
      <c r="AI2127" s="23"/>
      <c r="AN2127" s="23"/>
      <c r="AO2127" s="23"/>
      <c r="AP2127" s="23"/>
      <c r="AQ2127" s="23"/>
      <c r="AR2127" s="35"/>
      <c r="AS2127" s="35"/>
      <c r="AT2127" s="35"/>
      <c r="AU2127" s="31"/>
      <c r="AV2127" s="36"/>
    </row>
    <row r="2128" spans="4:48">
      <c r="D2128" s="31"/>
      <c r="E2128" s="31"/>
      <c r="F2128" s="31"/>
      <c r="G2128" s="31"/>
      <c r="H2128" s="32"/>
      <c r="J2128" s="33"/>
      <c r="K2128" s="33"/>
      <c r="L2128" s="33"/>
      <c r="X2128" s="23"/>
      <c r="Y2128" s="23"/>
      <c r="Z2128" s="23"/>
      <c r="AA2128" s="23"/>
      <c r="AF2128" s="23"/>
      <c r="AG2128" s="23"/>
      <c r="AH2128" s="23"/>
      <c r="AI2128" s="23"/>
      <c r="AN2128" s="23"/>
      <c r="AO2128" s="23"/>
      <c r="AP2128" s="23"/>
      <c r="AQ2128" s="23"/>
      <c r="AR2128" s="35"/>
      <c r="AS2128" s="35"/>
      <c r="AT2128" s="35"/>
      <c r="AU2128" s="31"/>
      <c r="AV2128" s="36"/>
    </row>
    <row r="2129" spans="4:48">
      <c r="D2129" s="31"/>
      <c r="E2129" s="31"/>
      <c r="F2129" s="31"/>
      <c r="G2129" s="31"/>
      <c r="H2129" s="32"/>
      <c r="J2129" s="33"/>
      <c r="K2129" s="33"/>
      <c r="L2129" s="33"/>
      <c r="X2129" s="23"/>
      <c r="Y2129" s="23"/>
      <c r="Z2129" s="23"/>
      <c r="AA2129" s="23"/>
      <c r="AF2129" s="23"/>
      <c r="AG2129" s="23"/>
      <c r="AH2129" s="23"/>
      <c r="AI2129" s="23"/>
      <c r="AN2129" s="23"/>
      <c r="AO2129" s="23"/>
      <c r="AP2129" s="23"/>
      <c r="AQ2129" s="23"/>
      <c r="AR2129" s="35"/>
      <c r="AS2129" s="35"/>
      <c r="AT2129" s="35"/>
      <c r="AU2129" s="31"/>
      <c r="AV2129" s="36"/>
    </row>
    <row r="2130" spans="4:48">
      <c r="D2130" s="31"/>
      <c r="E2130" s="31"/>
      <c r="F2130" s="31"/>
      <c r="G2130" s="31"/>
      <c r="H2130" s="32"/>
      <c r="J2130" s="33"/>
      <c r="K2130" s="33"/>
      <c r="L2130" s="33"/>
      <c r="X2130" s="23"/>
      <c r="Y2130" s="23"/>
      <c r="Z2130" s="23"/>
      <c r="AA2130" s="23"/>
      <c r="AF2130" s="23"/>
      <c r="AG2130" s="23"/>
      <c r="AH2130" s="23"/>
      <c r="AI2130" s="23"/>
      <c r="AN2130" s="23"/>
      <c r="AO2130" s="23"/>
      <c r="AP2130" s="23"/>
      <c r="AQ2130" s="23"/>
      <c r="AR2130" s="35"/>
      <c r="AS2130" s="35"/>
      <c r="AT2130" s="35"/>
      <c r="AU2130" s="31"/>
      <c r="AV2130" s="36"/>
    </row>
    <row r="2131" spans="4:48">
      <c r="D2131" s="31"/>
      <c r="E2131" s="31"/>
      <c r="F2131" s="31"/>
      <c r="G2131" s="31"/>
      <c r="H2131" s="32"/>
      <c r="J2131" s="33"/>
      <c r="K2131" s="33"/>
      <c r="L2131" s="33"/>
      <c r="X2131" s="23"/>
      <c r="Y2131" s="23"/>
      <c r="Z2131" s="23"/>
      <c r="AA2131" s="23"/>
      <c r="AF2131" s="23"/>
      <c r="AG2131" s="23"/>
      <c r="AH2131" s="23"/>
      <c r="AI2131" s="23"/>
      <c r="AN2131" s="23"/>
      <c r="AO2131" s="23"/>
      <c r="AP2131" s="23"/>
      <c r="AQ2131" s="23"/>
      <c r="AR2131" s="35"/>
      <c r="AS2131" s="35"/>
      <c r="AT2131" s="35"/>
      <c r="AU2131" s="31"/>
      <c r="AV2131" s="36"/>
    </row>
    <row r="2132" spans="4:48">
      <c r="D2132" s="31"/>
      <c r="E2132" s="31"/>
      <c r="F2132" s="31"/>
      <c r="G2132" s="31"/>
      <c r="H2132" s="32"/>
      <c r="J2132" s="33"/>
      <c r="K2132" s="33"/>
      <c r="L2132" s="33"/>
      <c r="X2132" s="23"/>
      <c r="Y2132" s="23"/>
      <c r="Z2132" s="23"/>
      <c r="AA2132" s="23"/>
      <c r="AF2132" s="23"/>
      <c r="AG2132" s="23"/>
      <c r="AH2132" s="23"/>
      <c r="AI2132" s="23"/>
      <c r="AN2132" s="23"/>
      <c r="AO2132" s="23"/>
      <c r="AP2132" s="23"/>
      <c r="AQ2132" s="23"/>
      <c r="AR2132" s="35"/>
      <c r="AS2132" s="35"/>
      <c r="AT2132" s="35"/>
      <c r="AU2132" s="31"/>
      <c r="AV2132" s="36"/>
    </row>
    <row r="2133" spans="4:48">
      <c r="D2133" s="31"/>
      <c r="E2133" s="31"/>
      <c r="F2133" s="31"/>
      <c r="G2133" s="31"/>
      <c r="H2133" s="32"/>
      <c r="J2133" s="33"/>
      <c r="K2133" s="33"/>
      <c r="L2133" s="33"/>
      <c r="X2133" s="23"/>
      <c r="Y2133" s="23"/>
      <c r="Z2133" s="23"/>
      <c r="AA2133" s="23"/>
      <c r="AF2133" s="23"/>
      <c r="AG2133" s="23"/>
      <c r="AH2133" s="23"/>
      <c r="AI2133" s="23"/>
      <c r="AN2133" s="23"/>
      <c r="AO2133" s="23"/>
      <c r="AP2133" s="23"/>
      <c r="AQ2133" s="23"/>
      <c r="AR2133" s="35"/>
      <c r="AS2133" s="35"/>
      <c r="AT2133" s="35"/>
      <c r="AU2133" s="31"/>
      <c r="AV2133" s="36"/>
    </row>
    <row r="2134" spans="4:48">
      <c r="D2134" s="31"/>
      <c r="E2134" s="31"/>
      <c r="F2134" s="31"/>
      <c r="G2134" s="31"/>
      <c r="H2134" s="32"/>
      <c r="J2134" s="33"/>
      <c r="K2134" s="33"/>
      <c r="L2134" s="33"/>
      <c r="X2134" s="23"/>
      <c r="Y2134" s="23"/>
      <c r="Z2134" s="23"/>
      <c r="AA2134" s="23"/>
      <c r="AF2134" s="23"/>
      <c r="AG2134" s="23"/>
      <c r="AH2134" s="23"/>
      <c r="AI2134" s="23"/>
      <c r="AN2134" s="23"/>
      <c r="AO2134" s="23"/>
      <c r="AP2134" s="23"/>
      <c r="AQ2134" s="23"/>
      <c r="AR2134" s="35"/>
      <c r="AS2134" s="35"/>
      <c r="AT2134" s="35"/>
      <c r="AU2134" s="31"/>
      <c r="AV2134" s="36"/>
    </row>
    <row r="2135" spans="4:48">
      <c r="D2135" s="31"/>
      <c r="E2135" s="31"/>
      <c r="F2135" s="31"/>
      <c r="G2135" s="31"/>
      <c r="H2135" s="32"/>
      <c r="J2135" s="33"/>
      <c r="K2135" s="33"/>
      <c r="L2135" s="33"/>
      <c r="X2135" s="23"/>
      <c r="Y2135" s="23"/>
      <c r="Z2135" s="23"/>
      <c r="AA2135" s="23"/>
      <c r="AF2135" s="23"/>
      <c r="AG2135" s="23"/>
      <c r="AH2135" s="23"/>
      <c r="AI2135" s="23"/>
      <c r="AN2135" s="23"/>
      <c r="AO2135" s="23"/>
      <c r="AP2135" s="23"/>
      <c r="AQ2135" s="23"/>
      <c r="AR2135" s="35"/>
      <c r="AS2135" s="35"/>
      <c r="AT2135" s="35"/>
      <c r="AU2135" s="31"/>
      <c r="AV2135" s="36"/>
    </row>
    <row r="2136" spans="4:48">
      <c r="D2136" s="31"/>
      <c r="E2136" s="31"/>
      <c r="F2136" s="31"/>
      <c r="G2136" s="31"/>
      <c r="H2136" s="32"/>
      <c r="J2136" s="33"/>
      <c r="K2136" s="33"/>
      <c r="L2136" s="33"/>
      <c r="X2136" s="23"/>
      <c r="Y2136" s="23"/>
      <c r="Z2136" s="23"/>
      <c r="AA2136" s="23"/>
      <c r="AF2136" s="23"/>
      <c r="AG2136" s="23"/>
      <c r="AH2136" s="23"/>
      <c r="AI2136" s="23"/>
      <c r="AN2136" s="23"/>
      <c r="AO2136" s="23"/>
      <c r="AP2136" s="23"/>
      <c r="AQ2136" s="23"/>
      <c r="AR2136" s="35"/>
      <c r="AS2136" s="35"/>
      <c r="AT2136" s="35"/>
      <c r="AU2136" s="31"/>
      <c r="AV2136" s="36"/>
    </row>
    <row r="2137" spans="4:48">
      <c r="D2137" s="31"/>
      <c r="E2137" s="31"/>
      <c r="F2137" s="31"/>
      <c r="G2137" s="31"/>
      <c r="H2137" s="32"/>
      <c r="J2137" s="33"/>
      <c r="K2137" s="33"/>
      <c r="L2137" s="33"/>
      <c r="X2137" s="23"/>
      <c r="Y2137" s="23"/>
      <c r="Z2137" s="23"/>
      <c r="AA2137" s="23"/>
      <c r="AF2137" s="23"/>
      <c r="AG2137" s="23"/>
      <c r="AH2137" s="23"/>
      <c r="AI2137" s="23"/>
      <c r="AN2137" s="23"/>
      <c r="AO2137" s="23"/>
      <c r="AP2137" s="23"/>
      <c r="AQ2137" s="23"/>
      <c r="AR2137" s="35"/>
      <c r="AS2137" s="35"/>
      <c r="AT2137" s="35"/>
      <c r="AU2137" s="31"/>
      <c r="AV2137" s="36"/>
    </row>
    <row r="2138" spans="4:48">
      <c r="D2138" s="31"/>
      <c r="E2138" s="31"/>
      <c r="F2138" s="31"/>
      <c r="G2138" s="31"/>
      <c r="H2138" s="32"/>
      <c r="J2138" s="33"/>
      <c r="K2138" s="33"/>
      <c r="L2138" s="33"/>
      <c r="X2138" s="23"/>
      <c r="Y2138" s="23"/>
      <c r="Z2138" s="23"/>
      <c r="AA2138" s="23"/>
      <c r="AF2138" s="23"/>
      <c r="AG2138" s="23"/>
      <c r="AH2138" s="23"/>
      <c r="AI2138" s="23"/>
      <c r="AN2138" s="23"/>
      <c r="AO2138" s="23"/>
      <c r="AP2138" s="23"/>
      <c r="AQ2138" s="23"/>
      <c r="AR2138" s="35"/>
      <c r="AS2138" s="35"/>
      <c r="AT2138" s="35"/>
      <c r="AU2138" s="31"/>
      <c r="AV2138" s="36"/>
    </row>
    <row r="2139" spans="4:48">
      <c r="D2139" s="31"/>
      <c r="E2139" s="31"/>
      <c r="F2139" s="31"/>
      <c r="G2139" s="31"/>
      <c r="H2139" s="32"/>
      <c r="J2139" s="33"/>
      <c r="K2139" s="33"/>
      <c r="L2139" s="33"/>
      <c r="X2139" s="23"/>
      <c r="Y2139" s="23"/>
      <c r="Z2139" s="23"/>
      <c r="AA2139" s="23"/>
      <c r="AF2139" s="23"/>
      <c r="AG2139" s="23"/>
      <c r="AH2139" s="23"/>
      <c r="AI2139" s="23"/>
      <c r="AN2139" s="23"/>
      <c r="AO2139" s="23"/>
      <c r="AP2139" s="23"/>
      <c r="AQ2139" s="23"/>
      <c r="AR2139" s="35"/>
      <c r="AS2139" s="35"/>
      <c r="AT2139" s="35"/>
      <c r="AU2139" s="31"/>
      <c r="AV2139" s="36"/>
    </row>
    <row r="2140" spans="4:48">
      <c r="D2140" s="31"/>
      <c r="E2140" s="31"/>
      <c r="F2140" s="31"/>
      <c r="G2140" s="31"/>
      <c r="H2140" s="32"/>
      <c r="J2140" s="33"/>
      <c r="K2140" s="33"/>
      <c r="L2140" s="33"/>
      <c r="X2140" s="23"/>
      <c r="Y2140" s="23"/>
      <c r="Z2140" s="23"/>
      <c r="AA2140" s="23"/>
      <c r="AF2140" s="23"/>
      <c r="AG2140" s="23"/>
      <c r="AH2140" s="23"/>
      <c r="AI2140" s="23"/>
      <c r="AN2140" s="23"/>
      <c r="AO2140" s="23"/>
      <c r="AP2140" s="23"/>
      <c r="AQ2140" s="23"/>
      <c r="AR2140" s="35"/>
      <c r="AS2140" s="35"/>
      <c r="AT2140" s="35"/>
      <c r="AU2140" s="31"/>
      <c r="AV2140" s="36"/>
    </row>
    <row r="2141" spans="4:48">
      <c r="D2141" s="31"/>
      <c r="E2141" s="31"/>
      <c r="F2141" s="31"/>
      <c r="G2141" s="31"/>
      <c r="H2141" s="32"/>
      <c r="J2141" s="33"/>
      <c r="K2141" s="33"/>
      <c r="L2141" s="33"/>
      <c r="X2141" s="23"/>
      <c r="Y2141" s="23"/>
      <c r="Z2141" s="23"/>
      <c r="AA2141" s="23"/>
      <c r="AF2141" s="23"/>
      <c r="AG2141" s="23"/>
      <c r="AH2141" s="23"/>
      <c r="AI2141" s="23"/>
      <c r="AN2141" s="23"/>
      <c r="AO2141" s="23"/>
      <c r="AP2141" s="23"/>
      <c r="AQ2141" s="23"/>
      <c r="AR2141" s="35"/>
      <c r="AS2141" s="35"/>
      <c r="AT2141" s="35"/>
      <c r="AU2141" s="31"/>
      <c r="AV2141" s="36"/>
    </row>
    <row r="2142" spans="4:48">
      <c r="D2142" s="31"/>
      <c r="E2142" s="31"/>
      <c r="F2142" s="31"/>
      <c r="G2142" s="31"/>
      <c r="H2142" s="32"/>
      <c r="J2142" s="33"/>
      <c r="K2142" s="33"/>
      <c r="L2142" s="33"/>
      <c r="X2142" s="23"/>
      <c r="Y2142" s="23"/>
      <c r="Z2142" s="23"/>
      <c r="AA2142" s="23"/>
      <c r="AF2142" s="23"/>
      <c r="AG2142" s="23"/>
      <c r="AH2142" s="23"/>
      <c r="AI2142" s="23"/>
      <c r="AN2142" s="23"/>
      <c r="AO2142" s="23"/>
      <c r="AP2142" s="23"/>
      <c r="AQ2142" s="23"/>
      <c r="AR2142" s="35"/>
      <c r="AS2142" s="35"/>
      <c r="AT2142" s="35"/>
      <c r="AU2142" s="31"/>
      <c r="AV2142" s="36"/>
    </row>
    <row r="2143" spans="4:48">
      <c r="D2143" s="31"/>
      <c r="E2143" s="31"/>
      <c r="F2143" s="31"/>
      <c r="G2143" s="31"/>
      <c r="H2143" s="32"/>
      <c r="J2143" s="33"/>
      <c r="K2143" s="33"/>
      <c r="L2143" s="33"/>
      <c r="X2143" s="23"/>
      <c r="Y2143" s="23"/>
      <c r="Z2143" s="23"/>
      <c r="AA2143" s="23"/>
      <c r="AF2143" s="23"/>
      <c r="AG2143" s="23"/>
      <c r="AH2143" s="23"/>
      <c r="AI2143" s="23"/>
      <c r="AN2143" s="23"/>
      <c r="AO2143" s="23"/>
      <c r="AP2143" s="23"/>
      <c r="AQ2143" s="23"/>
      <c r="AR2143" s="35"/>
      <c r="AS2143" s="35"/>
      <c r="AT2143" s="35"/>
      <c r="AU2143" s="31"/>
      <c r="AV2143" s="36"/>
    </row>
    <row r="2144" spans="4:48">
      <c r="D2144" s="31"/>
      <c r="E2144" s="31"/>
      <c r="F2144" s="31"/>
      <c r="G2144" s="31"/>
      <c r="H2144" s="32"/>
      <c r="J2144" s="33"/>
      <c r="K2144" s="33"/>
      <c r="L2144" s="33"/>
      <c r="X2144" s="23"/>
      <c r="Y2144" s="23"/>
      <c r="Z2144" s="23"/>
      <c r="AA2144" s="23"/>
      <c r="AF2144" s="23"/>
      <c r="AG2144" s="23"/>
      <c r="AH2144" s="23"/>
      <c r="AI2144" s="23"/>
      <c r="AN2144" s="23"/>
      <c r="AO2144" s="23"/>
      <c r="AP2144" s="23"/>
      <c r="AQ2144" s="23"/>
      <c r="AR2144" s="35"/>
      <c r="AS2144" s="35"/>
      <c r="AT2144" s="35"/>
      <c r="AU2144" s="31"/>
      <c r="AV2144" s="36"/>
    </row>
    <row r="2145" spans="4:48">
      <c r="D2145" s="31"/>
      <c r="E2145" s="31"/>
      <c r="F2145" s="31"/>
      <c r="G2145" s="31"/>
      <c r="H2145" s="32"/>
      <c r="J2145" s="33"/>
      <c r="K2145" s="33"/>
      <c r="L2145" s="33"/>
      <c r="X2145" s="23"/>
      <c r="Y2145" s="23"/>
      <c r="Z2145" s="23"/>
      <c r="AA2145" s="23"/>
      <c r="AF2145" s="23"/>
      <c r="AG2145" s="23"/>
      <c r="AH2145" s="23"/>
      <c r="AI2145" s="23"/>
      <c r="AN2145" s="23"/>
      <c r="AO2145" s="23"/>
      <c r="AP2145" s="23"/>
      <c r="AQ2145" s="23"/>
      <c r="AR2145" s="35"/>
      <c r="AS2145" s="35"/>
      <c r="AT2145" s="35"/>
      <c r="AU2145" s="31"/>
      <c r="AV2145" s="36"/>
    </row>
    <row r="2146" spans="4:48">
      <c r="D2146" s="31"/>
      <c r="E2146" s="31"/>
      <c r="F2146" s="31"/>
      <c r="G2146" s="31"/>
      <c r="H2146" s="32"/>
      <c r="J2146" s="33"/>
      <c r="K2146" s="33"/>
      <c r="L2146" s="33"/>
      <c r="X2146" s="23"/>
      <c r="Y2146" s="23"/>
      <c r="Z2146" s="23"/>
      <c r="AA2146" s="23"/>
      <c r="AF2146" s="23"/>
      <c r="AG2146" s="23"/>
      <c r="AH2146" s="23"/>
      <c r="AI2146" s="23"/>
      <c r="AN2146" s="23"/>
      <c r="AO2146" s="23"/>
      <c r="AP2146" s="23"/>
      <c r="AQ2146" s="23"/>
      <c r="AR2146" s="35"/>
      <c r="AS2146" s="35"/>
      <c r="AT2146" s="35"/>
      <c r="AU2146" s="31"/>
      <c r="AV2146" s="36"/>
    </row>
    <row r="2147" spans="4:48">
      <c r="D2147" s="31"/>
      <c r="E2147" s="31"/>
      <c r="F2147" s="31"/>
      <c r="G2147" s="31"/>
      <c r="H2147" s="32"/>
      <c r="J2147" s="33"/>
      <c r="K2147" s="33"/>
      <c r="L2147" s="33"/>
      <c r="X2147" s="23"/>
      <c r="Y2147" s="23"/>
      <c r="Z2147" s="23"/>
      <c r="AA2147" s="23"/>
      <c r="AF2147" s="23"/>
      <c r="AG2147" s="23"/>
      <c r="AH2147" s="23"/>
      <c r="AI2147" s="23"/>
      <c r="AN2147" s="23"/>
      <c r="AO2147" s="23"/>
      <c r="AP2147" s="23"/>
      <c r="AQ2147" s="23"/>
      <c r="AR2147" s="35"/>
      <c r="AS2147" s="35"/>
      <c r="AT2147" s="35"/>
      <c r="AU2147" s="31"/>
      <c r="AV2147" s="36"/>
    </row>
    <row r="2148" spans="4:48">
      <c r="D2148" s="31"/>
      <c r="E2148" s="31"/>
      <c r="F2148" s="31"/>
      <c r="G2148" s="31"/>
      <c r="H2148" s="32"/>
      <c r="J2148" s="33"/>
      <c r="K2148" s="33"/>
      <c r="L2148" s="33"/>
      <c r="X2148" s="23"/>
      <c r="Y2148" s="23"/>
      <c r="Z2148" s="23"/>
      <c r="AA2148" s="23"/>
      <c r="AF2148" s="23"/>
      <c r="AG2148" s="23"/>
      <c r="AH2148" s="23"/>
      <c r="AI2148" s="23"/>
      <c r="AN2148" s="23"/>
      <c r="AO2148" s="23"/>
      <c r="AP2148" s="23"/>
      <c r="AQ2148" s="23"/>
      <c r="AR2148" s="35"/>
      <c r="AS2148" s="35"/>
      <c r="AT2148" s="35"/>
      <c r="AU2148" s="31"/>
      <c r="AV2148" s="36"/>
    </row>
    <row r="2149" spans="4:48">
      <c r="D2149" s="31"/>
      <c r="E2149" s="31"/>
      <c r="F2149" s="31"/>
      <c r="G2149" s="31"/>
      <c r="H2149" s="32"/>
      <c r="J2149" s="33"/>
      <c r="K2149" s="33"/>
      <c r="L2149" s="33"/>
      <c r="X2149" s="23"/>
      <c r="Y2149" s="23"/>
      <c r="Z2149" s="23"/>
      <c r="AA2149" s="23"/>
      <c r="AF2149" s="23"/>
      <c r="AG2149" s="23"/>
      <c r="AH2149" s="23"/>
      <c r="AI2149" s="23"/>
      <c r="AN2149" s="23"/>
      <c r="AO2149" s="23"/>
      <c r="AP2149" s="23"/>
      <c r="AQ2149" s="23"/>
      <c r="AR2149" s="35"/>
      <c r="AS2149" s="35"/>
      <c r="AT2149" s="35"/>
      <c r="AU2149" s="31"/>
      <c r="AV2149" s="36"/>
    </row>
    <row r="2150" spans="4:48">
      <c r="D2150" s="31"/>
      <c r="E2150" s="31"/>
      <c r="F2150" s="31"/>
      <c r="G2150" s="31"/>
      <c r="H2150" s="32"/>
      <c r="J2150" s="33"/>
      <c r="K2150" s="33"/>
      <c r="L2150" s="33"/>
      <c r="X2150" s="23"/>
      <c r="Y2150" s="23"/>
      <c r="Z2150" s="23"/>
      <c r="AA2150" s="23"/>
      <c r="AF2150" s="23"/>
      <c r="AG2150" s="23"/>
      <c r="AH2150" s="23"/>
      <c r="AI2150" s="23"/>
      <c r="AN2150" s="23"/>
      <c r="AO2150" s="23"/>
      <c r="AP2150" s="23"/>
      <c r="AQ2150" s="23"/>
      <c r="AR2150" s="35"/>
      <c r="AS2150" s="35"/>
      <c r="AT2150" s="35"/>
      <c r="AU2150" s="31"/>
      <c r="AV2150" s="36"/>
    </row>
    <row r="2151" spans="4:48">
      <c r="D2151" s="31"/>
      <c r="E2151" s="31"/>
      <c r="F2151" s="31"/>
      <c r="G2151" s="31"/>
      <c r="H2151" s="32"/>
      <c r="J2151" s="33"/>
      <c r="K2151" s="33"/>
      <c r="L2151" s="33"/>
      <c r="X2151" s="23"/>
      <c r="Y2151" s="23"/>
      <c r="Z2151" s="23"/>
      <c r="AA2151" s="23"/>
      <c r="AF2151" s="23"/>
      <c r="AG2151" s="23"/>
      <c r="AH2151" s="23"/>
      <c r="AI2151" s="23"/>
      <c r="AN2151" s="23"/>
      <c r="AO2151" s="23"/>
      <c r="AP2151" s="23"/>
      <c r="AQ2151" s="23"/>
      <c r="AR2151" s="35"/>
      <c r="AS2151" s="35"/>
      <c r="AT2151" s="35"/>
      <c r="AU2151" s="31"/>
      <c r="AV2151" s="36"/>
    </row>
    <row r="2152" spans="4:48">
      <c r="D2152" s="31"/>
      <c r="E2152" s="31"/>
      <c r="F2152" s="31"/>
      <c r="G2152" s="31"/>
      <c r="H2152" s="32"/>
      <c r="J2152" s="33"/>
      <c r="K2152" s="33"/>
      <c r="L2152" s="33"/>
      <c r="X2152" s="23"/>
      <c r="Y2152" s="23"/>
      <c r="Z2152" s="23"/>
      <c r="AA2152" s="23"/>
      <c r="AF2152" s="23"/>
      <c r="AG2152" s="23"/>
      <c r="AH2152" s="23"/>
      <c r="AI2152" s="23"/>
      <c r="AN2152" s="23"/>
      <c r="AO2152" s="23"/>
      <c r="AP2152" s="23"/>
      <c r="AQ2152" s="23"/>
      <c r="AR2152" s="35"/>
      <c r="AS2152" s="35"/>
      <c r="AT2152" s="35"/>
      <c r="AU2152" s="31"/>
      <c r="AV2152" s="36"/>
    </row>
    <row r="2153" spans="4:48">
      <c r="D2153" s="31"/>
      <c r="E2153" s="31"/>
      <c r="F2153" s="31"/>
      <c r="G2153" s="31"/>
      <c r="H2153" s="32"/>
      <c r="J2153" s="33"/>
      <c r="K2153" s="33"/>
      <c r="L2153" s="33"/>
      <c r="X2153" s="23"/>
      <c r="Y2153" s="23"/>
      <c r="Z2153" s="23"/>
      <c r="AA2153" s="23"/>
      <c r="AF2153" s="23"/>
      <c r="AG2153" s="23"/>
      <c r="AH2153" s="23"/>
      <c r="AI2153" s="23"/>
      <c r="AN2153" s="23"/>
      <c r="AO2153" s="23"/>
      <c r="AP2153" s="23"/>
      <c r="AQ2153" s="23"/>
      <c r="AR2153" s="35"/>
      <c r="AS2153" s="35"/>
      <c r="AT2153" s="35"/>
      <c r="AU2153" s="31"/>
      <c r="AV2153" s="36"/>
    </row>
    <row r="2154" spans="4:48">
      <c r="D2154" s="31"/>
      <c r="E2154" s="31"/>
      <c r="F2154" s="31"/>
      <c r="G2154" s="31"/>
      <c r="H2154" s="32"/>
      <c r="J2154" s="33"/>
      <c r="K2154" s="33"/>
      <c r="L2154" s="33"/>
      <c r="X2154" s="23"/>
      <c r="Y2154" s="23"/>
      <c r="Z2154" s="23"/>
      <c r="AA2154" s="23"/>
      <c r="AF2154" s="23"/>
      <c r="AG2154" s="23"/>
      <c r="AH2154" s="23"/>
      <c r="AI2154" s="23"/>
      <c r="AN2154" s="23"/>
      <c r="AO2154" s="23"/>
      <c r="AP2154" s="23"/>
      <c r="AQ2154" s="23"/>
      <c r="AR2154" s="35"/>
      <c r="AS2154" s="35"/>
      <c r="AT2154" s="35"/>
      <c r="AU2154" s="31"/>
      <c r="AV2154" s="36"/>
    </row>
    <row r="2155" spans="4:48">
      <c r="D2155" s="31"/>
      <c r="E2155" s="31"/>
      <c r="F2155" s="31"/>
      <c r="G2155" s="31"/>
      <c r="H2155" s="32"/>
      <c r="J2155" s="33"/>
      <c r="K2155" s="33"/>
      <c r="L2155" s="33"/>
      <c r="X2155" s="23"/>
      <c r="Y2155" s="23"/>
      <c r="Z2155" s="23"/>
      <c r="AA2155" s="23"/>
      <c r="AF2155" s="23"/>
      <c r="AG2155" s="23"/>
      <c r="AH2155" s="23"/>
      <c r="AI2155" s="23"/>
      <c r="AN2155" s="23"/>
      <c r="AO2155" s="23"/>
      <c r="AP2155" s="23"/>
      <c r="AQ2155" s="23"/>
      <c r="AR2155" s="35"/>
      <c r="AS2155" s="35"/>
      <c r="AT2155" s="35"/>
      <c r="AU2155" s="31"/>
      <c r="AV2155" s="36"/>
    </row>
    <row r="2156" spans="4:48">
      <c r="D2156" s="31"/>
      <c r="E2156" s="31"/>
      <c r="F2156" s="31"/>
      <c r="G2156" s="31"/>
      <c r="H2156" s="32"/>
      <c r="J2156" s="33"/>
      <c r="K2156" s="33"/>
      <c r="L2156" s="33"/>
      <c r="X2156" s="23"/>
      <c r="Y2156" s="23"/>
      <c r="Z2156" s="23"/>
      <c r="AA2156" s="23"/>
      <c r="AF2156" s="23"/>
      <c r="AG2156" s="23"/>
      <c r="AH2156" s="23"/>
      <c r="AI2156" s="23"/>
      <c r="AN2156" s="23"/>
      <c r="AO2156" s="23"/>
      <c r="AP2156" s="23"/>
      <c r="AQ2156" s="23"/>
      <c r="AR2156" s="35"/>
      <c r="AS2156" s="35"/>
      <c r="AT2156" s="35"/>
      <c r="AU2156" s="31"/>
      <c r="AV2156" s="36"/>
    </row>
    <row r="2157" spans="4:48">
      <c r="D2157" s="31"/>
      <c r="E2157" s="31"/>
      <c r="F2157" s="31"/>
      <c r="G2157" s="31"/>
      <c r="H2157" s="32"/>
      <c r="J2157" s="33"/>
      <c r="K2157" s="33"/>
      <c r="L2157" s="33"/>
      <c r="X2157" s="23"/>
      <c r="Y2157" s="23"/>
      <c r="Z2157" s="23"/>
      <c r="AA2157" s="23"/>
      <c r="AF2157" s="23"/>
      <c r="AG2157" s="23"/>
      <c r="AH2157" s="23"/>
      <c r="AI2157" s="23"/>
      <c r="AN2157" s="23"/>
      <c r="AO2157" s="23"/>
      <c r="AP2157" s="23"/>
      <c r="AQ2157" s="23"/>
      <c r="AR2157" s="35"/>
      <c r="AS2157" s="35"/>
      <c r="AT2157" s="35"/>
      <c r="AU2157" s="31"/>
      <c r="AV2157" s="36"/>
    </row>
    <row r="2158" spans="4:48">
      <c r="D2158" s="31"/>
      <c r="E2158" s="31"/>
      <c r="F2158" s="31"/>
      <c r="G2158" s="31"/>
      <c r="H2158" s="32"/>
      <c r="J2158" s="33"/>
      <c r="K2158" s="33"/>
      <c r="L2158" s="33"/>
      <c r="X2158" s="23"/>
      <c r="Y2158" s="23"/>
      <c r="Z2158" s="23"/>
      <c r="AA2158" s="23"/>
      <c r="AF2158" s="23"/>
      <c r="AG2158" s="23"/>
      <c r="AH2158" s="23"/>
      <c r="AI2158" s="23"/>
      <c r="AN2158" s="23"/>
      <c r="AO2158" s="23"/>
      <c r="AP2158" s="23"/>
      <c r="AQ2158" s="23"/>
      <c r="AR2158" s="35"/>
      <c r="AS2158" s="35"/>
      <c r="AT2158" s="35"/>
      <c r="AU2158" s="31"/>
      <c r="AV2158" s="36"/>
    </row>
    <row r="2159" spans="4:48">
      <c r="D2159" s="31"/>
      <c r="E2159" s="31"/>
      <c r="F2159" s="31"/>
      <c r="G2159" s="31"/>
      <c r="H2159" s="32"/>
      <c r="J2159" s="33"/>
      <c r="K2159" s="33"/>
      <c r="L2159" s="33"/>
      <c r="X2159" s="23"/>
      <c r="Y2159" s="23"/>
      <c r="Z2159" s="23"/>
      <c r="AA2159" s="23"/>
      <c r="AF2159" s="23"/>
      <c r="AG2159" s="23"/>
      <c r="AH2159" s="23"/>
      <c r="AI2159" s="23"/>
      <c r="AN2159" s="23"/>
      <c r="AO2159" s="23"/>
      <c r="AP2159" s="23"/>
      <c r="AQ2159" s="23"/>
      <c r="AR2159" s="35"/>
      <c r="AS2159" s="35"/>
      <c r="AT2159" s="35"/>
      <c r="AU2159" s="31"/>
      <c r="AV2159" s="36"/>
    </row>
    <row r="2160" spans="4:48">
      <c r="D2160" s="31"/>
      <c r="E2160" s="31"/>
      <c r="F2160" s="31"/>
      <c r="G2160" s="31"/>
      <c r="H2160" s="32"/>
      <c r="J2160" s="33"/>
      <c r="K2160" s="33"/>
      <c r="L2160" s="33"/>
      <c r="X2160" s="23"/>
      <c r="Y2160" s="23"/>
      <c r="Z2160" s="23"/>
      <c r="AA2160" s="23"/>
      <c r="AF2160" s="23"/>
      <c r="AG2160" s="23"/>
      <c r="AH2160" s="23"/>
      <c r="AI2160" s="23"/>
      <c r="AN2160" s="23"/>
      <c r="AO2160" s="23"/>
      <c r="AP2160" s="23"/>
      <c r="AQ2160" s="23"/>
      <c r="AR2160" s="35"/>
      <c r="AS2160" s="35"/>
      <c r="AT2160" s="35"/>
      <c r="AU2160" s="31"/>
      <c r="AV2160" s="36"/>
    </row>
    <row r="2161" spans="4:48">
      <c r="D2161" s="31"/>
      <c r="E2161" s="31"/>
      <c r="F2161" s="31"/>
      <c r="G2161" s="31"/>
      <c r="H2161" s="32"/>
      <c r="J2161" s="33"/>
      <c r="K2161" s="33"/>
      <c r="L2161" s="33"/>
      <c r="X2161" s="23"/>
      <c r="Y2161" s="23"/>
      <c r="Z2161" s="23"/>
      <c r="AA2161" s="23"/>
      <c r="AF2161" s="23"/>
      <c r="AG2161" s="23"/>
      <c r="AH2161" s="23"/>
      <c r="AI2161" s="23"/>
      <c r="AN2161" s="23"/>
      <c r="AO2161" s="23"/>
      <c r="AP2161" s="23"/>
      <c r="AQ2161" s="23"/>
      <c r="AR2161" s="35"/>
      <c r="AS2161" s="35"/>
      <c r="AT2161" s="35"/>
      <c r="AU2161" s="31"/>
      <c r="AV2161" s="36"/>
    </row>
    <row r="2162" spans="4:48">
      <c r="D2162" s="31"/>
      <c r="E2162" s="31"/>
      <c r="F2162" s="31"/>
      <c r="G2162" s="31"/>
      <c r="H2162" s="32"/>
      <c r="J2162" s="33"/>
      <c r="K2162" s="33"/>
      <c r="L2162" s="33"/>
      <c r="X2162" s="23"/>
      <c r="Y2162" s="23"/>
      <c r="Z2162" s="23"/>
      <c r="AA2162" s="23"/>
      <c r="AF2162" s="23"/>
      <c r="AG2162" s="23"/>
      <c r="AH2162" s="23"/>
      <c r="AI2162" s="23"/>
      <c r="AN2162" s="23"/>
      <c r="AO2162" s="23"/>
      <c r="AP2162" s="23"/>
      <c r="AQ2162" s="23"/>
      <c r="AR2162" s="35"/>
      <c r="AS2162" s="35"/>
      <c r="AT2162" s="35"/>
      <c r="AU2162" s="31"/>
      <c r="AV2162" s="36"/>
    </row>
    <row r="2163" spans="4:48">
      <c r="D2163" s="31"/>
      <c r="E2163" s="31"/>
      <c r="F2163" s="31"/>
      <c r="G2163" s="31"/>
      <c r="H2163" s="32"/>
      <c r="J2163" s="33"/>
      <c r="K2163" s="33"/>
      <c r="L2163" s="33"/>
      <c r="X2163" s="23"/>
      <c r="Y2163" s="23"/>
      <c r="Z2163" s="23"/>
      <c r="AA2163" s="23"/>
      <c r="AF2163" s="23"/>
      <c r="AG2163" s="23"/>
      <c r="AH2163" s="23"/>
      <c r="AI2163" s="23"/>
      <c r="AN2163" s="23"/>
      <c r="AO2163" s="23"/>
      <c r="AP2163" s="23"/>
      <c r="AQ2163" s="23"/>
      <c r="AR2163" s="35"/>
      <c r="AS2163" s="35"/>
      <c r="AT2163" s="35"/>
      <c r="AU2163" s="31"/>
      <c r="AV2163" s="36"/>
    </row>
    <row r="2164" spans="4:48">
      <c r="D2164" s="31"/>
      <c r="E2164" s="31"/>
      <c r="F2164" s="31"/>
      <c r="G2164" s="31"/>
      <c r="H2164" s="32"/>
      <c r="J2164" s="33"/>
      <c r="K2164" s="33"/>
      <c r="L2164" s="33"/>
      <c r="X2164" s="23"/>
      <c r="Y2164" s="23"/>
      <c r="Z2164" s="23"/>
      <c r="AA2164" s="23"/>
      <c r="AF2164" s="23"/>
      <c r="AG2164" s="23"/>
      <c r="AH2164" s="23"/>
      <c r="AI2164" s="23"/>
      <c r="AN2164" s="23"/>
      <c r="AO2164" s="23"/>
      <c r="AP2164" s="23"/>
      <c r="AQ2164" s="23"/>
      <c r="AR2164" s="35"/>
      <c r="AS2164" s="35"/>
      <c r="AT2164" s="35"/>
      <c r="AU2164" s="31"/>
      <c r="AV2164" s="36"/>
    </row>
    <row r="2165" spans="4:48">
      <c r="D2165" s="31"/>
      <c r="E2165" s="31"/>
      <c r="F2165" s="31"/>
      <c r="G2165" s="31"/>
      <c r="H2165" s="32"/>
      <c r="J2165" s="33"/>
      <c r="K2165" s="33"/>
      <c r="L2165" s="33"/>
      <c r="X2165" s="23"/>
      <c r="Y2165" s="23"/>
      <c r="Z2165" s="23"/>
      <c r="AA2165" s="23"/>
      <c r="AF2165" s="23"/>
      <c r="AG2165" s="23"/>
      <c r="AH2165" s="23"/>
      <c r="AI2165" s="23"/>
      <c r="AN2165" s="23"/>
      <c r="AO2165" s="23"/>
      <c r="AP2165" s="23"/>
      <c r="AQ2165" s="23"/>
      <c r="AR2165" s="35"/>
      <c r="AS2165" s="35"/>
      <c r="AT2165" s="35"/>
      <c r="AU2165" s="31"/>
      <c r="AV2165" s="36"/>
    </row>
    <row r="2166" spans="4:48">
      <c r="D2166" s="31"/>
      <c r="E2166" s="31"/>
      <c r="F2166" s="31"/>
      <c r="G2166" s="31"/>
      <c r="H2166" s="32"/>
      <c r="J2166" s="33"/>
      <c r="K2166" s="33"/>
      <c r="L2166" s="33"/>
      <c r="X2166" s="23"/>
      <c r="Y2166" s="23"/>
      <c r="Z2166" s="23"/>
      <c r="AA2166" s="23"/>
      <c r="AF2166" s="23"/>
      <c r="AG2166" s="23"/>
      <c r="AH2166" s="23"/>
      <c r="AI2166" s="23"/>
      <c r="AN2166" s="23"/>
      <c r="AO2166" s="23"/>
      <c r="AP2166" s="23"/>
      <c r="AQ2166" s="23"/>
      <c r="AR2166" s="35"/>
      <c r="AS2166" s="35"/>
      <c r="AT2166" s="35"/>
      <c r="AU2166" s="31"/>
      <c r="AV2166" s="36"/>
    </row>
    <row r="2167" spans="4:48">
      <c r="D2167" s="31"/>
      <c r="E2167" s="31"/>
      <c r="F2167" s="31"/>
      <c r="G2167" s="31"/>
      <c r="H2167" s="32"/>
      <c r="J2167" s="33"/>
      <c r="K2167" s="33"/>
      <c r="L2167" s="33"/>
      <c r="X2167" s="23"/>
      <c r="Y2167" s="23"/>
      <c r="Z2167" s="23"/>
      <c r="AA2167" s="23"/>
      <c r="AF2167" s="23"/>
      <c r="AG2167" s="23"/>
      <c r="AH2167" s="23"/>
      <c r="AI2167" s="23"/>
      <c r="AN2167" s="23"/>
      <c r="AO2167" s="23"/>
      <c r="AP2167" s="23"/>
      <c r="AQ2167" s="23"/>
      <c r="AR2167" s="35"/>
      <c r="AS2167" s="35"/>
      <c r="AT2167" s="35"/>
      <c r="AU2167" s="31"/>
      <c r="AV2167" s="36"/>
    </row>
    <row r="2168" spans="4:48">
      <c r="D2168" s="31"/>
      <c r="E2168" s="31"/>
      <c r="F2168" s="31"/>
      <c r="G2168" s="31"/>
      <c r="H2168" s="32"/>
      <c r="J2168" s="33"/>
      <c r="K2168" s="33"/>
      <c r="L2168" s="33"/>
      <c r="X2168" s="23"/>
      <c r="Y2168" s="23"/>
      <c r="Z2168" s="23"/>
      <c r="AA2168" s="23"/>
      <c r="AF2168" s="23"/>
      <c r="AG2168" s="23"/>
      <c r="AH2168" s="23"/>
      <c r="AI2168" s="23"/>
      <c r="AN2168" s="23"/>
      <c r="AO2168" s="23"/>
      <c r="AP2168" s="23"/>
      <c r="AQ2168" s="23"/>
      <c r="AR2168" s="35"/>
      <c r="AS2168" s="35"/>
      <c r="AT2168" s="35"/>
      <c r="AU2168" s="31"/>
      <c r="AV2168" s="36"/>
    </row>
    <row r="2169" spans="4:48">
      <c r="D2169" s="31"/>
      <c r="E2169" s="31"/>
      <c r="F2169" s="31"/>
      <c r="G2169" s="31"/>
      <c r="H2169" s="32"/>
      <c r="J2169" s="33"/>
      <c r="K2169" s="33"/>
      <c r="L2169" s="33"/>
      <c r="X2169" s="23"/>
      <c r="Y2169" s="23"/>
      <c r="Z2169" s="23"/>
      <c r="AA2169" s="23"/>
      <c r="AF2169" s="23"/>
      <c r="AG2169" s="23"/>
      <c r="AH2169" s="23"/>
      <c r="AI2169" s="23"/>
      <c r="AN2169" s="23"/>
      <c r="AO2169" s="23"/>
      <c r="AP2169" s="23"/>
      <c r="AQ2169" s="23"/>
      <c r="AR2169" s="35"/>
      <c r="AS2169" s="35"/>
      <c r="AT2169" s="35"/>
      <c r="AU2169" s="31"/>
      <c r="AV2169" s="36"/>
    </row>
    <row r="2170" spans="4:48">
      <c r="D2170" s="31"/>
      <c r="E2170" s="31"/>
      <c r="F2170" s="31"/>
      <c r="G2170" s="31"/>
      <c r="H2170" s="32"/>
      <c r="J2170" s="33"/>
      <c r="K2170" s="33"/>
      <c r="L2170" s="33"/>
      <c r="X2170" s="23"/>
      <c r="Y2170" s="23"/>
      <c r="Z2170" s="23"/>
      <c r="AA2170" s="23"/>
      <c r="AF2170" s="23"/>
      <c r="AG2170" s="23"/>
      <c r="AH2170" s="23"/>
      <c r="AI2170" s="23"/>
      <c r="AN2170" s="23"/>
      <c r="AO2170" s="23"/>
      <c r="AP2170" s="23"/>
      <c r="AQ2170" s="23"/>
      <c r="AR2170" s="35"/>
      <c r="AS2170" s="35"/>
      <c r="AT2170" s="35"/>
      <c r="AU2170" s="31"/>
      <c r="AV2170" s="36"/>
    </row>
    <row r="2171" spans="4:48">
      <c r="D2171" s="31"/>
      <c r="E2171" s="31"/>
      <c r="F2171" s="31"/>
      <c r="G2171" s="31"/>
      <c r="H2171" s="32"/>
      <c r="J2171" s="33"/>
      <c r="K2171" s="33"/>
      <c r="L2171" s="33"/>
      <c r="X2171" s="23"/>
      <c r="Y2171" s="23"/>
      <c r="Z2171" s="23"/>
      <c r="AA2171" s="23"/>
      <c r="AF2171" s="23"/>
      <c r="AG2171" s="23"/>
      <c r="AH2171" s="23"/>
      <c r="AI2171" s="23"/>
      <c r="AN2171" s="23"/>
      <c r="AO2171" s="23"/>
      <c r="AP2171" s="23"/>
      <c r="AQ2171" s="23"/>
      <c r="AR2171" s="35"/>
      <c r="AS2171" s="35"/>
      <c r="AT2171" s="35"/>
      <c r="AU2171" s="31"/>
      <c r="AV2171" s="36"/>
    </row>
    <row r="2172" spans="4:48">
      <c r="D2172" s="31"/>
      <c r="E2172" s="31"/>
      <c r="F2172" s="31"/>
      <c r="G2172" s="31"/>
      <c r="H2172" s="32"/>
      <c r="J2172" s="33"/>
      <c r="K2172" s="33"/>
      <c r="L2172" s="33"/>
      <c r="X2172" s="23"/>
      <c r="Y2172" s="23"/>
      <c r="Z2172" s="23"/>
      <c r="AA2172" s="23"/>
      <c r="AF2172" s="23"/>
      <c r="AG2172" s="23"/>
      <c r="AH2172" s="23"/>
      <c r="AI2172" s="23"/>
      <c r="AN2172" s="23"/>
      <c r="AO2172" s="23"/>
      <c r="AP2172" s="23"/>
      <c r="AQ2172" s="23"/>
      <c r="AR2172" s="35"/>
      <c r="AS2172" s="35"/>
      <c r="AT2172" s="35"/>
      <c r="AU2172" s="31"/>
      <c r="AV2172" s="36"/>
    </row>
    <row r="2173" spans="4:48">
      <c r="D2173" s="31"/>
      <c r="E2173" s="31"/>
      <c r="F2173" s="31"/>
      <c r="G2173" s="31"/>
      <c r="H2173" s="32"/>
      <c r="J2173" s="33"/>
      <c r="K2173" s="33"/>
      <c r="L2173" s="33"/>
      <c r="X2173" s="23"/>
      <c r="Y2173" s="23"/>
      <c r="Z2173" s="23"/>
      <c r="AA2173" s="23"/>
      <c r="AF2173" s="23"/>
      <c r="AG2173" s="23"/>
      <c r="AH2173" s="23"/>
      <c r="AI2173" s="23"/>
      <c r="AN2173" s="23"/>
      <c r="AO2173" s="23"/>
      <c r="AP2173" s="23"/>
      <c r="AQ2173" s="23"/>
      <c r="AR2173" s="35"/>
      <c r="AS2173" s="35"/>
      <c r="AT2173" s="35"/>
      <c r="AU2173" s="31"/>
      <c r="AV2173" s="36"/>
    </row>
    <row r="2174" spans="4:48">
      <c r="D2174" s="31"/>
      <c r="E2174" s="31"/>
      <c r="F2174" s="31"/>
      <c r="G2174" s="31"/>
      <c r="H2174" s="32"/>
      <c r="J2174" s="33"/>
      <c r="K2174" s="33"/>
      <c r="L2174" s="33"/>
      <c r="X2174" s="23"/>
      <c r="Y2174" s="23"/>
      <c r="Z2174" s="23"/>
      <c r="AA2174" s="23"/>
      <c r="AF2174" s="23"/>
      <c r="AG2174" s="23"/>
      <c r="AH2174" s="23"/>
      <c r="AI2174" s="23"/>
      <c r="AN2174" s="23"/>
      <c r="AO2174" s="23"/>
      <c r="AP2174" s="23"/>
      <c r="AQ2174" s="23"/>
      <c r="AR2174" s="35"/>
      <c r="AS2174" s="35"/>
      <c r="AT2174" s="35"/>
      <c r="AU2174" s="31"/>
      <c r="AV2174" s="36"/>
    </row>
    <row r="2175" spans="4:48">
      <c r="D2175" s="31"/>
      <c r="E2175" s="31"/>
      <c r="F2175" s="31"/>
      <c r="G2175" s="31"/>
      <c r="H2175" s="32"/>
      <c r="J2175" s="33"/>
      <c r="K2175" s="33"/>
      <c r="L2175" s="33"/>
      <c r="X2175" s="23"/>
      <c r="Y2175" s="23"/>
      <c r="Z2175" s="23"/>
      <c r="AA2175" s="23"/>
      <c r="AF2175" s="23"/>
      <c r="AG2175" s="23"/>
      <c r="AH2175" s="23"/>
      <c r="AI2175" s="23"/>
      <c r="AN2175" s="23"/>
      <c r="AO2175" s="23"/>
      <c r="AP2175" s="23"/>
      <c r="AQ2175" s="23"/>
      <c r="AR2175" s="35"/>
      <c r="AS2175" s="35"/>
      <c r="AT2175" s="35"/>
      <c r="AU2175" s="31"/>
      <c r="AV2175" s="36"/>
    </row>
    <row r="2176" spans="4:48">
      <c r="D2176" s="31"/>
      <c r="E2176" s="31"/>
      <c r="F2176" s="31"/>
      <c r="G2176" s="31"/>
      <c r="H2176" s="32"/>
      <c r="J2176" s="33"/>
      <c r="K2176" s="33"/>
      <c r="L2176" s="33"/>
      <c r="X2176" s="23"/>
      <c r="Y2176" s="23"/>
      <c r="Z2176" s="23"/>
      <c r="AA2176" s="23"/>
      <c r="AF2176" s="23"/>
      <c r="AG2176" s="23"/>
      <c r="AH2176" s="23"/>
      <c r="AI2176" s="23"/>
      <c r="AN2176" s="23"/>
      <c r="AO2176" s="23"/>
      <c r="AP2176" s="23"/>
      <c r="AQ2176" s="23"/>
      <c r="AR2176" s="35"/>
      <c r="AS2176" s="35"/>
      <c r="AT2176" s="35"/>
      <c r="AU2176" s="31"/>
      <c r="AV2176" s="36"/>
    </row>
    <row r="2177" spans="4:48">
      <c r="D2177" s="31"/>
      <c r="E2177" s="31"/>
      <c r="F2177" s="31"/>
      <c r="G2177" s="31"/>
      <c r="H2177" s="32"/>
      <c r="J2177" s="33"/>
      <c r="K2177" s="33"/>
      <c r="L2177" s="33"/>
      <c r="X2177" s="23"/>
      <c r="Y2177" s="23"/>
      <c r="Z2177" s="23"/>
      <c r="AA2177" s="23"/>
      <c r="AF2177" s="23"/>
      <c r="AG2177" s="23"/>
      <c r="AH2177" s="23"/>
      <c r="AI2177" s="23"/>
      <c r="AN2177" s="23"/>
      <c r="AO2177" s="23"/>
      <c r="AP2177" s="23"/>
      <c r="AQ2177" s="23"/>
      <c r="AR2177" s="35"/>
      <c r="AS2177" s="35"/>
      <c r="AT2177" s="35"/>
      <c r="AU2177" s="31"/>
      <c r="AV2177" s="36"/>
    </row>
    <row r="2178" spans="4:48">
      <c r="D2178" s="31"/>
      <c r="E2178" s="31"/>
      <c r="F2178" s="31"/>
      <c r="G2178" s="31"/>
      <c r="H2178" s="32"/>
      <c r="J2178" s="33"/>
      <c r="K2178" s="33"/>
      <c r="L2178" s="33"/>
      <c r="X2178" s="23"/>
      <c r="Y2178" s="23"/>
      <c r="Z2178" s="23"/>
      <c r="AA2178" s="23"/>
      <c r="AF2178" s="23"/>
      <c r="AG2178" s="23"/>
      <c r="AH2178" s="23"/>
      <c r="AI2178" s="23"/>
      <c r="AN2178" s="23"/>
      <c r="AO2178" s="23"/>
      <c r="AP2178" s="23"/>
      <c r="AQ2178" s="23"/>
      <c r="AR2178" s="35"/>
      <c r="AS2178" s="35"/>
      <c r="AT2178" s="35"/>
      <c r="AU2178" s="31"/>
      <c r="AV2178" s="36"/>
    </row>
    <row r="2179" spans="4:48">
      <c r="D2179" s="31"/>
      <c r="E2179" s="31"/>
      <c r="F2179" s="31"/>
      <c r="G2179" s="31"/>
      <c r="H2179" s="32"/>
      <c r="J2179" s="33"/>
      <c r="K2179" s="33"/>
      <c r="L2179" s="33"/>
      <c r="X2179" s="23"/>
      <c r="Y2179" s="23"/>
      <c r="Z2179" s="23"/>
      <c r="AA2179" s="23"/>
      <c r="AF2179" s="23"/>
      <c r="AG2179" s="23"/>
      <c r="AH2179" s="23"/>
      <c r="AI2179" s="23"/>
      <c r="AN2179" s="23"/>
      <c r="AO2179" s="23"/>
      <c r="AP2179" s="23"/>
      <c r="AQ2179" s="23"/>
      <c r="AR2179" s="35"/>
      <c r="AS2179" s="35"/>
      <c r="AT2179" s="35"/>
      <c r="AU2179" s="31"/>
      <c r="AV2179" s="36"/>
    </row>
    <row r="2180" spans="4:48">
      <c r="D2180" s="31"/>
      <c r="E2180" s="31"/>
      <c r="F2180" s="31"/>
      <c r="G2180" s="31"/>
      <c r="H2180" s="32"/>
      <c r="J2180" s="33"/>
      <c r="K2180" s="33"/>
      <c r="L2180" s="33"/>
      <c r="X2180" s="23"/>
      <c r="Y2180" s="23"/>
      <c r="Z2180" s="23"/>
      <c r="AA2180" s="23"/>
      <c r="AF2180" s="23"/>
      <c r="AG2180" s="23"/>
      <c r="AH2180" s="23"/>
      <c r="AI2180" s="23"/>
      <c r="AN2180" s="23"/>
      <c r="AO2180" s="23"/>
      <c r="AP2180" s="23"/>
      <c r="AQ2180" s="23"/>
      <c r="AR2180" s="35"/>
      <c r="AS2180" s="35"/>
      <c r="AT2180" s="35"/>
      <c r="AU2180" s="31"/>
      <c r="AV2180" s="36"/>
    </row>
    <row r="2181" spans="4:48">
      <c r="D2181" s="31"/>
      <c r="E2181" s="31"/>
      <c r="F2181" s="31"/>
      <c r="G2181" s="31"/>
      <c r="H2181" s="32"/>
      <c r="J2181" s="33"/>
      <c r="K2181" s="33"/>
      <c r="L2181" s="33"/>
      <c r="X2181" s="23"/>
      <c r="Y2181" s="23"/>
      <c r="Z2181" s="23"/>
      <c r="AA2181" s="23"/>
      <c r="AF2181" s="23"/>
      <c r="AG2181" s="23"/>
      <c r="AH2181" s="23"/>
      <c r="AI2181" s="23"/>
      <c r="AN2181" s="23"/>
      <c r="AO2181" s="23"/>
      <c r="AP2181" s="23"/>
      <c r="AQ2181" s="23"/>
      <c r="AR2181" s="35"/>
      <c r="AS2181" s="35"/>
      <c r="AT2181" s="35"/>
      <c r="AU2181" s="31"/>
      <c r="AV2181" s="36"/>
    </row>
    <row r="2182" spans="4:48">
      <c r="D2182" s="31"/>
      <c r="E2182" s="31"/>
      <c r="F2182" s="31"/>
      <c r="G2182" s="31"/>
      <c r="H2182" s="32"/>
      <c r="J2182" s="33"/>
      <c r="K2182" s="33"/>
      <c r="L2182" s="33"/>
      <c r="X2182" s="23"/>
      <c r="Y2182" s="23"/>
      <c r="Z2182" s="23"/>
      <c r="AA2182" s="23"/>
      <c r="AF2182" s="23"/>
      <c r="AG2182" s="23"/>
      <c r="AH2182" s="23"/>
      <c r="AI2182" s="23"/>
      <c r="AN2182" s="23"/>
      <c r="AO2182" s="23"/>
      <c r="AP2182" s="23"/>
      <c r="AQ2182" s="23"/>
      <c r="AR2182" s="35"/>
      <c r="AS2182" s="35"/>
      <c r="AT2182" s="35"/>
      <c r="AU2182" s="31"/>
      <c r="AV2182" s="36"/>
    </row>
    <row r="2183" spans="4:48">
      <c r="D2183" s="31"/>
      <c r="E2183" s="31"/>
      <c r="F2183" s="31"/>
      <c r="G2183" s="31"/>
      <c r="H2183" s="32"/>
      <c r="J2183" s="33"/>
      <c r="K2183" s="33"/>
      <c r="L2183" s="33"/>
      <c r="X2183" s="23"/>
      <c r="Y2183" s="23"/>
      <c r="Z2183" s="23"/>
      <c r="AA2183" s="23"/>
      <c r="AF2183" s="23"/>
      <c r="AG2183" s="23"/>
      <c r="AH2183" s="23"/>
      <c r="AI2183" s="23"/>
      <c r="AN2183" s="23"/>
      <c r="AO2183" s="23"/>
      <c r="AP2183" s="23"/>
      <c r="AQ2183" s="23"/>
      <c r="AR2183" s="35"/>
      <c r="AS2183" s="35"/>
      <c r="AT2183" s="35"/>
      <c r="AU2183" s="31"/>
      <c r="AV2183" s="36"/>
    </row>
    <row r="2184" spans="4:48">
      <c r="D2184" s="31"/>
      <c r="E2184" s="31"/>
      <c r="F2184" s="31"/>
      <c r="G2184" s="31"/>
      <c r="H2184" s="32"/>
      <c r="J2184" s="33"/>
      <c r="K2184" s="33"/>
      <c r="L2184" s="33"/>
      <c r="X2184" s="23"/>
      <c r="Y2184" s="23"/>
      <c r="Z2184" s="23"/>
      <c r="AA2184" s="23"/>
      <c r="AF2184" s="23"/>
      <c r="AG2184" s="23"/>
      <c r="AH2184" s="23"/>
      <c r="AI2184" s="23"/>
      <c r="AN2184" s="23"/>
      <c r="AO2184" s="23"/>
      <c r="AP2184" s="23"/>
      <c r="AQ2184" s="23"/>
      <c r="AR2184" s="35"/>
      <c r="AS2184" s="35"/>
      <c r="AT2184" s="35"/>
      <c r="AU2184" s="31"/>
      <c r="AV2184" s="36"/>
    </row>
    <row r="2185" spans="4:48">
      <c r="D2185" s="31"/>
      <c r="E2185" s="31"/>
      <c r="F2185" s="31"/>
      <c r="G2185" s="31"/>
      <c r="H2185" s="32"/>
      <c r="J2185" s="33"/>
      <c r="K2185" s="33"/>
      <c r="L2185" s="33"/>
      <c r="X2185" s="23"/>
      <c r="Y2185" s="23"/>
      <c r="Z2185" s="23"/>
      <c r="AA2185" s="23"/>
      <c r="AF2185" s="23"/>
      <c r="AG2185" s="23"/>
      <c r="AH2185" s="23"/>
      <c r="AI2185" s="23"/>
      <c r="AN2185" s="23"/>
      <c r="AO2185" s="23"/>
      <c r="AP2185" s="23"/>
      <c r="AQ2185" s="23"/>
      <c r="AR2185" s="35"/>
      <c r="AS2185" s="35"/>
      <c r="AT2185" s="35"/>
      <c r="AU2185" s="31"/>
      <c r="AV2185" s="36"/>
    </row>
    <row r="2186" spans="4:48">
      <c r="D2186" s="31"/>
      <c r="E2186" s="31"/>
      <c r="F2186" s="31"/>
      <c r="G2186" s="31"/>
      <c r="H2186" s="32"/>
      <c r="J2186" s="33"/>
      <c r="K2186" s="33"/>
      <c r="L2186" s="33"/>
      <c r="X2186" s="23"/>
      <c r="Y2186" s="23"/>
      <c r="Z2186" s="23"/>
      <c r="AA2186" s="23"/>
      <c r="AF2186" s="23"/>
      <c r="AG2186" s="23"/>
      <c r="AH2186" s="23"/>
      <c r="AI2186" s="23"/>
      <c r="AN2186" s="23"/>
      <c r="AO2186" s="23"/>
      <c r="AP2186" s="23"/>
      <c r="AQ2186" s="23"/>
      <c r="AR2186" s="35"/>
      <c r="AS2186" s="35"/>
      <c r="AT2186" s="35"/>
      <c r="AU2186" s="31"/>
      <c r="AV2186" s="36"/>
    </row>
    <row r="2187" spans="4:48">
      <c r="D2187" s="31"/>
      <c r="E2187" s="31"/>
      <c r="F2187" s="31"/>
      <c r="G2187" s="31"/>
      <c r="H2187" s="32"/>
      <c r="J2187" s="33"/>
      <c r="K2187" s="33"/>
      <c r="L2187" s="33"/>
      <c r="X2187" s="23"/>
      <c r="Y2187" s="23"/>
      <c r="Z2187" s="23"/>
      <c r="AA2187" s="23"/>
      <c r="AF2187" s="23"/>
      <c r="AG2187" s="23"/>
      <c r="AH2187" s="23"/>
      <c r="AI2187" s="23"/>
      <c r="AN2187" s="23"/>
      <c r="AO2187" s="23"/>
      <c r="AP2187" s="23"/>
      <c r="AQ2187" s="23"/>
      <c r="AR2187" s="35"/>
      <c r="AS2187" s="35"/>
      <c r="AT2187" s="35"/>
      <c r="AU2187" s="31"/>
      <c r="AV2187" s="36"/>
    </row>
    <row r="2188" spans="4:48">
      <c r="D2188" s="31"/>
      <c r="E2188" s="31"/>
      <c r="F2188" s="31"/>
      <c r="G2188" s="31"/>
      <c r="H2188" s="32"/>
      <c r="J2188" s="33"/>
      <c r="K2188" s="33"/>
      <c r="L2188" s="33"/>
      <c r="X2188" s="23"/>
      <c r="Y2188" s="23"/>
      <c r="Z2188" s="23"/>
      <c r="AA2188" s="23"/>
      <c r="AF2188" s="23"/>
      <c r="AG2188" s="23"/>
      <c r="AH2188" s="23"/>
      <c r="AI2188" s="23"/>
      <c r="AN2188" s="23"/>
      <c r="AO2188" s="23"/>
      <c r="AP2188" s="23"/>
      <c r="AQ2188" s="23"/>
      <c r="AR2188" s="35"/>
      <c r="AS2188" s="35"/>
      <c r="AT2188" s="35"/>
      <c r="AU2188" s="31"/>
      <c r="AV2188" s="36"/>
    </row>
    <row r="2189" spans="4:48">
      <c r="D2189" s="31"/>
      <c r="E2189" s="31"/>
      <c r="F2189" s="31"/>
      <c r="G2189" s="31"/>
      <c r="H2189" s="32"/>
      <c r="J2189" s="33"/>
      <c r="K2189" s="33"/>
      <c r="L2189" s="33"/>
      <c r="X2189" s="23"/>
      <c r="Y2189" s="23"/>
      <c r="Z2189" s="23"/>
      <c r="AA2189" s="23"/>
      <c r="AF2189" s="23"/>
      <c r="AG2189" s="23"/>
      <c r="AH2189" s="23"/>
      <c r="AI2189" s="23"/>
      <c r="AN2189" s="23"/>
      <c r="AO2189" s="23"/>
      <c r="AP2189" s="23"/>
      <c r="AQ2189" s="23"/>
      <c r="AR2189" s="35"/>
      <c r="AS2189" s="35"/>
      <c r="AT2189" s="35"/>
      <c r="AU2189" s="31"/>
      <c r="AV2189" s="36"/>
    </row>
    <row r="2190" spans="4:48">
      <c r="D2190" s="31"/>
      <c r="E2190" s="31"/>
      <c r="F2190" s="31"/>
      <c r="G2190" s="31"/>
      <c r="H2190" s="32"/>
      <c r="J2190" s="33"/>
      <c r="K2190" s="33"/>
      <c r="L2190" s="33"/>
      <c r="X2190" s="23"/>
      <c r="Y2190" s="23"/>
      <c r="Z2190" s="23"/>
      <c r="AA2190" s="23"/>
      <c r="AF2190" s="23"/>
      <c r="AG2190" s="23"/>
      <c r="AH2190" s="23"/>
      <c r="AI2190" s="23"/>
      <c r="AN2190" s="23"/>
      <c r="AO2190" s="23"/>
      <c r="AP2190" s="23"/>
      <c r="AQ2190" s="23"/>
      <c r="AR2190" s="35"/>
      <c r="AS2190" s="35"/>
      <c r="AT2190" s="35"/>
      <c r="AU2190" s="31"/>
      <c r="AV2190" s="36"/>
    </row>
    <row r="2191" spans="4:48">
      <c r="D2191" s="31"/>
      <c r="E2191" s="31"/>
      <c r="F2191" s="31"/>
      <c r="G2191" s="31"/>
      <c r="H2191" s="32"/>
      <c r="J2191" s="33"/>
      <c r="K2191" s="33"/>
      <c r="L2191" s="33"/>
      <c r="X2191" s="23"/>
      <c r="Y2191" s="23"/>
      <c r="Z2191" s="23"/>
      <c r="AA2191" s="23"/>
      <c r="AF2191" s="23"/>
      <c r="AG2191" s="23"/>
      <c r="AH2191" s="23"/>
      <c r="AI2191" s="23"/>
      <c r="AN2191" s="23"/>
      <c r="AO2191" s="23"/>
      <c r="AP2191" s="23"/>
      <c r="AQ2191" s="23"/>
      <c r="AR2191" s="35"/>
      <c r="AS2191" s="35"/>
      <c r="AT2191" s="35"/>
      <c r="AU2191" s="31"/>
      <c r="AV2191" s="36"/>
    </row>
    <row r="2192" spans="4:48">
      <c r="D2192" s="31"/>
      <c r="E2192" s="31"/>
      <c r="F2192" s="31"/>
      <c r="G2192" s="31"/>
      <c r="H2192" s="32"/>
      <c r="J2192" s="33"/>
      <c r="K2192" s="33"/>
      <c r="L2192" s="33"/>
      <c r="X2192" s="23"/>
      <c r="Y2192" s="23"/>
      <c r="Z2192" s="23"/>
      <c r="AA2192" s="23"/>
      <c r="AF2192" s="23"/>
      <c r="AG2192" s="23"/>
      <c r="AH2192" s="23"/>
      <c r="AI2192" s="23"/>
      <c r="AN2192" s="23"/>
      <c r="AO2192" s="23"/>
      <c r="AP2192" s="23"/>
      <c r="AQ2192" s="23"/>
      <c r="AR2192" s="35"/>
      <c r="AS2192" s="35"/>
      <c r="AT2192" s="35"/>
      <c r="AU2192" s="31"/>
      <c r="AV2192" s="36"/>
    </row>
    <row r="2193" spans="4:48">
      <c r="D2193" s="31"/>
      <c r="E2193" s="31"/>
      <c r="F2193" s="31"/>
      <c r="G2193" s="31"/>
      <c r="H2193" s="32"/>
      <c r="J2193" s="33"/>
      <c r="K2193" s="33"/>
      <c r="L2193" s="33"/>
      <c r="X2193" s="23"/>
      <c r="Y2193" s="23"/>
      <c r="Z2193" s="23"/>
      <c r="AA2193" s="23"/>
      <c r="AF2193" s="23"/>
      <c r="AG2193" s="23"/>
      <c r="AH2193" s="23"/>
      <c r="AI2193" s="23"/>
      <c r="AN2193" s="23"/>
      <c r="AO2193" s="23"/>
      <c r="AP2193" s="23"/>
      <c r="AQ2193" s="23"/>
      <c r="AR2193" s="35"/>
      <c r="AS2193" s="35"/>
      <c r="AT2193" s="35"/>
      <c r="AU2193" s="31"/>
      <c r="AV2193" s="36"/>
    </row>
    <row r="2194" spans="4:48">
      <c r="D2194" s="31"/>
      <c r="E2194" s="31"/>
      <c r="F2194" s="31"/>
      <c r="G2194" s="31"/>
      <c r="H2194" s="32"/>
      <c r="J2194" s="33"/>
      <c r="K2194" s="33"/>
      <c r="L2194" s="33"/>
      <c r="X2194" s="23"/>
      <c r="Y2194" s="23"/>
      <c r="Z2194" s="23"/>
      <c r="AA2194" s="23"/>
      <c r="AF2194" s="23"/>
      <c r="AG2194" s="23"/>
      <c r="AH2194" s="23"/>
      <c r="AI2194" s="23"/>
      <c r="AN2194" s="23"/>
      <c r="AO2194" s="23"/>
      <c r="AP2194" s="23"/>
      <c r="AQ2194" s="23"/>
      <c r="AR2194" s="35"/>
      <c r="AS2194" s="35"/>
      <c r="AT2194" s="35"/>
      <c r="AU2194" s="31"/>
      <c r="AV2194" s="36"/>
    </row>
    <row r="2195" spans="4:48">
      <c r="D2195" s="31"/>
      <c r="E2195" s="31"/>
      <c r="F2195" s="31"/>
      <c r="G2195" s="31"/>
      <c r="H2195" s="32"/>
      <c r="J2195" s="33"/>
      <c r="K2195" s="33"/>
      <c r="L2195" s="33"/>
      <c r="X2195" s="23"/>
      <c r="Y2195" s="23"/>
      <c r="Z2195" s="23"/>
      <c r="AA2195" s="23"/>
      <c r="AF2195" s="23"/>
      <c r="AG2195" s="23"/>
      <c r="AH2195" s="23"/>
      <c r="AI2195" s="23"/>
      <c r="AN2195" s="23"/>
      <c r="AO2195" s="23"/>
      <c r="AP2195" s="23"/>
      <c r="AQ2195" s="23"/>
      <c r="AR2195" s="35"/>
      <c r="AS2195" s="35"/>
      <c r="AT2195" s="35"/>
      <c r="AU2195" s="31"/>
      <c r="AV2195" s="36"/>
    </row>
    <row r="2196" spans="4:48">
      <c r="D2196" s="31"/>
      <c r="E2196" s="31"/>
      <c r="F2196" s="31"/>
      <c r="G2196" s="31"/>
      <c r="H2196" s="32"/>
      <c r="J2196" s="33"/>
      <c r="K2196" s="33"/>
      <c r="L2196" s="33"/>
      <c r="X2196" s="23"/>
      <c r="Y2196" s="23"/>
      <c r="Z2196" s="23"/>
      <c r="AA2196" s="23"/>
      <c r="AF2196" s="23"/>
      <c r="AG2196" s="23"/>
      <c r="AH2196" s="23"/>
      <c r="AI2196" s="23"/>
      <c r="AN2196" s="23"/>
      <c r="AO2196" s="23"/>
      <c r="AP2196" s="23"/>
      <c r="AQ2196" s="23"/>
      <c r="AR2196" s="35"/>
      <c r="AS2196" s="35"/>
      <c r="AT2196" s="35"/>
      <c r="AU2196" s="31"/>
      <c r="AV2196" s="36"/>
    </row>
    <row r="2197" spans="4:48">
      <c r="D2197" s="31"/>
      <c r="E2197" s="31"/>
      <c r="F2197" s="31"/>
      <c r="G2197" s="31"/>
      <c r="H2197" s="32"/>
      <c r="J2197" s="33"/>
      <c r="K2197" s="33"/>
      <c r="L2197" s="33"/>
      <c r="X2197" s="23"/>
      <c r="Y2197" s="23"/>
      <c r="Z2197" s="23"/>
      <c r="AA2197" s="23"/>
      <c r="AF2197" s="23"/>
      <c r="AG2197" s="23"/>
      <c r="AH2197" s="23"/>
      <c r="AI2197" s="23"/>
      <c r="AN2197" s="23"/>
      <c r="AO2197" s="23"/>
      <c r="AP2197" s="23"/>
      <c r="AQ2197" s="23"/>
      <c r="AR2197" s="35"/>
      <c r="AS2197" s="35"/>
      <c r="AT2197" s="35"/>
      <c r="AU2197" s="31"/>
      <c r="AV2197" s="36"/>
    </row>
    <row r="2198" spans="4:48">
      <c r="D2198" s="31"/>
      <c r="E2198" s="31"/>
      <c r="F2198" s="31"/>
      <c r="G2198" s="31"/>
      <c r="H2198" s="32"/>
      <c r="J2198" s="33"/>
      <c r="K2198" s="33"/>
      <c r="L2198" s="33"/>
      <c r="X2198" s="23"/>
      <c r="Y2198" s="23"/>
      <c r="Z2198" s="23"/>
      <c r="AA2198" s="23"/>
      <c r="AF2198" s="23"/>
      <c r="AG2198" s="23"/>
      <c r="AH2198" s="23"/>
      <c r="AI2198" s="23"/>
      <c r="AN2198" s="23"/>
      <c r="AO2198" s="23"/>
      <c r="AP2198" s="23"/>
      <c r="AQ2198" s="23"/>
      <c r="AR2198" s="35"/>
      <c r="AS2198" s="35"/>
      <c r="AT2198" s="35"/>
      <c r="AU2198" s="31"/>
      <c r="AV2198" s="36"/>
    </row>
    <row r="2199" spans="4:48">
      <c r="D2199" s="31"/>
      <c r="E2199" s="31"/>
      <c r="F2199" s="31"/>
      <c r="G2199" s="31"/>
      <c r="H2199" s="32"/>
      <c r="J2199" s="33"/>
      <c r="K2199" s="33"/>
      <c r="L2199" s="33"/>
      <c r="X2199" s="23"/>
      <c r="Y2199" s="23"/>
      <c r="Z2199" s="23"/>
      <c r="AA2199" s="23"/>
      <c r="AF2199" s="23"/>
      <c r="AG2199" s="23"/>
      <c r="AH2199" s="23"/>
      <c r="AI2199" s="23"/>
      <c r="AN2199" s="23"/>
      <c r="AO2199" s="23"/>
      <c r="AP2199" s="23"/>
      <c r="AQ2199" s="23"/>
      <c r="AR2199" s="35"/>
      <c r="AS2199" s="35"/>
      <c r="AT2199" s="35"/>
      <c r="AU2199" s="31"/>
      <c r="AV2199" s="36"/>
    </row>
    <row r="2200" spans="4:48">
      <c r="D2200" s="31"/>
      <c r="E2200" s="31"/>
      <c r="F2200" s="31"/>
      <c r="G2200" s="31"/>
      <c r="H2200" s="32"/>
      <c r="J2200" s="33"/>
      <c r="K2200" s="33"/>
      <c r="L2200" s="33"/>
      <c r="X2200" s="23"/>
      <c r="Y2200" s="23"/>
      <c r="Z2200" s="23"/>
      <c r="AA2200" s="23"/>
      <c r="AF2200" s="23"/>
      <c r="AG2200" s="23"/>
      <c r="AH2200" s="23"/>
      <c r="AI2200" s="23"/>
      <c r="AN2200" s="23"/>
      <c r="AO2200" s="23"/>
      <c r="AP2200" s="23"/>
      <c r="AQ2200" s="23"/>
      <c r="AR2200" s="35"/>
      <c r="AS2200" s="35"/>
      <c r="AT2200" s="35"/>
      <c r="AU2200" s="31"/>
      <c r="AV2200" s="36"/>
    </row>
    <row r="2201" spans="4:48">
      <c r="D2201" s="31"/>
      <c r="E2201" s="31"/>
      <c r="F2201" s="31"/>
      <c r="G2201" s="31"/>
      <c r="H2201" s="32"/>
      <c r="J2201" s="33"/>
      <c r="K2201" s="33"/>
      <c r="L2201" s="33"/>
      <c r="X2201" s="23"/>
      <c r="Y2201" s="23"/>
      <c r="Z2201" s="23"/>
      <c r="AA2201" s="23"/>
      <c r="AF2201" s="23"/>
      <c r="AG2201" s="23"/>
      <c r="AH2201" s="23"/>
      <c r="AI2201" s="23"/>
      <c r="AN2201" s="23"/>
      <c r="AO2201" s="23"/>
      <c r="AP2201" s="23"/>
      <c r="AQ2201" s="23"/>
      <c r="AR2201" s="35"/>
      <c r="AS2201" s="35"/>
      <c r="AT2201" s="35"/>
      <c r="AU2201" s="31"/>
      <c r="AV2201" s="36"/>
    </row>
    <row r="2202" spans="4:48">
      <c r="D2202" s="31"/>
      <c r="E2202" s="31"/>
      <c r="F2202" s="31"/>
      <c r="G2202" s="31"/>
      <c r="H2202" s="32"/>
      <c r="J2202" s="33"/>
      <c r="K2202" s="33"/>
      <c r="L2202" s="33"/>
      <c r="X2202" s="23"/>
      <c r="Y2202" s="23"/>
      <c r="Z2202" s="23"/>
      <c r="AA2202" s="23"/>
      <c r="AF2202" s="23"/>
      <c r="AG2202" s="23"/>
      <c r="AH2202" s="23"/>
      <c r="AI2202" s="23"/>
      <c r="AN2202" s="23"/>
      <c r="AO2202" s="23"/>
      <c r="AP2202" s="23"/>
      <c r="AQ2202" s="23"/>
      <c r="AR2202" s="35"/>
      <c r="AS2202" s="35"/>
      <c r="AT2202" s="35"/>
      <c r="AU2202" s="31"/>
      <c r="AV2202" s="36"/>
    </row>
    <row r="2203" spans="4:48">
      <c r="D2203" s="31"/>
      <c r="E2203" s="31"/>
      <c r="F2203" s="31"/>
      <c r="G2203" s="31"/>
      <c r="H2203" s="32"/>
      <c r="J2203" s="33"/>
      <c r="K2203" s="33"/>
      <c r="L2203" s="33"/>
      <c r="X2203" s="23"/>
      <c r="Y2203" s="23"/>
      <c r="Z2203" s="23"/>
      <c r="AA2203" s="23"/>
      <c r="AF2203" s="23"/>
      <c r="AG2203" s="23"/>
      <c r="AH2203" s="23"/>
      <c r="AI2203" s="23"/>
      <c r="AN2203" s="23"/>
      <c r="AO2203" s="23"/>
      <c r="AP2203" s="23"/>
      <c r="AQ2203" s="23"/>
      <c r="AR2203" s="35"/>
      <c r="AS2203" s="35"/>
      <c r="AT2203" s="35"/>
      <c r="AU2203" s="31"/>
      <c r="AV2203" s="36"/>
    </row>
    <row r="2204" spans="4:48">
      <c r="D2204" s="31"/>
      <c r="E2204" s="31"/>
      <c r="F2204" s="31"/>
      <c r="G2204" s="31"/>
      <c r="H2204" s="32"/>
      <c r="J2204" s="33"/>
      <c r="K2204" s="33"/>
      <c r="L2204" s="33"/>
      <c r="X2204" s="23"/>
      <c r="Y2204" s="23"/>
      <c r="Z2204" s="23"/>
      <c r="AA2204" s="23"/>
      <c r="AF2204" s="23"/>
      <c r="AG2204" s="23"/>
      <c r="AH2204" s="23"/>
      <c r="AI2204" s="23"/>
      <c r="AN2204" s="23"/>
      <c r="AO2204" s="23"/>
      <c r="AP2204" s="23"/>
      <c r="AQ2204" s="23"/>
      <c r="AR2204" s="35"/>
      <c r="AS2204" s="35"/>
      <c r="AT2204" s="35"/>
      <c r="AU2204" s="31"/>
      <c r="AV2204" s="36"/>
    </row>
    <row r="2205" spans="4:48">
      <c r="D2205" s="31"/>
      <c r="E2205" s="31"/>
      <c r="F2205" s="31"/>
      <c r="G2205" s="31"/>
      <c r="H2205" s="32"/>
      <c r="J2205" s="33"/>
      <c r="K2205" s="33"/>
      <c r="L2205" s="33"/>
      <c r="X2205" s="23"/>
      <c r="Y2205" s="23"/>
      <c r="Z2205" s="23"/>
      <c r="AA2205" s="23"/>
      <c r="AF2205" s="23"/>
      <c r="AG2205" s="23"/>
      <c r="AH2205" s="23"/>
      <c r="AI2205" s="23"/>
      <c r="AN2205" s="23"/>
      <c r="AO2205" s="23"/>
      <c r="AP2205" s="23"/>
      <c r="AQ2205" s="23"/>
      <c r="AR2205" s="35"/>
      <c r="AS2205" s="35"/>
      <c r="AT2205" s="35"/>
      <c r="AU2205" s="31"/>
      <c r="AV2205" s="36"/>
    </row>
    <row r="2206" spans="4:48">
      <c r="D2206" s="31"/>
      <c r="E2206" s="31"/>
      <c r="F2206" s="31"/>
      <c r="G2206" s="31"/>
      <c r="H2206" s="32"/>
      <c r="J2206" s="33"/>
      <c r="K2206" s="33"/>
      <c r="L2206" s="33"/>
      <c r="X2206" s="23"/>
      <c r="Y2206" s="23"/>
      <c r="Z2206" s="23"/>
      <c r="AA2206" s="23"/>
      <c r="AF2206" s="23"/>
      <c r="AG2206" s="23"/>
      <c r="AH2206" s="23"/>
      <c r="AI2206" s="23"/>
      <c r="AN2206" s="23"/>
      <c r="AO2206" s="23"/>
      <c r="AP2206" s="23"/>
      <c r="AQ2206" s="23"/>
      <c r="AR2206" s="35"/>
      <c r="AS2206" s="35"/>
      <c r="AT2206" s="35"/>
      <c r="AU2206" s="31"/>
      <c r="AV2206" s="36"/>
    </row>
    <row r="2207" spans="4:48">
      <c r="D2207" s="31"/>
      <c r="E2207" s="31"/>
      <c r="F2207" s="31"/>
      <c r="G2207" s="31"/>
      <c r="H2207" s="32"/>
      <c r="J2207" s="33"/>
      <c r="K2207" s="33"/>
      <c r="L2207" s="33"/>
      <c r="X2207" s="23"/>
      <c r="Y2207" s="23"/>
      <c r="Z2207" s="23"/>
      <c r="AA2207" s="23"/>
      <c r="AF2207" s="23"/>
      <c r="AG2207" s="23"/>
      <c r="AH2207" s="23"/>
      <c r="AI2207" s="23"/>
      <c r="AN2207" s="23"/>
      <c r="AO2207" s="23"/>
      <c r="AP2207" s="23"/>
      <c r="AQ2207" s="23"/>
      <c r="AR2207" s="35"/>
      <c r="AS2207" s="35"/>
      <c r="AT2207" s="35"/>
      <c r="AU2207" s="31"/>
      <c r="AV2207" s="36"/>
    </row>
    <row r="2208" spans="4:48">
      <c r="D2208" s="31"/>
      <c r="E2208" s="31"/>
      <c r="F2208" s="31"/>
      <c r="G2208" s="31"/>
      <c r="H2208" s="32"/>
      <c r="J2208" s="33"/>
      <c r="K2208" s="33"/>
      <c r="L2208" s="33"/>
      <c r="X2208" s="23"/>
      <c r="Y2208" s="23"/>
      <c r="Z2208" s="23"/>
      <c r="AA2208" s="23"/>
      <c r="AF2208" s="23"/>
      <c r="AG2208" s="23"/>
      <c r="AH2208" s="23"/>
      <c r="AI2208" s="23"/>
      <c r="AN2208" s="23"/>
      <c r="AO2208" s="23"/>
      <c r="AP2208" s="23"/>
      <c r="AQ2208" s="23"/>
      <c r="AR2208" s="35"/>
      <c r="AS2208" s="35"/>
      <c r="AT2208" s="35"/>
      <c r="AU2208" s="31"/>
      <c r="AV2208" s="36"/>
    </row>
    <row r="2209" spans="4:48">
      <c r="D2209" s="31"/>
      <c r="E2209" s="31"/>
      <c r="F2209" s="31"/>
      <c r="G2209" s="31"/>
      <c r="H2209" s="32"/>
      <c r="J2209" s="33"/>
      <c r="K2209" s="33"/>
      <c r="L2209" s="33"/>
      <c r="X2209" s="23"/>
      <c r="Y2209" s="23"/>
      <c r="Z2209" s="23"/>
      <c r="AA2209" s="23"/>
      <c r="AF2209" s="23"/>
      <c r="AG2209" s="23"/>
      <c r="AH2209" s="23"/>
      <c r="AI2209" s="23"/>
      <c r="AN2209" s="23"/>
      <c r="AO2209" s="23"/>
      <c r="AP2209" s="23"/>
      <c r="AQ2209" s="23"/>
      <c r="AR2209" s="35"/>
      <c r="AS2209" s="35"/>
      <c r="AT2209" s="35"/>
      <c r="AU2209" s="31"/>
      <c r="AV2209" s="36"/>
    </row>
    <row r="2210" spans="4:48">
      <c r="D2210" s="31"/>
      <c r="E2210" s="31"/>
      <c r="F2210" s="31"/>
      <c r="G2210" s="31"/>
      <c r="H2210" s="32"/>
      <c r="J2210" s="33"/>
      <c r="K2210" s="33"/>
      <c r="L2210" s="33"/>
      <c r="X2210" s="23"/>
      <c r="Y2210" s="23"/>
      <c r="Z2210" s="23"/>
      <c r="AA2210" s="23"/>
      <c r="AF2210" s="23"/>
      <c r="AG2210" s="23"/>
      <c r="AH2210" s="23"/>
      <c r="AI2210" s="23"/>
      <c r="AN2210" s="23"/>
      <c r="AO2210" s="23"/>
      <c r="AP2210" s="23"/>
      <c r="AQ2210" s="23"/>
      <c r="AR2210" s="35"/>
      <c r="AS2210" s="35"/>
      <c r="AT2210" s="35"/>
      <c r="AU2210" s="31"/>
      <c r="AV2210" s="36"/>
    </row>
    <row r="2211" spans="4:48">
      <c r="D2211" s="31"/>
      <c r="E2211" s="31"/>
      <c r="F2211" s="31"/>
      <c r="G2211" s="31"/>
      <c r="H2211" s="32"/>
      <c r="J2211" s="33"/>
      <c r="K2211" s="33"/>
      <c r="L2211" s="33"/>
      <c r="X2211" s="23"/>
      <c r="Y2211" s="23"/>
      <c r="Z2211" s="23"/>
      <c r="AA2211" s="23"/>
      <c r="AF2211" s="23"/>
      <c r="AG2211" s="23"/>
      <c r="AH2211" s="23"/>
      <c r="AI2211" s="23"/>
      <c r="AN2211" s="23"/>
      <c r="AO2211" s="23"/>
      <c r="AP2211" s="23"/>
      <c r="AQ2211" s="23"/>
      <c r="AR2211" s="35"/>
      <c r="AS2211" s="35"/>
      <c r="AT2211" s="35"/>
      <c r="AU2211" s="31"/>
      <c r="AV2211" s="36"/>
    </row>
    <row r="2212" spans="4:48">
      <c r="D2212" s="31"/>
      <c r="E2212" s="31"/>
      <c r="F2212" s="31"/>
      <c r="G2212" s="31"/>
      <c r="H2212" s="32"/>
      <c r="J2212" s="33"/>
      <c r="K2212" s="33"/>
      <c r="L2212" s="33"/>
      <c r="X2212" s="23"/>
      <c r="Y2212" s="23"/>
      <c r="Z2212" s="23"/>
      <c r="AA2212" s="23"/>
      <c r="AF2212" s="23"/>
      <c r="AG2212" s="23"/>
      <c r="AH2212" s="23"/>
      <c r="AI2212" s="23"/>
      <c r="AN2212" s="23"/>
      <c r="AO2212" s="23"/>
      <c r="AP2212" s="23"/>
      <c r="AQ2212" s="23"/>
      <c r="AR2212" s="35"/>
      <c r="AS2212" s="35"/>
      <c r="AT2212" s="35"/>
      <c r="AU2212" s="31"/>
      <c r="AV2212" s="36"/>
    </row>
    <row r="2213" spans="4:48">
      <c r="D2213" s="31"/>
      <c r="E2213" s="31"/>
      <c r="F2213" s="31"/>
      <c r="G2213" s="31"/>
      <c r="H2213" s="32"/>
      <c r="J2213" s="33"/>
      <c r="K2213" s="33"/>
      <c r="L2213" s="33"/>
      <c r="X2213" s="23"/>
      <c r="Y2213" s="23"/>
      <c r="Z2213" s="23"/>
      <c r="AA2213" s="23"/>
      <c r="AF2213" s="23"/>
      <c r="AG2213" s="23"/>
      <c r="AH2213" s="23"/>
      <c r="AI2213" s="23"/>
      <c r="AN2213" s="23"/>
      <c r="AO2213" s="23"/>
      <c r="AP2213" s="23"/>
      <c r="AQ2213" s="23"/>
      <c r="AR2213" s="35"/>
      <c r="AS2213" s="35"/>
      <c r="AT2213" s="35"/>
      <c r="AU2213" s="31"/>
      <c r="AV2213" s="36"/>
    </row>
    <row r="2214" spans="4:48">
      <c r="D2214" s="31"/>
      <c r="E2214" s="31"/>
      <c r="F2214" s="31"/>
      <c r="G2214" s="31"/>
      <c r="H2214" s="32"/>
      <c r="J2214" s="33"/>
      <c r="K2214" s="33"/>
      <c r="L2214" s="33"/>
      <c r="X2214" s="23"/>
      <c r="Y2214" s="23"/>
      <c r="Z2214" s="23"/>
      <c r="AA2214" s="23"/>
      <c r="AF2214" s="23"/>
      <c r="AG2214" s="23"/>
      <c r="AH2214" s="23"/>
      <c r="AI2214" s="23"/>
      <c r="AN2214" s="23"/>
      <c r="AO2214" s="23"/>
      <c r="AP2214" s="23"/>
      <c r="AQ2214" s="23"/>
      <c r="AR2214" s="35"/>
      <c r="AS2214" s="35"/>
      <c r="AT2214" s="35"/>
      <c r="AU2214" s="31"/>
      <c r="AV2214" s="36"/>
    </row>
    <row r="2215" spans="4:48">
      <c r="D2215" s="31"/>
      <c r="E2215" s="31"/>
      <c r="F2215" s="31"/>
      <c r="G2215" s="31"/>
      <c r="H2215" s="32"/>
      <c r="J2215" s="33"/>
      <c r="K2215" s="33"/>
      <c r="L2215" s="33"/>
      <c r="X2215" s="23"/>
      <c r="Y2215" s="23"/>
      <c r="Z2215" s="23"/>
      <c r="AA2215" s="23"/>
      <c r="AF2215" s="23"/>
      <c r="AG2215" s="23"/>
      <c r="AH2215" s="23"/>
      <c r="AI2215" s="23"/>
      <c r="AN2215" s="23"/>
      <c r="AO2215" s="23"/>
      <c r="AP2215" s="23"/>
      <c r="AQ2215" s="23"/>
      <c r="AR2215" s="35"/>
      <c r="AS2215" s="35"/>
      <c r="AT2215" s="35"/>
      <c r="AU2215" s="31"/>
      <c r="AV2215" s="36"/>
    </row>
    <row r="2216" spans="4:48">
      <c r="D2216" s="31"/>
      <c r="E2216" s="31"/>
      <c r="F2216" s="31"/>
      <c r="G2216" s="31"/>
      <c r="H2216" s="32"/>
      <c r="J2216" s="33"/>
      <c r="K2216" s="33"/>
      <c r="L2216" s="33"/>
      <c r="X2216" s="23"/>
      <c r="Y2216" s="23"/>
      <c r="Z2216" s="23"/>
      <c r="AA2216" s="23"/>
      <c r="AF2216" s="23"/>
      <c r="AG2216" s="23"/>
      <c r="AH2216" s="23"/>
      <c r="AI2216" s="23"/>
      <c r="AN2216" s="23"/>
      <c r="AO2216" s="23"/>
      <c r="AP2216" s="23"/>
      <c r="AQ2216" s="23"/>
      <c r="AR2216" s="35"/>
      <c r="AS2216" s="35"/>
      <c r="AT2216" s="35"/>
      <c r="AU2216" s="31"/>
      <c r="AV2216" s="36"/>
    </row>
    <row r="2217" spans="4:48">
      <c r="D2217" s="31"/>
      <c r="E2217" s="31"/>
      <c r="F2217" s="31"/>
      <c r="G2217" s="31"/>
      <c r="H2217" s="32"/>
      <c r="J2217" s="33"/>
      <c r="K2217" s="33"/>
      <c r="L2217" s="33"/>
      <c r="X2217" s="23"/>
      <c r="Y2217" s="23"/>
      <c r="Z2217" s="23"/>
      <c r="AA2217" s="23"/>
      <c r="AF2217" s="23"/>
      <c r="AG2217" s="23"/>
      <c r="AH2217" s="23"/>
      <c r="AI2217" s="23"/>
      <c r="AN2217" s="23"/>
      <c r="AO2217" s="23"/>
      <c r="AP2217" s="23"/>
      <c r="AQ2217" s="23"/>
      <c r="AR2217" s="35"/>
      <c r="AS2217" s="35"/>
      <c r="AT2217" s="35"/>
      <c r="AU2217" s="31"/>
      <c r="AV2217" s="36"/>
    </row>
    <row r="2218" spans="4:48">
      <c r="D2218" s="31"/>
      <c r="E2218" s="31"/>
      <c r="F2218" s="31"/>
      <c r="G2218" s="31"/>
      <c r="H2218" s="32"/>
      <c r="J2218" s="33"/>
      <c r="K2218" s="33"/>
      <c r="L2218" s="33"/>
      <c r="X2218" s="23"/>
      <c r="Y2218" s="23"/>
      <c r="Z2218" s="23"/>
      <c r="AA2218" s="23"/>
      <c r="AF2218" s="23"/>
      <c r="AG2218" s="23"/>
      <c r="AH2218" s="23"/>
      <c r="AI2218" s="23"/>
      <c r="AN2218" s="23"/>
      <c r="AO2218" s="23"/>
      <c r="AP2218" s="23"/>
      <c r="AQ2218" s="23"/>
      <c r="AR2218" s="35"/>
      <c r="AS2218" s="35"/>
      <c r="AT2218" s="35"/>
      <c r="AU2218" s="31"/>
      <c r="AV2218" s="36"/>
    </row>
    <row r="2219" spans="4:48">
      <c r="D2219" s="31"/>
      <c r="E2219" s="31"/>
      <c r="F2219" s="31"/>
      <c r="G2219" s="31"/>
      <c r="H2219" s="32"/>
      <c r="J2219" s="33"/>
      <c r="K2219" s="33"/>
      <c r="L2219" s="33"/>
      <c r="X2219" s="23"/>
      <c r="Y2219" s="23"/>
      <c r="Z2219" s="23"/>
      <c r="AA2219" s="23"/>
      <c r="AF2219" s="23"/>
      <c r="AG2219" s="23"/>
      <c r="AH2219" s="23"/>
      <c r="AI2219" s="23"/>
      <c r="AN2219" s="23"/>
      <c r="AO2219" s="23"/>
      <c r="AP2219" s="23"/>
      <c r="AQ2219" s="23"/>
      <c r="AR2219" s="35"/>
      <c r="AS2219" s="35"/>
      <c r="AT2219" s="35"/>
      <c r="AU2219" s="31"/>
      <c r="AV2219" s="36"/>
    </row>
    <row r="2220" spans="4:48">
      <c r="D2220" s="31"/>
      <c r="E2220" s="31"/>
      <c r="F2220" s="31"/>
      <c r="G2220" s="31"/>
      <c r="H2220" s="32"/>
      <c r="J2220" s="33"/>
      <c r="K2220" s="33"/>
      <c r="L2220" s="33"/>
      <c r="X2220" s="23"/>
      <c r="Y2220" s="23"/>
      <c r="Z2220" s="23"/>
      <c r="AA2220" s="23"/>
      <c r="AF2220" s="23"/>
      <c r="AG2220" s="23"/>
      <c r="AH2220" s="23"/>
      <c r="AI2220" s="23"/>
      <c r="AN2220" s="23"/>
      <c r="AO2220" s="23"/>
      <c r="AP2220" s="23"/>
      <c r="AQ2220" s="23"/>
      <c r="AR2220" s="35"/>
      <c r="AS2220" s="35"/>
      <c r="AT2220" s="35"/>
      <c r="AU2220" s="31"/>
      <c r="AV2220" s="36"/>
    </row>
    <row r="2221" spans="4:48">
      <c r="D2221" s="31"/>
      <c r="E2221" s="31"/>
      <c r="F2221" s="31"/>
      <c r="G2221" s="31"/>
      <c r="H2221" s="32"/>
      <c r="J2221" s="33"/>
      <c r="K2221" s="33"/>
      <c r="L2221" s="33"/>
      <c r="X2221" s="23"/>
      <c r="Y2221" s="23"/>
      <c r="Z2221" s="23"/>
      <c r="AA2221" s="23"/>
      <c r="AF2221" s="23"/>
      <c r="AG2221" s="23"/>
      <c r="AH2221" s="23"/>
      <c r="AI2221" s="23"/>
      <c r="AN2221" s="23"/>
      <c r="AO2221" s="23"/>
      <c r="AP2221" s="23"/>
      <c r="AQ2221" s="23"/>
      <c r="AR2221" s="35"/>
      <c r="AS2221" s="35"/>
      <c r="AT2221" s="35"/>
      <c r="AU2221" s="31"/>
      <c r="AV2221" s="36"/>
    </row>
    <row r="2222" spans="4:48">
      <c r="D2222" s="31"/>
      <c r="E2222" s="31"/>
      <c r="F2222" s="31"/>
      <c r="G2222" s="31"/>
      <c r="H2222" s="32"/>
      <c r="J2222" s="33"/>
      <c r="K2222" s="33"/>
      <c r="L2222" s="33"/>
      <c r="X2222" s="23"/>
      <c r="Y2222" s="23"/>
      <c r="Z2222" s="23"/>
      <c r="AA2222" s="23"/>
      <c r="AF2222" s="23"/>
      <c r="AG2222" s="23"/>
      <c r="AH2222" s="23"/>
      <c r="AI2222" s="23"/>
      <c r="AN2222" s="23"/>
      <c r="AO2222" s="23"/>
      <c r="AP2222" s="23"/>
      <c r="AQ2222" s="23"/>
      <c r="AR2222" s="35"/>
      <c r="AS2222" s="35"/>
      <c r="AT2222" s="35"/>
      <c r="AU2222" s="31"/>
      <c r="AV2222" s="36"/>
    </row>
    <row r="2223" spans="4:48">
      <c r="D2223" s="31"/>
      <c r="E2223" s="31"/>
      <c r="F2223" s="31"/>
      <c r="G2223" s="31"/>
      <c r="H2223" s="32"/>
      <c r="J2223" s="33"/>
      <c r="K2223" s="33"/>
      <c r="L2223" s="33"/>
      <c r="X2223" s="23"/>
      <c r="Y2223" s="23"/>
      <c r="Z2223" s="23"/>
      <c r="AA2223" s="23"/>
      <c r="AF2223" s="23"/>
      <c r="AG2223" s="23"/>
      <c r="AH2223" s="23"/>
      <c r="AI2223" s="23"/>
      <c r="AN2223" s="23"/>
      <c r="AO2223" s="23"/>
      <c r="AP2223" s="23"/>
      <c r="AQ2223" s="23"/>
      <c r="AR2223" s="35"/>
      <c r="AS2223" s="35"/>
      <c r="AT2223" s="35"/>
      <c r="AU2223" s="31"/>
      <c r="AV2223" s="36"/>
    </row>
    <row r="2224" spans="4:48">
      <c r="D2224" s="31"/>
      <c r="E2224" s="31"/>
      <c r="F2224" s="31"/>
      <c r="G2224" s="31"/>
      <c r="H2224" s="32"/>
      <c r="J2224" s="33"/>
      <c r="K2224" s="33"/>
      <c r="L2224" s="33"/>
      <c r="X2224" s="23"/>
      <c r="Y2224" s="23"/>
      <c r="Z2224" s="23"/>
      <c r="AA2224" s="23"/>
      <c r="AF2224" s="23"/>
      <c r="AG2224" s="23"/>
      <c r="AH2224" s="23"/>
      <c r="AI2224" s="23"/>
      <c r="AN2224" s="23"/>
      <c r="AO2224" s="23"/>
      <c r="AP2224" s="23"/>
      <c r="AQ2224" s="23"/>
      <c r="AR2224" s="35"/>
      <c r="AS2224" s="35"/>
      <c r="AT2224" s="35"/>
      <c r="AU2224" s="31"/>
      <c r="AV2224" s="36"/>
    </row>
    <row r="2225" spans="4:48">
      <c r="D2225" s="31"/>
      <c r="E2225" s="31"/>
      <c r="F2225" s="31"/>
      <c r="G2225" s="31"/>
      <c r="H2225" s="32"/>
      <c r="J2225" s="33"/>
      <c r="K2225" s="33"/>
      <c r="L2225" s="33"/>
      <c r="X2225" s="23"/>
      <c r="Y2225" s="23"/>
      <c r="Z2225" s="23"/>
      <c r="AA2225" s="23"/>
      <c r="AF2225" s="23"/>
      <c r="AG2225" s="23"/>
      <c r="AH2225" s="23"/>
      <c r="AI2225" s="23"/>
      <c r="AN2225" s="23"/>
      <c r="AO2225" s="23"/>
      <c r="AP2225" s="23"/>
      <c r="AQ2225" s="23"/>
      <c r="AR2225" s="35"/>
      <c r="AS2225" s="35"/>
      <c r="AT2225" s="35"/>
      <c r="AU2225" s="31"/>
      <c r="AV2225" s="36"/>
    </row>
    <row r="2226" spans="4:48">
      <c r="D2226" s="31"/>
      <c r="E2226" s="31"/>
      <c r="F2226" s="31"/>
      <c r="G2226" s="31"/>
      <c r="H2226" s="32"/>
      <c r="J2226" s="33"/>
      <c r="K2226" s="33"/>
      <c r="L2226" s="33"/>
      <c r="X2226" s="23"/>
      <c r="Y2226" s="23"/>
      <c r="Z2226" s="23"/>
      <c r="AA2226" s="23"/>
      <c r="AF2226" s="23"/>
      <c r="AG2226" s="23"/>
      <c r="AH2226" s="23"/>
      <c r="AI2226" s="23"/>
      <c r="AN2226" s="23"/>
      <c r="AO2226" s="23"/>
      <c r="AP2226" s="23"/>
      <c r="AQ2226" s="23"/>
      <c r="AR2226" s="35"/>
      <c r="AS2226" s="35"/>
      <c r="AT2226" s="35"/>
      <c r="AU2226" s="31"/>
      <c r="AV2226" s="36"/>
    </row>
    <row r="2227" spans="4:48">
      <c r="D2227" s="31"/>
      <c r="E2227" s="31"/>
      <c r="F2227" s="31"/>
      <c r="G2227" s="31"/>
      <c r="H2227" s="32"/>
      <c r="J2227" s="33"/>
      <c r="K2227" s="33"/>
      <c r="L2227" s="33"/>
      <c r="X2227" s="23"/>
      <c r="Y2227" s="23"/>
      <c r="Z2227" s="23"/>
      <c r="AA2227" s="23"/>
      <c r="AF2227" s="23"/>
      <c r="AG2227" s="23"/>
      <c r="AH2227" s="23"/>
      <c r="AI2227" s="23"/>
      <c r="AN2227" s="23"/>
      <c r="AO2227" s="23"/>
      <c r="AP2227" s="23"/>
      <c r="AQ2227" s="23"/>
      <c r="AR2227" s="35"/>
      <c r="AS2227" s="35"/>
      <c r="AT2227" s="35"/>
      <c r="AU2227" s="31"/>
      <c r="AV2227" s="36"/>
    </row>
    <row r="2228" spans="4:48">
      <c r="D2228" s="31"/>
      <c r="E2228" s="31"/>
      <c r="F2228" s="31"/>
      <c r="G2228" s="31"/>
      <c r="H2228" s="32"/>
      <c r="J2228" s="33"/>
      <c r="K2228" s="33"/>
      <c r="L2228" s="33"/>
      <c r="X2228" s="23"/>
      <c r="Y2228" s="23"/>
      <c r="Z2228" s="23"/>
      <c r="AA2228" s="23"/>
      <c r="AF2228" s="23"/>
      <c r="AG2228" s="23"/>
      <c r="AH2228" s="23"/>
      <c r="AI2228" s="23"/>
      <c r="AN2228" s="23"/>
      <c r="AO2228" s="23"/>
      <c r="AP2228" s="23"/>
      <c r="AQ2228" s="23"/>
      <c r="AR2228" s="35"/>
      <c r="AS2228" s="35"/>
      <c r="AT2228" s="35"/>
      <c r="AU2228" s="31"/>
      <c r="AV2228" s="36"/>
    </row>
    <row r="2229" spans="4:48">
      <c r="D2229" s="31"/>
      <c r="E2229" s="31"/>
      <c r="F2229" s="31"/>
      <c r="G2229" s="31"/>
      <c r="H2229" s="32"/>
      <c r="J2229" s="33"/>
      <c r="K2229" s="33"/>
      <c r="L2229" s="33"/>
      <c r="X2229" s="23"/>
      <c r="Y2229" s="23"/>
      <c r="Z2229" s="23"/>
      <c r="AA2229" s="23"/>
      <c r="AF2229" s="23"/>
      <c r="AG2229" s="23"/>
      <c r="AH2229" s="23"/>
      <c r="AI2229" s="23"/>
      <c r="AN2229" s="23"/>
      <c r="AO2229" s="23"/>
      <c r="AP2229" s="23"/>
      <c r="AQ2229" s="23"/>
      <c r="AR2229" s="35"/>
      <c r="AS2229" s="35"/>
      <c r="AT2229" s="35"/>
      <c r="AU2229" s="31"/>
      <c r="AV2229" s="36"/>
    </row>
    <row r="2230" spans="4:48">
      <c r="D2230" s="31"/>
      <c r="E2230" s="31"/>
      <c r="F2230" s="31"/>
      <c r="G2230" s="31"/>
      <c r="H2230" s="32"/>
      <c r="J2230" s="33"/>
      <c r="K2230" s="33"/>
      <c r="L2230" s="33"/>
      <c r="X2230" s="23"/>
      <c r="Y2230" s="23"/>
      <c r="Z2230" s="23"/>
      <c r="AA2230" s="23"/>
      <c r="AF2230" s="23"/>
      <c r="AG2230" s="23"/>
      <c r="AH2230" s="23"/>
      <c r="AI2230" s="23"/>
      <c r="AN2230" s="23"/>
      <c r="AO2230" s="23"/>
      <c r="AP2230" s="23"/>
      <c r="AQ2230" s="23"/>
      <c r="AR2230" s="35"/>
      <c r="AS2230" s="35"/>
      <c r="AT2230" s="35"/>
      <c r="AU2230" s="31"/>
      <c r="AV2230" s="36"/>
    </row>
    <row r="2231" spans="4:48">
      <c r="D2231" s="31"/>
      <c r="E2231" s="31"/>
      <c r="F2231" s="31"/>
      <c r="G2231" s="31"/>
      <c r="H2231" s="32"/>
      <c r="J2231" s="33"/>
      <c r="K2231" s="33"/>
      <c r="L2231" s="33"/>
      <c r="X2231" s="23"/>
      <c r="Y2231" s="23"/>
      <c r="Z2231" s="23"/>
      <c r="AA2231" s="23"/>
      <c r="AF2231" s="23"/>
      <c r="AG2231" s="23"/>
      <c r="AH2231" s="23"/>
      <c r="AI2231" s="23"/>
      <c r="AN2231" s="23"/>
      <c r="AO2231" s="23"/>
      <c r="AP2231" s="23"/>
      <c r="AQ2231" s="23"/>
      <c r="AR2231" s="35"/>
      <c r="AS2231" s="35"/>
      <c r="AT2231" s="35"/>
      <c r="AU2231" s="31"/>
      <c r="AV2231" s="36"/>
    </row>
    <row r="2232" spans="4:48">
      <c r="D2232" s="31"/>
      <c r="E2232" s="31"/>
      <c r="F2232" s="31"/>
      <c r="G2232" s="31"/>
      <c r="H2232" s="32"/>
      <c r="J2232" s="33"/>
      <c r="K2232" s="33"/>
      <c r="L2232" s="33"/>
      <c r="X2232" s="23"/>
      <c r="Y2232" s="23"/>
      <c r="Z2232" s="23"/>
      <c r="AA2232" s="23"/>
      <c r="AF2232" s="23"/>
      <c r="AG2232" s="23"/>
      <c r="AH2232" s="23"/>
      <c r="AI2232" s="23"/>
      <c r="AN2232" s="23"/>
      <c r="AO2232" s="23"/>
      <c r="AP2232" s="23"/>
      <c r="AQ2232" s="23"/>
      <c r="AR2232" s="35"/>
      <c r="AS2232" s="35"/>
      <c r="AT2232" s="35"/>
      <c r="AU2232" s="31"/>
      <c r="AV2232" s="36"/>
    </row>
    <row r="2233" spans="4:48">
      <c r="D2233" s="31"/>
      <c r="E2233" s="31"/>
      <c r="F2233" s="31"/>
      <c r="G2233" s="31"/>
      <c r="H2233" s="32"/>
      <c r="J2233" s="33"/>
      <c r="K2233" s="33"/>
      <c r="L2233" s="33"/>
      <c r="X2233" s="23"/>
      <c r="Y2233" s="23"/>
      <c r="Z2233" s="23"/>
      <c r="AA2233" s="23"/>
      <c r="AF2233" s="23"/>
      <c r="AG2233" s="23"/>
      <c r="AH2233" s="23"/>
      <c r="AI2233" s="23"/>
      <c r="AN2233" s="23"/>
      <c r="AO2233" s="23"/>
      <c r="AP2233" s="23"/>
      <c r="AQ2233" s="23"/>
      <c r="AR2233" s="35"/>
      <c r="AS2233" s="35"/>
      <c r="AT2233" s="35"/>
      <c r="AU2233" s="31"/>
      <c r="AV2233" s="36"/>
    </row>
    <row r="2234" spans="4:48">
      <c r="D2234" s="31"/>
      <c r="E2234" s="31"/>
      <c r="F2234" s="31"/>
      <c r="G2234" s="31"/>
      <c r="H2234" s="32"/>
      <c r="J2234" s="33"/>
      <c r="K2234" s="33"/>
      <c r="L2234" s="33"/>
      <c r="X2234" s="23"/>
      <c r="Y2234" s="23"/>
      <c r="Z2234" s="23"/>
      <c r="AA2234" s="23"/>
      <c r="AF2234" s="23"/>
      <c r="AG2234" s="23"/>
      <c r="AH2234" s="23"/>
      <c r="AI2234" s="23"/>
      <c r="AN2234" s="23"/>
      <c r="AO2234" s="23"/>
      <c r="AP2234" s="23"/>
      <c r="AQ2234" s="23"/>
      <c r="AR2234" s="35"/>
      <c r="AS2234" s="35"/>
      <c r="AT2234" s="35"/>
      <c r="AU2234" s="31"/>
      <c r="AV2234" s="36"/>
    </row>
    <row r="2235" spans="4:48">
      <c r="D2235" s="31"/>
      <c r="E2235" s="31"/>
      <c r="F2235" s="31"/>
      <c r="G2235" s="31"/>
      <c r="H2235" s="32"/>
      <c r="J2235" s="33"/>
      <c r="K2235" s="33"/>
      <c r="L2235" s="33"/>
      <c r="X2235" s="23"/>
      <c r="Y2235" s="23"/>
      <c r="Z2235" s="23"/>
      <c r="AA2235" s="23"/>
      <c r="AF2235" s="23"/>
      <c r="AG2235" s="23"/>
      <c r="AH2235" s="23"/>
      <c r="AI2235" s="23"/>
      <c r="AN2235" s="23"/>
      <c r="AO2235" s="23"/>
      <c r="AP2235" s="23"/>
      <c r="AQ2235" s="23"/>
      <c r="AR2235" s="35"/>
      <c r="AS2235" s="35"/>
      <c r="AT2235" s="35"/>
      <c r="AU2235" s="31"/>
      <c r="AV2235" s="36"/>
    </row>
    <row r="2236" spans="4:48">
      <c r="D2236" s="31"/>
      <c r="E2236" s="31"/>
      <c r="F2236" s="31"/>
      <c r="G2236" s="31"/>
      <c r="H2236" s="32"/>
      <c r="J2236" s="33"/>
      <c r="K2236" s="33"/>
      <c r="L2236" s="33"/>
      <c r="X2236" s="23"/>
      <c r="Y2236" s="23"/>
      <c r="Z2236" s="23"/>
      <c r="AA2236" s="23"/>
      <c r="AF2236" s="23"/>
      <c r="AG2236" s="23"/>
      <c r="AH2236" s="23"/>
      <c r="AI2236" s="23"/>
      <c r="AN2236" s="23"/>
      <c r="AO2236" s="23"/>
      <c r="AP2236" s="23"/>
      <c r="AQ2236" s="23"/>
      <c r="AR2236" s="35"/>
      <c r="AS2236" s="35"/>
      <c r="AT2236" s="35"/>
      <c r="AU2236" s="31"/>
      <c r="AV2236" s="36"/>
    </row>
    <row r="2237" spans="4:48">
      <c r="D2237" s="31"/>
      <c r="E2237" s="31"/>
      <c r="F2237" s="31"/>
      <c r="G2237" s="31"/>
      <c r="H2237" s="32"/>
      <c r="J2237" s="33"/>
      <c r="K2237" s="33"/>
      <c r="L2237" s="33"/>
      <c r="X2237" s="23"/>
      <c r="Y2237" s="23"/>
      <c r="Z2237" s="23"/>
      <c r="AA2237" s="23"/>
      <c r="AF2237" s="23"/>
      <c r="AG2237" s="23"/>
      <c r="AH2237" s="23"/>
      <c r="AI2237" s="23"/>
      <c r="AN2237" s="23"/>
      <c r="AO2237" s="23"/>
      <c r="AP2237" s="23"/>
      <c r="AQ2237" s="23"/>
      <c r="AR2237" s="35"/>
      <c r="AS2237" s="35"/>
      <c r="AT2237" s="35"/>
      <c r="AU2237" s="31"/>
      <c r="AV2237" s="36"/>
    </row>
    <row r="2238" spans="4:48">
      <c r="D2238" s="31"/>
      <c r="E2238" s="31"/>
      <c r="F2238" s="31"/>
      <c r="G2238" s="31"/>
      <c r="H2238" s="32"/>
      <c r="J2238" s="33"/>
      <c r="K2238" s="33"/>
      <c r="L2238" s="33"/>
      <c r="X2238" s="23"/>
      <c r="Y2238" s="23"/>
      <c r="Z2238" s="23"/>
      <c r="AA2238" s="23"/>
      <c r="AF2238" s="23"/>
      <c r="AG2238" s="23"/>
      <c r="AH2238" s="23"/>
      <c r="AI2238" s="23"/>
      <c r="AN2238" s="23"/>
      <c r="AO2238" s="23"/>
      <c r="AP2238" s="23"/>
      <c r="AQ2238" s="23"/>
      <c r="AR2238" s="35"/>
      <c r="AS2238" s="35"/>
      <c r="AT2238" s="35"/>
      <c r="AU2238" s="31"/>
      <c r="AV2238" s="36"/>
    </row>
    <row r="2239" spans="4:48">
      <c r="D2239" s="31"/>
      <c r="E2239" s="31"/>
      <c r="F2239" s="31"/>
      <c r="G2239" s="31"/>
      <c r="H2239" s="32"/>
      <c r="J2239" s="33"/>
      <c r="K2239" s="33"/>
      <c r="L2239" s="33"/>
      <c r="X2239" s="23"/>
      <c r="Y2239" s="23"/>
      <c r="Z2239" s="23"/>
      <c r="AA2239" s="23"/>
      <c r="AF2239" s="23"/>
      <c r="AG2239" s="23"/>
      <c r="AH2239" s="23"/>
      <c r="AI2239" s="23"/>
      <c r="AN2239" s="23"/>
      <c r="AO2239" s="23"/>
      <c r="AP2239" s="23"/>
      <c r="AQ2239" s="23"/>
      <c r="AR2239" s="35"/>
      <c r="AS2239" s="35"/>
      <c r="AT2239" s="35"/>
      <c r="AU2239" s="31"/>
      <c r="AV2239" s="36"/>
    </row>
    <row r="2240" spans="4:48">
      <c r="D2240" s="31"/>
      <c r="E2240" s="31"/>
      <c r="F2240" s="31"/>
      <c r="G2240" s="31"/>
      <c r="H2240" s="32"/>
      <c r="J2240" s="33"/>
      <c r="K2240" s="33"/>
      <c r="L2240" s="33"/>
      <c r="X2240" s="23"/>
      <c r="Y2240" s="23"/>
      <c r="Z2240" s="23"/>
      <c r="AA2240" s="23"/>
      <c r="AF2240" s="23"/>
      <c r="AG2240" s="23"/>
      <c r="AH2240" s="23"/>
      <c r="AI2240" s="23"/>
      <c r="AN2240" s="23"/>
      <c r="AO2240" s="23"/>
      <c r="AP2240" s="23"/>
      <c r="AQ2240" s="23"/>
      <c r="AR2240" s="35"/>
      <c r="AS2240" s="35"/>
      <c r="AT2240" s="35"/>
      <c r="AU2240" s="31"/>
      <c r="AV2240" s="36"/>
    </row>
    <row r="2241" spans="4:48">
      <c r="D2241" s="31"/>
      <c r="E2241" s="31"/>
      <c r="F2241" s="31"/>
      <c r="G2241" s="31"/>
      <c r="H2241" s="32"/>
      <c r="J2241" s="33"/>
      <c r="K2241" s="33"/>
      <c r="L2241" s="33"/>
      <c r="X2241" s="23"/>
      <c r="Y2241" s="23"/>
      <c r="Z2241" s="23"/>
      <c r="AA2241" s="23"/>
      <c r="AF2241" s="23"/>
      <c r="AG2241" s="23"/>
      <c r="AH2241" s="23"/>
      <c r="AI2241" s="23"/>
      <c r="AN2241" s="23"/>
      <c r="AO2241" s="23"/>
      <c r="AP2241" s="23"/>
      <c r="AQ2241" s="23"/>
      <c r="AR2241" s="35"/>
      <c r="AS2241" s="35"/>
      <c r="AT2241" s="35"/>
      <c r="AU2241" s="31"/>
      <c r="AV2241" s="36"/>
    </row>
    <row r="2242" spans="4:48">
      <c r="D2242" s="31"/>
      <c r="E2242" s="31"/>
      <c r="F2242" s="31"/>
      <c r="G2242" s="31"/>
      <c r="H2242" s="32"/>
      <c r="J2242" s="33"/>
      <c r="K2242" s="33"/>
      <c r="L2242" s="33"/>
      <c r="X2242" s="23"/>
      <c r="Y2242" s="23"/>
      <c r="Z2242" s="23"/>
      <c r="AA2242" s="23"/>
      <c r="AF2242" s="23"/>
      <c r="AG2242" s="23"/>
      <c r="AH2242" s="23"/>
      <c r="AI2242" s="23"/>
      <c r="AN2242" s="23"/>
      <c r="AO2242" s="23"/>
      <c r="AP2242" s="23"/>
      <c r="AQ2242" s="23"/>
      <c r="AR2242" s="35"/>
      <c r="AS2242" s="35"/>
      <c r="AT2242" s="35"/>
      <c r="AU2242" s="31"/>
      <c r="AV2242" s="36"/>
    </row>
    <row r="2243" spans="4:48">
      <c r="D2243" s="31"/>
      <c r="E2243" s="31"/>
      <c r="F2243" s="31"/>
      <c r="G2243" s="31"/>
      <c r="H2243" s="32"/>
      <c r="J2243" s="33"/>
      <c r="K2243" s="33"/>
      <c r="L2243" s="33"/>
      <c r="X2243" s="23"/>
      <c r="Y2243" s="23"/>
      <c r="Z2243" s="23"/>
      <c r="AA2243" s="23"/>
      <c r="AF2243" s="23"/>
      <c r="AG2243" s="23"/>
      <c r="AH2243" s="23"/>
      <c r="AI2243" s="23"/>
      <c r="AN2243" s="23"/>
      <c r="AO2243" s="23"/>
      <c r="AP2243" s="23"/>
      <c r="AQ2243" s="23"/>
      <c r="AR2243" s="35"/>
      <c r="AS2243" s="35"/>
      <c r="AT2243" s="35"/>
      <c r="AU2243" s="31"/>
      <c r="AV2243" s="36"/>
    </row>
    <row r="2244" spans="4:48">
      <c r="D2244" s="31"/>
      <c r="E2244" s="31"/>
      <c r="F2244" s="31"/>
      <c r="G2244" s="31"/>
      <c r="H2244" s="32"/>
      <c r="J2244" s="33"/>
      <c r="K2244" s="33"/>
      <c r="L2244" s="33"/>
      <c r="X2244" s="23"/>
      <c r="Y2244" s="23"/>
      <c r="Z2244" s="23"/>
      <c r="AA2244" s="23"/>
      <c r="AF2244" s="23"/>
      <c r="AG2244" s="23"/>
      <c r="AH2244" s="23"/>
      <c r="AI2244" s="23"/>
      <c r="AN2244" s="23"/>
      <c r="AO2244" s="23"/>
      <c r="AP2244" s="23"/>
      <c r="AQ2244" s="23"/>
      <c r="AR2244" s="35"/>
      <c r="AS2244" s="35"/>
      <c r="AT2244" s="35"/>
      <c r="AU2244" s="31"/>
      <c r="AV2244" s="36"/>
    </row>
    <row r="2245" spans="4:48">
      <c r="D2245" s="31"/>
      <c r="E2245" s="31"/>
      <c r="F2245" s="31"/>
      <c r="G2245" s="31"/>
      <c r="H2245" s="32"/>
      <c r="J2245" s="33"/>
      <c r="K2245" s="33"/>
      <c r="L2245" s="33"/>
      <c r="X2245" s="23"/>
      <c r="Y2245" s="23"/>
      <c r="Z2245" s="23"/>
      <c r="AA2245" s="23"/>
      <c r="AF2245" s="23"/>
      <c r="AG2245" s="23"/>
      <c r="AH2245" s="23"/>
      <c r="AI2245" s="23"/>
      <c r="AN2245" s="23"/>
      <c r="AO2245" s="23"/>
      <c r="AP2245" s="23"/>
      <c r="AQ2245" s="23"/>
      <c r="AR2245" s="35"/>
      <c r="AS2245" s="35"/>
      <c r="AT2245" s="35"/>
      <c r="AU2245" s="31"/>
      <c r="AV2245" s="36"/>
    </row>
    <row r="2246" spans="4:48">
      <c r="D2246" s="31"/>
      <c r="E2246" s="31"/>
      <c r="F2246" s="31"/>
      <c r="G2246" s="31"/>
      <c r="H2246" s="32"/>
      <c r="J2246" s="33"/>
      <c r="K2246" s="33"/>
      <c r="L2246" s="33"/>
      <c r="X2246" s="23"/>
      <c r="Y2246" s="23"/>
      <c r="Z2246" s="23"/>
      <c r="AA2246" s="23"/>
      <c r="AF2246" s="23"/>
      <c r="AG2246" s="23"/>
      <c r="AH2246" s="23"/>
      <c r="AI2246" s="23"/>
      <c r="AN2246" s="23"/>
      <c r="AO2246" s="23"/>
      <c r="AP2246" s="23"/>
      <c r="AQ2246" s="23"/>
      <c r="AR2246" s="35"/>
      <c r="AS2246" s="35"/>
      <c r="AT2246" s="35"/>
      <c r="AU2246" s="31"/>
      <c r="AV2246" s="36"/>
    </row>
    <row r="2247" spans="4:48">
      <c r="D2247" s="31"/>
      <c r="E2247" s="31"/>
      <c r="F2247" s="31"/>
      <c r="G2247" s="31"/>
      <c r="H2247" s="32"/>
      <c r="J2247" s="33"/>
      <c r="K2247" s="33"/>
      <c r="L2247" s="33"/>
      <c r="X2247" s="23"/>
      <c r="Y2247" s="23"/>
      <c r="Z2247" s="23"/>
      <c r="AA2247" s="23"/>
      <c r="AF2247" s="23"/>
      <c r="AG2247" s="23"/>
      <c r="AH2247" s="23"/>
      <c r="AI2247" s="23"/>
      <c r="AN2247" s="23"/>
      <c r="AO2247" s="23"/>
      <c r="AP2247" s="23"/>
      <c r="AQ2247" s="23"/>
      <c r="AR2247" s="35"/>
      <c r="AS2247" s="35"/>
      <c r="AT2247" s="35"/>
      <c r="AU2247" s="31"/>
      <c r="AV2247" s="36"/>
    </row>
    <row r="2248" spans="4:48">
      <c r="D2248" s="31"/>
      <c r="E2248" s="31"/>
      <c r="F2248" s="31"/>
      <c r="G2248" s="31"/>
      <c r="H2248" s="32"/>
      <c r="J2248" s="33"/>
      <c r="K2248" s="33"/>
      <c r="L2248" s="33"/>
      <c r="X2248" s="23"/>
      <c r="Y2248" s="23"/>
      <c r="Z2248" s="23"/>
      <c r="AA2248" s="23"/>
      <c r="AF2248" s="23"/>
      <c r="AG2248" s="23"/>
      <c r="AH2248" s="23"/>
      <c r="AI2248" s="23"/>
      <c r="AN2248" s="23"/>
      <c r="AO2248" s="23"/>
      <c r="AP2248" s="23"/>
      <c r="AQ2248" s="23"/>
      <c r="AR2248" s="35"/>
      <c r="AS2248" s="35"/>
      <c r="AT2248" s="35"/>
      <c r="AU2248" s="31"/>
      <c r="AV2248" s="36"/>
    </row>
    <row r="2249" spans="4:48">
      <c r="D2249" s="31"/>
      <c r="E2249" s="31"/>
      <c r="F2249" s="31"/>
      <c r="G2249" s="31"/>
      <c r="H2249" s="32"/>
      <c r="J2249" s="33"/>
      <c r="K2249" s="33"/>
      <c r="L2249" s="33"/>
      <c r="X2249" s="23"/>
      <c r="Y2249" s="23"/>
      <c r="Z2249" s="23"/>
      <c r="AA2249" s="23"/>
      <c r="AF2249" s="23"/>
      <c r="AG2249" s="23"/>
      <c r="AH2249" s="23"/>
      <c r="AI2249" s="23"/>
      <c r="AN2249" s="23"/>
      <c r="AO2249" s="23"/>
      <c r="AP2249" s="23"/>
      <c r="AQ2249" s="23"/>
      <c r="AR2249" s="35"/>
      <c r="AS2249" s="35"/>
      <c r="AT2249" s="35"/>
      <c r="AU2249" s="31"/>
      <c r="AV2249" s="36"/>
    </row>
    <row r="2250" spans="4:48">
      <c r="D2250" s="31"/>
      <c r="E2250" s="31"/>
      <c r="F2250" s="31"/>
      <c r="G2250" s="31"/>
      <c r="H2250" s="32"/>
      <c r="J2250" s="33"/>
      <c r="K2250" s="33"/>
      <c r="L2250" s="33"/>
      <c r="X2250" s="23"/>
      <c r="Y2250" s="23"/>
      <c r="Z2250" s="23"/>
      <c r="AA2250" s="23"/>
      <c r="AF2250" s="23"/>
      <c r="AG2250" s="23"/>
      <c r="AH2250" s="23"/>
      <c r="AI2250" s="23"/>
      <c r="AN2250" s="23"/>
      <c r="AO2250" s="23"/>
      <c r="AP2250" s="23"/>
      <c r="AQ2250" s="23"/>
      <c r="AR2250" s="35"/>
      <c r="AS2250" s="35"/>
      <c r="AT2250" s="35"/>
      <c r="AU2250" s="31"/>
      <c r="AV2250" s="36"/>
    </row>
    <row r="2251" spans="4:48">
      <c r="D2251" s="31"/>
      <c r="E2251" s="31"/>
      <c r="F2251" s="31"/>
      <c r="G2251" s="31"/>
      <c r="H2251" s="32"/>
      <c r="J2251" s="33"/>
      <c r="K2251" s="33"/>
      <c r="L2251" s="33"/>
      <c r="X2251" s="23"/>
      <c r="Y2251" s="23"/>
      <c r="Z2251" s="23"/>
      <c r="AA2251" s="23"/>
      <c r="AF2251" s="23"/>
      <c r="AG2251" s="23"/>
      <c r="AH2251" s="23"/>
      <c r="AI2251" s="23"/>
      <c r="AN2251" s="23"/>
      <c r="AO2251" s="23"/>
      <c r="AP2251" s="23"/>
      <c r="AQ2251" s="23"/>
      <c r="AR2251" s="35"/>
      <c r="AS2251" s="35"/>
      <c r="AT2251" s="35"/>
      <c r="AU2251" s="31"/>
      <c r="AV2251" s="36"/>
    </row>
    <row r="2252" spans="4:48">
      <c r="D2252" s="31"/>
      <c r="E2252" s="31"/>
      <c r="F2252" s="31"/>
      <c r="G2252" s="31"/>
      <c r="H2252" s="32"/>
      <c r="J2252" s="33"/>
      <c r="K2252" s="33"/>
      <c r="L2252" s="33"/>
      <c r="X2252" s="23"/>
      <c r="Y2252" s="23"/>
      <c r="Z2252" s="23"/>
      <c r="AA2252" s="23"/>
      <c r="AF2252" s="23"/>
      <c r="AG2252" s="23"/>
      <c r="AH2252" s="23"/>
      <c r="AI2252" s="23"/>
      <c r="AN2252" s="23"/>
      <c r="AO2252" s="23"/>
      <c r="AP2252" s="23"/>
      <c r="AQ2252" s="23"/>
      <c r="AR2252" s="35"/>
      <c r="AS2252" s="35"/>
      <c r="AT2252" s="35"/>
      <c r="AU2252" s="31"/>
      <c r="AV2252" s="36"/>
    </row>
    <row r="2253" spans="4:48">
      <c r="D2253" s="31"/>
      <c r="E2253" s="31"/>
      <c r="F2253" s="31"/>
      <c r="G2253" s="31"/>
      <c r="H2253" s="32"/>
      <c r="J2253" s="33"/>
      <c r="K2253" s="33"/>
      <c r="L2253" s="33"/>
      <c r="X2253" s="23"/>
      <c r="Y2253" s="23"/>
      <c r="Z2253" s="23"/>
      <c r="AA2253" s="23"/>
      <c r="AF2253" s="23"/>
      <c r="AG2253" s="23"/>
      <c r="AH2253" s="23"/>
      <c r="AI2253" s="23"/>
      <c r="AN2253" s="23"/>
      <c r="AO2253" s="23"/>
      <c r="AP2253" s="23"/>
      <c r="AQ2253" s="23"/>
      <c r="AR2253" s="35"/>
      <c r="AS2253" s="35"/>
      <c r="AT2253" s="35"/>
      <c r="AU2253" s="31"/>
      <c r="AV2253" s="36"/>
    </row>
    <row r="2254" spans="4:48">
      <c r="D2254" s="31"/>
      <c r="E2254" s="31"/>
      <c r="F2254" s="31"/>
      <c r="G2254" s="31"/>
      <c r="H2254" s="32"/>
      <c r="J2254" s="33"/>
      <c r="K2254" s="33"/>
      <c r="L2254" s="33"/>
      <c r="X2254" s="23"/>
      <c r="Y2254" s="23"/>
      <c r="Z2254" s="23"/>
      <c r="AA2254" s="23"/>
      <c r="AF2254" s="23"/>
      <c r="AG2254" s="23"/>
      <c r="AH2254" s="23"/>
      <c r="AI2254" s="23"/>
      <c r="AN2254" s="23"/>
      <c r="AO2254" s="23"/>
      <c r="AP2254" s="23"/>
      <c r="AQ2254" s="23"/>
      <c r="AR2254" s="35"/>
      <c r="AS2254" s="35"/>
      <c r="AT2254" s="35"/>
      <c r="AU2254" s="31"/>
      <c r="AV2254" s="36"/>
    </row>
    <row r="2255" spans="4:48">
      <c r="D2255" s="31"/>
      <c r="E2255" s="31"/>
      <c r="F2255" s="31"/>
      <c r="G2255" s="31"/>
      <c r="H2255" s="32"/>
      <c r="J2255" s="33"/>
      <c r="K2255" s="33"/>
      <c r="L2255" s="33"/>
      <c r="X2255" s="23"/>
      <c r="Y2255" s="23"/>
      <c r="Z2255" s="23"/>
      <c r="AA2255" s="23"/>
      <c r="AF2255" s="23"/>
      <c r="AG2255" s="23"/>
      <c r="AH2255" s="23"/>
      <c r="AI2255" s="23"/>
      <c r="AN2255" s="23"/>
      <c r="AO2255" s="23"/>
      <c r="AP2255" s="23"/>
      <c r="AQ2255" s="23"/>
      <c r="AR2255" s="35"/>
      <c r="AS2255" s="35"/>
      <c r="AT2255" s="35"/>
      <c r="AU2255" s="31"/>
      <c r="AV2255" s="36"/>
    </row>
    <row r="2256" spans="4:48">
      <c r="D2256" s="31"/>
      <c r="E2256" s="31"/>
      <c r="F2256" s="31"/>
      <c r="G2256" s="31"/>
      <c r="H2256" s="32"/>
      <c r="J2256" s="33"/>
      <c r="K2256" s="33"/>
      <c r="L2256" s="33"/>
      <c r="X2256" s="23"/>
      <c r="Y2256" s="23"/>
      <c r="Z2256" s="23"/>
      <c r="AA2256" s="23"/>
      <c r="AF2256" s="23"/>
      <c r="AG2256" s="23"/>
      <c r="AH2256" s="23"/>
      <c r="AI2256" s="23"/>
      <c r="AN2256" s="23"/>
      <c r="AO2256" s="23"/>
      <c r="AP2256" s="23"/>
      <c r="AQ2256" s="23"/>
      <c r="AR2256" s="35"/>
      <c r="AS2256" s="35"/>
      <c r="AT2256" s="35"/>
      <c r="AU2256" s="31"/>
      <c r="AV2256" s="36"/>
    </row>
    <row r="2257" spans="4:48">
      <c r="D2257" s="31"/>
      <c r="E2257" s="31"/>
      <c r="F2257" s="31"/>
      <c r="G2257" s="31"/>
      <c r="H2257" s="32"/>
      <c r="J2257" s="33"/>
      <c r="K2257" s="33"/>
      <c r="L2257" s="33"/>
      <c r="X2257" s="23"/>
      <c r="Y2257" s="23"/>
      <c r="Z2257" s="23"/>
      <c r="AA2257" s="23"/>
      <c r="AF2257" s="23"/>
      <c r="AG2257" s="23"/>
      <c r="AH2257" s="23"/>
      <c r="AI2257" s="23"/>
      <c r="AN2257" s="23"/>
      <c r="AO2257" s="23"/>
      <c r="AP2257" s="23"/>
      <c r="AQ2257" s="23"/>
      <c r="AR2257" s="35"/>
      <c r="AS2257" s="35"/>
      <c r="AT2257" s="35"/>
      <c r="AU2257" s="31"/>
      <c r="AV2257" s="36"/>
    </row>
    <row r="2258" spans="4:48">
      <c r="D2258" s="31"/>
      <c r="E2258" s="31"/>
      <c r="F2258" s="31"/>
      <c r="G2258" s="31"/>
      <c r="H2258" s="32"/>
      <c r="J2258" s="33"/>
      <c r="K2258" s="33"/>
      <c r="L2258" s="33"/>
      <c r="X2258" s="23"/>
      <c r="Y2258" s="23"/>
      <c r="Z2258" s="23"/>
      <c r="AA2258" s="23"/>
      <c r="AF2258" s="23"/>
      <c r="AG2258" s="23"/>
      <c r="AH2258" s="23"/>
      <c r="AI2258" s="23"/>
      <c r="AN2258" s="23"/>
      <c r="AO2258" s="23"/>
      <c r="AP2258" s="23"/>
      <c r="AQ2258" s="23"/>
      <c r="AR2258" s="35"/>
      <c r="AS2258" s="35"/>
      <c r="AT2258" s="35"/>
      <c r="AU2258" s="31"/>
      <c r="AV2258" s="36"/>
    </row>
    <row r="2259" spans="4:48">
      <c r="D2259" s="31"/>
      <c r="E2259" s="31"/>
      <c r="F2259" s="31"/>
      <c r="G2259" s="31"/>
      <c r="H2259" s="32"/>
      <c r="J2259" s="33"/>
      <c r="K2259" s="33"/>
      <c r="L2259" s="33"/>
      <c r="X2259" s="23"/>
      <c r="Y2259" s="23"/>
      <c r="Z2259" s="23"/>
      <c r="AA2259" s="23"/>
      <c r="AF2259" s="23"/>
      <c r="AG2259" s="23"/>
      <c r="AH2259" s="23"/>
      <c r="AI2259" s="23"/>
      <c r="AN2259" s="23"/>
      <c r="AO2259" s="23"/>
      <c r="AP2259" s="23"/>
      <c r="AQ2259" s="23"/>
      <c r="AR2259" s="35"/>
      <c r="AS2259" s="35"/>
      <c r="AT2259" s="35"/>
      <c r="AU2259" s="31"/>
      <c r="AV2259" s="36"/>
    </row>
    <row r="2260" spans="4:48">
      <c r="D2260" s="31"/>
      <c r="E2260" s="31"/>
      <c r="F2260" s="31"/>
      <c r="G2260" s="31"/>
      <c r="H2260" s="32"/>
      <c r="J2260" s="33"/>
      <c r="K2260" s="33"/>
      <c r="L2260" s="33"/>
      <c r="X2260" s="23"/>
      <c r="Y2260" s="23"/>
      <c r="Z2260" s="23"/>
      <c r="AA2260" s="23"/>
      <c r="AF2260" s="23"/>
      <c r="AG2260" s="23"/>
      <c r="AH2260" s="23"/>
      <c r="AI2260" s="23"/>
      <c r="AN2260" s="23"/>
      <c r="AO2260" s="23"/>
      <c r="AP2260" s="23"/>
      <c r="AQ2260" s="23"/>
      <c r="AR2260" s="35"/>
      <c r="AS2260" s="35"/>
      <c r="AT2260" s="35"/>
      <c r="AU2260" s="31"/>
      <c r="AV2260" s="36"/>
    </row>
    <row r="2261" spans="4:48">
      <c r="D2261" s="31"/>
      <c r="E2261" s="31"/>
      <c r="F2261" s="31"/>
      <c r="G2261" s="31"/>
      <c r="H2261" s="32"/>
      <c r="J2261" s="33"/>
      <c r="K2261" s="33"/>
      <c r="L2261" s="33"/>
      <c r="X2261" s="23"/>
      <c r="Y2261" s="23"/>
      <c r="Z2261" s="23"/>
      <c r="AA2261" s="23"/>
      <c r="AF2261" s="23"/>
      <c r="AG2261" s="23"/>
      <c r="AH2261" s="23"/>
      <c r="AI2261" s="23"/>
      <c r="AN2261" s="23"/>
      <c r="AO2261" s="23"/>
      <c r="AP2261" s="23"/>
      <c r="AQ2261" s="23"/>
      <c r="AR2261" s="35"/>
      <c r="AS2261" s="35"/>
      <c r="AT2261" s="35"/>
      <c r="AU2261" s="31"/>
      <c r="AV2261" s="36"/>
    </row>
    <row r="2262" spans="4:48">
      <c r="D2262" s="31"/>
      <c r="E2262" s="31"/>
      <c r="F2262" s="31"/>
      <c r="G2262" s="31"/>
      <c r="H2262" s="32"/>
      <c r="J2262" s="33"/>
      <c r="K2262" s="33"/>
      <c r="L2262" s="33"/>
      <c r="X2262" s="23"/>
      <c r="Y2262" s="23"/>
      <c r="Z2262" s="23"/>
      <c r="AA2262" s="23"/>
      <c r="AF2262" s="23"/>
      <c r="AG2262" s="23"/>
      <c r="AH2262" s="23"/>
      <c r="AI2262" s="23"/>
      <c r="AN2262" s="23"/>
      <c r="AO2262" s="23"/>
      <c r="AP2262" s="23"/>
      <c r="AQ2262" s="23"/>
      <c r="AR2262" s="35"/>
      <c r="AS2262" s="35"/>
      <c r="AT2262" s="35"/>
      <c r="AU2262" s="31"/>
      <c r="AV2262" s="36"/>
    </row>
    <row r="2263" spans="4:48">
      <c r="D2263" s="31"/>
      <c r="E2263" s="31"/>
      <c r="F2263" s="31"/>
      <c r="G2263" s="31"/>
      <c r="H2263" s="32"/>
      <c r="J2263" s="33"/>
      <c r="K2263" s="33"/>
      <c r="L2263" s="33"/>
      <c r="X2263" s="23"/>
      <c r="Y2263" s="23"/>
      <c r="Z2263" s="23"/>
      <c r="AA2263" s="23"/>
      <c r="AF2263" s="23"/>
      <c r="AG2263" s="23"/>
      <c r="AH2263" s="23"/>
      <c r="AI2263" s="23"/>
      <c r="AN2263" s="23"/>
      <c r="AO2263" s="23"/>
      <c r="AP2263" s="23"/>
      <c r="AQ2263" s="23"/>
      <c r="AR2263" s="35"/>
      <c r="AS2263" s="35"/>
      <c r="AT2263" s="35"/>
      <c r="AU2263" s="31"/>
      <c r="AV2263" s="36"/>
    </row>
    <row r="2264" spans="4:48">
      <c r="D2264" s="31"/>
      <c r="E2264" s="31"/>
      <c r="F2264" s="31"/>
      <c r="G2264" s="31"/>
      <c r="H2264" s="32"/>
      <c r="J2264" s="33"/>
      <c r="K2264" s="33"/>
      <c r="L2264" s="33"/>
      <c r="X2264" s="23"/>
      <c r="Y2264" s="23"/>
      <c r="Z2264" s="23"/>
      <c r="AA2264" s="23"/>
      <c r="AF2264" s="23"/>
      <c r="AG2264" s="23"/>
      <c r="AH2264" s="23"/>
      <c r="AI2264" s="23"/>
      <c r="AN2264" s="23"/>
      <c r="AO2264" s="23"/>
      <c r="AP2264" s="23"/>
      <c r="AQ2264" s="23"/>
      <c r="AR2264" s="35"/>
      <c r="AS2264" s="35"/>
      <c r="AT2264" s="35"/>
      <c r="AU2264" s="31"/>
      <c r="AV2264" s="36"/>
    </row>
    <row r="2265" spans="4:48">
      <c r="D2265" s="31"/>
      <c r="E2265" s="31"/>
      <c r="F2265" s="31"/>
      <c r="G2265" s="31"/>
      <c r="H2265" s="32"/>
      <c r="J2265" s="33"/>
      <c r="K2265" s="33"/>
      <c r="L2265" s="33"/>
      <c r="X2265" s="23"/>
      <c r="Y2265" s="23"/>
      <c r="Z2265" s="23"/>
      <c r="AA2265" s="23"/>
      <c r="AF2265" s="23"/>
      <c r="AG2265" s="23"/>
      <c r="AH2265" s="23"/>
      <c r="AI2265" s="23"/>
      <c r="AN2265" s="23"/>
      <c r="AO2265" s="23"/>
      <c r="AP2265" s="23"/>
      <c r="AQ2265" s="23"/>
      <c r="AR2265" s="35"/>
      <c r="AS2265" s="35"/>
      <c r="AT2265" s="35"/>
      <c r="AU2265" s="31"/>
      <c r="AV2265" s="36"/>
    </row>
    <row r="2266" spans="4:48">
      <c r="D2266" s="31"/>
      <c r="E2266" s="31"/>
      <c r="F2266" s="31"/>
      <c r="G2266" s="31"/>
      <c r="H2266" s="32"/>
      <c r="J2266" s="33"/>
      <c r="K2266" s="33"/>
      <c r="L2266" s="33"/>
      <c r="X2266" s="23"/>
      <c r="Y2266" s="23"/>
      <c r="Z2266" s="23"/>
      <c r="AA2266" s="23"/>
      <c r="AF2266" s="23"/>
      <c r="AG2266" s="23"/>
      <c r="AH2266" s="23"/>
      <c r="AI2266" s="23"/>
      <c r="AN2266" s="23"/>
      <c r="AO2266" s="23"/>
      <c r="AP2266" s="23"/>
      <c r="AQ2266" s="23"/>
      <c r="AR2266" s="35"/>
      <c r="AS2266" s="35"/>
      <c r="AT2266" s="35"/>
      <c r="AU2266" s="31"/>
      <c r="AV2266" s="36"/>
    </row>
    <row r="2267" spans="4:48">
      <c r="D2267" s="31"/>
      <c r="E2267" s="31"/>
      <c r="F2267" s="31"/>
      <c r="G2267" s="31"/>
      <c r="H2267" s="32"/>
      <c r="J2267" s="33"/>
      <c r="K2267" s="33"/>
      <c r="L2267" s="33"/>
      <c r="X2267" s="23"/>
      <c r="Y2267" s="23"/>
      <c r="Z2267" s="23"/>
      <c r="AA2267" s="23"/>
      <c r="AF2267" s="23"/>
      <c r="AG2267" s="23"/>
      <c r="AH2267" s="23"/>
      <c r="AI2267" s="23"/>
      <c r="AN2267" s="23"/>
      <c r="AO2267" s="23"/>
      <c r="AP2267" s="23"/>
      <c r="AQ2267" s="23"/>
      <c r="AR2267" s="35"/>
      <c r="AS2267" s="35"/>
      <c r="AT2267" s="35"/>
      <c r="AU2267" s="31"/>
      <c r="AV2267" s="36"/>
    </row>
    <row r="2268" spans="4:48">
      <c r="D2268" s="31"/>
      <c r="E2268" s="31"/>
      <c r="F2268" s="31"/>
      <c r="G2268" s="31"/>
      <c r="H2268" s="32"/>
      <c r="J2268" s="33"/>
      <c r="K2268" s="33"/>
      <c r="L2268" s="33"/>
      <c r="X2268" s="23"/>
      <c r="Y2268" s="23"/>
      <c r="Z2268" s="23"/>
      <c r="AA2268" s="23"/>
      <c r="AF2268" s="23"/>
      <c r="AG2268" s="23"/>
      <c r="AH2268" s="23"/>
      <c r="AI2268" s="23"/>
      <c r="AN2268" s="23"/>
      <c r="AO2268" s="23"/>
      <c r="AP2268" s="23"/>
      <c r="AQ2268" s="23"/>
      <c r="AR2268" s="35"/>
      <c r="AS2268" s="35"/>
      <c r="AT2268" s="35"/>
      <c r="AU2268" s="31"/>
      <c r="AV2268" s="36"/>
    </row>
    <row r="2269" spans="4:48">
      <c r="D2269" s="31"/>
      <c r="E2269" s="31"/>
      <c r="F2269" s="31"/>
      <c r="G2269" s="31"/>
      <c r="H2269" s="32"/>
      <c r="J2269" s="33"/>
      <c r="K2269" s="33"/>
      <c r="L2269" s="33"/>
      <c r="X2269" s="23"/>
      <c r="Y2269" s="23"/>
      <c r="Z2269" s="23"/>
      <c r="AA2269" s="23"/>
      <c r="AF2269" s="23"/>
      <c r="AG2269" s="23"/>
      <c r="AH2269" s="23"/>
      <c r="AI2269" s="23"/>
      <c r="AN2269" s="23"/>
      <c r="AO2269" s="23"/>
      <c r="AP2269" s="23"/>
      <c r="AQ2269" s="23"/>
      <c r="AR2269" s="35"/>
      <c r="AS2269" s="35"/>
      <c r="AT2269" s="35"/>
      <c r="AU2269" s="31"/>
      <c r="AV2269" s="36"/>
    </row>
    <row r="2270" spans="4:48">
      <c r="D2270" s="31"/>
      <c r="E2270" s="31"/>
      <c r="F2270" s="31"/>
      <c r="G2270" s="31"/>
      <c r="H2270" s="32"/>
      <c r="J2270" s="33"/>
      <c r="K2270" s="33"/>
      <c r="L2270" s="33"/>
      <c r="X2270" s="23"/>
      <c r="Y2270" s="23"/>
      <c r="Z2270" s="23"/>
      <c r="AA2270" s="23"/>
      <c r="AF2270" s="23"/>
      <c r="AG2270" s="23"/>
      <c r="AH2270" s="23"/>
      <c r="AI2270" s="23"/>
      <c r="AN2270" s="23"/>
      <c r="AO2270" s="23"/>
      <c r="AP2270" s="23"/>
      <c r="AQ2270" s="23"/>
      <c r="AR2270" s="35"/>
      <c r="AS2270" s="35"/>
      <c r="AT2270" s="35"/>
      <c r="AU2270" s="31"/>
      <c r="AV2270" s="36"/>
    </row>
    <row r="2271" spans="4:48">
      <c r="D2271" s="31"/>
      <c r="E2271" s="31"/>
      <c r="F2271" s="31"/>
      <c r="G2271" s="31"/>
      <c r="H2271" s="32"/>
      <c r="J2271" s="33"/>
      <c r="K2271" s="33"/>
      <c r="L2271" s="33"/>
      <c r="X2271" s="23"/>
      <c r="Y2271" s="23"/>
      <c r="Z2271" s="23"/>
      <c r="AA2271" s="23"/>
      <c r="AF2271" s="23"/>
      <c r="AG2271" s="23"/>
      <c r="AH2271" s="23"/>
      <c r="AI2271" s="23"/>
      <c r="AN2271" s="23"/>
      <c r="AO2271" s="23"/>
      <c r="AP2271" s="23"/>
      <c r="AQ2271" s="23"/>
      <c r="AR2271" s="35"/>
      <c r="AS2271" s="35"/>
      <c r="AT2271" s="35"/>
      <c r="AU2271" s="31"/>
      <c r="AV2271" s="36"/>
    </row>
    <row r="2272" spans="4:48">
      <c r="D2272" s="31"/>
      <c r="E2272" s="31"/>
      <c r="F2272" s="31"/>
      <c r="G2272" s="31"/>
      <c r="H2272" s="32"/>
      <c r="J2272" s="33"/>
      <c r="K2272" s="33"/>
      <c r="L2272" s="33"/>
      <c r="X2272" s="23"/>
      <c r="Y2272" s="23"/>
      <c r="Z2272" s="23"/>
      <c r="AA2272" s="23"/>
      <c r="AF2272" s="23"/>
      <c r="AG2272" s="23"/>
      <c r="AH2272" s="23"/>
      <c r="AI2272" s="23"/>
      <c r="AN2272" s="23"/>
      <c r="AO2272" s="23"/>
      <c r="AP2272" s="23"/>
      <c r="AQ2272" s="23"/>
      <c r="AR2272" s="35"/>
      <c r="AS2272" s="35"/>
      <c r="AT2272" s="35"/>
      <c r="AU2272" s="31"/>
      <c r="AV2272" s="36"/>
    </row>
    <row r="2273" spans="4:48">
      <c r="D2273" s="31"/>
      <c r="E2273" s="31"/>
      <c r="F2273" s="31"/>
      <c r="G2273" s="31"/>
      <c r="H2273" s="32"/>
      <c r="J2273" s="33"/>
      <c r="K2273" s="33"/>
      <c r="L2273" s="33"/>
      <c r="X2273" s="23"/>
      <c r="Y2273" s="23"/>
      <c r="Z2273" s="23"/>
      <c r="AA2273" s="23"/>
      <c r="AF2273" s="23"/>
      <c r="AG2273" s="23"/>
      <c r="AH2273" s="23"/>
      <c r="AI2273" s="23"/>
      <c r="AN2273" s="23"/>
      <c r="AO2273" s="23"/>
      <c r="AP2273" s="23"/>
      <c r="AQ2273" s="23"/>
      <c r="AR2273" s="35"/>
      <c r="AS2273" s="35"/>
      <c r="AT2273" s="35"/>
      <c r="AU2273" s="31"/>
      <c r="AV2273" s="36"/>
    </row>
    <row r="2274" spans="4:48">
      <c r="D2274" s="31"/>
      <c r="E2274" s="31"/>
      <c r="F2274" s="31"/>
      <c r="G2274" s="31"/>
      <c r="H2274" s="32"/>
      <c r="J2274" s="33"/>
      <c r="K2274" s="33"/>
      <c r="L2274" s="33"/>
      <c r="X2274" s="23"/>
      <c r="Y2274" s="23"/>
      <c r="Z2274" s="23"/>
      <c r="AA2274" s="23"/>
      <c r="AF2274" s="23"/>
      <c r="AG2274" s="23"/>
      <c r="AH2274" s="23"/>
      <c r="AI2274" s="23"/>
      <c r="AN2274" s="23"/>
      <c r="AO2274" s="23"/>
      <c r="AP2274" s="23"/>
      <c r="AQ2274" s="23"/>
      <c r="AR2274" s="35"/>
      <c r="AS2274" s="35"/>
      <c r="AT2274" s="35"/>
      <c r="AU2274" s="31"/>
      <c r="AV2274" s="36"/>
    </row>
    <row r="2275" spans="4:48">
      <c r="D2275" s="31"/>
      <c r="E2275" s="31"/>
      <c r="F2275" s="31"/>
      <c r="G2275" s="31"/>
      <c r="H2275" s="32"/>
      <c r="J2275" s="33"/>
      <c r="K2275" s="33"/>
      <c r="L2275" s="33"/>
      <c r="X2275" s="23"/>
      <c r="Y2275" s="23"/>
      <c r="Z2275" s="23"/>
      <c r="AA2275" s="23"/>
      <c r="AF2275" s="23"/>
      <c r="AG2275" s="23"/>
      <c r="AH2275" s="23"/>
      <c r="AI2275" s="23"/>
      <c r="AN2275" s="23"/>
      <c r="AO2275" s="23"/>
      <c r="AP2275" s="23"/>
      <c r="AQ2275" s="23"/>
      <c r="AR2275" s="35"/>
      <c r="AS2275" s="35"/>
      <c r="AT2275" s="35"/>
      <c r="AU2275" s="31"/>
      <c r="AV2275" s="36"/>
    </row>
    <row r="2276" spans="4:48">
      <c r="D2276" s="31"/>
      <c r="E2276" s="31"/>
      <c r="F2276" s="31"/>
      <c r="G2276" s="31"/>
      <c r="H2276" s="32"/>
      <c r="J2276" s="33"/>
      <c r="K2276" s="33"/>
      <c r="L2276" s="33"/>
      <c r="X2276" s="23"/>
      <c r="Y2276" s="23"/>
      <c r="Z2276" s="23"/>
      <c r="AA2276" s="23"/>
      <c r="AF2276" s="23"/>
      <c r="AG2276" s="23"/>
      <c r="AH2276" s="23"/>
      <c r="AI2276" s="23"/>
      <c r="AN2276" s="23"/>
      <c r="AO2276" s="23"/>
      <c r="AP2276" s="23"/>
      <c r="AQ2276" s="23"/>
      <c r="AR2276" s="35"/>
      <c r="AS2276" s="35"/>
      <c r="AT2276" s="35"/>
      <c r="AU2276" s="31"/>
      <c r="AV2276" s="36"/>
    </row>
    <row r="2277" spans="4:48">
      <c r="D2277" s="31"/>
      <c r="E2277" s="31"/>
      <c r="F2277" s="31"/>
      <c r="G2277" s="31"/>
      <c r="H2277" s="32"/>
      <c r="J2277" s="33"/>
      <c r="K2277" s="33"/>
      <c r="L2277" s="33"/>
      <c r="X2277" s="23"/>
      <c r="Y2277" s="23"/>
      <c r="Z2277" s="23"/>
      <c r="AA2277" s="23"/>
      <c r="AF2277" s="23"/>
      <c r="AG2277" s="23"/>
      <c r="AH2277" s="23"/>
      <c r="AI2277" s="23"/>
      <c r="AN2277" s="23"/>
      <c r="AO2277" s="23"/>
      <c r="AP2277" s="23"/>
      <c r="AQ2277" s="23"/>
      <c r="AR2277" s="35"/>
      <c r="AS2277" s="35"/>
      <c r="AT2277" s="35"/>
      <c r="AU2277" s="31"/>
      <c r="AV2277" s="36"/>
    </row>
    <row r="2278" spans="4:48">
      <c r="D2278" s="31"/>
      <c r="E2278" s="31"/>
      <c r="F2278" s="31"/>
      <c r="G2278" s="31"/>
      <c r="H2278" s="32"/>
      <c r="J2278" s="33"/>
      <c r="K2278" s="33"/>
      <c r="L2278" s="33"/>
      <c r="X2278" s="23"/>
      <c r="Y2278" s="23"/>
      <c r="Z2278" s="23"/>
      <c r="AA2278" s="23"/>
      <c r="AF2278" s="23"/>
      <c r="AG2278" s="23"/>
      <c r="AH2278" s="23"/>
      <c r="AI2278" s="23"/>
      <c r="AN2278" s="23"/>
      <c r="AO2278" s="23"/>
      <c r="AP2278" s="23"/>
      <c r="AQ2278" s="23"/>
      <c r="AR2278" s="35"/>
      <c r="AS2278" s="35"/>
      <c r="AT2278" s="35"/>
      <c r="AU2278" s="31"/>
      <c r="AV2278" s="36"/>
    </row>
    <row r="2279" spans="4:48">
      <c r="D2279" s="31"/>
      <c r="E2279" s="31"/>
      <c r="F2279" s="31"/>
      <c r="G2279" s="31"/>
      <c r="H2279" s="32"/>
      <c r="J2279" s="33"/>
      <c r="K2279" s="33"/>
      <c r="L2279" s="33"/>
      <c r="X2279" s="23"/>
      <c r="Y2279" s="23"/>
      <c r="Z2279" s="23"/>
      <c r="AA2279" s="23"/>
      <c r="AF2279" s="23"/>
      <c r="AG2279" s="23"/>
      <c r="AH2279" s="23"/>
      <c r="AI2279" s="23"/>
      <c r="AN2279" s="23"/>
      <c r="AO2279" s="23"/>
      <c r="AP2279" s="23"/>
      <c r="AQ2279" s="23"/>
      <c r="AR2279" s="35"/>
      <c r="AS2279" s="35"/>
      <c r="AT2279" s="35"/>
      <c r="AU2279" s="31"/>
      <c r="AV2279" s="36"/>
    </row>
    <row r="2280" spans="4:48">
      <c r="D2280" s="31"/>
      <c r="E2280" s="31"/>
      <c r="F2280" s="31"/>
      <c r="G2280" s="31"/>
      <c r="H2280" s="32"/>
      <c r="J2280" s="33"/>
      <c r="K2280" s="33"/>
      <c r="L2280" s="33"/>
      <c r="X2280" s="23"/>
      <c r="Y2280" s="23"/>
      <c r="Z2280" s="23"/>
      <c r="AA2280" s="23"/>
      <c r="AF2280" s="23"/>
      <c r="AG2280" s="23"/>
      <c r="AH2280" s="23"/>
      <c r="AI2280" s="23"/>
      <c r="AN2280" s="23"/>
      <c r="AO2280" s="23"/>
      <c r="AP2280" s="23"/>
      <c r="AQ2280" s="23"/>
      <c r="AR2280" s="35"/>
      <c r="AS2280" s="35"/>
      <c r="AT2280" s="35"/>
      <c r="AU2280" s="31"/>
      <c r="AV2280" s="36"/>
    </row>
    <row r="2281" spans="4:48">
      <c r="D2281" s="31"/>
      <c r="E2281" s="31"/>
      <c r="F2281" s="31"/>
      <c r="G2281" s="31"/>
      <c r="H2281" s="32"/>
      <c r="J2281" s="33"/>
      <c r="K2281" s="33"/>
      <c r="L2281" s="33"/>
      <c r="X2281" s="23"/>
      <c r="Y2281" s="23"/>
      <c r="Z2281" s="23"/>
      <c r="AA2281" s="23"/>
      <c r="AF2281" s="23"/>
      <c r="AG2281" s="23"/>
      <c r="AH2281" s="23"/>
      <c r="AI2281" s="23"/>
      <c r="AN2281" s="23"/>
      <c r="AO2281" s="23"/>
      <c r="AP2281" s="23"/>
      <c r="AQ2281" s="23"/>
      <c r="AR2281" s="35"/>
      <c r="AS2281" s="35"/>
      <c r="AT2281" s="35"/>
      <c r="AU2281" s="31"/>
      <c r="AV2281" s="36"/>
    </row>
    <row r="2282" spans="4:48">
      <c r="D2282" s="31"/>
      <c r="E2282" s="31"/>
      <c r="F2282" s="31"/>
      <c r="G2282" s="31"/>
      <c r="H2282" s="32"/>
      <c r="J2282" s="33"/>
      <c r="K2282" s="33"/>
      <c r="L2282" s="33"/>
      <c r="X2282" s="23"/>
      <c r="Y2282" s="23"/>
      <c r="Z2282" s="23"/>
      <c r="AA2282" s="23"/>
      <c r="AF2282" s="23"/>
      <c r="AG2282" s="23"/>
      <c r="AH2282" s="23"/>
      <c r="AI2282" s="23"/>
      <c r="AN2282" s="23"/>
      <c r="AO2282" s="23"/>
      <c r="AP2282" s="23"/>
      <c r="AQ2282" s="23"/>
      <c r="AR2282" s="35"/>
      <c r="AS2282" s="35"/>
      <c r="AT2282" s="35"/>
      <c r="AU2282" s="31"/>
      <c r="AV2282" s="36"/>
    </row>
    <row r="2283" spans="4:48">
      <c r="D2283" s="31"/>
      <c r="E2283" s="31"/>
      <c r="F2283" s="31"/>
      <c r="G2283" s="31"/>
      <c r="H2283" s="32"/>
      <c r="J2283" s="33"/>
      <c r="K2283" s="33"/>
      <c r="L2283" s="33"/>
      <c r="X2283" s="23"/>
      <c r="Y2283" s="23"/>
      <c r="Z2283" s="23"/>
      <c r="AA2283" s="23"/>
      <c r="AF2283" s="23"/>
      <c r="AG2283" s="23"/>
      <c r="AH2283" s="23"/>
      <c r="AI2283" s="23"/>
      <c r="AN2283" s="23"/>
      <c r="AO2283" s="23"/>
      <c r="AP2283" s="23"/>
      <c r="AQ2283" s="23"/>
      <c r="AR2283" s="35"/>
      <c r="AS2283" s="35"/>
      <c r="AT2283" s="35"/>
      <c r="AU2283" s="31"/>
      <c r="AV2283" s="36"/>
    </row>
    <row r="2284" spans="4:48">
      <c r="D2284" s="31"/>
      <c r="E2284" s="31"/>
      <c r="F2284" s="31"/>
      <c r="G2284" s="31"/>
      <c r="H2284" s="32"/>
      <c r="J2284" s="33"/>
      <c r="K2284" s="33"/>
      <c r="L2284" s="33"/>
      <c r="X2284" s="23"/>
      <c r="Y2284" s="23"/>
      <c r="Z2284" s="23"/>
      <c r="AA2284" s="23"/>
      <c r="AF2284" s="23"/>
      <c r="AG2284" s="23"/>
      <c r="AH2284" s="23"/>
      <c r="AI2284" s="23"/>
      <c r="AN2284" s="23"/>
      <c r="AO2284" s="23"/>
      <c r="AP2284" s="23"/>
      <c r="AQ2284" s="23"/>
      <c r="AR2284" s="35"/>
      <c r="AS2284" s="35"/>
      <c r="AT2284" s="35"/>
      <c r="AU2284" s="31"/>
      <c r="AV2284" s="36"/>
    </row>
    <row r="2285" spans="4:48">
      <c r="D2285" s="31"/>
      <c r="E2285" s="31"/>
      <c r="F2285" s="31"/>
      <c r="G2285" s="31"/>
      <c r="H2285" s="32"/>
      <c r="J2285" s="33"/>
      <c r="K2285" s="33"/>
      <c r="L2285" s="33"/>
      <c r="X2285" s="23"/>
      <c r="Y2285" s="23"/>
      <c r="Z2285" s="23"/>
      <c r="AA2285" s="23"/>
      <c r="AF2285" s="23"/>
      <c r="AG2285" s="23"/>
      <c r="AH2285" s="23"/>
      <c r="AI2285" s="23"/>
      <c r="AN2285" s="23"/>
      <c r="AO2285" s="23"/>
      <c r="AP2285" s="23"/>
      <c r="AQ2285" s="23"/>
      <c r="AR2285" s="35"/>
      <c r="AS2285" s="35"/>
      <c r="AT2285" s="35"/>
      <c r="AU2285" s="31"/>
      <c r="AV2285" s="36"/>
    </row>
    <row r="2286" spans="4:48">
      <c r="D2286" s="31"/>
      <c r="E2286" s="31"/>
      <c r="F2286" s="31"/>
      <c r="G2286" s="31"/>
      <c r="H2286" s="32"/>
      <c r="J2286" s="33"/>
      <c r="K2286" s="33"/>
      <c r="L2286" s="33"/>
      <c r="X2286" s="23"/>
      <c r="Y2286" s="23"/>
      <c r="Z2286" s="23"/>
      <c r="AA2286" s="23"/>
      <c r="AF2286" s="23"/>
      <c r="AG2286" s="23"/>
      <c r="AH2286" s="23"/>
      <c r="AI2286" s="23"/>
      <c r="AN2286" s="23"/>
      <c r="AO2286" s="23"/>
      <c r="AP2286" s="23"/>
      <c r="AQ2286" s="23"/>
      <c r="AR2286" s="35"/>
      <c r="AS2286" s="35"/>
      <c r="AT2286" s="35"/>
      <c r="AU2286" s="31"/>
      <c r="AV2286" s="36"/>
    </row>
    <row r="2287" spans="4:48">
      <c r="D2287" s="31"/>
      <c r="E2287" s="31"/>
      <c r="F2287" s="31"/>
      <c r="G2287" s="31"/>
      <c r="H2287" s="32"/>
      <c r="J2287" s="33"/>
      <c r="K2287" s="33"/>
      <c r="L2287" s="33"/>
      <c r="X2287" s="23"/>
      <c r="Y2287" s="23"/>
      <c r="Z2287" s="23"/>
      <c r="AA2287" s="23"/>
      <c r="AF2287" s="23"/>
      <c r="AG2287" s="23"/>
      <c r="AH2287" s="23"/>
      <c r="AI2287" s="23"/>
      <c r="AN2287" s="23"/>
      <c r="AO2287" s="23"/>
      <c r="AP2287" s="23"/>
      <c r="AQ2287" s="23"/>
      <c r="AR2287" s="35"/>
      <c r="AS2287" s="35"/>
      <c r="AT2287" s="35"/>
      <c r="AU2287" s="31"/>
      <c r="AV2287" s="36"/>
    </row>
    <row r="2288" spans="4:48">
      <c r="D2288" s="31"/>
      <c r="E2288" s="31"/>
      <c r="F2288" s="31"/>
      <c r="G2288" s="31"/>
      <c r="H2288" s="32"/>
      <c r="J2288" s="33"/>
      <c r="K2288" s="33"/>
      <c r="L2288" s="33"/>
      <c r="X2288" s="23"/>
      <c r="Y2288" s="23"/>
      <c r="Z2288" s="23"/>
      <c r="AA2288" s="23"/>
      <c r="AF2288" s="23"/>
      <c r="AG2288" s="23"/>
      <c r="AH2288" s="23"/>
      <c r="AI2288" s="23"/>
      <c r="AN2288" s="23"/>
      <c r="AO2288" s="23"/>
      <c r="AP2288" s="23"/>
      <c r="AQ2288" s="23"/>
      <c r="AR2288" s="35"/>
      <c r="AS2288" s="35"/>
      <c r="AT2288" s="35"/>
      <c r="AU2288" s="31"/>
      <c r="AV2288" s="36"/>
    </row>
    <row r="2289" spans="4:48">
      <c r="D2289" s="31"/>
      <c r="E2289" s="31"/>
      <c r="F2289" s="31"/>
      <c r="G2289" s="31"/>
      <c r="H2289" s="32"/>
      <c r="J2289" s="33"/>
      <c r="K2289" s="33"/>
      <c r="L2289" s="33"/>
      <c r="X2289" s="23"/>
      <c r="Y2289" s="23"/>
      <c r="Z2289" s="23"/>
      <c r="AA2289" s="23"/>
      <c r="AF2289" s="23"/>
      <c r="AG2289" s="23"/>
      <c r="AH2289" s="23"/>
      <c r="AI2289" s="23"/>
      <c r="AN2289" s="23"/>
      <c r="AO2289" s="23"/>
      <c r="AP2289" s="23"/>
      <c r="AQ2289" s="23"/>
      <c r="AR2289" s="35"/>
      <c r="AS2289" s="35"/>
      <c r="AT2289" s="35"/>
      <c r="AU2289" s="31"/>
      <c r="AV2289" s="36"/>
    </row>
    <row r="2290" spans="4:48">
      <c r="D2290" s="31"/>
      <c r="E2290" s="31"/>
      <c r="F2290" s="31"/>
      <c r="G2290" s="31"/>
      <c r="H2290" s="32"/>
      <c r="J2290" s="33"/>
      <c r="K2290" s="33"/>
      <c r="L2290" s="33"/>
      <c r="X2290" s="23"/>
      <c r="Y2290" s="23"/>
      <c r="Z2290" s="23"/>
      <c r="AA2290" s="23"/>
      <c r="AF2290" s="23"/>
      <c r="AG2290" s="23"/>
      <c r="AH2290" s="23"/>
      <c r="AI2290" s="23"/>
      <c r="AN2290" s="23"/>
      <c r="AO2290" s="23"/>
      <c r="AP2290" s="23"/>
      <c r="AQ2290" s="23"/>
      <c r="AR2290" s="35"/>
      <c r="AS2290" s="35"/>
      <c r="AT2290" s="35"/>
      <c r="AU2290" s="31"/>
      <c r="AV2290" s="36"/>
    </row>
    <row r="2291" spans="4:48">
      <c r="D2291" s="31"/>
      <c r="E2291" s="31"/>
      <c r="F2291" s="31"/>
      <c r="G2291" s="31"/>
      <c r="H2291" s="32"/>
      <c r="J2291" s="33"/>
      <c r="K2291" s="33"/>
      <c r="L2291" s="33"/>
      <c r="X2291" s="23"/>
      <c r="Y2291" s="23"/>
      <c r="Z2291" s="23"/>
      <c r="AA2291" s="23"/>
      <c r="AF2291" s="23"/>
      <c r="AG2291" s="23"/>
      <c r="AH2291" s="23"/>
      <c r="AI2291" s="23"/>
      <c r="AN2291" s="23"/>
      <c r="AO2291" s="23"/>
      <c r="AP2291" s="23"/>
      <c r="AQ2291" s="23"/>
      <c r="AR2291" s="35"/>
      <c r="AS2291" s="35"/>
      <c r="AT2291" s="35"/>
      <c r="AU2291" s="31"/>
      <c r="AV2291" s="36"/>
    </row>
    <row r="2292" spans="4:48">
      <c r="D2292" s="31"/>
      <c r="E2292" s="31"/>
      <c r="F2292" s="31"/>
      <c r="G2292" s="31"/>
      <c r="H2292" s="32"/>
      <c r="J2292" s="33"/>
      <c r="K2292" s="33"/>
      <c r="L2292" s="33"/>
      <c r="X2292" s="23"/>
      <c r="Y2292" s="23"/>
      <c r="Z2292" s="23"/>
      <c r="AA2292" s="23"/>
      <c r="AF2292" s="23"/>
      <c r="AG2292" s="23"/>
      <c r="AH2292" s="23"/>
      <c r="AI2292" s="23"/>
      <c r="AN2292" s="23"/>
      <c r="AO2292" s="23"/>
      <c r="AP2292" s="23"/>
      <c r="AQ2292" s="23"/>
      <c r="AR2292" s="35"/>
      <c r="AS2292" s="35"/>
      <c r="AT2292" s="35"/>
      <c r="AU2292" s="31"/>
      <c r="AV2292" s="36"/>
    </row>
    <row r="2293" spans="4:48">
      <c r="D2293" s="31"/>
      <c r="E2293" s="31"/>
      <c r="F2293" s="31"/>
      <c r="G2293" s="31"/>
      <c r="H2293" s="32"/>
      <c r="J2293" s="33"/>
      <c r="K2293" s="33"/>
      <c r="L2293" s="33"/>
      <c r="X2293" s="23"/>
      <c r="Y2293" s="23"/>
      <c r="Z2293" s="23"/>
      <c r="AA2293" s="23"/>
      <c r="AF2293" s="23"/>
      <c r="AG2293" s="23"/>
      <c r="AH2293" s="23"/>
      <c r="AI2293" s="23"/>
      <c r="AN2293" s="23"/>
      <c r="AO2293" s="23"/>
      <c r="AP2293" s="23"/>
      <c r="AQ2293" s="23"/>
      <c r="AR2293" s="35"/>
      <c r="AS2293" s="35"/>
      <c r="AT2293" s="35"/>
      <c r="AU2293" s="31"/>
      <c r="AV2293" s="36"/>
    </row>
    <row r="2294" spans="4:48">
      <c r="D2294" s="31"/>
      <c r="E2294" s="31"/>
      <c r="F2294" s="31"/>
      <c r="G2294" s="31"/>
      <c r="H2294" s="32"/>
      <c r="J2294" s="33"/>
      <c r="K2294" s="33"/>
      <c r="L2294" s="33"/>
      <c r="X2294" s="23"/>
      <c r="Y2294" s="23"/>
      <c r="Z2294" s="23"/>
      <c r="AA2294" s="23"/>
      <c r="AF2294" s="23"/>
      <c r="AG2294" s="23"/>
      <c r="AH2294" s="23"/>
      <c r="AI2294" s="23"/>
      <c r="AN2294" s="23"/>
      <c r="AO2294" s="23"/>
      <c r="AP2294" s="23"/>
      <c r="AQ2294" s="23"/>
      <c r="AR2294" s="35"/>
      <c r="AS2294" s="35"/>
      <c r="AT2294" s="35"/>
      <c r="AU2294" s="31"/>
      <c r="AV2294" s="36"/>
    </row>
    <row r="2295" spans="4:48">
      <c r="D2295" s="31"/>
      <c r="E2295" s="31"/>
      <c r="F2295" s="31"/>
      <c r="G2295" s="31"/>
      <c r="H2295" s="32"/>
      <c r="J2295" s="33"/>
      <c r="K2295" s="33"/>
      <c r="L2295" s="33"/>
      <c r="X2295" s="23"/>
      <c r="Y2295" s="23"/>
      <c r="Z2295" s="23"/>
      <c r="AA2295" s="23"/>
      <c r="AF2295" s="23"/>
      <c r="AG2295" s="23"/>
      <c r="AH2295" s="23"/>
      <c r="AI2295" s="23"/>
      <c r="AN2295" s="23"/>
      <c r="AO2295" s="23"/>
      <c r="AP2295" s="23"/>
      <c r="AQ2295" s="23"/>
      <c r="AR2295" s="35"/>
      <c r="AS2295" s="35"/>
      <c r="AT2295" s="35"/>
      <c r="AU2295" s="31"/>
      <c r="AV2295" s="36"/>
    </row>
    <row r="2296" spans="4:48">
      <c r="D2296" s="31"/>
      <c r="E2296" s="31"/>
      <c r="F2296" s="31"/>
      <c r="G2296" s="31"/>
      <c r="H2296" s="32"/>
      <c r="J2296" s="33"/>
      <c r="K2296" s="33"/>
      <c r="L2296" s="33"/>
      <c r="X2296" s="23"/>
      <c r="Y2296" s="23"/>
      <c r="Z2296" s="23"/>
      <c r="AA2296" s="23"/>
      <c r="AF2296" s="23"/>
      <c r="AG2296" s="23"/>
      <c r="AH2296" s="23"/>
      <c r="AI2296" s="23"/>
      <c r="AN2296" s="23"/>
      <c r="AO2296" s="23"/>
      <c r="AP2296" s="23"/>
      <c r="AQ2296" s="23"/>
      <c r="AR2296" s="35"/>
      <c r="AS2296" s="35"/>
      <c r="AT2296" s="35"/>
      <c r="AU2296" s="31"/>
      <c r="AV2296" s="36"/>
    </row>
    <row r="2297" spans="4:48">
      <c r="D2297" s="31"/>
      <c r="E2297" s="31"/>
      <c r="F2297" s="31"/>
      <c r="G2297" s="31"/>
      <c r="H2297" s="32"/>
      <c r="J2297" s="33"/>
      <c r="K2297" s="33"/>
      <c r="L2297" s="33"/>
      <c r="X2297" s="23"/>
      <c r="Y2297" s="23"/>
      <c r="Z2297" s="23"/>
      <c r="AA2297" s="23"/>
      <c r="AF2297" s="23"/>
      <c r="AG2297" s="23"/>
      <c r="AH2297" s="23"/>
      <c r="AI2297" s="23"/>
      <c r="AN2297" s="23"/>
      <c r="AO2297" s="23"/>
      <c r="AP2297" s="23"/>
      <c r="AQ2297" s="23"/>
      <c r="AR2297" s="35"/>
      <c r="AS2297" s="35"/>
      <c r="AT2297" s="35"/>
      <c r="AU2297" s="31"/>
      <c r="AV2297" s="36"/>
    </row>
    <row r="2298" spans="4:48">
      <c r="D2298" s="31"/>
      <c r="E2298" s="31"/>
      <c r="F2298" s="31"/>
      <c r="G2298" s="31"/>
      <c r="H2298" s="32"/>
      <c r="J2298" s="33"/>
      <c r="K2298" s="33"/>
      <c r="L2298" s="33"/>
      <c r="X2298" s="23"/>
      <c r="Y2298" s="23"/>
      <c r="Z2298" s="23"/>
      <c r="AA2298" s="23"/>
      <c r="AF2298" s="23"/>
      <c r="AG2298" s="23"/>
      <c r="AH2298" s="23"/>
      <c r="AI2298" s="23"/>
      <c r="AN2298" s="23"/>
      <c r="AO2298" s="23"/>
      <c r="AP2298" s="23"/>
      <c r="AQ2298" s="23"/>
      <c r="AR2298" s="35"/>
      <c r="AS2298" s="35"/>
      <c r="AT2298" s="35"/>
      <c r="AU2298" s="31"/>
      <c r="AV2298" s="36"/>
    </row>
    <row r="2299" spans="4:48">
      <c r="D2299" s="31"/>
      <c r="E2299" s="31"/>
      <c r="F2299" s="31"/>
      <c r="G2299" s="31"/>
      <c r="H2299" s="32"/>
      <c r="J2299" s="33"/>
      <c r="K2299" s="33"/>
      <c r="L2299" s="33"/>
      <c r="X2299" s="23"/>
      <c r="Y2299" s="23"/>
      <c r="Z2299" s="23"/>
      <c r="AA2299" s="23"/>
      <c r="AF2299" s="23"/>
      <c r="AG2299" s="23"/>
      <c r="AH2299" s="23"/>
      <c r="AI2299" s="23"/>
      <c r="AN2299" s="23"/>
      <c r="AO2299" s="23"/>
      <c r="AP2299" s="23"/>
      <c r="AQ2299" s="23"/>
      <c r="AR2299" s="35"/>
      <c r="AS2299" s="35"/>
      <c r="AT2299" s="35"/>
      <c r="AU2299" s="31"/>
      <c r="AV2299" s="36"/>
    </row>
    <row r="2300" spans="4:48">
      <c r="D2300" s="31"/>
      <c r="E2300" s="31"/>
      <c r="F2300" s="31"/>
      <c r="G2300" s="31"/>
      <c r="H2300" s="32"/>
      <c r="J2300" s="33"/>
      <c r="K2300" s="33"/>
      <c r="L2300" s="33"/>
      <c r="X2300" s="23"/>
      <c r="Y2300" s="23"/>
      <c r="Z2300" s="23"/>
      <c r="AA2300" s="23"/>
      <c r="AF2300" s="23"/>
      <c r="AG2300" s="23"/>
      <c r="AH2300" s="23"/>
      <c r="AI2300" s="23"/>
      <c r="AN2300" s="23"/>
      <c r="AO2300" s="23"/>
      <c r="AP2300" s="23"/>
      <c r="AQ2300" s="23"/>
      <c r="AR2300" s="35"/>
      <c r="AS2300" s="35"/>
      <c r="AT2300" s="35"/>
      <c r="AU2300" s="31"/>
      <c r="AV2300" s="36"/>
    </row>
    <row r="2301" spans="4:48">
      <c r="D2301" s="31"/>
      <c r="E2301" s="31"/>
      <c r="F2301" s="31"/>
      <c r="G2301" s="31"/>
      <c r="H2301" s="32"/>
      <c r="J2301" s="33"/>
      <c r="K2301" s="33"/>
      <c r="L2301" s="33"/>
      <c r="X2301" s="23"/>
      <c r="Y2301" s="23"/>
      <c r="Z2301" s="23"/>
      <c r="AA2301" s="23"/>
      <c r="AF2301" s="23"/>
      <c r="AG2301" s="23"/>
      <c r="AH2301" s="23"/>
      <c r="AI2301" s="23"/>
      <c r="AN2301" s="23"/>
      <c r="AO2301" s="23"/>
      <c r="AP2301" s="23"/>
      <c r="AQ2301" s="23"/>
      <c r="AR2301" s="35"/>
      <c r="AS2301" s="35"/>
      <c r="AT2301" s="35"/>
      <c r="AU2301" s="31"/>
      <c r="AV2301" s="36"/>
    </row>
    <row r="2302" spans="4:48">
      <c r="D2302" s="31"/>
      <c r="E2302" s="31"/>
      <c r="F2302" s="31"/>
      <c r="G2302" s="31"/>
      <c r="H2302" s="32"/>
      <c r="J2302" s="33"/>
      <c r="K2302" s="33"/>
      <c r="L2302" s="33"/>
      <c r="X2302" s="23"/>
      <c r="Y2302" s="23"/>
      <c r="Z2302" s="23"/>
      <c r="AA2302" s="23"/>
      <c r="AF2302" s="23"/>
      <c r="AG2302" s="23"/>
      <c r="AH2302" s="23"/>
      <c r="AI2302" s="23"/>
      <c r="AN2302" s="23"/>
      <c r="AO2302" s="23"/>
      <c r="AP2302" s="23"/>
      <c r="AQ2302" s="23"/>
      <c r="AR2302" s="35"/>
      <c r="AS2302" s="35"/>
      <c r="AT2302" s="35"/>
      <c r="AU2302" s="31"/>
      <c r="AV2302" s="36"/>
    </row>
    <row r="2303" spans="4:48">
      <c r="D2303" s="31"/>
      <c r="E2303" s="31"/>
      <c r="F2303" s="31"/>
      <c r="G2303" s="31"/>
      <c r="H2303" s="32"/>
      <c r="J2303" s="33"/>
      <c r="K2303" s="33"/>
      <c r="L2303" s="33"/>
      <c r="X2303" s="23"/>
      <c r="Y2303" s="23"/>
      <c r="Z2303" s="23"/>
      <c r="AA2303" s="23"/>
      <c r="AF2303" s="23"/>
      <c r="AG2303" s="23"/>
      <c r="AH2303" s="23"/>
      <c r="AI2303" s="23"/>
      <c r="AN2303" s="23"/>
      <c r="AO2303" s="23"/>
      <c r="AP2303" s="23"/>
      <c r="AQ2303" s="23"/>
      <c r="AR2303" s="35"/>
      <c r="AS2303" s="35"/>
      <c r="AT2303" s="35"/>
      <c r="AU2303" s="31"/>
      <c r="AV2303" s="36"/>
    </row>
    <row r="2304" spans="4:48">
      <c r="D2304" s="31"/>
      <c r="E2304" s="31"/>
      <c r="F2304" s="31"/>
      <c r="G2304" s="31"/>
      <c r="H2304" s="32"/>
      <c r="J2304" s="33"/>
      <c r="K2304" s="33"/>
      <c r="L2304" s="33"/>
      <c r="X2304" s="23"/>
      <c r="Y2304" s="23"/>
      <c r="Z2304" s="23"/>
      <c r="AA2304" s="23"/>
      <c r="AF2304" s="23"/>
      <c r="AG2304" s="23"/>
      <c r="AH2304" s="23"/>
      <c r="AI2304" s="23"/>
      <c r="AN2304" s="23"/>
      <c r="AO2304" s="23"/>
      <c r="AP2304" s="23"/>
      <c r="AQ2304" s="23"/>
      <c r="AR2304" s="35"/>
      <c r="AS2304" s="35"/>
      <c r="AT2304" s="35"/>
      <c r="AU2304" s="31"/>
      <c r="AV2304" s="36"/>
    </row>
    <row r="2305" spans="4:48">
      <c r="D2305" s="31"/>
      <c r="E2305" s="31"/>
      <c r="F2305" s="31"/>
      <c r="G2305" s="31"/>
      <c r="H2305" s="32"/>
      <c r="J2305" s="33"/>
      <c r="K2305" s="33"/>
      <c r="L2305" s="33"/>
      <c r="X2305" s="23"/>
      <c r="Y2305" s="23"/>
      <c r="Z2305" s="23"/>
      <c r="AA2305" s="23"/>
      <c r="AF2305" s="23"/>
      <c r="AG2305" s="23"/>
      <c r="AH2305" s="23"/>
      <c r="AI2305" s="23"/>
      <c r="AN2305" s="23"/>
      <c r="AO2305" s="23"/>
      <c r="AP2305" s="23"/>
      <c r="AQ2305" s="23"/>
      <c r="AR2305" s="35"/>
      <c r="AS2305" s="35"/>
      <c r="AT2305" s="35"/>
      <c r="AU2305" s="31"/>
      <c r="AV2305" s="36"/>
    </row>
    <row r="2306" spans="4:48">
      <c r="D2306" s="31"/>
      <c r="E2306" s="31"/>
      <c r="F2306" s="31"/>
      <c r="G2306" s="31"/>
      <c r="H2306" s="32"/>
      <c r="J2306" s="33"/>
      <c r="K2306" s="33"/>
      <c r="L2306" s="33"/>
      <c r="X2306" s="23"/>
      <c r="Y2306" s="23"/>
      <c r="Z2306" s="23"/>
      <c r="AA2306" s="23"/>
      <c r="AF2306" s="23"/>
      <c r="AG2306" s="23"/>
      <c r="AH2306" s="23"/>
      <c r="AI2306" s="23"/>
      <c r="AN2306" s="23"/>
      <c r="AO2306" s="23"/>
      <c r="AP2306" s="23"/>
      <c r="AQ2306" s="23"/>
      <c r="AR2306" s="35"/>
      <c r="AS2306" s="35"/>
      <c r="AT2306" s="35"/>
      <c r="AU2306" s="31"/>
      <c r="AV2306" s="36"/>
    </row>
    <row r="2307" spans="4:48">
      <c r="D2307" s="31"/>
      <c r="E2307" s="31"/>
      <c r="F2307" s="31"/>
      <c r="G2307" s="31"/>
      <c r="H2307" s="32"/>
      <c r="J2307" s="33"/>
      <c r="K2307" s="33"/>
      <c r="L2307" s="33"/>
      <c r="X2307" s="23"/>
      <c r="Y2307" s="23"/>
      <c r="Z2307" s="23"/>
      <c r="AA2307" s="23"/>
      <c r="AF2307" s="23"/>
      <c r="AG2307" s="23"/>
      <c r="AH2307" s="23"/>
      <c r="AI2307" s="23"/>
      <c r="AN2307" s="23"/>
      <c r="AO2307" s="23"/>
      <c r="AP2307" s="23"/>
      <c r="AQ2307" s="23"/>
      <c r="AR2307" s="35"/>
      <c r="AS2307" s="35"/>
      <c r="AT2307" s="35"/>
      <c r="AU2307" s="31"/>
      <c r="AV2307" s="36"/>
    </row>
    <row r="2308" spans="4:48">
      <c r="D2308" s="31"/>
      <c r="E2308" s="31"/>
      <c r="F2308" s="31"/>
      <c r="G2308" s="31"/>
      <c r="H2308" s="32"/>
      <c r="J2308" s="33"/>
      <c r="K2308" s="33"/>
      <c r="L2308" s="33"/>
      <c r="X2308" s="23"/>
      <c r="Y2308" s="23"/>
      <c r="Z2308" s="23"/>
      <c r="AA2308" s="23"/>
      <c r="AF2308" s="23"/>
      <c r="AG2308" s="23"/>
      <c r="AH2308" s="23"/>
      <c r="AI2308" s="23"/>
      <c r="AN2308" s="23"/>
      <c r="AO2308" s="23"/>
      <c r="AP2308" s="23"/>
      <c r="AQ2308" s="23"/>
      <c r="AR2308" s="35"/>
      <c r="AS2308" s="35"/>
      <c r="AT2308" s="35"/>
      <c r="AU2308" s="31"/>
      <c r="AV2308" s="36"/>
    </row>
    <row r="2309" spans="4:48">
      <c r="D2309" s="31"/>
      <c r="E2309" s="31"/>
      <c r="F2309" s="31"/>
      <c r="G2309" s="31"/>
      <c r="H2309" s="32"/>
      <c r="J2309" s="33"/>
      <c r="K2309" s="33"/>
      <c r="L2309" s="33"/>
      <c r="X2309" s="23"/>
      <c r="Y2309" s="23"/>
      <c r="Z2309" s="23"/>
      <c r="AA2309" s="23"/>
      <c r="AF2309" s="23"/>
      <c r="AG2309" s="23"/>
      <c r="AH2309" s="23"/>
      <c r="AI2309" s="23"/>
      <c r="AN2309" s="23"/>
      <c r="AO2309" s="23"/>
      <c r="AP2309" s="23"/>
      <c r="AQ2309" s="23"/>
      <c r="AR2309" s="35"/>
      <c r="AS2309" s="35"/>
      <c r="AT2309" s="35"/>
      <c r="AU2309" s="31"/>
      <c r="AV2309" s="36"/>
    </row>
    <row r="2310" spans="4:48">
      <c r="D2310" s="31"/>
      <c r="E2310" s="31"/>
      <c r="F2310" s="31"/>
      <c r="G2310" s="31"/>
      <c r="H2310" s="32"/>
      <c r="J2310" s="33"/>
      <c r="K2310" s="33"/>
      <c r="L2310" s="33"/>
      <c r="X2310" s="23"/>
      <c r="Y2310" s="23"/>
      <c r="Z2310" s="23"/>
      <c r="AA2310" s="23"/>
      <c r="AF2310" s="23"/>
      <c r="AG2310" s="23"/>
      <c r="AH2310" s="23"/>
      <c r="AI2310" s="23"/>
      <c r="AN2310" s="23"/>
      <c r="AO2310" s="23"/>
      <c r="AP2310" s="23"/>
      <c r="AQ2310" s="23"/>
      <c r="AR2310" s="35"/>
      <c r="AS2310" s="35"/>
      <c r="AT2310" s="35"/>
      <c r="AU2310" s="31"/>
      <c r="AV2310" s="36"/>
    </row>
    <row r="2311" spans="4:48">
      <c r="D2311" s="31"/>
      <c r="E2311" s="31"/>
      <c r="F2311" s="31"/>
      <c r="G2311" s="31"/>
      <c r="H2311" s="32"/>
      <c r="J2311" s="33"/>
      <c r="K2311" s="33"/>
      <c r="L2311" s="33"/>
      <c r="X2311" s="23"/>
      <c r="Y2311" s="23"/>
      <c r="Z2311" s="23"/>
      <c r="AA2311" s="23"/>
      <c r="AF2311" s="23"/>
      <c r="AG2311" s="23"/>
      <c r="AH2311" s="23"/>
      <c r="AI2311" s="23"/>
      <c r="AN2311" s="23"/>
      <c r="AO2311" s="23"/>
      <c r="AP2311" s="23"/>
      <c r="AQ2311" s="23"/>
      <c r="AR2311" s="35"/>
      <c r="AS2311" s="35"/>
      <c r="AT2311" s="35"/>
      <c r="AU2311" s="31"/>
      <c r="AV2311" s="36"/>
    </row>
    <row r="2312" spans="4:48">
      <c r="D2312" s="31"/>
      <c r="E2312" s="31"/>
      <c r="F2312" s="31"/>
      <c r="G2312" s="31"/>
      <c r="H2312" s="32"/>
      <c r="J2312" s="33"/>
      <c r="K2312" s="33"/>
      <c r="L2312" s="33"/>
      <c r="X2312" s="23"/>
      <c r="Y2312" s="23"/>
      <c r="Z2312" s="23"/>
      <c r="AA2312" s="23"/>
      <c r="AF2312" s="23"/>
      <c r="AG2312" s="23"/>
      <c r="AH2312" s="23"/>
      <c r="AI2312" s="23"/>
      <c r="AN2312" s="23"/>
      <c r="AO2312" s="23"/>
      <c r="AP2312" s="23"/>
      <c r="AQ2312" s="23"/>
      <c r="AR2312" s="35"/>
      <c r="AS2312" s="35"/>
      <c r="AT2312" s="35"/>
      <c r="AU2312" s="31"/>
      <c r="AV2312" s="36"/>
    </row>
    <row r="2313" spans="4:48">
      <c r="D2313" s="31"/>
      <c r="E2313" s="31"/>
      <c r="F2313" s="31"/>
      <c r="G2313" s="31"/>
      <c r="H2313" s="32"/>
      <c r="J2313" s="33"/>
      <c r="K2313" s="33"/>
      <c r="L2313" s="33"/>
      <c r="X2313" s="23"/>
      <c r="Y2313" s="23"/>
      <c r="Z2313" s="23"/>
      <c r="AA2313" s="23"/>
      <c r="AF2313" s="23"/>
      <c r="AG2313" s="23"/>
      <c r="AH2313" s="23"/>
      <c r="AI2313" s="23"/>
      <c r="AN2313" s="23"/>
      <c r="AO2313" s="23"/>
      <c r="AP2313" s="23"/>
      <c r="AQ2313" s="23"/>
      <c r="AR2313" s="35"/>
      <c r="AS2313" s="35"/>
      <c r="AT2313" s="35"/>
      <c r="AU2313" s="31"/>
      <c r="AV2313" s="36"/>
    </row>
    <row r="2314" spans="4:48">
      <c r="D2314" s="31"/>
      <c r="E2314" s="31"/>
      <c r="F2314" s="31"/>
      <c r="G2314" s="31"/>
      <c r="H2314" s="32"/>
      <c r="J2314" s="33"/>
      <c r="K2314" s="33"/>
      <c r="L2314" s="33"/>
      <c r="X2314" s="23"/>
      <c r="Y2314" s="23"/>
      <c r="Z2314" s="23"/>
      <c r="AA2314" s="23"/>
      <c r="AF2314" s="23"/>
      <c r="AG2314" s="23"/>
      <c r="AH2314" s="23"/>
      <c r="AI2314" s="23"/>
      <c r="AN2314" s="23"/>
      <c r="AO2314" s="23"/>
      <c r="AP2314" s="23"/>
      <c r="AQ2314" s="23"/>
      <c r="AR2314" s="35"/>
      <c r="AS2314" s="35"/>
      <c r="AT2314" s="35"/>
      <c r="AU2314" s="31"/>
      <c r="AV2314" s="36"/>
    </row>
    <row r="2315" spans="4:48">
      <c r="D2315" s="31"/>
      <c r="E2315" s="31"/>
      <c r="F2315" s="31"/>
      <c r="G2315" s="31"/>
      <c r="H2315" s="32"/>
      <c r="J2315" s="33"/>
      <c r="K2315" s="33"/>
      <c r="L2315" s="33"/>
      <c r="X2315" s="23"/>
      <c r="Y2315" s="23"/>
      <c r="Z2315" s="23"/>
      <c r="AA2315" s="23"/>
      <c r="AF2315" s="23"/>
      <c r="AG2315" s="23"/>
      <c r="AH2315" s="23"/>
      <c r="AI2315" s="23"/>
      <c r="AN2315" s="23"/>
      <c r="AO2315" s="23"/>
      <c r="AP2315" s="23"/>
      <c r="AQ2315" s="23"/>
      <c r="AR2315" s="35"/>
      <c r="AS2315" s="35"/>
      <c r="AT2315" s="35"/>
      <c r="AU2315" s="31"/>
      <c r="AV2315" s="36"/>
    </row>
    <row r="2316" spans="4:48">
      <c r="D2316" s="31"/>
      <c r="E2316" s="31"/>
      <c r="F2316" s="31"/>
      <c r="G2316" s="31"/>
      <c r="H2316" s="32"/>
      <c r="J2316" s="33"/>
      <c r="K2316" s="33"/>
      <c r="L2316" s="33"/>
      <c r="X2316" s="23"/>
      <c r="Y2316" s="23"/>
      <c r="Z2316" s="23"/>
      <c r="AA2316" s="23"/>
      <c r="AF2316" s="23"/>
      <c r="AG2316" s="23"/>
      <c r="AH2316" s="23"/>
      <c r="AI2316" s="23"/>
      <c r="AN2316" s="23"/>
      <c r="AO2316" s="23"/>
      <c r="AP2316" s="23"/>
      <c r="AQ2316" s="23"/>
      <c r="AR2316" s="35"/>
      <c r="AS2316" s="35"/>
      <c r="AT2316" s="35"/>
      <c r="AU2316" s="31"/>
      <c r="AV2316" s="36"/>
    </row>
    <row r="2317" spans="4:48">
      <c r="D2317" s="31"/>
      <c r="E2317" s="31"/>
      <c r="F2317" s="31"/>
      <c r="G2317" s="31"/>
      <c r="H2317" s="32"/>
      <c r="J2317" s="33"/>
      <c r="K2317" s="33"/>
      <c r="L2317" s="33"/>
      <c r="X2317" s="23"/>
      <c r="Y2317" s="23"/>
      <c r="Z2317" s="23"/>
      <c r="AA2317" s="23"/>
      <c r="AF2317" s="23"/>
      <c r="AG2317" s="23"/>
      <c r="AH2317" s="23"/>
      <c r="AI2317" s="23"/>
      <c r="AN2317" s="23"/>
      <c r="AO2317" s="23"/>
      <c r="AP2317" s="23"/>
      <c r="AQ2317" s="23"/>
      <c r="AR2317" s="35"/>
      <c r="AS2317" s="35"/>
      <c r="AT2317" s="35"/>
      <c r="AU2317" s="31"/>
      <c r="AV2317" s="36"/>
    </row>
    <row r="2318" spans="4:48">
      <c r="D2318" s="31"/>
      <c r="E2318" s="31"/>
      <c r="F2318" s="31"/>
      <c r="G2318" s="31"/>
      <c r="H2318" s="32"/>
      <c r="J2318" s="33"/>
      <c r="K2318" s="33"/>
      <c r="L2318" s="33"/>
      <c r="X2318" s="23"/>
      <c r="Y2318" s="23"/>
      <c r="Z2318" s="23"/>
      <c r="AA2318" s="23"/>
      <c r="AF2318" s="23"/>
      <c r="AG2318" s="23"/>
      <c r="AH2318" s="23"/>
      <c r="AI2318" s="23"/>
      <c r="AN2318" s="23"/>
      <c r="AO2318" s="23"/>
      <c r="AP2318" s="23"/>
      <c r="AQ2318" s="23"/>
      <c r="AR2318" s="35"/>
      <c r="AS2318" s="35"/>
      <c r="AT2318" s="35"/>
      <c r="AU2318" s="31"/>
      <c r="AV2318" s="36"/>
    </row>
    <row r="2319" spans="4:48">
      <c r="D2319" s="31"/>
      <c r="E2319" s="31"/>
      <c r="F2319" s="31"/>
      <c r="G2319" s="31"/>
      <c r="H2319" s="32"/>
      <c r="J2319" s="33"/>
      <c r="K2319" s="33"/>
      <c r="L2319" s="33"/>
      <c r="X2319" s="23"/>
      <c r="Y2319" s="23"/>
      <c r="Z2319" s="23"/>
      <c r="AA2319" s="23"/>
      <c r="AF2319" s="23"/>
      <c r="AG2319" s="23"/>
      <c r="AH2319" s="23"/>
      <c r="AI2319" s="23"/>
      <c r="AN2319" s="23"/>
      <c r="AO2319" s="23"/>
      <c r="AP2319" s="23"/>
      <c r="AQ2319" s="23"/>
      <c r="AR2319" s="35"/>
      <c r="AS2319" s="35"/>
      <c r="AT2319" s="35"/>
      <c r="AU2319" s="31"/>
      <c r="AV2319" s="36"/>
    </row>
    <row r="2320" spans="4:48">
      <c r="D2320" s="31"/>
      <c r="E2320" s="31"/>
      <c r="F2320" s="31"/>
      <c r="G2320" s="31"/>
      <c r="H2320" s="32"/>
      <c r="J2320" s="33"/>
      <c r="K2320" s="33"/>
      <c r="L2320" s="33"/>
      <c r="X2320" s="23"/>
      <c r="Y2320" s="23"/>
      <c r="Z2320" s="23"/>
      <c r="AA2320" s="23"/>
      <c r="AF2320" s="23"/>
      <c r="AG2320" s="23"/>
      <c r="AH2320" s="23"/>
      <c r="AI2320" s="23"/>
      <c r="AN2320" s="23"/>
      <c r="AO2320" s="23"/>
      <c r="AP2320" s="23"/>
      <c r="AQ2320" s="23"/>
      <c r="AR2320" s="35"/>
      <c r="AS2320" s="35"/>
      <c r="AT2320" s="35"/>
      <c r="AU2320" s="31"/>
      <c r="AV2320" s="36"/>
    </row>
    <row r="2321" spans="4:48">
      <c r="D2321" s="31"/>
      <c r="E2321" s="31"/>
      <c r="F2321" s="31"/>
      <c r="G2321" s="31"/>
      <c r="H2321" s="32"/>
      <c r="J2321" s="33"/>
      <c r="K2321" s="33"/>
      <c r="L2321" s="33"/>
      <c r="X2321" s="23"/>
      <c r="Y2321" s="23"/>
      <c r="Z2321" s="23"/>
      <c r="AA2321" s="23"/>
      <c r="AF2321" s="23"/>
      <c r="AG2321" s="23"/>
      <c r="AH2321" s="23"/>
      <c r="AI2321" s="23"/>
      <c r="AN2321" s="23"/>
      <c r="AO2321" s="23"/>
      <c r="AP2321" s="23"/>
      <c r="AQ2321" s="23"/>
      <c r="AR2321" s="35"/>
      <c r="AS2321" s="35"/>
      <c r="AT2321" s="35"/>
      <c r="AU2321" s="31"/>
      <c r="AV2321" s="36"/>
    </row>
    <row r="2322" spans="4:48">
      <c r="D2322" s="31"/>
      <c r="E2322" s="31"/>
      <c r="F2322" s="31"/>
      <c r="G2322" s="31"/>
      <c r="H2322" s="32"/>
      <c r="J2322" s="33"/>
      <c r="K2322" s="33"/>
      <c r="L2322" s="33"/>
      <c r="X2322" s="23"/>
      <c r="Y2322" s="23"/>
      <c r="Z2322" s="23"/>
      <c r="AA2322" s="23"/>
      <c r="AF2322" s="23"/>
      <c r="AG2322" s="23"/>
      <c r="AH2322" s="23"/>
      <c r="AI2322" s="23"/>
      <c r="AN2322" s="23"/>
      <c r="AO2322" s="23"/>
      <c r="AP2322" s="23"/>
      <c r="AQ2322" s="23"/>
      <c r="AR2322" s="35"/>
      <c r="AS2322" s="35"/>
      <c r="AT2322" s="35"/>
      <c r="AU2322" s="31"/>
      <c r="AV2322" s="36"/>
    </row>
    <row r="2323" spans="4:48">
      <c r="D2323" s="31"/>
      <c r="E2323" s="31"/>
      <c r="F2323" s="31"/>
      <c r="G2323" s="31"/>
      <c r="H2323" s="32"/>
      <c r="J2323" s="33"/>
      <c r="K2323" s="33"/>
      <c r="L2323" s="33"/>
      <c r="X2323" s="23"/>
      <c r="Y2323" s="23"/>
      <c r="Z2323" s="23"/>
      <c r="AA2323" s="23"/>
      <c r="AF2323" s="23"/>
      <c r="AG2323" s="23"/>
      <c r="AH2323" s="23"/>
      <c r="AI2323" s="23"/>
      <c r="AN2323" s="23"/>
      <c r="AO2323" s="23"/>
      <c r="AP2323" s="23"/>
      <c r="AQ2323" s="23"/>
      <c r="AR2323" s="35"/>
      <c r="AS2323" s="35"/>
      <c r="AT2323" s="35"/>
      <c r="AU2323" s="31"/>
      <c r="AV2323" s="36"/>
    </row>
    <row r="2324" spans="4:48">
      <c r="D2324" s="31"/>
      <c r="E2324" s="31"/>
      <c r="F2324" s="31"/>
      <c r="G2324" s="31"/>
      <c r="H2324" s="32"/>
      <c r="J2324" s="33"/>
      <c r="K2324" s="33"/>
      <c r="L2324" s="33"/>
      <c r="X2324" s="23"/>
      <c r="Y2324" s="23"/>
      <c r="Z2324" s="23"/>
      <c r="AA2324" s="23"/>
      <c r="AF2324" s="23"/>
      <c r="AG2324" s="23"/>
      <c r="AH2324" s="23"/>
      <c r="AI2324" s="23"/>
      <c r="AN2324" s="23"/>
      <c r="AO2324" s="23"/>
      <c r="AP2324" s="23"/>
      <c r="AQ2324" s="23"/>
      <c r="AR2324" s="35"/>
      <c r="AS2324" s="35"/>
      <c r="AT2324" s="35"/>
      <c r="AU2324" s="31"/>
      <c r="AV2324" s="36"/>
    </row>
    <row r="2325" spans="4:48">
      <c r="D2325" s="31"/>
      <c r="E2325" s="31"/>
      <c r="F2325" s="31"/>
      <c r="G2325" s="31"/>
      <c r="H2325" s="32"/>
      <c r="J2325" s="33"/>
      <c r="K2325" s="33"/>
      <c r="L2325" s="33"/>
      <c r="X2325" s="23"/>
      <c r="Y2325" s="23"/>
      <c r="Z2325" s="23"/>
      <c r="AA2325" s="23"/>
      <c r="AF2325" s="23"/>
      <c r="AG2325" s="23"/>
      <c r="AH2325" s="23"/>
      <c r="AI2325" s="23"/>
      <c r="AN2325" s="23"/>
      <c r="AO2325" s="23"/>
      <c r="AP2325" s="23"/>
      <c r="AQ2325" s="23"/>
      <c r="AR2325" s="35"/>
      <c r="AS2325" s="35"/>
      <c r="AT2325" s="35"/>
      <c r="AU2325" s="31"/>
      <c r="AV2325" s="36"/>
    </row>
    <row r="2326" spans="4:48">
      <c r="D2326" s="31"/>
      <c r="E2326" s="31"/>
      <c r="F2326" s="31"/>
      <c r="G2326" s="31"/>
      <c r="H2326" s="32"/>
      <c r="J2326" s="33"/>
      <c r="K2326" s="33"/>
      <c r="L2326" s="33"/>
      <c r="X2326" s="23"/>
      <c r="Y2326" s="23"/>
      <c r="Z2326" s="23"/>
      <c r="AA2326" s="23"/>
      <c r="AF2326" s="23"/>
      <c r="AG2326" s="23"/>
      <c r="AH2326" s="23"/>
      <c r="AI2326" s="23"/>
      <c r="AN2326" s="23"/>
      <c r="AO2326" s="23"/>
      <c r="AP2326" s="23"/>
      <c r="AQ2326" s="23"/>
      <c r="AR2326" s="35"/>
      <c r="AS2326" s="35"/>
      <c r="AT2326" s="35"/>
      <c r="AU2326" s="31"/>
      <c r="AV2326" s="36"/>
    </row>
    <row r="2327" spans="4:48">
      <c r="D2327" s="31"/>
      <c r="E2327" s="31"/>
      <c r="F2327" s="31"/>
      <c r="G2327" s="31"/>
      <c r="H2327" s="32"/>
      <c r="J2327" s="33"/>
      <c r="K2327" s="33"/>
      <c r="L2327" s="33"/>
      <c r="X2327" s="23"/>
      <c r="Y2327" s="23"/>
      <c r="Z2327" s="23"/>
      <c r="AA2327" s="23"/>
      <c r="AF2327" s="23"/>
      <c r="AG2327" s="23"/>
      <c r="AH2327" s="23"/>
      <c r="AI2327" s="23"/>
      <c r="AN2327" s="23"/>
      <c r="AO2327" s="23"/>
      <c r="AP2327" s="23"/>
      <c r="AQ2327" s="23"/>
      <c r="AR2327" s="35"/>
      <c r="AS2327" s="35"/>
      <c r="AT2327" s="35"/>
      <c r="AU2327" s="31"/>
      <c r="AV2327" s="36"/>
    </row>
    <row r="2328" spans="4:48">
      <c r="D2328" s="31"/>
      <c r="E2328" s="31"/>
      <c r="F2328" s="31"/>
      <c r="G2328" s="31"/>
      <c r="H2328" s="32"/>
      <c r="J2328" s="33"/>
      <c r="K2328" s="33"/>
      <c r="L2328" s="33"/>
      <c r="X2328" s="23"/>
      <c r="Y2328" s="23"/>
      <c r="Z2328" s="23"/>
      <c r="AA2328" s="23"/>
      <c r="AF2328" s="23"/>
      <c r="AG2328" s="23"/>
      <c r="AH2328" s="23"/>
      <c r="AI2328" s="23"/>
      <c r="AN2328" s="23"/>
      <c r="AO2328" s="23"/>
      <c r="AP2328" s="23"/>
      <c r="AQ2328" s="23"/>
      <c r="AR2328" s="35"/>
      <c r="AS2328" s="35"/>
      <c r="AT2328" s="35"/>
      <c r="AU2328" s="31"/>
      <c r="AV2328" s="36"/>
    </row>
    <row r="2329" spans="4:48">
      <c r="D2329" s="31"/>
      <c r="E2329" s="31"/>
      <c r="F2329" s="31"/>
      <c r="G2329" s="31"/>
      <c r="H2329" s="32"/>
      <c r="J2329" s="33"/>
      <c r="K2329" s="33"/>
      <c r="L2329" s="33"/>
      <c r="X2329" s="23"/>
      <c r="Y2329" s="23"/>
      <c r="Z2329" s="23"/>
      <c r="AA2329" s="23"/>
      <c r="AF2329" s="23"/>
      <c r="AG2329" s="23"/>
      <c r="AH2329" s="23"/>
      <c r="AI2329" s="23"/>
      <c r="AN2329" s="23"/>
      <c r="AO2329" s="23"/>
      <c r="AP2329" s="23"/>
      <c r="AQ2329" s="23"/>
      <c r="AR2329" s="35"/>
      <c r="AS2329" s="35"/>
      <c r="AT2329" s="35"/>
      <c r="AU2329" s="31"/>
      <c r="AV2329" s="36"/>
    </row>
    <row r="2330" spans="4:48">
      <c r="D2330" s="31"/>
      <c r="E2330" s="31"/>
      <c r="F2330" s="31"/>
      <c r="G2330" s="31"/>
      <c r="H2330" s="32"/>
      <c r="J2330" s="33"/>
      <c r="K2330" s="33"/>
      <c r="L2330" s="33"/>
      <c r="X2330" s="23"/>
      <c r="Y2330" s="23"/>
      <c r="Z2330" s="23"/>
      <c r="AA2330" s="23"/>
      <c r="AF2330" s="23"/>
      <c r="AG2330" s="23"/>
      <c r="AH2330" s="23"/>
      <c r="AI2330" s="23"/>
      <c r="AN2330" s="23"/>
      <c r="AO2330" s="23"/>
      <c r="AP2330" s="23"/>
      <c r="AQ2330" s="23"/>
      <c r="AR2330" s="35"/>
      <c r="AS2330" s="35"/>
      <c r="AT2330" s="35"/>
      <c r="AU2330" s="31"/>
      <c r="AV2330" s="36"/>
    </row>
    <row r="2331" spans="4:48">
      <c r="D2331" s="31"/>
      <c r="E2331" s="31"/>
      <c r="F2331" s="31"/>
      <c r="G2331" s="31"/>
      <c r="H2331" s="32"/>
      <c r="J2331" s="33"/>
      <c r="K2331" s="33"/>
      <c r="L2331" s="33"/>
      <c r="X2331" s="23"/>
      <c r="Y2331" s="23"/>
      <c r="Z2331" s="23"/>
      <c r="AA2331" s="23"/>
      <c r="AF2331" s="23"/>
      <c r="AG2331" s="23"/>
      <c r="AH2331" s="23"/>
      <c r="AI2331" s="23"/>
      <c r="AN2331" s="23"/>
      <c r="AO2331" s="23"/>
      <c r="AP2331" s="23"/>
      <c r="AQ2331" s="23"/>
      <c r="AR2331" s="35"/>
      <c r="AS2331" s="35"/>
      <c r="AT2331" s="35"/>
      <c r="AU2331" s="31"/>
      <c r="AV2331" s="36"/>
    </row>
    <row r="2332" spans="4:48">
      <c r="D2332" s="31"/>
      <c r="E2332" s="31"/>
      <c r="F2332" s="31"/>
      <c r="G2332" s="31"/>
      <c r="H2332" s="32"/>
      <c r="J2332" s="33"/>
      <c r="K2332" s="33"/>
      <c r="L2332" s="33"/>
      <c r="X2332" s="23"/>
      <c r="Y2332" s="23"/>
      <c r="Z2332" s="23"/>
      <c r="AA2332" s="23"/>
      <c r="AF2332" s="23"/>
      <c r="AG2332" s="23"/>
      <c r="AH2332" s="23"/>
      <c r="AI2332" s="23"/>
      <c r="AN2332" s="23"/>
      <c r="AO2332" s="23"/>
      <c r="AP2332" s="23"/>
      <c r="AQ2332" s="23"/>
      <c r="AR2332" s="35"/>
      <c r="AS2332" s="35"/>
      <c r="AT2332" s="35"/>
      <c r="AU2332" s="31"/>
      <c r="AV2332" s="36"/>
    </row>
    <row r="2333" spans="4:48">
      <c r="D2333" s="31"/>
      <c r="E2333" s="31"/>
      <c r="F2333" s="31"/>
      <c r="G2333" s="31"/>
      <c r="H2333" s="32"/>
      <c r="J2333" s="33"/>
      <c r="K2333" s="33"/>
      <c r="L2333" s="33"/>
      <c r="X2333" s="23"/>
      <c r="Y2333" s="23"/>
      <c r="Z2333" s="23"/>
      <c r="AA2333" s="23"/>
      <c r="AF2333" s="23"/>
      <c r="AG2333" s="23"/>
      <c r="AH2333" s="23"/>
      <c r="AI2333" s="23"/>
      <c r="AN2333" s="23"/>
      <c r="AO2333" s="23"/>
      <c r="AP2333" s="23"/>
      <c r="AQ2333" s="23"/>
      <c r="AR2333" s="35"/>
      <c r="AS2333" s="35"/>
      <c r="AT2333" s="35"/>
      <c r="AU2333" s="31"/>
      <c r="AV2333" s="36"/>
    </row>
    <row r="2334" spans="4:48">
      <c r="D2334" s="31"/>
      <c r="E2334" s="31"/>
      <c r="F2334" s="31"/>
      <c r="G2334" s="31"/>
      <c r="H2334" s="32"/>
      <c r="J2334" s="33"/>
      <c r="K2334" s="33"/>
      <c r="L2334" s="33"/>
      <c r="X2334" s="23"/>
      <c r="Y2334" s="23"/>
      <c r="Z2334" s="23"/>
      <c r="AA2334" s="23"/>
      <c r="AF2334" s="23"/>
      <c r="AG2334" s="23"/>
      <c r="AH2334" s="23"/>
      <c r="AI2334" s="23"/>
      <c r="AN2334" s="23"/>
      <c r="AO2334" s="23"/>
      <c r="AP2334" s="23"/>
      <c r="AQ2334" s="23"/>
      <c r="AR2334" s="35"/>
      <c r="AS2334" s="35"/>
      <c r="AT2334" s="35"/>
      <c r="AU2334" s="31"/>
      <c r="AV2334" s="36"/>
    </row>
    <row r="2335" spans="4:48">
      <c r="D2335" s="31"/>
      <c r="E2335" s="31"/>
      <c r="F2335" s="31"/>
      <c r="G2335" s="31"/>
      <c r="H2335" s="32"/>
      <c r="J2335" s="33"/>
      <c r="K2335" s="33"/>
      <c r="L2335" s="33"/>
      <c r="X2335" s="23"/>
      <c r="Y2335" s="23"/>
      <c r="Z2335" s="23"/>
      <c r="AA2335" s="23"/>
      <c r="AF2335" s="23"/>
      <c r="AG2335" s="23"/>
      <c r="AH2335" s="23"/>
      <c r="AI2335" s="23"/>
      <c r="AN2335" s="23"/>
      <c r="AO2335" s="23"/>
      <c r="AP2335" s="23"/>
      <c r="AQ2335" s="23"/>
      <c r="AR2335" s="35"/>
      <c r="AS2335" s="35"/>
      <c r="AT2335" s="35"/>
      <c r="AU2335" s="31"/>
      <c r="AV2335" s="36"/>
    </row>
    <row r="2336" spans="4:48">
      <c r="D2336" s="31"/>
      <c r="E2336" s="31"/>
      <c r="F2336" s="31"/>
      <c r="G2336" s="31"/>
      <c r="H2336" s="32"/>
      <c r="J2336" s="33"/>
      <c r="K2336" s="33"/>
      <c r="L2336" s="33"/>
      <c r="X2336" s="23"/>
      <c r="Y2336" s="23"/>
      <c r="Z2336" s="23"/>
      <c r="AA2336" s="23"/>
      <c r="AF2336" s="23"/>
      <c r="AG2336" s="23"/>
      <c r="AH2336" s="23"/>
      <c r="AI2336" s="23"/>
      <c r="AN2336" s="23"/>
      <c r="AO2336" s="23"/>
      <c r="AP2336" s="23"/>
      <c r="AQ2336" s="23"/>
      <c r="AR2336" s="35"/>
      <c r="AS2336" s="35"/>
      <c r="AT2336" s="35"/>
      <c r="AU2336" s="31"/>
      <c r="AV2336" s="36"/>
    </row>
    <row r="2337" spans="4:48">
      <c r="D2337" s="31"/>
      <c r="E2337" s="31"/>
      <c r="F2337" s="31"/>
      <c r="G2337" s="31"/>
      <c r="H2337" s="32"/>
      <c r="J2337" s="33"/>
      <c r="K2337" s="33"/>
      <c r="L2337" s="33"/>
      <c r="X2337" s="23"/>
      <c r="Y2337" s="23"/>
      <c r="Z2337" s="23"/>
      <c r="AA2337" s="23"/>
      <c r="AF2337" s="23"/>
      <c r="AG2337" s="23"/>
      <c r="AH2337" s="23"/>
      <c r="AI2337" s="23"/>
      <c r="AN2337" s="23"/>
      <c r="AO2337" s="23"/>
      <c r="AP2337" s="23"/>
      <c r="AQ2337" s="23"/>
      <c r="AR2337" s="35"/>
      <c r="AS2337" s="35"/>
      <c r="AT2337" s="35"/>
      <c r="AU2337" s="31"/>
      <c r="AV2337" s="36"/>
    </row>
    <row r="2338" spans="4:48">
      <c r="D2338" s="31"/>
      <c r="E2338" s="31"/>
      <c r="F2338" s="31"/>
      <c r="G2338" s="31"/>
      <c r="H2338" s="32"/>
      <c r="J2338" s="33"/>
      <c r="K2338" s="33"/>
      <c r="L2338" s="33"/>
      <c r="X2338" s="23"/>
      <c r="Y2338" s="23"/>
      <c r="Z2338" s="23"/>
      <c r="AA2338" s="23"/>
      <c r="AF2338" s="23"/>
      <c r="AG2338" s="23"/>
      <c r="AH2338" s="23"/>
      <c r="AI2338" s="23"/>
      <c r="AN2338" s="23"/>
      <c r="AO2338" s="23"/>
      <c r="AP2338" s="23"/>
      <c r="AQ2338" s="23"/>
      <c r="AR2338" s="35"/>
      <c r="AS2338" s="35"/>
      <c r="AT2338" s="35"/>
      <c r="AU2338" s="31"/>
      <c r="AV2338" s="36"/>
    </row>
    <row r="2339" spans="4:48">
      <c r="D2339" s="31"/>
      <c r="E2339" s="31"/>
      <c r="F2339" s="31"/>
      <c r="G2339" s="31"/>
      <c r="H2339" s="32"/>
      <c r="J2339" s="33"/>
      <c r="K2339" s="33"/>
      <c r="L2339" s="33"/>
      <c r="X2339" s="23"/>
      <c r="Y2339" s="23"/>
      <c r="Z2339" s="23"/>
      <c r="AA2339" s="23"/>
      <c r="AF2339" s="23"/>
      <c r="AG2339" s="23"/>
      <c r="AH2339" s="23"/>
      <c r="AI2339" s="23"/>
      <c r="AN2339" s="23"/>
      <c r="AO2339" s="23"/>
      <c r="AP2339" s="23"/>
      <c r="AQ2339" s="23"/>
      <c r="AR2339" s="35"/>
      <c r="AS2339" s="35"/>
      <c r="AT2339" s="35"/>
      <c r="AU2339" s="31"/>
      <c r="AV2339" s="36"/>
    </row>
    <row r="2340" spans="4:48">
      <c r="D2340" s="31"/>
      <c r="E2340" s="31"/>
      <c r="F2340" s="31"/>
      <c r="G2340" s="31"/>
      <c r="H2340" s="32"/>
      <c r="J2340" s="33"/>
      <c r="K2340" s="33"/>
      <c r="L2340" s="33"/>
      <c r="X2340" s="23"/>
      <c r="Y2340" s="23"/>
      <c r="Z2340" s="23"/>
      <c r="AA2340" s="23"/>
      <c r="AF2340" s="23"/>
      <c r="AG2340" s="23"/>
      <c r="AH2340" s="23"/>
      <c r="AI2340" s="23"/>
      <c r="AN2340" s="23"/>
      <c r="AO2340" s="23"/>
      <c r="AP2340" s="23"/>
      <c r="AQ2340" s="23"/>
      <c r="AR2340" s="35"/>
      <c r="AS2340" s="35"/>
      <c r="AT2340" s="35"/>
      <c r="AU2340" s="31"/>
      <c r="AV2340" s="36"/>
    </row>
    <row r="2341" spans="4:48">
      <c r="D2341" s="31"/>
      <c r="E2341" s="31"/>
      <c r="F2341" s="31"/>
      <c r="G2341" s="31"/>
      <c r="H2341" s="32"/>
      <c r="J2341" s="33"/>
      <c r="K2341" s="33"/>
      <c r="L2341" s="33"/>
      <c r="X2341" s="23"/>
      <c r="Y2341" s="23"/>
      <c r="Z2341" s="23"/>
      <c r="AA2341" s="23"/>
      <c r="AF2341" s="23"/>
      <c r="AG2341" s="23"/>
      <c r="AH2341" s="23"/>
      <c r="AI2341" s="23"/>
      <c r="AN2341" s="23"/>
      <c r="AO2341" s="23"/>
      <c r="AP2341" s="23"/>
      <c r="AQ2341" s="23"/>
      <c r="AR2341" s="35"/>
      <c r="AS2341" s="35"/>
      <c r="AT2341" s="35"/>
      <c r="AU2341" s="31"/>
      <c r="AV2341" s="36"/>
    </row>
    <row r="2342" spans="4:48">
      <c r="D2342" s="31"/>
      <c r="E2342" s="31"/>
      <c r="F2342" s="31"/>
      <c r="G2342" s="31"/>
      <c r="H2342" s="32"/>
      <c r="J2342" s="33"/>
      <c r="K2342" s="33"/>
      <c r="L2342" s="33"/>
      <c r="X2342" s="23"/>
      <c r="Y2342" s="23"/>
      <c r="Z2342" s="23"/>
      <c r="AA2342" s="23"/>
      <c r="AF2342" s="23"/>
      <c r="AG2342" s="23"/>
      <c r="AH2342" s="23"/>
      <c r="AI2342" s="23"/>
      <c r="AN2342" s="23"/>
      <c r="AO2342" s="23"/>
      <c r="AP2342" s="23"/>
      <c r="AQ2342" s="23"/>
      <c r="AR2342" s="35"/>
      <c r="AS2342" s="35"/>
      <c r="AT2342" s="35"/>
      <c r="AU2342" s="31"/>
      <c r="AV2342" s="36"/>
    </row>
    <row r="2343" spans="4:48">
      <c r="D2343" s="31"/>
      <c r="E2343" s="31"/>
      <c r="F2343" s="31"/>
      <c r="G2343" s="31"/>
      <c r="H2343" s="32"/>
      <c r="J2343" s="33"/>
      <c r="K2343" s="33"/>
      <c r="L2343" s="33"/>
      <c r="X2343" s="23"/>
      <c r="Y2343" s="23"/>
      <c r="Z2343" s="23"/>
      <c r="AA2343" s="23"/>
      <c r="AF2343" s="23"/>
      <c r="AG2343" s="23"/>
      <c r="AH2343" s="23"/>
      <c r="AI2343" s="23"/>
      <c r="AN2343" s="23"/>
      <c r="AO2343" s="23"/>
      <c r="AP2343" s="23"/>
      <c r="AQ2343" s="23"/>
      <c r="AR2343" s="35"/>
      <c r="AS2343" s="35"/>
      <c r="AT2343" s="35"/>
      <c r="AU2343" s="31"/>
      <c r="AV2343" s="36"/>
    </row>
    <row r="2344" spans="4:48">
      <c r="D2344" s="31"/>
      <c r="E2344" s="31"/>
      <c r="F2344" s="31"/>
      <c r="G2344" s="31"/>
      <c r="H2344" s="32"/>
      <c r="J2344" s="33"/>
      <c r="K2344" s="33"/>
      <c r="L2344" s="33"/>
      <c r="X2344" s="23"/>
      <c r="Y2344" s="23"/>
      <c r="Z2344" s="23"/>
      <c r="AA2344" s="23"/>
      <c r="AF2344" s="23"/>
      <c r="AG2344" s="23"/>
      <c r="AH2344" s="23"/>
      <c r="AI2344" s="23"/>
      <c r="AN2344" s="23"/>
      <c r="AO2344" s="23"/>
      <c r="AP2344" s="23"/>
      <c r="AQ2344" s="23"/>
      <c r="AR2344" s="35"/>
      <c r="AS2344" s="35"/>
      <c r="AT2344" s="35"/>
      <c r="AU2344" s="31"/>
      <c r="AV2344" s="36"/>
    </row>
    <row r="2345" spans="4:48">
      <c r="D2345" s="31"/>
      <c r="E2345" s="31"/>
      <c r="F2345" s="31"/>
      <c r="G2345" s="31"/>
      <c r="H2345" s="32"/>
      <c r="J2345" s="33"/>
      <c r="K2345" s="33"/>
      <c r="L2345" s="33"/>
      <c r="X2345" s="23"/>
      <c r="Y2345" s="23"/>
      <c r="Z2345" s="23"/>
      <c r="AA2345" s="23"/>
      <c r="AF2345" s="23"/>
      <c r="AG2345" s="23"/>
      <c r="AH2345" s="23"/>
      <c r="AI2345" s="23"/>
      <c r="AN2345" s="23"/>
      <c r="AO2345" s="23"/>
      <c r="AP2345" s="23"/>
      <c r="AQ2345" s="23"/>
      <c r="AR2345" s="35"/>
      <c r="AS2345" s="35"/>
      <c r="AT2345" s="35"/>
      <c r="AU2345" s="31"/>
      <c r="AV2345" s="36"/>
    </row>
    <row r="2346" spans="4:48">
      <c r="D2346" s="31"/>
      <c r="E2346" s="31"/>
      <c r="F2346" s="31"/>
      <c r="G2346" s="31"/>
      <c r="H2346" s="32"/>
      <c r="J2346" s="33"/>
      <c r="K2346" s="33"/>
      <c r="L2346" s="33"/>
      <c r="X2346" s="23"/>
      <c r="Y2346" s="23"/>
      <c r="Z2346" s="23"/>
      <c r="AA2346" s="23"/>
      <c r="AF2346" s="23"/>
      <c r="AG2346" s="23"/>
      <c r="AH2346" s="23"/>
      <c r="AI2346" s="23"/>
      <c r="AN2346" s="23"/>
      <c r="AO2346" s="23"/>
      <c r="AP2346" s="23"/>
      <c r="AQ2346" s="23"/>
      <c r="AR2346" s="35"/>
      <c r="AS2346" s="35"/>
      <c r="AT2346" s="35"/>
      <c r="AU2346" s="31"/>
      <c r="AV2346" s="36"/>
    </row>
    <row r="2347" spans="4:48">
      <c r="D2347" s="31"/>
      <c r="E2347" s="31"/>
      <c r="F2347" s="31"/>
      <c r="G2347" s="31"/>
      <c r="H2347" s="32"/>
      <c r="J2347" s="33"/>
      <c r="K2347" s="33"/>
      <c r="L2347" s="33"/>
      <c r="X2347" s="23"/>
      <c r="Y2347" s="23"/>
      <c r="Z2347" s="23"/>
      <c r="AA2347" s="23"/>
      <c r="AF2347" s="23"/>
      <c r="AG2347" s="23"/>
      <c r="AH2347" s="23"/>
      <c r="AI2347" s="23"/>
      <c r="AN2347" s="23"/>
      <c r="AO2347" s="23"/>
      <c r="AP2347" s="23"/>
      <c r="AQ2347" s="23"/>
      <c r="AR2347" s="35"/>
      <c r="AS2347" s="35"/>
      <c r="AT2347" s="35"/>
      <c r="AU2347" s="31"/>
      <c r="AV2347" s="36"/>
    </row>
    <row r="2348" spans="4:48">
      <c r="D2348" s="31"/>
      <c r="E2348" s="31"/>
      <c r="F2348" s="31"/>
      <c r="G2348" s="31"/>
      <c r="H2348" s="32"/>
      <c r="J2348" s="33"/>
      <c r="K2348" s="33"/>
      <c r="L2348" s="33"/>
      <c r="X2348" s="23"/>
      <c r="Y2348" s="23"/>
      <c r="Z2348" s="23"/>
      <c r="AA2348" s="23"/>
      <c r="AF2348" s="23"/>
      <c r="AG2348" s="23"/>
      <c r="AH2348" s="23"/>
      <c r="AI2348" s="23"/>
      <c r="AN2348" s="23"/>
      <c r="AO2348" s="23"/>
      <c r="AP2348" s="23"/>
      <c r="AQ2348" s="23"/>
      <c r="AR2348" s="35"/>
      <c r="AS2348" s="35"/>
      <c r="AT2348" s="35"/>
      <c r="AU2348" s="31"/>
      <c r="AV2348" s="36"/>
    </row>
    <row r="2349" spans="4:48">
      <c r="D2349" s="31"/>
      <c r="E2349" s="31"/>
      <c r="F2349" s="31"/>
      <c r="G2349" s="31"/>
      <c r="H2349" s="32"/>
      <c r="J2349" s="33"/>
      <c r="K2349" s="33"/>
      <c r="L2349" s="33"/>
      <c r="X2349" s="23"/>
      <c r="Y2349" s="23"/>
      <c r="Z2349" s="23"/>
      <c r="AA2349" s="23"/>
      <c r="AF2349" s="23"/>
      <c r="AG2349" s="23"/>
      <c r="AH2349" s="23"/>
      <c r="AI2349" s="23"/>
      <c r="AN2349" s="23"/>
      <c r="AO2349" s="23"/>
      <c r="AP2349" s="23"/>
      <c r="AQ2349" s="23"/>
      <c r="AR2349" s="35"/>
      <c r="AS2349" s="35"/>
      <c r="AT2349" s="35"/>
      <c r="AU2349" s="31"/>
      <c r="AV2349" s="36"/>
    </row>
    <row r="2350" spans="4:48">
      <c r="D2350" s="31"/>
      <c r="E2350" s="31"/>
      <c r="F2350" s="31"/>
      <c r="G2350" s="31"/>
      <c r="H2350" s="32"/>
      <c r="J2350" s="33"/>
      <c r="K2350" s="33"/>
      <c r="L2350" s="33"/>
      <c r="X2350" s="23"/>
      <c r="Y2350" s="23"/>
      <c r="Z2350" s="23"/>
      <c r="AA2350" s="23"/>
      <c r="AF2350" s="23"/>
      <c r="AG2350" s="23"/>
      <c r="AH2350" s="23"/>
      <c r="AI2350" s="23"/>
      <c r="AN2350" s="23"/>
      <c r="AO2350" s="23"/>
      <c r="AP2350" s="23"/>
      <c r="AQ2350" s="23"/>
      <c r="AR2350" s="35"/>
      <c r="AS2350" s="35"/>
      <c r="AT2350" s="35"/>
      <c r="AU2350" s="31"/>
      <c r="AV2350" s="36"/>
    </row>
    <row r="2351" spans="4:48">
      <c r="D2351" s="31"/>
      <c r="E2351" s="31"/>
      <c r="F2351" s="31"/>
      <c r="G2351" s="31"/>
      <c r="H2351" s="32"/>
      <c r="J2351" s="33"/>
      <c r="K2351" s="33"/>
      <c r="L2351" s="33"/>
      <c r="X2351" s="23"/>
      <c r="Y2351" s="23"/>
      <c r="Z2351" s="23"/>
      <c r="AA2351" s="23"/>
      <c r="AF2351" s="23"/>
      <c r="AG2351" s="23"/>
      <c r="AH2351" s="23"/>
      <c r="AI2351" s="23"/>
      <c r="AN2351" s="23"/>
      <c r="AO2351" s="23"/>
      <c r="AP2351" s="23"/>
      <c r="AQ2351" s="23"/>
      <c r="AR2351" s="35"/>
      <c r="AS2351" s="35"/>
      <c r="AT2351" s="35"/>
      <c r="AU2351" s="31"/>
      <c r="AV2351" s="36"/>
    </row>
    <row r="2352" spans="4:48">
      <c r="D2352" s="31"/>
      <c r="E2352" s="31"/>
      <c r="F2352" s="31"/>
      <c r="G2352" s="31"/>
      <c r="H2352" s="32"/>
      <c r="J2352" s="33"/>
      <c r="K2352" s="33"/>
      <c r="L2352" s="33"/>
      <c r="X2352" s="23"/>
      <c r="Y2352" s="23"/>
      <c r="Z2352" s="23"/>
      <c r="AA2352" s="23"/>
      <c r="AF2352" s="23"/>
      <c r="AG2352" s="23"/>
      <c r="AH2352" s="23"/>
      <c r="AI2352" s="23"/>
      <c r="AN2352" s="23"/>
      <c r="AO2352" s="23"/>
      <c r="AP2352" s="23"/>
      <c r="AQ2352" s="23"/>
      <c r="AR2352" s="35"/>
      <c r="AS2352" s="35"/>
      <c r="AT2352" s="35"/>
      <c r="AU2352" s="31"/>
      <c r="AV2352" s="36"/>
    </row>
    <row r="2353" spans="4:48">
      <c r="D2353" s="31"/>
      <c r="E2353" s="31"/>
      <c r="F2353" s="31"/>
      <c r="G2353" s="31"/>
      <c r="H2353" s="32"/>
      <c r="J2353" s="33"/>
      <c r="K2353" s="33"/>
      <c r="L2353" s="33"/>
      <c r="X2353" s="23"/>
      <c r="Y2353" s="23"/>
      <c r="Z2353" s="23"/>
      <c r="AA2353" s="23"/>
      <c r="AF2353" s="23"/>
      <c r="AG2353" s="23"/>
      <c r="AH2353" s="23"/>
      <c r="AI2353" s="23"/>
      <c r="AN2353" s="23"/>
      <c r="AO2353" s="23"/>
      <c r="AP2353" s="23"/>
      <c r="AQ2353" s="23"/>
      <c r="AR2353" s="35"/>
      <c r="AS2353" s="35"/>
      <c r="AT2353" s="35"/>
      <c r="AU2353" s="31"/>
      <c r="AV2353" s="36"/>
    </row>
    <row r="2354" spans="4:48">
      <c r="D2354" s="31"/>
      <c r="E2354" s="31"/>
      <c r="F2354" s="31"/>
      <c r="G2354" s="31"/>
      <c r="H2354" s="32"/>
      <c r="J2354" s="33"/>
      <c r="K2354" s="33"/>
      <c r="L2354" s="33"/>
      <c r="X2354" s="23"/>
      <c r="Y2354" s="23"/>
      <c r="Z2354" s="23"/>
      <c r="AA2354" s="23"/>
      <c r="AF2354" s="23"/>
      <c r="AG2354" s="23"/>
      <c r="AH2354" s="23"/>
      <c r="AI2354" s="23"/>
      <c r="AN2354" s="23"/>
      <c r="AO2354" s="23"/>
      <c r="AP2354" s="23"/>
      <c r="AQ2354" s="23"/>
      <c r="AR2354" s="35"/>
      <c r="AS2354" s="35"/>
      <c r="AT2354" s="35"/>
      <c r="AU2354" s="31"/>
      <c r="AV2354" s="36"/>
    </row>
    <row r="2355" spans="4:48">
      <c r="D2355" s="31"/>
      <c r="E2355" s="31"/>
      <c r="F2355" s="31"/>
      <c r="G2355" s="31"/>
      <c r="H2355" s="32"/>
      <c r="J2355" s="33"/>
      <c r="K2355" s="33"/>
      <c r="L2355" s="33"/>
      <c r="X2355" s="23"/>
      <c r="Y2355" s="23"/>
      <c r="Z2355" s="23"/>
      <c r="AA2355" s="23"/>
      <c r="AF2355" s="23"/>
      <c r="AG2355" s="23"/>
      <c r="AH2355" s="23"/>
      <c r="AI2355" s="23"/>
      <c r="AN2355" s="23"/>
      <c r="AO2355" s="23"/>
      <c r="AP2355" s="23"/>
      <c r="AQ2355" s="23"/>
      <c r="AR2355" s="35"/>
      <c r="AS2355" s="35"/>
      <c r="AT2355" s="35"/>
      <c r="AU2355" s="31"/>
      <c r="AV2355" s="36"/>
    </row>
    <row r="2356" spans="4:48">
      <c r="D2356" s="31"/>
      <c r="E2356" s="31"/>
      <c r="F2356" s="31"/>
      <c r="G2356" s="31"/>
      <c r="H2356" s="32"/>
      <c r="J2356" s="33"/>
      <c r="K2356" s="33"/>
      <c r="L2356" s="33"/>
      <c r="X2356" s="23"/>
      <c r="Y2356" s="23"/>
      <c r="Z2356" s="23"/>
      <c r="AA2356" s="23"/>
      <c r="AF2356" s="23"/>
      <c r="AG2356" s="23"/>
      <c r="AH2356" s="23"/>
      <c r="AI2356" s="23"/>
      <c r="AN2356" s="23"/>
      <c r="AO2356" s="23"/>
      <c r="AP2356" s="23"/>
      <c r="AQ2356" s="23"/>
      <c r="AR2356" s="35"/>
      <c r="AS2356" s="35"/>
      <c r="AT2356" s="35"/>
      <c r="AU2356" s="31"/>
      <c r="AV2356" s="36"/>
    </row>
    <row r="2357" spans="4:48">
      <c r="D2357" s="31"/>
      <c r="E2357" s="31"/>
      <c r="F2357" s="31"/>
      <c r="G2357" s="31"/>
      <c r="H2357" s="32"/>
      <c r="J2357" s="33"/>
      <c r="K2357" s="33"/>
      <c r="L2357" s="33"/>
      <c r="X2357" s="23"/>
      <c r="Y2357" s="23"/>
      <c r="Z2357" s="23"/>
      <c r="AA2357" s="23"/>
      <c r="AF2357" s="23"/>
      <c r="AG2357" s="23"/>
      <c r="AH2357" s="23"/>
      <c r="AI2357" s="23"/>
      <c r="AN2357" s="23"/>
      <c r="AO2357" s="23"/>
      <c r="AP2357" s="23"/>
      <c r="AQ2357" s="23"/>
      <c r="AR2357" s="35"/>
      <c r="AS2357" s="35"/>
      <c r="AT2357" s="35"/>
      <c r="AU2357" s="31"/>
      <c r="AV2357" s="36"/>
    </row>
    <row r="2358" spans="4:48">
      <c r="D2358" s="31"/>
      <c r="E2358" s="31"/>
      <c r="F2358" s="31"/>
      <c r="G2358" s="31"/>
      <c r="H2358" s="32"/>
      <c r="J2358" s="33"/>
      <c r="K2358" s="33"/>
      <c r="L2358" s="33"/>
      <c r="X2358" s="23"/>
      <c r="Y2358" s="23"/>
      <c r="Z2358" s="23"/>
      <c r="AA2358" s="23"/>
      <c r="AF2358" s="23"/>
      <c r="AG2358" s="23"/>
      <c r="AH2358" s="23"/>
      <c r="AI2358" s="23"/>
      <c r="AN2358" s="23"/>
      <c r="AO2358" s="23"/>
      <c r="AP2358" s="23"/>
      <c r="AQ2358" s="23"/>
      <c r="AR2358" s="35"/>
      <c r="AS2358" s="35"/>
      <c r="AT2358" s="35"/>
      <c r="AU2358" s="31"/>
      <c r="AV2358" s="36"/>
    </row>
    <row r="2359" spans="4:48">
      <c r="D2359" s="31"/>
      <c r="E2359" s="31"/>
      <c r="F2359" s="31"/>
      <c r="G2359" s="31"/>
      <c r="H2359" s="32"/>
      <c r="J2359" s="33"/>
      <c r="K2359" s="33"/>
      <c r="L2359" s="33"/>
      <c r="X2359" s="23"/>
      <c r="Y2359" s="23"/>
      <c r="Z2359" s="23"/>
      <c r="AA2359" s="23"/>
      <c r="AF2359" s="23"/>
      <c r="AG2359" s="23"/>
      <c r="AH2359" s="23"/>
      <c r="AI2359" s="23"/>
      <c r="AN2359" s="23"/>
      <c r="AO2359" s="23"/>
      <c r="AP2359" s="23"/>
      <c r="AQ2359" s="23"/>
      <c r="AR2359" s="35"/>
      <c r="AS2359" s="35"/>
      <c r="AT2359" s="35"/>
      <c r="AU2359" s="31"/>
      <c r="AV2359" s="36"/>
    </row>
    <row r="2360" spans="4:48">
      <c r="D2360" s="31"/>
      <c r="E2360" s="31"/>
      <c r="F2360" s="31"/>
      <c r="G2360" s="31"/>
      <c r="H2360" s="32"/>
      <c r="J2360" s="33"/>
      <c r="K2360" s="33"/>
      <c r="L2360" s="33"/>
      <c r="X2360" s="23"/>
      <c r="Y2360" s="23"/>
      <c r="Z2360" s="23"/>
      <c r="AA2360" s="23"/>
      <c r="AF2360" s="23"/>
      <c r="AG2360" s="23"/>
      <c r="AH2360" s="23"/>
      <c r="AI2360" s="23"/>
      <c r="AN2360" s="23"/>
      <c r="AO2360" s="23"/>
      <c r="AP2360" s="23"/>
      <c r="AQ2360" s="23"/>
      <c r="AR2360" s="35"/>
      <c r="AS2360" s="35"/>
      <c r="AT2360" s="35"/>
      <c r="AU2360" s="31"/>
      <c r="AV2360" s="36"/>
    </row>
    <row r="2361" spans="4:48">
      <c r="D2361" s="31"/>
      <c r="E2361" s="31"/>
      <c r="F2361" s="31"/>
      <c r="G2361" s="31"/>
      <c r="H2361" s="32"/>
      <c r="J2361" s="33"/>
      <c r="K2361" s="33"/>
      <c r="L2361" s="33"/>
      <c r="X2361" s="23"/>
      <c r="Y2361" s="23"/>
      <c r="Z2361" s="23"/>
      <c r="AA2361" s="23"/>
      <c r="AF2361" s="23"/>
      <c r="AG2361" s="23"/>
      <c r="AH2361" s="23"/>
      <c r="AI2361" s="23"/>
      <c r="AN2361" s="23"/>
      <c r="AO2361" s="23"/>
      <c r="AP2361" s="23"/>
      <c r="AQ2361" s="23"/>
      <c r="AR2361" s="35"/>
      <c r="AS2361" s="35"/>
      <c r="AT2361" s="35"/>
      <c r="AU2361" s="31"/>
      <c r="AV2361" s="36"/>
    </row>
    <row r="2362" spans="4:48">
      <c r="D2362" s="31"/>
      <c r="E2362" s="31"/>
      <c r="F2362" s="31"/>
      <c r="G2362" s="31"/>
      <c r="H2362" s="32"/>
      <c r="J2362" s="33"/>
      <c r="K2362" s="33"/>
      <c r="L2362" s="33"/>
      <c r="X2362" s="23"/>
      <c r="Y2362" s="23"/>
      <c r="Z2362" s="23"/>
      <c r="AA2362" s="23"/>
      <c r="AF2362" s="23"/>
      <c r="AG2362" s="23"/>
      <c r="AH2362" s="23"/>
      <c r="AI2362" s="23"/>
      <c r="AN2362" s="23"/>
      <c r="AO2362" s="23"/>
      <c r="AP2362" s="23"/>
      <c r="AQ2362" s="23"/>
      <c r="AR2362" s="35"/>
      <c r="AS2362" s="35"/>
      <c r="AT2362" s="35"/>
      <c r="AU2362" s="31"/>
      <c r="AV2362" s="36"/>
    </row>
    <row r="2363" spans="4:48">
      <c r="D2363" s="31"/>
      <c r="E2363" s="31"/>
      <c r="F2363" s="31"/>
      <c r="G2363" s="31"/>
      <c r="H2363" s="32"/>
      <c r="J2363" s="33"/>
      <c r="K2363" s="33"/>
      <c r="L2363" s="33"/>
      <c r="X2363" s="23"/>
      <c r="Y2363" s="23"/>
      <c r="Z2363" s="23"/>
      <c r="AA2363" s="23"/>
      <c r="AF2363" s="23"/>
      <c r="AG2363" s="23"/>
      <c r="AH2363" s="23"/>
      <c r="AI2363" s="23"/>
      <c r="AN2363" s="23"/>
      <c r="AO2363" s="23"/>
      <c r="AP2363" s="23"/>
      <c r="AQ2363" s="23"/>
      <c r="AR2363" s="35"/>
      <c r="AS2363" s="35"/>
      <c r="AT2363" s="35"/>
      <c r="AU2363" s="31"/>
      <c r="AV2363" s="36"/>
    </row>
    <row r="2364" spans="4:48">
      <c r="D2364" s="31"/>
      <c r="E2364" s="31"/>
      <c r="F2364" s="31"/>
      <c r="G2364" s="31"/>
      <c r="H2364" s="32"/>
      <c r="J2364" s="33"/>
      <c r="K2364" s="33"/>
      <c r="L2364" s="33"/>
      <c r="X2364" s="23"/>
      <c r="Y2364" s="23"/>
      <c r="Z2364" s="23"/>
      <c r="AA2364" s="23"/>
      <c r="AF2364" s="23"/>
      <c r="AG2364" s="23"/>
      <c r="AH2364" s="23"/>
      <c r="AI2364" s="23"/>
      <c r="AN2364" s="23"/>
      <c r="AO2364" s="23"/>
      <c r="AP2364" s="23"/>
      <c r="AQ2364" s="23"/>
      <c r="AR2364" s="35"/>
      <c r="AS2364" s="35"/>
      <c r="AT2364" s="35"/>
      <c r="AU2364" s="31"/>
      <c r="AV2364" s="36"/>
    </row>
    <row r="2365" spans="4:48">
      <c r="D2365" s="31"/>
      <c r="E2365" s="31"/>
      <c r="F2365" s="31"/>
      <c r="G2365" s="31"/>
      <c r="H2365" s="32"/>
      <c r="J2365" s="33"/>
      <c r="K2365" s="33"/>
      <c r="L2365" s="33"/>
      <c r="X2365" s="23"/>
      <c r="Y2365" s="23"/>
      <c r="Z2365" s="23"/>
      <c r="AA2365" s="23"/>
      <c r="AF2365" s="23"/>
      <c r="AG2365" s="23"/>
      <c r="AH2365" s="23"/>
      <c r="AI2365" s="23"/>
      <c r="AN2365" s="23"/>
      <c r="AO2365" s="23"/>
      <c r="AP2365" s="23"/>
      <c r="AQ2365" s="23"/>
      <c r="AR2365" s="35"/>
      <c r="AS2365" s="35"/>
      <c r="AT2365" s="35"/>
      <c r="AU2365" s="31"/>
      <c r="AV2365" s="36"/>
    </row>
    <row r="2366" spans="4:48">
      <c r="D2366" s="31"/>
      <c r="E2366" s="31"/>
      <c r="F2366" s="31"/>
      <c r="G2366" s="31"/>
      <c r="H2366" s="32"/>
      <c r="J2366" s="33"/>
      <c r="K2366" s="33"/>
      <c r="L2366" s="33"/>
      <c r="X2366" s="23"/>
      <c r="Y2366" s="23"/>
      <c r="Z2366" s="23"/>
      <c r="AA2366" s="23"/>
      <c r="AF2366" s="23"/>
      <c r="AG2366" s="23"/>
      <c r="AH2366" s="23"/>
      <c r="AI2366" s="23"/>
      <c r="AN2366" s="23"/>
      <c r="AO2366" s="23"/>
      <c r="AP2366" s="23"/>
      <c r="AQ2366" s="23"/>
      <c r="AR2366" s="35"/>
      <c r="AS2366" s="35"/>
      <c r="AT2366" s="35"/>
      <c r="AU2366" s="31"/>
      <c r="AV2366" s="36"/>
    </row>
    <row r="2367" spans="4:48">
      <c r="D2367" s="31"/>
      <c r="E2367" s="31"/>
      <c r="F2367" s="31"/>
      <c r="G2367" s="31"/>
      <c r="H2367" s="32"/>
      <c r="J2367" s="33"/>
      <c r="K2367" s="33"/>
      <c r="L2367" s="33"/>
      <c r="X2367" s="23"/>
      <c r="Y2367" s="23"/>
      <c r="Z2367" s="23"/>
      <c r="AA2367" s="23"/>
      <c r="AF2367" s="23"/>
      <c r="AG2367" s="23"/>
      <c r="AH2367" s="23"/>
      <c r="AI2367" s="23"/>
      <c r="AN2367" s="23"/>
      <c r="AO2367" s="23"/>
      <c r="AP2367" s="23"/>
      <c r="AQ2367" s="23"/>
      <c r="AR2367" s="35"/>
      <c r="AS2367" s="35"/>
      <c r="AT2367" s="35"/>
      <c r="AU2367" s="31"/>
      <c r="AV2367" s="36"/>
    </row>
    <row r="2368" spans="4:48">
      <c r="D2368" s="31"/>
      <c r="E2368" s="31"/>
      <c r="F2368" s="31"/>
      <c r="G2368" s="31"/>
      <c r="H2368" s="32"/>
      <c r="J2368" s="33"/>
      <c r="K2368" s="33"/>
      <c r="L2368" s="33"/>
      <c r="X2368" s="23"/>
      <c r="Y2368" s="23"/>
      <c r="Z2368" s="23"/>
      <c r="AA2368" s="23"/>
      <c r="AF2368" s="23"/>
      <c r="AG2368" s="23"/>
      <c r="AH2368" s="23"/>
      <c r="AI2368" s="23"/>
      <c r="AN2368" s="23"/>
      <c r="AO2368" s="23"/>
      <c r="AP2368" s="23"/>
      <c r="AQ2368" s="23"/>
      <c r="AR2368" s="35"/>
      <c r="AS2368" s="35"/>
      <c r="AT2368" s="35"/>
      <c r="AU2368" s="31"/>
      <c r="AV2368" s="36"/>
    </row>
    <row r="2369" spans="4:48">
      <c r="D2369" s="31"/>
      <c r="E2369" s="31"/>
      <c r="F2369" s="31"/>
      <c r="G2369" s="31"/>
      <c r="H2369" s="32"/>
      <c r="J2369" s="33"/>
      <c r="K2369" s="33"/>
      <c r="L2369" s="33"/>
      <c r="X2369" s="23"/>
      <c r="Y2369" s="23"/>
      <c r="Z2369" s="23"/>
      <c r="AA2369" s="23"/>
      <c r="AF2369" s="23"/>
      <c r="AG2369" s="23"/>
      <c r="AH2369" s="23"/>
      <c r="AI2369" s="23"/>
      <c r="AN2369" s="23"/>
      <c r="AO2369" s="23"/>
      <c r="AP2369" s="23"/>
      <c r="AQ2369" s="23"/>
      <c r="AR2369" s="35"/>
      <c r="AS2369" s="35"/>
      <c r="AT2369" s="35"/>
      <c r="AU2369" s="31"/>
      <c r="AV2369" s="36"/>
    </row>
    <row r="2370" spans="4:48">
      <c r="D2370" s="31"/>
      <c r="E2370" s="31"/>
      <c r="F2370" s="31"/>
      <c r="G2370" s="31"/>
      <c r="H2370" s="32"/>
      <c r="J2370" s="33"/>
      <c r="K2370" s="33"/>
      <c r="L2370" s="33"/>
      <c r="X2370" s="23"/>
      <c r="Y2370" s="23"/>
      <c r="Z2370" s="23"/>
      <c r="AA2370" s="23"/>
      <c r="AF2370" s="23"/>
      <c r="AG2370" s="23"/>
      <c r="AH2370" s="23"/>
      <c r="AI2370" s="23"/>
      <c r="AN2370" s="23"/>
      <c r="AO2370" s="23"/>
      <c r="AP2370" s="23"/>
      <c r="AQ2370" s="23"/>
      <c r="AR2370" s="35"/>
      <c r="AS2370" s="35"/>
      <c r="AT2370" s="35"/>
      <c r="AU2370" s="31"/>
      <c r="AV2370" s="36"/>
    </row>
    <row r="2371" spans="4:48">
      <c r="D2371" s="31"/>
      <c r="E2371" s="31"/>
      <c r="F2371" s="31"/>
      <c r="G2371" s="31"/>
      <c r="H2371" s="32"/>
      <c r="J2371" s="33"/>
      <c r="K2371" s="33"/>
      <c r="L2371" s="33"/>
      <c r="X2371" s="23"/>
      <c r="Y2371" s="23"/>
      <c r="Z2371" s="23"/>
      <c r="AA2371" s="23"/>
      <c r="AF2371" s="23"/>
      <c r="AG2371" s="23"/>
      <c r="AH2371" s="23"/>
      <c r="AI2371" s="23"/>
      <c r="AN2371" s="23"/>
      <c r="AO2371" s="23"/>
      <c r="AP2371" s="23"/>
      <c r="AQ2371" s="23"/>
      <c r="AR2371" s="35"/>
      <c r="AS2371" s="35"/>
      <c r="AT2371" s="35"/>
      <c r="AU2371" s="31"/>
      <c r="AV2371" s="36"/>
    </row>
    <row r="2372" spans="4:48">
      <c r="D2372" s="31"/>
      <c r="E2372" s="31"/>
      <c r="F2372" s="31"/>
      <c r="G2372" s="31"/>
      <c r="H2372" s="32"/>
      <c r="J2372" s="33"/>
      <c r="K2372" s="33"/>
      <c r="L2372" s="33"/>
      <c r="X2372" s="23"/>
      <c r="Y2372" s="23"/>
      <c r="Z2372" s="23"/>
      <c r="AA2372" s="23"/>
      <c r="AF2372" s="23"/>
      <c r="AG2372" s="23"/>
      <c r="AH2372" s="23"/>
      <c r="AI2372" s="23"/>
      <c r="AN2372" s="23"/>
      <c r="AO2372" s="23"/>
      <c r="AP2372" s="23"/>
      <c r="AQ2372" s="23"/>
      <c r="AR2372" s="35"/>
      <c r="AS2372" s="35"/>
      <c r="AT2372" s="35"/>
      <c r="AU2372" s="31"/>
      <c r="AV2372" s="36"/>
    </row>
    <row r="2373" spans="4:48">
      <c r="D2373" s="31"/>
      <c r="E2373" s="31"/>
      <c r="F2373" s="31"/>
      <c r="G2373" s="31"/>
      <c r="H2373" s="32"/>
      <c r="J2373" s="33"/>
      <c r="K2373" s="33"/>
      <c r="L2373" s="33"/>
      <c r="X2373" s="23"/>
      <c r="Y2373" s="23"/>
      <c r="Z2373" s="23"/>
      <c r="AA2373" s="23"/>
      <c r="AF2373" s="23"/>
      <c r="AG2373" s="23"/>
      <c r="AH2373" s="23"/>
      <c r="AI2373" s="23"/>
      <c r="AN2373" s="23"/>
      <c r="AO2373" s="23"/>
      <c r="AP2373" s="23"/>
      <c r="AQ2373" s="23"/>
      <c r="AR2373" s="35"/>
      <c r="AS2373" s="35"/>
      <c r="AT2373" s="35"/>
      <c r="AU2373" s="31"/>
      <c r="AV2373" s="36"/>
    </row>
    <row r="2374" spans="4:48">
      <c r="D2374" s="31"/>
      <c r="E2374" s="31"/>
      <c r="F2374" s="31"/>
      <c r="G2374" s="31"/>
      <c r="H2374" s="32"/>
      <c r="J2374" s="33"/>
      <c r="K2374" s="33"/>
      <c r="L2374" s="33"/>
      <c r="X2374" s="23"/>
      <c r="Y2374" s="23"/>
      <c r="Z2374" s="23"/>
      <c r="AA2374" s="23"/>
      <c r="AF2374" s="23"/>
      <c r="AG2374" s="23"/>
      <c r="AH2374" s="23"/>
      <c r="AI2374" s="23"/>
      <c r="AN2374" s="23"/>
      <c r="AO2374" s="23"/>
      <c r="AP2374" s="23"/>
      <c r="AQ2374" s="23"/>
      <c r="AR2374" s="35"/>
      <c r="AS2374" s="35"/>
      <c r="AT2374" s="35"/>
      <c r="AU2374" s="31"/>
      <c r="AV2374" s="36"/>
    </row>
    <row r="2375" spans="4:48">
      <c r="D2375" s="31"/>
      <c r="E2375" s="31"/>
      <c r="F2375" s="31"/>
      <c r="G2375" s="31"/>
      <c r="H2375" s="32"/>
      <c r="J2375" s="33"/>
      <c r="K2375" s="33"/>
      <c r="L2375" s="33"/>
      <c r="X2375" s="23"/>
      <c r="Y2375" s="23"/>
      <c r="Z2375" s="23"/>
      <c r="AA2375" s="23"/>
      <c r="AF2375" s="23"/>
      <c r="AG2375" s="23"/>
      <c r="AH2375" s="23"/>
      <c r="AI2375" s="23"/>
      <c r="AN2375" s="23"/>
      <c r="AO2375" s="23"/>
      <c r="AP2375" s="23"/>
      <c r="AQ2375" s="23"/>
      <c r="AR2375" s="35"/>
      <c r="AS2375" s="35"/>
      <c r="AT2375" s="35"/>
      <c r="AU2375" s="31"/>
      <c r="AV2375" s="36"/>
    </row>
    <row r="2376" spans="4:48">
      <c r="D2376" s="31"/>
      <c r="E2376" s="31"/>
      <c r="F2376" s="31"/>
      <c r="G2376" s="31"/>
      <c r="H2376" s="32"/>
      <c r="J2376" s="33"/>
      <c r="K2376" s="33"/>
      <c r="L2376" s="33"/>
      <c r="X2376" s="23"/>
      <c r="Y2376" s="23"/>
      <c r="Z2376" s="23"/>
      <c r="AA2376" s="23"/>
      <c r="AF2376" s="23"/>
      <c r="AG2376" s="23"/>
      <c r="AH2376" s="23"/>
      <c r="AI2376" s="23"/>
      <c r="AN2376" s="23"/>
      <c r="AO2376" s="23"/>
      <c r="AP2376" s="23"/>
      <c r="AQ2376" s="23"/>
      <c r="AR2376" s="35"/>
      <c r="AS2376" s="35"/>
      <c r="AT2376" s="35"/>
      <c r="AU2376" s="31"/>
      <c r="AV2376" s="36"/>
    </row>
    <row r="2377" spans="4:48">
      <c r="D2377" s="31"/>
      <c r="E2377" s="31"/>
      <c r="F2377" s="31"/>
      <c r="G2377" s="31"/>
      <c r="H2377" s="32"/>
      <c r="J2377" s="33"/>
      <c r="K2377" s="33"/>
      <c r="L2377" s="33"/>
      <c r="X2377" s="23"/>
      <c r="Y2377" s="23"/>
      <c r="Z2377" s="23"/>
      <c r="AA2377" s="23"/>
      <c r="AF2377" s="23"/>
      <c r="AG2377" s="23"/>
      <c r="AH2377" s="23"/>
      <c r="AI2377" s="23"/>
      <c r="AN2377" s="23"/>
      <c r="AO2377" s="23"/>
      <c r="AP2377" s="23"/>
      <c r="AQ2377" s="23"/>
      <c r="AR2377" s="35"/>
      <c r="AS2377" s="35"/>
      <c r="AT2377" s="35"/>
      <c r="AU2377" s="31"/>
      <c r="AV2377" s="36"/>
    </row>
    <row r="2378" spans="4:48">
      <c r="D2378" s="31"/>
      <c r="E2378" s="31"/>
      <c r="F2378" s="31"/>
      <c r="G2378" s="31"/>
      <c r="H2378" s="32"/>
      <c r="J2378" s="33"/>
      <c r="K2378" s="33"/>
      <c r="L2378" s="33"/>
      <c r="X2378" s="23"/>
      <c r="Y2378" s="23"/>
      <c r="Z2378" s="23"/>
      <c r="AA2378" s="23"/>
      <c r="AF2378" s="23"/>
      <c r="AG2378" s="23"/>
      <c r="AH2378" s="23"/>
      <c r="AI2378" s="23"/>
      <c r="AN2378" s="23"/>
      <c r="AO2378" s="23"/>
      <c r="AP2378" s="23"/>
      <c r="AQ2378" s="23"/>
      <c r="AR2378" s="35"/>
      <c r="AS2378" s="35"/>
      <c r="AT2378" s="35"/>
      <c r="AU2378" s="31"/>
      <c r="AV2378" s="36"/>
    </row>
    <row r="2379" spans="4:48">
      <c r="D2379" s="31"/>
      <c r="E2379" s="31"/>
      <c r="F2379" s="31"/>
      <c r="G2379" s="31"/>
      <c r="H2379" s="32"/>
      <c r="J2379" s="33"/>
      <c r="K2379" s="33"/>
      <c r="L2379" s="33"/>
      <c r="X2379" s="23"/>
      <c r="Y2379" s="23"/>
      <c r="Z2379" s="23"/>
      <c r="AA2379" s="23"/>
      <c r="AF2379" s="23"/>
      <c r="AG2379" s="23"/>
      <c r="AH2379" s="23"/>
      <c r="AI2379" s="23"/>
      <c r="AN2379" s="23"/>
      <c r="AO2379" s="23"/>
      <c r="AP2379" s="23"/>
      <c r="AQ2379" s="23"/>
      <c r="AR2379" s="35"/>
      <c r="AS2379" s="35"/>
      <c r="AT2379" s="35"/>
      <c r="AU2379" s="31"/>
      <c r="AV2379" s="36"/>
    </row>
    <row r="2380" spans="4:48">
      <c r="D2380" s="31"/>
      <c r="E2380" s="31"/>
      <c r="F2380" s="31"/>
      <c r="G2380" s="31"/>
      <c r="H2380" s="32"/>
      <c r="J2380" s="33"/>
      <c r="K2380" s="33"/>
      <c r="L2380" s="33"/>
      <c r="X2380" s="23"/>
      <c r="Y2380" s="23"/>
      <c r="Z2380" s="23"/>
      <c r="AA2380" s="23"/>
      <c r="AF2380" s="23"/>
      <c r="AG2380" s="23"/>
      <c r="AH2380" s="23"/>
      <c r="AI2380" s="23"/>
      <c r="AN2380" s="23"/>
      <c r="AO2380" s="23"/>
      <c r="AP2380" s="23"/>
      <c r="AQ2380" s="23"/>
      <c r="AR2380" s="35"/>
      <c r="AS2380" s="35"/>
      <c r="AT2380" s="35"/>
      <c r="AU2380" s="31"/>
      <c r="AV2380" s="36"/>
    </row>
    <row r="2381" spans="4:48">
      <c r="D2381" s="31"/>
      <c r="E2381" s="31"/>
      <c r="F2381" s="31"/>
      <c r="G2381" s="31"/>
      <c r="H2381" s="32"/>
      <c r="J2381" s="33"/>
      <c r="K2381" s="33"/>
      <c r="L2381" s="33"/>
      <c r="X2381" s="23"/>
      <c r="Y2381" s="23"/>
      <c r="Z2381" s="23"/>
      <c r="AA2381" s="23"/>
      <c r="AF2381" s="23"/>
      <c r="AG2381" s="23"/>
      <c r="AH2381" s="23"/>
      <c r="AI2381" s="23"/>
      <c r="AN2381" s="23"/>
      <c r="AO2381" s="23"/>
      <c r="AP2381" s="23"/>
      <c r="AQ2381" s="23"/>
      <c r="AR2381" s="35"/>
      <c r="AS2381" s="35"/>
      <c r="AT2381" s="35"/>
      <c r="AU2381" s="31"/>
      <c r="AV2381" s="36"/>
    </row>
    <row r="2382" spans="4:48">
      <c r="D2382" s="31"/>
      <c r="E2382" s="31"/>
      <c r="F2382" s="31"/>
      <c r="G2382" s="31"/>
      <c r="H2382" s="32"/>
      <c r="J2382" s="33"/>
      <c r="K2382" s="33"/>
      <c r="L2382" s="33"/>
      <c r="X2382" s="23"/>
      <c r="Y2382" s="23"/>
      <c r="Z2382" s="23"/>
      <c r="AA2382" s="23"/>
      <c r="AF2382" s="23"/>
      <c r="AG2382" s="23"/>
      <c r="AH2382" s="23"/>
      <c r="AI2382" s="23"/>
      <c r="AN2382" s="23"/>
      <c r="AO2382" s="23"/>
      <c r="AP2382" s="23"/>
      <c r="AQ2382" s="23"/>
      <c r="AR2382" s="35"/>
      <c r="AS2382" s="35"/>
      <c r="AT2382" s="35"/>
      <c r="AU2382" s="31"/>
      <c r="AV2382" s="36"/>
    </row>
    <row r="2383" spans="4:48">
      <c r="D2383" s="31"/>
      <c r="E2383" s="31"/>
      <c r="F2383" s="31"/>
      <c r="G2383" s="31"/>
      <c r="H2383" s="32"/>
      <c r="J2383" s="33"/>
      <c r="K2383" s="33"/>
      <c r="L2383" s="33"/>
      <c r="X2383" s="23"/>
      <c r="Y2383" s="23"/>
      <c r="Z2383" s="23"/>
      <c r="AA2383" s="23"/>
      <c r="AF2383" s="23"/>
      <c r="AG2383" s="23"/>
      <c r="AH2383" s="23"/>
      <c r="AI2383" s="23"/>
      <c r="AN2383" s="23"/>
      <c r="AO2383" s="23"/>
      <c r="AP2383" s="23"/>
      <c r="AQ2383" s="23"/>
      <c r="AR2383" s="35"/>
      <c r="AS2383" s="35"/>
      <c r="AT2383" s="35"/>
      <c r="AU2383" s="31"/>
      <c r="AV2383" s="36"/>
    </row>
    <row r="2384" spans="4:48">
      <c r="D2384" s="31"/>
      <c r="E2384" s="31"/>
      <c r="F2384" s="31"/>
      <c r="G2384" s="31"/>
      <c r="H2384" s="32"/>
      <c r="J2384" s="33"/>
      <c r="K2384" s="33"/>
      <c r="L2384" s="33"/>
      <c r="X2384" s="23"/>
      <c r="Y2384" s="23"/>
      <c r="Z2384" s="23"/>
      <c r="AA2384" s="23"/>
      <c r="AF2384" s="23"/>
      <c r="AG2384" s="23"/>
      <c r="AH2384" s="23"/>
      <c r="AI2384" s="23"/>
      <c r="AN2384" s="23"/>
      <c r="AO2384" s="23"/>
      <c r="AP2384" s="23"/>
      <c r="AQ2384" s="23"/>
      <c r="AR2384" s="35"/>
      <c r="AS2384" s="35"/>
      <c r="AT2384" s="35"/>
      <c r="AU2384" s="31"/>
      <c r="AV2384" s="36"/>
    </row>
    <row r="2385" spans="4:48">
      <c r="D2385" s="31"/>
      <c r="E2385" s="31"/>
      <c r="F2385" s="31"/>
      <c r="G2385" s="31"/>
      <c r="H2385" s="32"/>
      <c r="J2385" s="33"/>
      <c r="K2385" s="33"/>
      <c r="L2385" s="33"/>
      <c r="X2385" s="23"/>
      <c r="Y2385" s="23"/>
      <c r="Z2385" s="23"/>
      <c r="AA2385" s="23"/>
      <c r="AF2385" s="23"/>
      <c r="AG2385" s="23"/>
      <c r="AH2385" s="23"/>
      <c r="AI2385" s="23"/>
      <c r="AN2385" s="23"/>
      <c r="AO2385" s="23"/>
      <c r="AP2385" s="23"/>
      <c r="AQ2385" s="23"/>
      <c r="AR2385" s="35"/>
      <c r="AS2385" s="35"/>
      <c r="AT2385" s="35"/>
      <c r="AU2385" s="31"/>
      <c r="AV2385" s="36"/>
    </row>
    <row r="2386" spans="4:48">
      <c r="D2386" s="31"/>
      <c r="E2386" s="31"/>
      <c r="F2386" s="31"/>
      <c r="G2386" s="31"/>
      <c r="H2386" s="32"/>
      <c r="J2386" s="33"/>
      <c r="K2386" s="33"/>
      <c r="L2386" s="33"/>
      <c r="X2386" s="23"/>
      <c r="Y2386" s="23"/>
      <c r="Z2386" s="23"/>
      <c r="AA2386" s="23"/>
      <c r="AF2386" s="23"/>
      <c r="AG2386" s="23"/>
      <c r="AH2386" s="23"/>
      <c r="AI2386" s="23"/>
      <c r="AN2386" s="23"/>
      <c r="AO2386" s="23"/>
      <c r="AP2386" s="23"/>
      <c r="AQ2386" s="23"/>
      <c r="AR2386" s="35"/>
      <c r="AS2386" s="35"/>
      <c r="AT2386" s="35"/>
      <c r="AU2386" s="31"/>
      <c r="AV2386" s="36"/>
    </row>
    <row r="2387" spans="4:48">
      <c r="D2387" s="31"/>
      <c r="E2387" s="31"/>
      <c r="F2387" s="31"/>
      <c r="G2387" s="31"/>
      <c r="H2387" s="32"/>
      <c r="J2387" s="33"/>
      <c r="K2387" s="33"/>
      <c r="L2387" s="33"/>
      <c r="X2387" s="23"/>
      <c r="Y2387" s="23"/>
      <c r="Z2387" s="23"/>
      <c r="AA2387" s="23"/>
      <c r="AF2387" s="23"/>
      <c r="AG2387" s="23"/>
      <c r="AH2387" s="23"/>
      <c r="AI2387" s="23"/>
      <c r="AN2387" s="23"/>
      <c r="AO2387" s="23"/>
      <c r="AP2387" s="23"/>
      <c r="AQ2387" s="23"/>
      <c r="AR2387" s="35"/>
      <c r="AS2387" s="35"/>
      <c r="AT2387" s="35"/>
      <c r="AU2387" s="31"/>
      <c r="AV2387" s="36"/>
    </row>
    <row r="2388" spans="4:48">
      <c r="D2388" s="31"/>
      <c r="E2388" s="31"/>
      <c r="F2388" s="31"/>
      <c r="G2388" s="31"/>
      <c r="H2388" s="32"/>
      <c r="J2388" s="33"/>
      <c r="K2388" s="33"/>
      <c r="L2388" s="33"/>
      <c r="X2388" s="23"/>
      <c r="Y2388" s="23"/>
      <c r="Z2388" s="23"/>
      <c r="AA2388" s="23"/>
      <c r="AF2388" s="23"/>
      <c r="AG2388" s="23"/>
      <c r="AH2388" s="23"/>
      <c r="AI2388" s="23"/>
      <c r="AN2388" s="23"/>
      <c r="AO2388" s="23"/>
      <c r="AP2388" s="23"/>
      <c r="AQ2388" s="23"/>
      <c r="AR2388" s="35"/>
      <c r="AS2388" s="35"/>
      <c r="AT2388" s="35"/>
      <c r="AU2388" s="31"/>
      <c r="AV2388" s="36"/>
    </row>
    <row r="2389" spans="4:48">
      <c r="D2389" s="31"/>
      <c r="E2389" s="31"/>
      <c r="F2389" s="31"/>
      <c r="G2389" s="31"/>
      <c r="H2389" s="32"/>
      <c r="J2389" s="33"/>
      <c r="K2389" s="33"/>
      <c r="L2389" s="33"/>
      <c r="X2389" s="23"/>
      <c r="Y2389" s="23"/>
      <c r="Z2389" s="23"/>
      <c r="AA2389" s="23"/>
      <c r="AF2389" s="23"/>
      <c r="AG2389" s="23"/>
      <c r="AH2389" s="23"/>
      <c r="AI2389" s="23"/>
      <c r="AN2389" s="23"/>
      <c r="AO2389" s="23"/>
      <c r="AP2389" s="23"/>
      <c r="AQ2389" s="23"/>
      <c r="AR2389" s="35"/>
      <c r="AS2389" s="35"/>
      <c r="AT2389" s="35"/>
      <c r="AU2389" s="31"/>
      <c r="AV2389" s="36"/>
    </row>
    <row r="2390" spans="4:48">
      <c r="D2390" s="31"/>
      <c r="E2390" s="31"/>
      <c r="F2390" s="31"/>
      <c r="G2390" s="31"/>
      <c r="H2390" s="32"/>
      <c r="J2390" s="33"/>
      <c r="K2390" s="33"/>
      <c r="L2390" s="33"/>
      <c r="X2390" s="23"/>
      <c r="Y2390" s="23"/>
      <c r="Z2390" s="23"/>
      <c r="AA2390" s="23"/>
      <c r="AF2390" s="23"/>
      <c r="AG2390" s="23"/>
      <c r="AH2390" s="23"/>
      <c r="AI2390" s="23"/>
      <c r="AN2390" s="23"/>
      <c r="AO2390" s="23"/>
      <c r="AP2390" s="23"/>
      <c r="AQ2390" s="23"/>
      <c r="AR2390" s="35"/>
      <c r="AS2390" s="35"/>
      <c r="AT2390" s="35"/>
      <c r="AU2390" s="31"/>
      <c r="AV2390" s="36"/>
    </row>
    <row r="2391" spans="4:48">
      <c r="D2391" s="31"/>
      <c r="E2391" s="31"/>
      <c r="F2391" s="31"/>
      <c r="G2391" s="31"/>
      <c r="H2391" s="32"/>
      <c r="J2391" s="33"/>
      <c r="K2391" s="33"/>
      <c r="L2391" s="33"/>
      <c r="X2391" s="23"/>
      <c r="Y2391" s="23"/>
      <c r="Z2391" s="23"/>
      <c r="AA2391" s="23"/>
      <c r="AF2391" s="23"/>
      <c r="AG2391" s="23"/>
      <c r="AH2391" s="23"/>
      <c r="AI2391" s="23"/>
      <c r="AN2391" s="23"/>
      <c r="AO2391" s="23"/>
      <c r="AP2391" s="23"/>
      <c r="AQ2391" s="23"/>
      <c r="AR2391" s="35"/>
      <c r="AS2391" s="35"/>
      <c r="AT2391" s="35"/>
      <c r="AU2391" s="31"/>
      <c r="AV2391" s="36"/>
    </row>
    <row r="2392" spans="4:48">
      <c r="D2392" s="31"/>
      <c r="E2392" s="31"/>
      <c r="F2392" s="31"/>
      <c r="G2392" s="31"/>
      <c r="H2392" s="32"/>
      <c r="J2392" s="33"/>
      <c r="K2392" s="33"/>
      <c r="L2392" s="33"/>
      <c r="X2392" s="23"/>
      <c r="Y2392" s="23"/>
      <c r="Z2392" s="23"/>
      <c r="AA2392" s="23"/>
      <c r="AF2392" s="23"/>
      <c r="AG2392" s="23"/>
      <c r="AH2392" s="23"/>
      <c r="AI2392" s="23"/>
      <c r="AN2392" s="23"/>
      <c r="AO2392" s="23"/>
      <c r="AP2392" s="23"/>
      <c r="AQ2392" s="23"/>
      <c r="AR2392" s="35"/>
      <c r="AS2392" s="35"/>
      <c r="AT2392" s="35"/>
      <c r="AU2392" s="31"/>
      <c r="AV2392" s="36"/>
    </row>
    <row r="2393" spans="4:48">
      <c r="D2393" s="31"/>
      <c r="E2393" s="31"/>
      <c r="F2393" s="31"/>
      <c r="G2393" s="31"/>
      <c r="H2393" s="32"/>
      <c r="J2393" s="33"/>
      <c r="K2393" s="33"/>
      <c r="L2393" s="33"/>
      <c r="X2393" s="23"/>
      <c r="Y2393" s="23"/>
      <c r="Z2393" s="23"/>
      <c r="AA2393" s="23"/>
      <c r="AF2393" s="23"/>
      <c r="AG2393" s="23"/>
      <c r="AH2393" s="23"/>
      <c r="AI2393" s="23"/>
      <c r="AN2393" s="23"/>
      <c r="AO2393" s="23"/>
      <c r="AP2393" s="23"/>
      <c r="AQ2393" s="23"/>
      <c r="AR2393" s="35"/>
      <c r="AS2393" s="35"/>
      <c r="AT2393" s="35"/>
      <c r="AU2393" s="31"/>
      <c r="AV2393" s="36"/>
    </row>
    <row r="2394" spans="4:48">
      <c r="D2394" s="31"/>
      <c r="E2394" s="31"/>
      <c r="F2394" s="31"/>
      <c r="G2394" s="31"/>
      <c r="H2394" s="32"/>
      <c r="J2394" s="33"/>
      <c r="K2394" s="33"/>
      <c r="L2394" s="33"/>
      <c r="X2394" s="23"/>
      <c r="Y2394" s="23"/>
      <c r="Z2394" s="23"/>
      <c r="AA2394" s="23"/>
      <c r="AF2394" s="23"/>
      <c r="AG2394" s="23"/>
      <c r="AH2394" s="23"/>
      <c r="AI2394" s="23"/>
      <c r="AN2394" s="23"/>
      <c r="AO2394" s="23"/>
      <c r="AP2394" s="23"/>
      <c r="AQ2394" s="23"/>
      <c r="AR2394" s="35"/>
      <c r="AS2394" s="35"/>
      <c r="AT2394" s="35"/>
      <c r="AU2394" s="31"/>
      <c r="AV2394" s="36"/>
    </row>
    <row r="2395" spans="4:48">
      <c r="D2395" s="31"/>
      <c r="E2395" s="31"/>
      <c r="F2395" s="31"/>
      <c r="G2395" s="31"/>
      <c r="H2395" s="32"/>
      <c r="J2395" s="33"/>
      <c r="K2395" s="33"/>
      <c r="L2395" s="33"/>
      <c r="X2395" s="23"/>
      <c r="Y2395" s="23"/>
      <c r="Z2395" s="23"/>
      <c r="AA2395" s="23"/>
      <c r="AF2395" s="23"/>
      <c r="AG2395" s="23"/>
      <c r="AH2395" s="23"/>
      <c r="AI2395" s="23"/>
      <c r="AN2395" s="23"/>
      <c r="AO2395" s="23"/>
      <c r="AP2395" s="23"/>
      <c r="AQ2395" s="23"/>
      <c r="AR2395" s="35"/>
      <c r="AS2395" s="35"/>
      <c r="AT2395" s="35"/>
      <c r="AU2395" s="31"/>
      <c r="AV2395" s="36"/>
    </row>
    <row r="2396" spans="4:48">
      <c r="D2396" s="31"/>
      <c r="E2396" s="31"/>
      <c r="F2396" s="31"/>
      <c r="G2396" s="31"/>
      <c r="H2396" s="32"/>
      <c r="J2396" s="33"/>
      <c r="K2396" s="33"/>
      <c r="L2396" s="33"/>
      <c r="X2396" s="23"/>
      <c r="Y2396" s="23"/>
      <c r="Z2396" s="23"/>
      <c r="AA2396" s="23"/>
      <c r="AF2396" s="23"/>
      <c r="AG2396" s="23"/>
      <c r="AH2396" s="23"/>
      <c r="AI2396" s="23"/>
      <c r="AN2396" s="23"/>
      <c r="AO2396" s="23"/>
      <c r="AP2396" s="23"/>
      <c r="AQ2396" s="23"/>
      <c r="AR2396" s="35"/>
      <c r="AS2396" s="35"/>
      <c r="AT2396" s="35"/>
      <c r="AU2396" s="31"/>
      <c r="AV2396" s="36"/>
    </row>
    <row r="2397" spans="4:48">
      <c r="D2397" s="31"/>
      <c r="E2397" s="31"/>
      <c r="F2397" s="31"/>
      <c r="G2397" s="31"/>
      <c r="H2397" s="32"/>
      <c r="J2397" s="33"/>
      <c r="K2397" s="33"/>
      <c r="L2397" s="33"/>
      <c r="X2397" s="23"/>
      <c r="Y2397" s="23"/>
      <c r="Z2397" s="23"/>
      <c r="AA2397" s="23"/>
      <c r="AF2397" s="23"/>
      <c r="AG2397" s="23"/>
      <c r="AH2397" s="23"/>
      <c r="AI2397" s="23"/>
      <c r="AN2397" s="23"/>
      <c r="AO2397" s="23"/>
      <c r="AP2397" s="23"/>
      <c r="AQ2397" s="23"/>
      <c r="AR2397" s="35"/>
      <c r="AS2397" s="35"/>
      <c r="AT2397" s="35"/>
      <c r="AU2397" s="31"/>
      <c r="AV2397" s="36"/>
    </row>
    <row r="2398" spans="4:48">
      <c r="D2398" s="31"/>
      <c r="E2398" s="31"/>
      <c r="F2398" s="31"/>
      <c r="G2398" s="31"/>
      <c r="H2398" s="32"/>
      <c r="J2398" s="33"/>
      <c r="K2398" s="33"/>
      <c r="L2398" s="33"/>
      <c r="X2398" s="23"/>
      <c r="Y2398" s="23"/>
      <c r="Z2398" s="23"/>
      <c r="AA2398" s="23"/>
      <c r="AF2398" s="23"/>
      <c r="AG2398" s="23"/>
      <c r="AH2398" s="23"/>
      <c r="AI2398" s="23"/>
      <c r="AN2398" s="23"/>
      <c r="AO2398" s="23"/>
      <c r="AP2398" s="23"/>
      <c r="AQ2398" s="23"/>
      <c r="AR2398" s="35"/>
      <c r="AS2398" s="35"/>
      <c r="AT2398" s="35"/>
      <c r="AU2398" s="31"/>
      <c r="AV2398" s="36"/>
    </row>
    <row r="2399" spans="4:48">
      <c r="D2399" s="31"/>
      <c r="E2399" s="31"/>
      <c r="F2399" s="31"/>
      <c r="G2399" s="31"/>
      <c r="H2399" s="32"/>
      <c r="J2399" s="33"/>
      <c r="K2399" s="33"/>
      <c r="L2399" s="33"/>
      <c r="X2399" s="23"/>
      <c r="Y2399" s="23"/>
      <c r="Z2399" s="23"/>
      <c r="AA2399" s="23"/>
      <c r="AF2399" s="23"/>
      <c r="AG2399" s="23"/>
      <c r="AH2399" s="23"/>
      <c r="AI2399" s="23"/>
      <c r="AN2399" s="23"/>
      <c r="AO2399" s="23"/>
      <c r="AP2399" s="23"/>
      <c r="AQ2399" s="23"/>
      <c r="AR2399" s="35"/>
      <c r="AS2399" s="35"/>
      <c r="AT2399" s="35"/>
      <c r="AU2399" s="31"/>
      <c r="AV2399" s="36"/>
    </row>
    <row r="2400" spans="4:48">
      <c r="D2400" s="31"/>
      <c r="E2400" s="31"/>
      <c r="F2400" s="31"/>
      <c r="G2400" s="31"/>
      <c r="H2400" s="32"/>
      <c r="J2400" s="33"/>
      <c r="K2400" s="33"/>
      <c r="L2400" s="33"/>
      <c r="X2400" s="23"/>
      <c r="Y2400" s="23"/>
      <c r="Z2400" s="23"/>
      <c r="AA2400" s="23"/>
      <c r="AF2400" s="23"/>
      <c r="AG2400" s="23"/>
      <c r="AH2400" s="23"/>
      <c r="AI2400" s="23"/>
      <c r="AN2400" s="23"/>
      <c r="AO2400" s="23"/>
      <c r="AP2400" s="23"/>
      <c r="AQ2400" s="23"/>
      <c r="AR2400" s="35"/>
      <c r="AS2400" s="35"/>
      <c r="AT2400" s="35"/>
      <c r="AU2400" s="31"/>
      <c r="AV2400" s="36"/>
    </row>
    <row r="2401" spans="4:48">
      <c r="D2401" s="31"/>
      <c r="E2401" s="31"/>
      <c r="F2401" s="31"/>
      <c r="G2401" s="31"/>
      <c r="H2401" s="32"/>
      <c r="J2401" s="33"/>
      <c r="K2401" s="33"/>
      <c r="L2401" s="33"/>
      <c r="X2401" s="23"/>
      <c r="Y2401" s="23"/>
      <c r="Z2401" s="23"/>
      <c r="AA2401" s="23"/>
      <c r="AF2401" s="23"/>
      <c r="AG2401" s="23"/>
      <c r="AH2401" s="23"/>
      <c r="AI2401" s="23"/>
      <c r="AN2401" s="23"/>
      <c r="AO2401" s="23"/>
      <c r="AP2401" s="23"/>
      <c r="AQ2401" s="23"/>
      <c r="AR2401" s="35"/>
      <c r="AS2401" s="35"/>
      <c r="AT2401" s="35"/>
      <c r="AU2401" s="31"/>
      <c r="AV2401" s="36"/>
    </row>
    <row r="2402" spans="4:48">
      <c r="D2402" s="31"/>
      <c r="E2402" s="31"/>
      <c r="F2402" s="31"/>
      <c r="G2402" s="31"/>
      <c r="H2402" s="32"/>
      <c r="J2402" s="33"/>
      <c r="K2402" s="33"/>
      <c r="L2402" s="33"/>
      <c r="X2402" s="23"/>
      <c r="Y2402" s="23"/>
      <c r="Z2402" s="23"/>
      <c r="AA2402" s="23"/>
      <c r="AF2402" s="23"/>
      <c r="AG2402" s="23"/>
      <c r="AH2402" s="23"/>
      <c r="AI2402" s="23"/>
      <c r="AN2402" s="23"/>
      <c r="AO2402" s="23"/>
      <c r="AP2402" s="23"/>
      <c r="AQ2402" s="23"/>
      <c r="AR2402" s="35"/>
      <c r="AS2402" s="35"/>
      <c r="AT2402" s="35"/>
      <c r="AU2402" s="31"/>
      <c r="AV2402" s="36"/>
    </row>
    <row r="2403" spans="4:48">
      <c r="D2403" s="31"/>
      <c r="E2403" s="31"/>
      <c r="F2403" s="31"/>
      <c r="G2403" s="31"/>
      <c r="H2403" s="32"/>
      <c r="J2403" s="33"/>
      <c r="K2403" s="33"/>
      <c r="L2403" s="33"/>
      <c r="X2403" s="23"/>
      <c r="Y2403" s="23"/>
      <c r="Z2403" s="23"/>
      <c r="AA2403" s="23"/>
      <c r="AF2403" s="23"/>
      <c r="AG2403" s="23"/>
      <c r="AH2403" s="23"/>
      <c r="AI2403" s="23"/>
      <c r="AN2403" s="23"/>
      <c r="AO2403" s="23"/>
      <c r="AP2403" s="23"/>
      <c r="AQ2403" s="23"/>
      <c r="AR2403" s="35"/>
      <c r="AS2403" s="35"/>
      <c r="AT2403" s="35"/>
      <c r="AU2403" s="31"/>
      <c r="AV2403" s="36"/>
    </row>
    <row r="2404" spans="4:48">
      <c r="D2404" s="31"/>
      <c r="E2404" s="31"/>
      <c r="F2404" s="31"/>
      <c r="G2404" s="31"/>
      <c r="H2404" s="32"/>
      <c r="J2404" s="33"/>
      <c r="K2404" s="33"/>
      <c r="L2404" s="33"/>
      <c r="X2404" s="23"/>
      <c r="Y2404" s="23"/>
      <c r="Z2404" s="23"/>
      <c r="AA2404" s="23"/>
      <c r="AF2404" s="23"/>
      <c r="AG2404" s="23"/>
      <c r="AH2404" s="23"/>
      <c r="AI2404" s="23"/>
      <c r="AN2404" s="23"/>
      <c r="AO2404" s="23"/>
      <c r="AP2404" s="23"/>
      <c r="AQ2404" s="23"/>
      <c r="AR2404" s="35"/>
      <c r="AS2404" s="35"/>
      <c r="AT2404" s="35"/>
      <c r="AU2404" s="31"/>
      <c r="AV2404" s="36"/>
    </row>
    <row r="2405" spans="4:48">
      <c r="D2405" s="31"/>
      <c r="E2405" s="31"/>
      <c r="F2405" s="31"/>
      <c r="G2405" s="31"/>
      <c r="H2405" s="32"/>
      <c r="J2405" s="33"/>
      <c r="K2405" s="33"/>
      <c r="L2405" s="33"/>
      <c r="X2405" s="23"/>
      <c r="Y2405" s="23"/>
      <c r="Z2405" s="23"/>
      <c r="AA2405" s="23"/>
      <c r="AF2405" s="23"/>
      <c r="AG2405" s="23"/>
      <c r="AH2405" s="23"/>
      <c r="AI2405" s="23"/>
      <c r="AN2405" s="23"/>
      <c r="AO2405" s="23"/>
      <c r="AP2405" s="23"/>
      <c r="AQ2405" s="23"/>
      <c r="AR2405" s="35"/>
      <c r="AS2405" s="35"/>
      <c r="AT2405" s="35"/>
      <c r="AU2405" s="31"/>
      <c r="AV2405" s="36"/>
    </row>
    <row r="2406" spans="4:48">
      <c r="D2406" s="31"/>
      <c r="E2406" s="31"/>
      <c r="F2406" s="31"/>
      <c r="G2406" s="31"/>
      <c r="H2406" s="32"/>
      <c r="J2406" s="33"/>
      <c r="K2406" s="33"/>
      <c r="L2406" s="33"/>
      <c r="X2406" s="23"/>
      <c r="Y2406" s="23"/>
      <c r="Z2406" s="23"/>
      <c r="AA2406" s="23"/>
      <c r="AF2406" s="23"/>
      <c r="AG2406" s="23"/>
      <c r="AH2406" s="23"/>
      <c r="AI2406" s="23"/>
      <c r="AN2406" s="23"/>
      <c r="AO2406" s="23"/>
      <c r="AP2406" s="23"/>
      <c r="AQ2406" s="23"/>
      <c r="AR2406" s="35"/>
      <c r="AS2406" s="35"/>
      <c r="AT2406" s="35"/>
      <c r="AU2406" s="31"/>
      <c r="AV2406" s="36"/>
    </row>
    <row r="2407" spans="4:48">
      <c r="D2407" s="31"/>
      <c r="E2407" s="31"/>
      <c r="F2407" s="31"/>
      <c r="G2407" s="31"/>
      <c r="H2407" s="32"/>
      <c r="J2407" s="33"/>
      <c r="K2407" s="33"/>
      <c r="L2407" s="33"/>
      <c r="X2407" s="23"/>
      <c r="Y2407" s="23"/>
      <c r="Z2407" s="23"/>
      <c r="AA2407" s="23"/>
      <c r="AF2407" s="23"/>
      <c r="AG2407" s="23"/>
      <c r="AH2407" s="23"/>
      <c r="AI2407" s="23"/>
      <c r="AN2407" s="23"/>
      <c r="AO2407" s="23"/>
      <c r="AP2407" s="23"/>
      <c r="AQ2407" s="23"/>
      <c r="AR2407" s="35"/>
      <c r="AS2407" s="35"/>
      <c r="AT2407" s="35"/>
      <c r="AU2407" s="31"/>
      <c r="AV2407" s="36"/>
    </row>
    <row r="2408" spans="4:48">
      <c r="D2408" s="31"/>
      <c r="E2408" s="31"/>
      <c r="F2408" s="31"/>
      <c r="G2408" s="31"/>
      <c r="H2408" s="32"/>
      <c r="J2408" s="33"/>
      <c r="K2408" s="33"/>
      <c r="L2408" s="33"/>
      <c r="X2408" s="23"/>
      <c r="Y2408" s="23"/>
      <c r="Z2408" s="23"/>
      <c r="AA2408" s="23"/>
      <c r="AF2408" s="23"/>
      <c r="AG2408" s="23"/>
      <c r="AH2408" s="23"/>
      <c r="AI2408" s="23"/>
      <c r="AN2408" s="23"/>
      <c r="AO2408" s="23"/>
      <c r="AP2408" s="23"/>
      <c r="AQ2408" s="23"/>
      <c r="AR2408" s="35"/>
      <c r="AS2408" s="35"/>
      <c r="AT2408" s="35"/>
      <c r="AU2408" s="31"/>
      <c r="AV2408" s="36"/>
    </row>
    <row r="2409" spans="4:48">
      <c r="D2409" s="31"/>
      <c r="E2409" s="31"/>
      <c r="F2409" s="31"/>
      <c r="G2409" s="31"/>
      <c r="H2409" s="32"/>
      <c r="J2409" s="33"/>
      <c r="K2409" s="33"/>
      <c r="L2409" s="33"/>
      <c r="X2409" s="23"/>
      <c r="Y2409" s="23"/>
      <c r="Z2409" s="23"/>
      <c r="AA2409" s="23"/>
      <c r="AF2409" s="23"/>
      <c r="AG2409" s="23"/>
      <c r="AH2409" s="23"/>
      <c r="AI2409" s="23"/>
      <c r="AN2409" s="23"/>
      <c r="AO2409" s="23"/>
      <c r="AP2409" s="23"/>
      <c r="AQ2409" s="23"/>
      <c r="AR2409" s="35"/>
      <c r="AS2409" s="35"/>
      <c r="AT2409" s="35"/>
      <c r="AU2409" s="31"/>
      <c r="AV2409" s="36"/>
    </row>
    <row r="2410" spans="4:48">
      <c r="D2410" s="31"/>
      <c r="E2410" s="31"/>
      <c r="F2410" s="31"/>
      <c r="G2410" s="31"/>
      <c r="H2410" s="32"/>
      <c r="J2410" s="33"/>
      <c r="K2410" s="33"/>
      <c r="L2410" s="33"/>
      <c r="X2410" s="23"/>
      <c r="Y2410" s="23"/>
      <c r="Z2410" s="23"/>
      <c r="AA2410" s="23"/>
      <c r="AF2410" s="23"/>
      <c r="AG2410" s="23"/>
      <c r="AH2410" s="23"/>
      <c r="AI2410" s="23"/>
      <c r="AN2410" s="23"/>
      <c r="AO2410" s="23"/>
      <c r="AP2410" s="23"/>
      <c r="AQ2410" s="23"/>
      <c r="AR2410" s="35"/>
      <c r="AS2410" s="35"/>
      <c r="AT2410" s="35"/>
      <c r="AU2410" s="31"/>
      <c r="AV2410" s="36"/>
    </row>
    <row r="2411" spans="4:48">
      <c r="D2411" s="31"/>
      <c r="E2411" s="31"/>
      <c r="F2411" s="31"/>
      <c r="G2411" s="31"/>
      <c r="H2411" s="32"/>
      <c r="J2411" s="33"/>
      <c r="K2411" s="33"/>
      <c r="L2411" s="33"/>
      <c r="X2411" s="23"/>
      <c r="Y2411" s="23"/>
      <c r="Z2411" s="23"/>
      <c r="AA2411" s="23"/>
      <c r="AF2411" s="23"/>
      <c r="AG2411" s="23"/>
      <c r="AH2411" s="23"/>
      <c r="AI2411" s="23"/>
      <c r="AN2411" s="23"/>
      <c r="AO2411" s="23"/>
      <c r="AP2411" s="23"/>
      <c r="AQ2411" s="23"/>
      <c r="AR2411" s="35"/>
      <c r="AS2411" s="35"/>
      <c r="AT2411" s="35"/>
      <c r="AU2411" s="31"/>
      <c r="AV2411" s="36"/>
    </row>
    <row r="2412" spans="4:48">
      <c r="D2412" s="31"/>
      <c r="E2412" s="31"/>
      <c r="F2412" s="31"/>
      <c r="G2412" s="31"/>
      <c r="H2412" s="32"/>
      <c r="J2412" s="33"/>
      <c r="K2412" s="33"/>
      <c r="L2412" s="33"/>
      <c r="X2412" s="23"/>
      <c r="Y2412" s="23"/>
      <c r="Z2412" s="23"/>
      <c r="AA2412" s="23"/>
      <c r="AF2412" s="23"/>
      <c r="AG2412" s="23"/>
      <c r="AH2412" s="23"/>
      <c r="AI2412" s="23"/>
      <c r="AN2412" s="23"/>
      <c r="AO2412" s="23"/>
      <c r="AP2412" s="23"/>
      <c r="AQ2412" s="23"/>
      <c r="AR2412" s="35"/>
      <c r="AS2412" s="35"/>
      <c r="AT2412" s="35"/>
      <c r="AU2412" s="31"/>
      <c r="AV2412" s="36"/>
    </row>
    <row r="2413" spans="4:48">
      <c r="D2413" s="31"/>
      <c r="E2413" s="31"/>
      <c r="F2413" s="31"/>
      <c r="G2413" s="31"/>
      <c r="H2413" s="32"/>
      <c r="J2413" s="33"/>
      <c r="K2413" s="33"/>
      <c r="L2413" s="33"/>
      <c r="X2413" s="23"/>
      <c r="Y2413" s="23"/>
      <c r="Z2413" s="23"/>
      <c r="AA2413" s="23"/>
      <c r="AF2413" s="23"/>
      <c r="AG2413" s="23"/>
      <c r="AH2413" s="23"/>
      <c r="AI2413" s="23"/>
      <c r="AN2413" s="23"/>
      <c r="AO2413" s="23"/>
      <c r="AP2413" s="23"/>
      <c r="AQ2413" s="23"/>
      <c r="AR2413" s="35"/>
      <c r="AS2413" s="35"/>
      <c r="AT2413" s="35"/>
      <c r="AU2413" s="31"/>
      <c r="AV2413" s="36"/>
    </row>
    <row r="2414" spans="4:48">
      <c r="D2414" s="31"/>
      <c r="E2414" s="31"/>
      <c r="F2414" s="31"/>
      <c r="G2414" s="31"/>
      <c r="H2414" s="32"/>
      <c r="J2414" s="33"/>
      <c r="K2414" s="33"/>
      <c r="L2414" s="33"/>
      <c r="X2414" s="23"/>
      <c r="Y2414" s="23"/>
      <c r="Z2414" s="23"/>
      <c r="AA2414" s="23"/>
      <c r="AF2414" s="23"/>
      <c r="AG2414" s="23"/>
      <c r="AH2414" s="23"/>
      <c r="AI2414" s="23"/>
      <c r="AN2414" s="23"/>
      <c r="AO2414" s="23"/>
      <c r="AP2414" s="23"/>
      <c r="AQ2414" s="23"/>
      <c r="AR2414" s="35"/>
      <c r="AS2414" s="35"/>
      <c r="AT2414" s="35"/>
      <c r="AU2414" s="31"/>
      <c r="AV2414" s="36"/>
    </row>
    <row r="2415" spans="4:48">
      <c r="D2415" s="31"/>
      <c r="E2415" s="31"/>
      <c r="F2415" s="31"/>
      <c r="G2415" s="31"/>
      <c r="H2415" s="32"/>
      <c r="J2415" s="33"/>
      <c r="K2415" s="33"/>
      <c r="L2415" s="33"/>
      <c r="X2415" s="23"/>
      <c r="Y2415" s="23"/>
      <c r="Z2415" s="23"/>
      <c r="AA2415" s="23"/>
      <c r="AF2415" s="23"/>
      <c r="AG2415" s="23"/>
      <c r="AH2415" s="23"/>
      <c r="AI2415" s="23"/>
      <c r="AN2415" s="23"/>
      <c r="AO2415" s="23"/>
      <c r="AP2415" s="23"/>
      <c r="AQ2415" s="23"/>
      <c r="AR2415" s="35"/>
      <c r="AS2415" s="35"/>
      <c r="AT2415" s="35"/>
      <c r="AU2415" s="31"/>
      <c r="AV2415" s="36"/>
    </row>
    <row r="2416" spans="4:48">
      <c r="D2416" s="31"/>
      <c r="E2416" s="31"/>
      <c r="F2416" s="31"/>
      <c r="G2416" s="31"/>
      <c r="H2416" s="32"/>
      <c r="J2416" s="33"/>
      <c r="K2416" s="33"/>
      <c r="L2416" s="33"/>
      <c r="X2416" s="23"/>
      <c r="Y2416" s="23"/>
      <c r="Z2416" s="23"/>
      <c r="AA2416" s="23"/>
      <c r="AF2416" s="23"/>
      <c r="AG2416" s="23"/>
      <c r="AH2416" s="23"/>
      <c r="AI2416" s="23"/>
      <c r="AN2416" s="23"/>
      <c r="AO2416" s="23"/>
      <c r="AP2416" s="23"/>
      <c r="AQ2416" s="23"/>
      <c r="AR2416" s="35"/>
      <c r="AS2416" s="35"/>
      <c r="AT2416" s="35"/>
      <c r="AU2416" s="31"/>
      <c r="AV2416" s="36"/>
    </row>
    <row r="2417" spans="4:48">
      <c r="D2417" s="31"/>
      <c r="E2417" s="31"/>
      <c r="F2417" s="31"/>
      <c r="G2417" s="31"/>
      <c r="H2417" s="32"/>
      <c r="J2417" s="33"/>
      <c r="K2417" s="33"/>
      <c r="L2417" s="33"/>
      <c r="X2417" s="23"/>
      <c r="Y2417" s="23"/>
      <c r="Z2417" s="23"/>
      <c r="AA2417" s="23"/>
      <c r="AF2417" s="23"/>
      <c r="AG2417" s="23"/>
      <c r="AH2417" s="23"/>
      <c r="AI2417" s="23"/>
      <c r="AN2417" s="23"/>
      <c r="AO2417" s="23"/>
      <c r="AP2417" s="23"/>
      <c r="AQ2417" s="23"/>
      <c r="AR2417" s="35"/>
      <c r="AS2417" s="35"/>
      <c r="AT2417" s="35"/>
      <c r="AU2417" s="31"/>
      <c r="AV2417" s="36"/>
    </row>
    <row r="2418" spans="4:48">
      <c r="D2418" s="31"/>
      <c r="E2418" s="31"/>
      <c r="F2418" s="31"/>
      <c r="G2418" s="31"/>
      <c r="H2418" s="32"/>
      <c r="J2418" s="33"/>
      <c r="K2418" s="33"/>
      <c r="L2418" s="33"/>
      <c r="X2418" s="23"/>
      <c r="Y2418" s="23"/>
      <c r="Z2418" s="23"/>
      <c r="AA2418" s="23"/>
      <c r="AF2418" s="23"/>
      <c r="AG2418" s="23"/>
      <c r="AH2418" s="23"/>
      <c r="AI2418" s="23"/>
      <c r="AN2418" s="23"/>
      <c r="AO2418" s="23"/>
      <c r="AP2418" s="23"/>
      <c r="AQ2418" s="23"/>
      <c r="AR2418" s="35"/>
      <c r="AS2418" s="35"/>
      <c r="AT2418" s="35"/>
      <c r="AU2418" s="31"/>
      <c r="AV2418" s="36"/>
    </row>
    <row r="2419" spans="4:48">
      <c r="D2419" s="31"/>
      <c r="E2419" s="31"/>
      <c r="F2419" s="31"/>
      <c r="G2419" s="31"/>
      <c r="H2419" s="32"/>
      <c r="J2419" s="33"/>
      <c r="K2419" s="33"/>
      <c r="L2419" s="33"/>
      <c r="X2419" s="23"/>
      <c r="Y2419" s="23"/>
      <c r="Z2419" s="23"/>
      <c r="AA2419" s="23"/>
      <c r="AF2419" s="23"/>
      <c r="AG2419" s="23"/>
      <c r="AH2419" s="23"/>
      <c r="AI2419" s="23"/>
      <c r="AN2419" s="23"/>
      <c r="AO2419" s="23"/>
      <c r="AP2419" s="23"/>
      <c r="AQ2419" s="23"/>
      <c r="AR2419" s="35"/>
      <c r="AS2419" s="35"/>
      <c r="AT2419" s="35"/>
      <c r="AU2419" s="31"/>
      <c r="AV2419" s="36"/>
    </row>
    <row r="2420" spans="4:48">
      <c r="D2420" s="31"/>
      <c r="E2420" s="31"/>
      <c r="F2420" s="31"/>
      <c r="G2420" s="31"/>
      <c r="H2420" s="32"/>
      <c r="J2420" s="33"/>
      <c r="K2420" s="33"/>
      <c r="L2420" s="33"/>
      <c r="X2420" s="23"/>
      <c r="Y2420" s="23"/>
      <c r="Z2420" s="23"/>
      <c r="AA2420" s="23"/>
      <c r="AF2420" s="23"/>
      <c r="AG2420" s="23"/>
      <c r="AH2420" s="23"/>
      <c r="AI2420" s="23"/>
      <c r="AN2420" s="23"/>
      <c r="AO2420" s="23"/>
      <c r="AP2420" s="23"/>
      <c r="AQ2420" s="23"/>
      <c r="AR2420" s="35"/>
      <c r="AS2420" s="35"/>
      <c r="AT2420" s="35"/>
      <c r="AU2420" s="31"/>
      <c r="AV2420" s="36"/>
    </row>
    <row r="2421" spans="4:48">
      <c r="D2421" s="31"/>
      <c r="E2421" s="31"/>
      <c r="F2421" s="31"/>
      <c r="G2421" s="31"/>
      <c r="H2421" s="32"/>
      <c r="J2421" s="33"/>
      <c r="K2421" s="33"/>
      <c r="L2421" s="33"/>
      <c r="X2421" s="23"/>
      <c r="Y2421" s="23"/>
      <c r="Z2421" s="23"/>
      <c r="AA2421" s="23"/>
      <c r="AF2421" s="23"/>
      <c r="AG2421" s="23"/>
      <c r="AH2421" s="23"/>
      <c r="AI2421" s="23"/>
      <c r="AN2421" s="23"/>
      <c r="AO2421" s="23"/>
      <c r="AP2421" s="23"/>
      <c r="AQ2421" s="23"/>
      <c r="AR2421" s="35"/>
      <c r="AS2421" s="35"/>
      <c r="AT2421" s="35"/>
      <c r="AU2421" s="31"/>
      <c r="AV2421" s="36"/>
    </row>
    <row r="2422" spans="4:48">
      <c r="D2422" s="31"/>
      <c r="E2422" s="31"/>
      <c r="F2422" s="31"/>
      <c r="G2422" s="31"/>
      <c r="H2422" s="32"/>
      <c r="J2422" s="33"/>
      <c r="K2422" s="33"/>
      <c r="L2422" s="33"/>
      <c r="X2422" s="23"/>
      <c r="Y2422" s="23"/>
      <c r="Z2422" s="23"/>
      <c r="AA2422" s="23"/>
      <c r="AF2422" s="23"/>
      <c r="AG2422" s="23"/>
      <c r="AH2422" s="23"/>
      <c r="AI2422" s="23"/>
      <c r="AN2422" s="23"/>
      <c r="AO2422" s="23"/>
      <c r="AP2422" s="23"/>
      <c r="AQ2422" s="23"/>
      <c r="AR2422" s="35"/>
      <c r="AS2422" s="35"/>
      <c r="AT2422" s="35"/>
      <c r="AU2422" s="31"/>
      <c r="AV2422" s="36"/>
    </row>
    <row r="2423" spans="4:48">
      <c r="D2423" s="31"/>
      <c r="E2423" s="31"/>
      <c r="F2423" s="31"/>
      <c r="G2423" s="31"/>
      <c r="H2423" s="32"/>
      <c r="J2423" s="33"/>
      <c r="K2423" s="33"/>
      <c r="L2423" s="33"/>
      <c r="X2423" s="23"/>
      <c r="Y2423" s="23"/>
      <c r="Z2423" s="23"/>
      <c r="AA2423" s="23"/>
      <c r="AF2423" s="23"/>
      <c r="AG2423" s="23"/>
      <c r="AH2423" s="23"/>
      <c r="AI2423" s="23"/>
      <c r="AN2423" s="23"/>
      <c r="AO2423" s="23"/>
      <c r="AP2423" s="23"/>
      <c r="AQ2423" s="23"/>
      <c r="AR2423" s="35"/>
      <c r="AS2423" s="35"/>
      <c r="AT2423" s="35"/>
      <c r="AU2423" s="31"/>
      <c r="AV2423" s="36"/>
    </row>
    <row r="2424" spans="4:48">
      <c r="D2424" s="31"/>
      <c r="E2424" s="31"/>
      <c r="F2424" s="31"/>
      <c r="G2424" s="31"/>
      <c r="H2424" s="32"/>
      <c r="J2424" s="33"/>
      <c r="K2424" s="33"/>
      <c r="L2424" s="33"/>
      <c r="X2424" s="23"/>
      <c r="Y2424" s="23"/>
      <c r="Z2424" s="23"/>
      <c r="AA2424" s="23"/>
      <c r="AF2424" s="23"/>
      <c r="AG2424" s="23"/>
      <c r="AH2424" s="23"/>
      <c r="AI2424" s="23"/>
      <c r="AN2424" s="23"/>
      <c r="AO2424" s="23"/>
      <c r="AP2424" s="23"/>
      <c r="AQ2424" s="23"/>
      <c r="AR2424" s="35"/>
      <c r="AS2424" s="35"/>
      <c r="AT2424" s="35"/>
      <c r="AU2424" s="31"/>
      <c r="AV2424" s="36"/>
    </row>
    <row r="2425" spans="4:48">
      <c r="D2425" s="31"/>
      <c r="E2425" s="31"/>
      <c r="F2425" s="31"/>
      <c r="G2425" s="31"/>
      <c r="H2425" s="32"/>
      <c r="J2425" s="33"/>
      <c r="K2425" s="33"/>
      <c r="L2425" s="33"/>
      <c r="X2425" s="23"/>
      <c r="Y2425" s="23"/>
      <c r="Z2425" s="23"/>
      <c r="AA2425" s="23"/>
      <c r="AF2425" s="23"/>
      <c r="AG2425" s="23"/>
      <c r="AH2425" s="23"/>
      <c r="AI2425" s="23"/>
      <c r="AN2425" s="23"/>
      <c r="AO2425" s="23"/>
      <c r="AP2425" s="23"/>
      <c r="AQ2425" s="23"/>
      <c r="AR2425" s="35"/>
      <c r="AS2425" s="35"/>
      <c r="AT2425" s="35"/>
      <c r="AU2425" s="31"/>
      <c r="AV2425" s="36"/>
    </row>
    <row r="2426" spans="4:48">
      <c r="D2426" s="31"/>
      <c r="E2426" s="31"/>
      <c r="F2426" s="31"/>
      <c r="G2426" s="31"/>
      <c r="H2426" s="32"/>
      <c r="J2426" s="33"/>
      <c r="K2426" s="33"/>
      <c r="L2426" s="33"/>
      <c r="X2426" s="23"/>
      <c r="Y2426" s="23"/>
      <c r="Z2426" s="23"/>
      <c r="AA2426" s="23"/>
      <c r="AF2426" s="23"/>
      <c r="AG2426" s="23"/>
      <c r="AH2426" s="23"/>
      <c r="AI2426" s="23"/>
      <c r="AN2426" s="23"/>
      <c r="AO2426" s="23"/>
      <c r="AP2426" s="23"/>
      <c r="AQ2426" s="23"/>
      <c r="AR2426" s="35"/>
      <c r="AS2426" s="35"/>
      <c r="AT2426" s="35"/>
      <c r="AU2426" s="31"/>
      <c r="AV2426" s="36"/>
    </row>
    <row r="2427" spans="4:48">
      <c r="D2427" s="31"/>
      <c r="E2427" s="31"/>
      <c r="F2427" s="31"/>
      <c r="G2427" s="31"/>
      <c r="H2427" s="32"/>
      <c r="J2427" s="33"/>
      <c r="K2427" s="33"/>
      <c r="L2427" s="33"/>
      <c r="X2427" s="23"/>
      <c r="Y2427" s="23"/>
      <c r="Z2427" s="23"/>
      <c r="AA2427" s="23"/>
      <c r="AF2427" s="23"/>
      <c r="AG2427" s="23"/>
      <c r="AH2427" s="23"/>
      <c r="AI2427" s="23"/>
      <c r="AN2427" s="23"/>
      <c r="AO2427" s="23"/>
      <c r="AP2427" s="23"/>
      <c r="AQ2427" s="23"/>
      <c r="AR2427" s="35"/>
      <c r="AS2427" s="35"/>
      <c r="AT2427" s="35"/>
      <c r="AU2427" s="31"/>
      <c r="AV2427" s="36"/>
    </row>
    <row r="2428" spans="4:48">
      <c r="D2428" s="31"/>
      <c r="E2428" s="31"/>
      <c r="F2428" s="31"/>
      <c r="G2428" s="31"/>
      <c r="H2428" s="32"/>
      <c r="J2428" s="33"/>
      <c r="K2428" s="33"/>
      <c r="L2428" s="33"/>
      <c r="X2428" s="23"/>
      <c r="Y2428" s="23"/>
      <c r="Z2428" s="23"/>
      <c r="AA2428" s="23"/>
      <c r="AF2428" s="23"/>
      <c r="AG2428" s="23"/>
      <c r="AH2428" s="23"/>
      <c r="AI2428" s="23"/>
      <c r="AN2428" s="23"/>
      <c r="AO2428" s="23"/>
      <c r="AP2428" s="23"/>
      <c r="AQ2428" s="23"/>
      <c r="AR2428" s="35"/>
      <c r="AS2428" s="35"/>
      <c r="AT2428" s="35"/>
      <c r="AU2428" s="31"/>
      <c r="AV2428" s="36"/>
    </row>
    <row r="2429" spans="4:48">
      <c r="D2429" s="31"/>
      <c r="E2429" s="31"/>
      <c r="F2429" s="31"/>
      <c r="G2429" s="31"/>
      <c r="H2429" s="32"/>
      <c r="J2429" s="33"/>
      <c r="K2429" s="33"/>
      <c r="L2429" s="33"/>
      <c r="X2429" s="23"/>
      <c r="Y2429" s="23"/>
      <c r="Z2429" s="23"/>
      <c r="AA2429" s="23"/>
      <c r="AF2429" s="23"/>
      <c r="AG2429" s="23"/>
      <c r="AH2429" s="23"/>
      <c r="AI2429" s="23"/>
      <c r="AN2429" s="23"/>
      <c r="AO2429" s="23"/>
      <c r="AP2429" s="23"/>
      <c r="AQ2429" s="23"/>
      <c r="AR2429" s="35"/>
      <c r="AS2429" s="35"/>
      <c r="AT2429" s="35"/>
      <c r="AU2429" s="31"/>
      <c r="AV2429" s="36"/>
    </row>
    <row r="2430" spans="4:48">
      <c r="D2430" s="31"/>
      <c r="E2430" s="31"/>
      <c r="F2430" s="31"/>
      <c r="G2430" s="31"/>
      <c r="H2430" s="32"/>
      <c r="J2430" s="33"/>
      <c r="K2430" s="33"/>
      <c r="L2430" s="33"/>
      <c r="X2430" s="23"/>
      <c r="Y2430" s="23"/>
      <c r="Z2430" s="23"/>
      <c r="AA2430" s="23"/>
      <c r="AF2430" s="23"/>
      <c r="AG2430" s="23"/>
      <c r="AH2430" s="23"/>
      <c r="AI2430" s="23"/>
      <c r="AN2430" s="23"/>
      <c r="AO2430" s="23"/>
      <c r="AP2430" s="23"/>
      <c r="AQ2430" s="23"/>
      <c r="AR2430" s="35"/>
      <c r="AS2430" s="35"/>
      <c r="AT2430" s="35"/>
      <c r="AU2430" s="31"/>
      <c r="AV2430" s="36"/>
    </row>
    <row r="2431" spans="4:48">
      <c r="D2431" s="31"/>
      <c r="E2431" s="31"/>
      <c r="F2431" s="31"/>
      <c r="G2431" s="31"/>
      <c r="H2431" s="32"/>
      <c r="J2431" s="33"/>
      <c r="K2431" s="33"/>
      <c r="L2431" s="33"/>
      <c r="X2431" s="23"/>
      <c r="Y2431" s="23"/>
      <c r="Z2431" s="23"/>
      <c r="AA2431" s="23"/>
      <c r="AF2431" s="23"/>
      <c r="AG2431" s="23"/>
      <c r="AH2431" s="23"/>
      <c r="AI2431" s="23"/>
      <c r="AN2431" s="23"/>
      <c r="AO2431" s="23"/>
      <c r="AP2431" s="23"/>
      <c r="AQ2431" s="23"/>
      <c r="AR2431" s="35"/>
      <c r="AS2431" s="35"/>
      <c r="AT2431" s="35"/>
      <c r="AU2431" s="31"/>
      <c r="AV2431" s="36"/>
    </row>
    <row r="2432" spans="4:48">
      <c r="D2432" s="31"/>
      <c r="E2432" s="31"/>
      <c r="F2432" s="31"/>
      <c r="G2432" s="31"/>
      <c r="H2432" s="32"/>
      <c r="J2432" s="33"/>
      <c r="K2432" s="33"/>
      <c r="L2432" s="33"/>
      <c r="X2432" s="23"/>
      <c r="Y2432" s="23"/>
      <c r="Z2432" s="23"/>
      <c r="AA2432" s="23"/>
      <c r="AF2432" s="23"/>
      <c r="AG2432" s="23"/>
      <c r="AH2432" s="23"/>
      <c r="AI2432" s="23"/>
      <c r="AN2432" s="23"/>
      <c r="AO2432" s="23"/>
      <c r="AP2432" s="23"/>
      <c r="AQ2432" s="23"/>
      <c r="AR2432" s="35"/>
      <c r="AS2432" s="35"/>
      <c r="AT2432" s="35"/>
      <c r="AU2432" s="31"/>
      <c r="AV2432" s="36"/>
    </row>
    <row r="2433" spans="4:48">
      <c r="D2433" s="31"/>
      <c r="E2433" s="31"/>
      <c r="F2433" s="31"/>
      <c r="G2433" s="31"/>
      <c r="H2433" s="32"/>
      <c r="J2433" s="33"/>
      <c r="K2433" s="33"/>
      <c r="L2433" s="33"/>
      <c r="X2433" s="23"/>
      <c r="Y2433" s="23"/>
      <c r="Z2433" s="23"/>
      <c r="AA2433" s="23"/>
      <c r="AF2433" s="23"/>
      <c r="AG2433" s="23"/>
      <c r="AH2433" s="23"/>
      <c r="AI2433" s="23"/>
      <c r="AN2433" s="23"/>
      <c r="AO2433" s="23"/>
      <c r="AP2433" s="23"/>
      <c r="AQ2433" s="23"/>
      <c r="AR2433" s="35"/>
      <c r="AS2433" s="35"/>
      <c r="AT2433" s="35"/>
      <c r="AU2433" s="31"/>
      <c r="AV2433" s="36"/>
    </row>
    <row r="2434" spans="4:48">
      <c r="D2434" s="31"/>
      <c r="E2434" s="31"/>
      <c r="F2434" s="31"/>
      <c r="G2434" s="31"/>
      <c r="H2434" s="32"/>
      <c r="J2434" s="33"/>
      <c r="K2434" s="33"/>
      <c r="L2434" s="33"/>
      <c r="X2434" s="23"/>
      <c r="Y2434" s="23"/>
      <c r="Z2434" s="23"/>
      <c r="AA2434" s="23"/>
      <c r="AF2434" s="23"/>
      <c r="AG2434" s="23"/>
      <c r="AH2434" s="23"/>
      <c r="AI2434" s="23"/>
      <c r="AN2434" s="23"/>
      <c r="AO2434" s="23"/>
      <c r="AP2434" s="23"/>
      <c r="AQ2434" s="23"/>
      <c r="AR2434" s="35"/>
      <c r="AS2434" s="35"/>
      <c r="AT2434" s="35"/>
      <c r="AU2434" s="31"/>
      <c r="AV2434" s="36"/>
    </row>
    <row r="2435" spans="4:48">
      <c r="D2435" s="31"/>
      <c r="E2435" s="31"/>
      <c r="F2435" s="31"/>
      <c r="G2435" s="31"/>
      <c r="H2435" s="32"/>
      <c r="J2435" s="33"/>
      <c r="K2435" s="33"/>
      <c r="L2435" s="33"/>
      <c r="X2435" s="23"/>
      <c r="Y2435" s="23"/>
      <c r="Z2435" s="23"/>
      <c r="AA2435" s="23"/>
      <c r="AF2435" s="23"/>
      <c r="AG2435" s="23"/>
      <c r="AH2435" s="23"/>
      <c r="AI2435" s="23"/>
      <c r="AN2435" s="23"/>
      <c r="AO2435" s="23"/>
      <c r="AP2435" s="23"/>
      <c r="AQ2435" s="23"/>
      <c r="AR2435" s="35"/>
      <c r="AS2435" s="35"/>
      <c r="AT2435" s="35"/>
      <c r="AU2435" s="31"/>
      <c r="AV2435" s="36"/>
    </row>
    <row r="2436" spans="4:48">
      <c r="D2436" s="31"/>
      <c r="E2436" s="31"/>
      <c r="F2436" s="31"/>
      <c r="G2436" s="31"/>
      <c r="H2436" s="32"/>
      <c r="J2436" s="33"/>
      <c r="K2436" s="33"/>
      <c r="L2436" s="33"/>
      <c r="X2436" s="23"/>
      <c r="Y2436" s="23"/>
      <c r="Z2436" s="23"/>
      <c r="AA2436" s="23"/>
      <c r="AF2436" s="23"/>
      <c r="AG2436" s="23"/>
      <c r="AH2436" s="23"/>
      <c r="AI2436" s="23"/>
      <c r="AN2436" s="23"/>
      <c r="AO2436" s="23"/>
      <c r="AP2436" s="23"/>
      <c r="AQ2436" s="23"/>
      <c r="AR2436" s="35"/>
      <c r="AS2436" s="35"/>
      <c r="AT2436" s="35"/>
      <c r="AU2436" s="31"/>
      <c r="AV2436" s="36"/>
    </row>
    <row r="2437" spans="4:48">
      <c r="D2437" s="31"/>
      <c r="E2437" s="31"/>
      <c r="F2437" s="31"/>
      <c r="G2437" s="31"/>
      <c r="H2437" s="32"/>
      <c r="J2437" s="33"/>
      <c r="K2437" s="33"/>
      <c r="L2437" s="33"/>
      <c r="X2437" s="23"/>
      <c r="Y2437" s="23"/>
      <c r="Z2437" s="23"/>
      <c r="AA2437" s="23"/>
      <c r="AF2437" s="23"/>
      <c r="AG2437" s="23"/>
      <c r="AH2437" s="23"/>
      <c r="AI2437" s="23"/>
      <c r="AN2437" s="23"/>
      <c r="AO2437" s="23"/>
      <c r="AP2437" s="23"/>
      <c r="AQ2437" s="23"/>
      <c r="AR2437" s="35"/>
      <c r="AS2437" s="35"/>
      <c r="AT2437" s="35"/>
      <c r="AU2437" s="31"/>
      <c r="AV2437" s="36"/>
    </row>
    <row r="2438" spans="4:48">
      <c r="D2438" s="31"/>
      <c r="E2438" s="31"/>
      <c r="F2438" s="31"/>
      <c r="G2438" s="31"/>
      <c r="H2438" s="32"/>
      <c r="J2438" s="33"/>
      <c r="K2438" s="33"/>
      <c r="L2438" s="33"/>
      <c r="X2438" s="23"/>
      <c r="Y2438" s="23"/>
      <c r="Z2438" s="23"/>
      <c r="AA2438" s="23"/>
      <c r="AF2438" s="23"/>
      <c r="AG2438" s="23"/>
      <c r="AH2438" s="23"/>
      <c r="AI2438" s="23"/>
      <c r="AN2438" s="23"/>
      <c r="AO2438" s="23"/>
      <c r="AP2438" s="23"/>
      <c r="AQ2438" s="23"/>
      <c r="AR2438" s="35"/>
      <c r="AS2438" s="35"/>
      <c r="AT2438" s="35"/>
      <c r="AU2438" s="31"/>
      <c r="AV2438" s="36"/>
    </row>
    <row r="2439" spans="4:48">
      <c r="D2439" s="31"/>
      <c r="E2439" s="31"/>
      <c r="F2439" s="31"/>
      <c r="G2439" s="31"/>
      <c r="H2439" s="32"/>
      <c r="J2439" s="33"/>
      <c r="K2439" s="33"/>
      <c r="L2439" s="33"/>
      <c r="X2439" s="23"/>
      <c r="Y2439" s="23"/>
      <c r="Z2439" s="23"/>
      <c r="AA2439" s="23"/>
      <c r="AF2439" s="23"/>
      <c r="AG2439" s="23"/>
      <c r="AH2439" s="23"/>
      <c r="AI2439" s="23"/>
      <c r="AN2439" s="23"/>
      <c r="AO2439" s="23"/>
      <c r="AP2439" s="23"/>
      <c r="AQ2439" s="23"/>
      <c r="AR2439" s="35"/>
      <c r="AS2439" s="35"/>
      <c r="AT2439" s="35"/>
      <c r="AU2439" s="31"/>
      <c r="AV2439" s="36"/>
    </row>
    <row r="2440" spans="4:48">
      <c r="D2440" s="31"/>
      <c r="E2440" s="31"/>
      <c r="F2440" s="31"/>
      <c r="G2440" s="31"/>
      <c r="H2440" s="32"/>
      <c r="J2440" s="33"/>
      <c r="K2440" s="33"/>
      <c r="L2440" s="33"/>
      <c r="X2440" s="23"/>
      <c r="Y2440" s="23"/>
      <c r="Z2440" s="23"/>
      <c r="AA2440" s="23"/>
      <c r="AF2440" s="23"/>
      <c r="AG2440" s="23"/>
      <c r="AH2440" s="23"/>
      <c r="AI2440" s="23"/>
      <c r="AN2440" s="23"/>
      <c r="AO2440" s="23"/>
      <c r="AP2440" s="23"/>
      <c r="AQ2440" s="23"/>
      <c r="AR2440" s="35"/>
      <c r="AS2440" s="35"/>
      <c r="AT2440" s="35"/>
      <c r="AU2440" s="31"/>
      <c r="AV2440" s="36"/>
    </row>
    <row r="2441" spans="4:48">
      <c r="D2441" s="31"/>
      <c r="E2441" s="31"/>
      <c r="F2441" s="31"/>
      <c r="G2441" s="31"/>
      <c r="H2441" s="32"/>
      <c r="J2441" s="33"/>
      <c r="K2441" s="33"/>
      <c r="L2441" s="33"/>
      <c r="X2441" s="23"/>
      <c r="Y2441" s="23"/>
      <c r="Z2441" s="23"/>
      <c r="AA2441" s="23"/>
      <c r="AF2441" s="23"/>
      <c r="AG2441" s="23"/>
      <c r="AH2441" s="23"/>
      <c r="AI2441" s="23"/>
      <c r="AN2441" s="23"/>
      <c r="AO2441" s="23"/>
      <c r="AP2441" s="23"/>
      <c r="AQ2441" s="23"/>
      <c r="AR2441" s="35"/>
      <c r="AS2441" s="35"/>
      <c r="AT2441" s="35"/>
      <c r="AU2441" s="31"/>
      <c r="AV2441" s="36"/>
    </row>
    <row r="2442" spans="4:48">
      <c r="D2442" s="31"/>
      <c r="E2442" s="31"/>
      <c r="F2442" s="31"/>
      <c r="G2442" s="31"/>
      <c r="H2442" s="32"/>
      <c r="J2442" s="33"/>
      <c r="K2442" s="33"/>
      <c r="L2442" s="33"/>
      <c r="X2442" s="23"/>
      <c r="Y2442" s="23"/>
      <c r="Z2442" s="23"/>
      <c r="AA2442" s="23"/>
      <c r="AF2442" s="23"/>
      <c r="AG2442" s="23"/>
      <c r="AH2442" s="23"/>
      <c r="AI2442" s="23"/>
      <c r="AN2442" s="23"/>
      <c r="AO2442" s="23"/>
      <c r="AP2442" s="23"/>
      <c r="AQ2442" s="23"/>
      <c r="AR2442" s="35"/>
      <c r="AS2442" s="35"/>
      <c r="AT2442" s="35"/>
      <c r="AU2442" s="31"/>
      <c r="AV2442" s="36"/>
    </row>
    <row r="2443" spans="4:48">
      <c r="D2443" s="31"/>
      <c r="E2443" s="31"/>
      <c r="F2443" s="31"/>
      <c r="G2443" s="31"/>
      <c r="H2443" s="32"/>
      <c r="J2443" s="33"/>
      <c r="K2443" s="33"/>
      <c r="L2443" s="33"/>
      <c r="X2443" s="23"/>
      <c r="Y2443" s="23"/>
      <c r="Z2443" s="23"/>
      <c r="AA2443" s="23"/>
      <c r="AF2443" s="23"/>
      <c r="AG2443" s="23"/>
      <c r="AH2443" s="23"/>
      <c r="AI2443" s="23"/>
      <c r="AN2443" s="23"/>
      <c r="AO2443" s="23"/>
      <c r="AP2443" s="23"/>
      <c r="AQ2443" s="23"/>
      <c r="AR2443" s="35"/>
      <c r="AS2443" s="35"/>
      <c r="AT2443" s="35"/>
      <c r="AU2443" s="31"/>
      <c r="AV2443" s="36"/>
    </row>
    <row r="2444" spans="4:48">
      <c r="D2444" s="31"/>
      <c r="E2444" s="31"/>
      <c r="F2444" s="31"/>
      <c r="G2444" s="31"/>
      <c r="H2444" s="32"/>
      <c r="J2444" s="33"/>
      <c r="K2444" s="33"/>
      <c r="L2444" s="33"/>
      <c r="X2444" s="23"/>
      <c r="Y2444" s="23"/>
      <c r="Z2444" s="23"/>
      <c r="AA2444" s="23"/>
      <c r="AF2444" s="23"/>
      <c r="AG2444" s="23"/>
      <c r="AH2444" s="23"/>
      <c r="AI2444" s="23"/>
      <c r="AN2444" s="23"/>
      <c r="AO2444" s="23"/>
      <c r="AP2444" s="23"/>
      <c r="AQ2444" s="23"/>
      <c r="AR2444" s="35"/>
      <c r="AS2444" s="35"/>
      <c r="AT2444" s="35"/>
      <c r="AU2444" s="31"/>
      <c r="AV2444" s="36"/>
    </row>
    <row r="2445" spans="4:48">
      <c r="D2445" s="31"/>
      <c r="E2445" s="31"/>
      <c r="F2445" s="31"/>
      <c r="G2445" s="31"/>
      <c r="H2445" s="32"/>
      <c r="J2445" s="33"/>
      <c r="K2445" s="33"/>
      <c r="L2445" s="33"/>
      <c r="X2445" s="23"/>
      <c r="Y2445" s="23"/>
      <c r="Z2445" s="23"/>
      <c r="AA2445" s="23"/>
      <c r="AF2445" s="23"/>
      <c r="AG2445" s="23"/>
      <c r="AH2445" s="23"/>
      <c r="AI2445" s="23"/>
      <c r="AN2445" s="23"/>
      <c r="AO2445" s="23"/>
      <c r="AP2445" s="23"/>
      <c r="AQ2445" s="23"/>
      <c r="AR2445" s="35"/>
      <c r="AS2445" s="35"/>
      <c r="AT2445" s="35"/>
      <c r="AU2445" s="31"/>
      <c r="AV2445" s="36"/>
    </row>
    <row r="2446" spans="4:48">
      <c r="D2446" s="31"/>
      <c r="E2446" s="31"/>
      <c r="F2446" s="31"/>
      <c r="G2446" s="31"/>
      <c r="H2446" s="32"/>
      <c r="J2446" s="33"/>
      <c r="K2446" s="33"/>
      <c r="L2446" s="33"/>
      <c r="X2446" s="23"/>
      <c r="Y2446" s="23"/>
      <c r="Z2446" s="23"/>
      <c r="AA2446" s="23"/>
      <c r="AF2446" s="23"/>
      <c r="AG2446" s="23"/>
      <c r="AH2446" s="23"/>
      <c r="AI2446" s="23"/>
      <c r="AN2446" s="23"/>
      <c r="AO2446" s="23"/>
      <c r="AP2446" s="23"/>
      <c r="AQ2446" s="23"/>
      <c r="AR2446" s="35"/>
      <c r="AS2446" s="35"/>
      <c r="AT2446" s="35"/>
      <c r="AU2446" s="31"/>
      <c r="AV2446" s="36"/>
    </row>
    <row r="2447" spans="4:48">
      <c r="D2447" s="31"/>
      <c r="E2447" s="31"/>
      <c r="F2447" s="31"/>
      <c r="G2447" s="31"/>
      <c r="H2447" s="32"/>
      <c r="J2447" s="33"/>
      <c r="K2447" s="33"/>
      <c r="L2447" s="33"/>
      <c r="X2447" s="23"/>
      <c r="Y2447" s="23"/>
      <c r="Z2447" s="23"/>
      <c r="AA2447" s="23"/>
      <c r="AF2447" s="23"/>
      <c r="AG2447" s="23"/>
      <c r="AH2447" s="23"/>
      <c r="AI2447" s="23"/>
      <c r="AN2447" s="23"/>
      <c r="AO2447" s="23"/>
      <c r="AP2447" s="23"/>
      <c r="AQ2447" s="23"/>
      <c r="AR2447" s="35"/>
      <c r="AS2447" s="35"/>
      <c r="AT2447" s="35"/>
      <c r="AU2447" s="31"/>
      <c r="AV2447" s="36"/>
    </row>
    <row r="2448" spans="4:48">
      <c r="D2448" s="31"/>
      <c r="E2448" s="31"/>
      <c r="F2448" s="31"/>
      <c r="G2448" s="31"/>
      <c r="H2448" s="32"/>
      <c r="J2448" s="33"/>
      <c r="K2448" s="33"/>
      <c r="L2448" s="33"/>
      <c r="X2448" s="23"/>
      <c r="Y2448" s="23"/>
      <c r="Z2448" s="23"/>
      <c r="AA2448" s="23"/>
      <c r="AF2448" s="23"/>
      <c r="AG2448" s="23"/>
      <c r="AH2448" s="23"/>
      <c r="AI2448" s="23"/>
      <c r="AN2448" s="23"/>
      <c r="AO2448" s="23"/>
      <c r="AP2448" s="23"/>
      <c r="AQ2448" s="23"/>
      <c r="AR2448" s="35"/>
      <c r="AS2448" s="35"/>
      <c r="AT2448" s="35"/>
      <c r="AU2448" s="31"/>
      <c r="AV2448" s="36"/>
    </row>
    <row r="2449" spans="4:48">
      <c r="D2449" s="31"/>
      <c r="E2449" s="31"/>
      <c r="F2449" s="31"/>
      <c r="G2449" s="31"/>
      <c r="H2449" s="32"/>
      <c r="J2449" s="33"/>
      <c r="K2449" s="33"/>
      <c r="L2449" s="33"/>
      <c r="X2449" s="23"/>
      <c r="Y2449" s="23"/>
      <c r="Z2449" s="23"/>
      <c r="AA2449" s="23"/>
      <c r="AF2449" s="23"/>
      <c r="AG2449" s="23"/>
      <c r="AH2449" s="23"/>
      <c r="AI2449" s="23"/>
      <c r="AN2449" s="23"/>
      <c r="AO2449" s="23"/>
      <c r="AP2449" s="23"/>
      <c r="AQ2449" s="23"/>
      <c r="AR2449" s="35"/>
      <c r="AS2449" s="35"/>
      <c r="AT2449" s="35"/>
      <c r="AU2449" s="31"/>
      <c r="AV2449" s="36"/>
    </row>
    <row r="2450" spans="4:48">
      <c r="D2450" s="31"/>
      <c r="E2450" s="31"/>
      <c r="F2450" s="31"/>
      <c r="G2450" s="31"/>
      <c r="H2450" s="32"/>
      <c r="J2450" s="33"/>
      <c r="K2450" s="33"/>
      <c r="L2450" s="33"/>
      <c r="X2450" s="23"/>
      <c r="Y2450" s="23"/>
      <c r="Z2450" s="23"/>
      <c r="AA2450" s="23"/>
      <c r="AF2450" s="23"/>
      <c r="AG2450" s="23"/>
      <c r="AH2450" s="23"/>
      <c r="AI2450" s="23"/>
      <c r="AN2450" s="23"/>
      <c r="AO2450" s="23"/>
      <c r="AP2450" s="23"/>
      <c r="AQ2450" s="23"/>
      <c r="AR2450" s="35"/>
      <c r="AS2450" s="35"/>
      <c r="AT2450" s="35"/>
      <c r="AU2450" s="31"/>
      <c r="AV2450" s="36"/>
    </row>
    <row r="2451" spans="4:48">
      <c r="D2451" s="31"/>
      <c r="E2451" s="31"/>
      <c r="F2451" s="31"/>
      <c r="G2451" s="31"/>
      <c r="H2451" s="32"/>
      <c r="J2451" s="33"/>
      <c r="K2451" s="33"/>
      <c r="L2451" s="33"/>
      <c r="X2451" s="23"/>
      <c r="Y2451" s="23"/>
      <c r="Z2451" s="23"/>
      <c r="AA2451" s="23"/>
      <c r="AF2451" s="23"/>
      <c r="AG2451" s="23"/>
      <c r="AH2451" s="23"/>
      <c r="AI2451" s="23"/>
      <c r="AN2451" s="23"/>
      <c r="AO2451" s="23"/>
      <c r="AP2451" s="23"/>
      <c r="AQ2451" s="23"/>
      <c r="AR2451" s="35"/>
      <c r="AS2451" s="35"/>
      <c r="AT2451" s="35"/>
      <c r="AU2451" s="31"/>
      <c r="AV2451" s="36"/>
    </row>
    <row r="2452" spans="4:48">
      <c r="D2452" s="31"/>
      <c r="E2452" s="31"/>
      <c r="F2452" s="31"/>
      <c r="G2452" s="31"/>
      <c r="H2452" s="32"/>
      <c r="J2452" s="33"/>
      <c r="K2452" s="33"/>
      <c r="L2452" s="33"/>
      <c r="X2452" s="23"/>
      <c r="Y2452" s="23"/>
      <c r="Z2452" s="23"/>
      <c r="AA2452" s="23"/>
      <c r="AF2452" s="23"/>
      <c r="AG2452" s="23"/>
      <c r="AH2452" s="23"/>
      <c r="AI2452" s="23"/>
      <c r="AN2452" s="23"/>
      <c r="AO2452" s="23"/>
      <c r="AP2452" s="23"/>
      <c r="AQ2452" s="23"/>
      <c r="AR2452" s="35"/>
      <c r="AS2452" s="35"/>
      <c r="AT2452" s="35"/>
      <c r="AU2452" s="31"/>
      <c r="AV2452" s="36"/>
    </row>
    <row r="2453" spans="4:48">
      <c r="D2453" s="31"/>
      <c r="E2453" s="31"/>
      <c r="F2453" s="31"/>
      <c r="G2453" s="31"/>
      <c r="H2453" s="32"/>
      <c r="J2453" s="33"/>
      <c r="K2453" s="33"/>
      <c r="L2453" s="33"/>
      <c r="X2453" s="23"/>
      <c r="Y2453" s="23"/>
      <c r="Z2453" s="23"/>
      <c r="AA2453" s="23"/>
      <c r="AF2453" s="23"/>
      <c r="AG2453" s="23"/>
      <c r="AH2453" s="23"/>
      <c r="AI2453" s="23"/>
      <c r="AN2453" s="23"/>
      <c r="AO2453" s="23"/>
      <c r="AP2453" s="23"/>
      <c r="AQ2453" s="23"/>
      <c r="AR2453" s="35"/>
      <c r="AS2453" s="35"/>
      <c r="AT2453" s="35"/>
      <c r="AU2453" s="31"/>
      <c r="AV2453" s="36"/>
    </row>
    <row r="2454" spans="4:48">
      <c r="D2454" s="31"/>
      <c r="E2454" s="31"/>
      <c r="F2454" s="31"/>
      <c r="G2454" s="31"/>
      <c r="H2454" s="32"/>
      <c r="J2454" s="33"/>
      <c r="K2454" s="33"/>
      <c r="L2454" s="33"/>
      <c r="X2454" s="23"/>
      <c r="Y2454" s="23"/>
      <c r="Z2454" s="23"/>
      <c r="AA2454" s="23"/>
      <c r="AF2454" s="23"/>
      <c r="AG2454" s="23"/>
      <c r="AH2454" s="23"/>
      <c r="AI2454" s="23"/>
      <c r="AN2454" s="23"/>
      <c r="AO2454" s="23"/>
      <c r="AP2454" s="23"/>
      <c r="AQ2454" s="23"/>
      <c r="AR2454" s="35"/>
      <c r="AS2454" s="35"/>
      <c r="AT2454" s="35"/>
      <c r="AU2454" s="31"/>
      <c r="AV2454" s="36"/>
    </row>
    <row r="2455" spans="4:48">
      <c r="D2455" s="31"/>
      <c r="E2455" s="31"/>
      <c r="F2455" s="31"/>
      <c r="G2455" s="31"/>
      <c r="H2455" s="32"/>
      <c r="J2455" s="33"/>
      <c r="K2455" s="33"/>
      <c r="L2455" s="33"/>
      <c r="X2455" s="23"/>
      <c r="Y2455" s="23"/>
      <c r="Z2455" s="23"/>
      <c r="AA2455" s="23"/>
      <c r="AF2455" s="23"/>
      <c r="AG2455" s="23"/>
      <c r="AH2455" s="23"/>
      <c r="AI2455" s="23"/>
      <c r="AN2455" s="23"/>
      <c r="AO2455" s="23"/>
      <c r="AP2455" s="23"/>
      <c r="AQ2455" s="23"/>
      <c r="AR2455" s="35"/>
      <c r="AS2455" s="35"/>
      <c r="AT2455" s="35"/>
      <c r="AU2455" s="31"/>
      <c r="AV2455" s="36"/>
    </row>
    <row r="2456" spans="4:48">
      <c r="D2456" s="31"/>
      <c r="E2456" s="31"/>
      <c r="F2456" s="31"/>
      <c r="G2456" s="31"/>
      <c r="H2456" s="32"/>
      <c r="J2456" s="33"/>
      <c r="K2456" s="33"/>
      <c r="L2456" s="33"/>
      <c r="X2456" s="23"/>
      <c r="Y2456" s="23"/>
      <c r="Z2456" s="23"/>
      <c r="AA2456" s="23"/>
      <c r="AF2456" s="23"/>
      <c r="AG2456" s="23"/>
      <c r="AH2456" s="23"/>
      <c r="AI2456" s="23"/>
      <c r="AN2456" s="23"/>
      <c r="AO2456" s="23"/>
      <c r="AP2456" s="23"/>
      <c r="AQ2456" s="23"/>
      <c r="AR2456" s="35"/>
      <c r="AS2456" s="35"/>
      <c r="AT2456" s="35"/>
      <c r="AU2456" s="31"/>
      <c r="AV2456" s="36"/>
    </row>
    <row r="2457" spans="4:48">
      <c r="D2457" s="31"/>
      <c r="E2457" s="31"/>
      <c r="F2457" s="31"/>
      <c r="G2457" s="31"/>
      <c r="H2457" s="32"/>
      <c r="J2457" s="33"/>
      <c r="K2457" s="33"/>
      <c r="L2457" s="33"/>
      <c r="X2457" s="23"/>
      <c r="Y2457" s="23"/>
      <c r="Z2457" s="23"/>
      <c r="AA2457" s="23"/>
      <c r="AF2457" s="23"/>
      <c r="AG2457" s="23"/>
      <c r="AH2457" s="23"/>
      <c r="AI2457" s="23"/>
      <c r="AN2457" s="23"/>
      <c r="AO2457" s="23"/>
      <c r="AP2457" s="23"/>
      <c r="AQ2457" s="23"/>
      <c r="AR2457" s="35"/>
      <c r="AS2457" s="35"/>
      <c r="AT2457" s="35"/>
      <c r="AU2457" s="31"/>
      <c r="AV2457" s="36"/>
    </row>
    <row r="2458" spans="4:48">
      <c r="D2458" s="31"/>
      <c r="E2458" s="31"/>
      <c r="F2458" s="31"/>
      <c r="G2458" s="31"/>
      <c r="H2458" s="32"/>
      <c r="J2458" s="33"/>
      <c r="K2458" s="33"/>
      <c r="L2458" s="33"/>
      <c r="X2458" s="23"/>
      <c r="Y2458" s="23"/>
      <c r="Z2458" s="23"/>
      <c r="AA2458" s="23"/>
      <c r="AF2458" s="23"/>
      <c r="AG2458" s="23"/>
      <c r="AH2458" s="23"/>
      <c r="AI2458" s="23"/>
      <c r="AN2458" s="23"/>
      <c r="AO2458" s="23"/>
      <c r="AP2458" s="23"/>
      <c r="AQ2458" s="23"/>
      <c r="AR2458" s="35"/>
      <c r="AS2458" s="35"/>
      <c r="AT2458" s="35"/>
      <c r="AU2458" s="31"/>
      <c r="AV2458" s="36"/>
    </row>
    <row r="2459" spans="4:48">
      <c r="D2459" s="31"/>
      <c r="E2459" s="31"/>
      <c r="F2459" s="31"/>
      <c r="G2459" s="31"/>
      <c r="H2459" s="32"/>
      <c r="J2459" s="33"/>
      <c r="K2459" s="33"/>
      <c r="L2459" s="33"/>
      <c r="X2459" s="23"/>
      <c r="Y2459" s="23"/>
      <c r="Z2459" s="23"/>
      <c r="AA2459" s="23"/>
      <c r="AF2459" s="23"/>
      <c r="AG2459" s="23"/>
      <c r="AH2459" s="23"/>
      <c r="AI2459" s="23"/>
      <c r="AN2459" s="23"/>
      <c r="AO2459" s="23"/>
      <c r="AP2459" s="23"/>
      <c r="AQ2459" s="23"/>
      <c r="AR2459" s="35"/>
      <c r="AS2459" s="35"/>
      <c r="AT2459" s="35"/>
      <c r="AU2459" s="31"/>
      <c r="AV2459" s="36"/>
    </row>
    <row r="2460" spans="4:48">
      <c r="D2460" s="31"/>
      <c r="E2460" s="31"/>
      <c r="F2460" s="31"/>
      <c r="G2460" s="31"/>
      <c r="H2460" s="32"/>
      <c r="J2460" s="33"/>
      <c r="K2460" s="33"/>
      <c r="L2460" s="33"/>
      <c r="X2460" s="23"/>
      <c r="Y2460" s="23"/>
      <c r="Z2460" s="23"/>
      <c r="AA2460" s="23"/>
      <c r="AF2460" s="23"/>
      <c r="AG2460" s="23"/>
      <c r="AH2460" s="23"/>
      <c r="AI2460" s="23"/>
      <c r="AN2460" s="23"/>
      <c r="AO2460" s="23"/>
      <c r="AP2460" s="23"/>
      <c r="AQ2460" s="23"/>
      <c r="AR2460" s="35"/>
      <c r="AS2460" s="35"/>
      <c r="AT2460" s="35"/>
      <c r="AU2460" s="31"/>
      <c r="AV2460" s="36"/>
    </row>
    <row r="2461" spans="4:48">
      <c r="D2461" s="31"/>
      <c r="E2461" s="31"/>
      <c r="F2461" s="31"/>
      <c r="G2461" s="31"/>
      <c r="H2461" s="32"/>
      <c r="J2461" s="33"/>
      <c r="K2461" s="33"/>
      <c r="L2461" s="33"/>
      <c r="X2461" s="23"/>
      <c r="Y2461" s="23"/>
      <c r="Z2461" s="23"/>
      <c r="AA2461" s="23"/>
      <c r="AF2461" s="23"/>
      <c r="AG2461" s="23"/>
      <c r="AH2461" s="23"/>
      <c r="AI2461" s="23"/>
      <c r="AN2461" s="23"/>
      <c r="AO2461" s="23"/>
      <c r="AP2461" s="23"/>
      <c r="AQ2461" s="23"/>
      <c r="AR2461" s="35"/>
      <c r="AS2461" s="35"/>
      <c r="AT2461" s="35"/>
      <c r="AU2461" s="31"/>
      <c r="AV2461" s="36"/>
    </row>
    <row r="2462" spans="4:48">
      <c r="D2462" s="31"/>
      <c r="E2462" s="31"/>
      <c r="F2462" s="31"/>
      <c r="G2462" s="31"/>
      <c r="H2462" s="32"/>
      <c r="J2462" s="33"/>
      <c r="K2462" s="33"/>
      <c r="L2462" s="33"/>
      <c r="X2462" s="23"/>
      <c r="Y2462" s="23"/>
      <c r="Z2462" s="23"/>
      <c r="AA2462" s="23"/>
      <c r="AF2462" s="23"/>
      <c r="AG2462" s="23"/>
      <c r="AH2462" s="23"/>
      <c r="AI2462" s="23"/>
      <c r="AN2462" s="23"/>
      <c r="AO2462" s="23"/>
      <c r="AP2462" s="23"/>
      <c r="AQ2462" s="23"/>
      <c r="AR2462" s="35"/>
      <c r="AS2462" s="35"/>
      <c r="AT2462" s="35"/>
      <c r="AU2462" s="31"/>
      <c r="AV2462" s="36"/>
    </row>
    <row r="2463" spans="4:48">
      <c r="D2463" s="31"/>
      <c r="E2463" s="31"/>
      <c r="F2463" s="31"/>
      <c r="G2463" s="31"/>
      <c r="H2463" s="32"/>
      <c r="J2463" s="33"/>
      <c r="K2463" s="33"/>
      <c r="L2463" s="33"/>
      <c r="X2463" s="23"/>
      <c r="Y2463" s="23"/>
      <c r="Z2463" s="23"/>
      <c r="AA2463" s="23"/>
      <c r="AF2463" s="23"/>
      <c r="AG2463" s="23"/>
      <c r="AH2463" s="23"/>
      <c r="AI2463" s="23"/>
      <c r="AN2463" s="23"/>
      <c r="AO2463" s="23"/>
      <c r="AP2463" s="23"/>
      <c r="AQ2463" s="23"/>
      <c r="AR2463" s="35"/>
      <c r="AS2463" s="35"/>
      <c r="AT2463" s="35"/>
      <c r="AU2463" s="31"/>
      <c r="AV2463" s="36"/>
    </row>
    <row r="2464" spans="4:48">
      <c r="D2464" s="31"/>
      <c r="E2464" s="31"/>
      <c r="F2464" s="31"/>
      <c r="G2464" s="31"/>
      <c r="H2464" s="32"/>
      <c r="J2464" s="33"/>
      <c r="K2464" s="33"/>
      <c r="L2464" s="33"/>
      <c r="X2464" s="23"/>
      <c r="Y2464" s="23"/>
      <c r="Z2464" s="23"/>
      <c r="AA2464" s="23"/>
      <c r="AF2464" s="23"/>
      <c r="AG2464" s="23"/>
      <c r="AH2464" s="23"/>
      <c r="AI2464" s="23"/>
      <c r="AN2464" s="23"/>
      <c r="AO2464" s="23"/>
      <c r="AP2464" s="23"/>
      <c r="AQ2464" s="23"/>
      <c r="AR2464" s="35"/>
      <c r="AS2464" s="35"/>
      <c r="AT2464" s="35"/>
      <c r="AU2464" s="31"/>
      <c r="AV2464" s="36"/>
    </row>
    <row r="2465" spans="4:48">
      <c r="D2465" s="31"/>
      <c r="E2465" s="31"/>
      <c r="F2465" s="31"/>
      <c r="G2465" s="31"/>
      <c r="H2465" s="32"/>
      <c r="J2465" s="33"/>
      <c r="K2465" s="33"/>
      <c r="L2465" s="33"/>
      <c r="X2465" s="23"/>
      <c r="Y2465" s="23"/>
      <c r="Z2465" s="23"/>
      <c r="AA2465" s="23"/>
      <c r="AF2465" s="23"/>
      <c r="AG2465" s="23"/>
      <c r="AH2465" s="23"/>
      <c r="AI2465" s="23"/>
      <c r="AN2465" s="23"/>
      <c r="AO2465" s="23"/>
      <c r="AP2465" s="23"/>
      <c r="AQ2465" s="23"/>
      <c r="AR2465" s="35"/>
      <c r="AS2465" s="35"/>
      <c r="AT2465" s="35"/>
      <c r="AU2465" s="31"/>
      <c r="AV2465" s="36"/>
    </row>
    <row r="2466" spans="4:48">
      <c r="D2466" s="31"/>
      <c r="E2466" s="31"/>
      <c r="F2466" s="31"/>
      <c r="G2466" s="31"/>
      <c r="H2466" s="32"/>
      <c r="J2466" s="33"/>
      <c r="K2466" s="33"/>
      <c r="L2466" s="33"/>
      <c r="X2466" s="23"/>
      <c r="Y2466" s="23"/>
      <c r="Z2466" s="23"/>
      <c r="AA2466" s="23"/>
      <c r="AF2466" s="23"/>
      <c r="AG2466" s="23"/>
      <c r="AH2466" s="23"/>
      <c r="AI2466" s="23"/>
      <c r="AN2466" s="23"/>
      <c r="AO2466" s="23"/>
      <c r="AP2466" s="23"/>
      <c r="AQ2466" s="23"/>
      <c r="AR2466" s="35"/>
      <c r="AS2466" s="35"/>
      <c r="AT2466" s="35"/>
      <c r="AU2466" s="31"/>
      <c r="AV2466" s="36"/>
    </row>
    <row r="2467" spans="4:48">
      <c r="D2467" s="31"/>
      <c r="E2467" s="31"/>
      <c r="F2467" s="31"/>
      <c r="G2467" s="31"/>
      <c r="H2467" s="32"/>
      <c r="J2467" s="33"/>
      <c r="K2467" s="33"/>
      <c r="L2467" s="33"/>
      <c r="X2467" s="23"/>
      <c r="Y2467" s="23"/>
      <c r="Z2467" s="23"/>
      <c r="AA2467" s="23"/>
      <c r="AF2467" s="23"/>
      <c r="AG2467" s="23"/>
      <c r="AH2467" s="23"/>
      <c r="AI2467" s="23"/>
      <c r="AN2467" s="23"/>
      <c r="AO2467" s="23"/>
      <c r="AP2467" s="23"/>
      <c r="AQ2467" s="23"/>
      <c r="AR2467" s="35"/>
      <c r="AS2467" s="35"/>
      <c r="AT2467" s="35"/>
      <c r="AU2467" s="31"/>
      <c r="AV2467" s="36"/>
    </row>
    <row r="2468" spans="4:48">
      <c r="D2468" s="31"/>
      <c r="E2468" s="31"/>
      <c r="F2468" s="31"/>
      <c r="G2468" s="31"/>
      <c r="H2468" s="32"/>
      <c r="J2468" s="33"/>
      <c r="K2468" s="33"/>
      <c r="L2468" s="33"/>
      <c r="X2468" s="23"/>
      <c r="Y2468" s="23"/>
      <c r="Z2468" s="23"/>
      <c r="AA2468" s="23"/>
      <c r="AF2468" s="23"/>
      <c r="AG2468" s="23"/>
      <c r="AH2468" s="23"/>
      <c r="AI2468" s="23"/>
      <c r="AN2468" s="23"/>
      <c r="AO2468" s="23"/>
      <c r="AP2468" s="23"/>
      <c r="AQ2468" s="23"/>
      <c r="AR2468" s="35"/>
      <c r="AS2468" s="35"/>
      <c r="AT2468" s="35"/>
      <c r="AU2468" s="31"/>
      <c r="AV2468" s="36"/>
    </row>
    <row r="2469" spans="4:48">
      <c r="D2469" s="31"/>
      <c r="E2469" s="31"/>
      <c r="F2469" s="31"/>
      <c r="G2469" s="31"/>
      <c r="H2469" s="32"/>
      <c r="J2469" s="33"/>
      <c r="K2469" s="33"/>
      <c r="L2469" s="33"/>
      <c r="X2469" s="23"/>
      <c r="Y2469" s="23"/>
      <c r="Z2469" s="23"/>
      <c r="AA2469" s="23"/>
      <c r="AF2469" s="23"/>
      <c r="AG2469" s="23"/>
      <c r="AH2469" s="23"/>
      <c r="AI2469" s="23"/>
      <c r="AN2469" s="23"/>
      <c r="AO2469" s="23"/>
      <c r="AP2469" s="23"/>
      <c r="AQ2469" s="23"/>
      <c r="AR2469" s="35"/>
      <c r="AS2469" s="35"/>
      <c r="AT2469" s="35"/>
      <c r="AU2469" s="31"/>
      <c r="AV2469" s="36"/>
    </row>
    <row r="2470" spans="4:48">
      <c r="D2470" s="31"/>
      <c r="E2470" s="31"/>
      <c r="F2470" s="31"/>
      <c r="G2470" s="31"/>
      <c r="H2470" s="32"/>
      <c r="J2470" s="33"/>
      <c r="K2470" s="33"/>
      <c r="L2470" s="33"/>
      <c r="X2470" s="23"/>
      <c r="Y2470" s="23"/>
      <c r="Z2470" s="23"/>
      <c r="AA2470" s="23"/>
      <c r="AF2470" s="23"/>
      <c r="AG2470" s="23"/>
      <c r="AH2470" s="23"/>
      <c r="AI2470" s="23"/>
      <c r="AN2470" s="23"/>
      <c r="AO2470" s="23"/>
      <c r="AP2470" s="23"/>
      <c r="AQ2470" s="23"/>
      <c r="AR2470" s="35"/>
      <c r="AS2470" s="35"/>
      <c r="AT2470" s="35"/>
      <c r="AU2470" s="31"/>
      <c r="AV2470" s="36"/>
    </row>
    <row r="2471" spans="4:48">
      <c r="D2471" s="31"/>
      <c r="E2471" s="31"/>
      <c r="F2471" s="31"/>
      <c r="G2471" s="31"/>
      <c r="H2471" s="32"/>
      <c r="J2471" s="33"/>
      <c r="K2471" s="33"/>
      <c r="L2471" s="33"/>
      <c r="X2471" s="23"/>
      <c r="Y2471" s="23"/>
      <c r="Z2471" s="23"/>
      <c r="AA2471" s="23"/>
      <c r="AF2471" s="23"/>
      <c r="AG2471" s="23"/>
      <c r="AH2471" s="23"/>
      <c r="AI2471" s="23"/>
      <c r="AN2471" s="23"/>
      <c r="AO2471" s="23"/>
      <c r="AP2471" s="23"/>
      <c r="AQ2471" s="23"/>
      <c r="AR2471" s="35"/>
      <c r="AS2471" s="35"/>
      <c r="AT2471" s="35"/>
      <c r="AU2471" s="31"/>
      <c r="AV2471" s="36"/>
    </row>
    <row r="2472" spans="4:48">
      <c r="D2472" s="31"/>
      <c r="E2472" s="31"/>
      <c r="F2472" s="31"/>
      <c r="G2472" s="31"/>
      <c r="H2472" s="32"/>
      <c r="J2472" s="33"/>
      <c r="K2472" s="33"/>
      <c r="L2472" s="33"/>
      <c r="X2472" s="23"/>
      <c r="Y2472" s="23"/>
      <c r="Z2472" s="23"/>
      <c r="AA2472" s="23"/>
      <c r="AF2472" s="23"/>
      <c r="AG2472" s="23"/>
      <c r="AH2472" s="23"/>
      <c r="AI2472" s="23"/>
      <c r="AN2472" s="23"/>
      <c r="AO2472" s="23"/>
      <c r="AP2472" s="23"/>
      <c r="AQ2472" s="23"/>
      <c r="AR2472" s="35"/>
      <c r="AS2472" s="35"/>
      <c r="AT2472" s="35"/>
      <c r="AU2472" s="31"/>
      <c r="AV2472" s="36"/>
    </row>
    <row r="2473" spans="4:48">
      <c r="D2473" s="31"/>
      <c r="E2473" s="31"/>
      <c r="F2473" s="31"/>
      <c r="G2473" s="31"/>
      <c r="H2473" s="32"/>
      <c r="J2473" s="33"/>
      <c r="K2473" s="33"/>
      <c r="L2473" s="33"/>
      <c r="X2473" s="23"/>
      <c r="Y2473" s="23"/>
      <c r="Z2473" s="23"/>
      <c r="AA2473" s="23"/>
      <c r="AF2473" s="23"/>
      <c r="AG2473" s="23"/>
      <c r="AH2473" s="23"/>
      <c r="AI2473" s="23"/>
      <c r="AN2473" s="23"/>
      <c r="AO2473" s="23"/>
      <c r="AP2473" s="23"/>
      <c r="AQ2473" s="23"/>
      <c r="AR2473" s="35"/>
      <c r="AS2473" s="35"/>
      <c r="AT2473" s="35"/>
      <c r="AU2473" s="31"/>
      <c r="AV2473" s="36"/>
    </row>
    <row r="2474" spans="4:48">
      <c r="D2474" s="31"/>
      <c r="E2474" s="31"/>
      <c r="F2474" s="31"/>
      <c r="G2474" s="31"/>
      <c r="H2474" s="32"/>
      <c r="J2474" s="33"/>
      <c r="K2474" s="33"/>
      <c r="L2474" s="33"/>
      <c r="X2474" s="23"/>
      <c r="Y2474" s="23"/>
      <c r="Z2474" s="23"/>
      <c r="AA2474" s="23"/>
      <c r="AF2474" s="23"/>
      <c r="AG2474" s="23"/>
      <c r="AH2474" s="23"/>
      <c r="AI2474" s="23"/>
      <c r="AN2474" s="23"/>
      <c r="AO2474" s="23"/>
      <c r="AP2474" s="23"/>
      <c r="AQ2474" s="23"/>
      <c r="AR2474" s="35"/>
      <c r="AS2474" s="35"/>
      <c r="AT2474" s="35"/>
      <c r="AU2474" s="31"/>
      <c r="AV2474" s="36"/>
    </row>
    <row r="2475" spans="4:48">
      <c r="D2475" s="31"/>
      <c r="E2475" s="31"/>
      <c r="F2475" s="31"/>
      <c r="G2475" s="31"/>
      <c r="H2475" s="32"/>
      <c r="J2475" s="33"/>
      <c r="K2475" s="33"/>
      <c r="L2475" s="33"/>
      <c r="X2475" s="23"/>
      <c r="Y2475" s="23"/>
      <c r="Z2475" s="23"/>
      <c r="AA2475" s="23"/>
      <c r="AF2475" s="23"/>
      <c r="AG2475" s="23"/>
      <c r="AH2475" s="23"/>
      <c r="AI2475" s="23"/>
      <c r="AN2475" s="23"/>
      <c r="AO2475" s="23"/>
      <c r="AP2475" s="23"/>
      <c r="AQ2475" s="23"/>
      <c r="AR2475" s="35"/>
      <c r="AS2475" s="35"/>
      <c r="AT2475" s="35"/>
      <c r="AU2475" s="31"/>
      <c r="AV2475" s="36"/>
    </row>
    <row r="2476" spans="4:48">
      <c r="D2476" s="31"/>
      <c r="E2476" s="31"/>
      <c r="F2476" s="31"/>
      <c r="G2476" s="31"/>
      <c r="H2476" s="32"/>
      <c r="J2476" s="33"/>
      <c r="K2476" s="33"/>
      <c r="L2476" s="33"/>
      <c r="X2476" s="23"/>
      <c r="Y2476" s="23"/>
      <c r="Z2476" s="23"/>
      <c r="AA2476" s="23"/>
      <c r="AF2476" s="23"/>
      <c r="AG2476" s="23"/>
      <c r="AH2476" s="23"/>
      <c r="AI2476" s="23"/>
      <c r="AN2476" s="23"/>
      <c r="AO2476" s="23"/>
      <c r="AP2476" s="23"/>
      <c r="AQ2476" s="23"/>
      <c r="AR2476" s="35"/>
      <c r="AS2476" s="35"/>
      <c r="AT2476" s="35"/>
      <c r="AU2476" s="31"/>
      <c r="AV2476" s="36"/>
    </row>
    <row r="2477" spans="4:48">
      <c r="D2477" s="31"/>
      <c r="E2477" s="31"/>
      <c r="F2477" s="31"/>
      <c r="G2477" s="31"/>
      <c r="H2477" s="32"/>
      <c r="J2477" s="33"/>
      <c r="K2477" s="33"/>
      <c r="L2477" s="33"/>
      <c r="X2477" s="23"/>
      <c r="Y2477" s="23"/>
      <c r="Z2477" s="23"/>
      <c r="AA2477" s="23"/>
      <c r="AF2477" s="23"/>
      <c r="AG2477" s="23"/>
      <c r="AH2477" s="23"/>
      <c r="AI2477" s="23"/>
      <c r="AN2477" s="23"/>
      <c r="AO2477" s="23"/>
      <c r="AP2477" s="23"/>
      <c r="AQ2477" s="23"/>
      <c r="AR2477" s="35"/>
      <c r="AS2477" s="35"/>
      <c r="AT2477" s="35"/>
      <c r="AU2477" s="31"/>
      <c r="AV2477" s="36"/>
    </row>
    <row r="2478" spans="4:48">
      <c r="D2478" s="31"/>
      <c r="E2478" s="31"/>
      <c r="F2478" s="31"/>
      <c r="G2478" s="31"/>
      <c r="H2478" s="32"/>
      <c r="J2478" s="33"/>
      <c r="K2478" s="33"/>
      <c r="L2478" s="33"/>
      <c r="X2478" s="23"/>
      <c r="Y2478" s="23"/>
      <c r="Z2478" s="23"/>
      <c r="AA2478" s="23"/>
      <c r="AF2478" s="23"/>
      <c r="AG2478" s="23"/>
      <c r="AH2478" s="23"/>
      <c r="AI2478" s="23"/>
      <c r="AN2478" s="23"/>
      <c r="AO2478" s="23"/>
      <c r="AP2478" s="23"/>
      <c r="AQ2478" s="23"/>
      <c r="AR2478" s="35"/>
      <c r="AS2478" s="35"/>
      <c r="AT2478" s="35"/>
      <c r="AU2478" s="31"/>
      <c r="AV2478" s="36"/>
    </row>
    <row r="2479" spans="4:48">
      <c r="D2479" s="31"/>
      <c r="E2479" s="31"/>
      <c r="F2479" s="31"/>
      <c r="G2479" s="31"/>
      <c r="H2479" s="32"/>
      <c r="J2479" s="33"/>
      <c r="K2479" s="33"/>
      <c r="L2479" s="33"/>
      <c r="X2479" s="23"/>
      <c r="Y2479" s="23"/>
      <c r="Z2479" s="23"/>
      <c r="AA2479" s="23"/>
      <c r="AF2479" s="23"/>
      <c r="AG2479" s="23"/>
      <c r="AH2479" s="23"/>
      <c r="AI2479" s="23"/>
      <c r="AN2479" s="23"/>
      <c r="AO2479" s="23"/>
      <c r="AP2479" s="23"/>
      <c r="AQ2479" s="23"/>
      <c r="AR2479" s="35"/>
      <c r="AS2479" s="35"/>
      <c r="AT2479" s="35"/>
      <c r="AU2479" s="31"/>
      <c r="AV2479" s="36"/>
    </row>
    <row r="2480" spans="4:48">
      <c r="D2480" s="31"/>
      <c r="E2480" s="31"/>
      <c r="F2480" s="31"/>
      <c r="G2480" s="31"/>
      <c r="H2480" s="32"/>
      <c r="J2480" s="33"/>
      <c r="K2480" s="33"/>
      <c r="L2480" s="33"/>
      <c r="X2480" s="23"/>
      <c r="Y2480" s="23"/>
      <c r="Z2480" s="23"/>
      <c r="AA2480" s="23"/>
      <c r="AF2480" s="23"/>
      <c r="AG2480" s="23"/>
      <c r="AH2480" s="23"/>
      <c r="AI2480" s="23"/>
      <c r="AN2480" s="23"/>
      <c r="AO2480" s="23"/>
      <c r="AP2480" s="23"/>
      <c r="AQ2480" s="23"/>
      <c r="AR2480" s="35"/>
      <c r="AS2480" s="35"/>
      <c r="AT2480" s="35"/>
      <c r="AU2480" s="31"/>
      <c r="AV2480" s="36"/>
    </row>
    <row r="2481" spans="4:48">
      <c r="D2481" s="31"/>
      <c r="E2481" s="31"/>
      <c r="F2481" s="31"/>
      <c r="G2481" s="31"/>
      <c r="H2481" s="32"/>
      <c r="J2481" s="33"/>
      <c r="K2481" s="33"/>
      <c r="L2481" s="33"/>
      <c r="X2481" s="23"/>
      <c r="Y2481" s="23"/>
      <c r="Z2481" s="23"/>
      <c r="AA2481" s="23"/>
      <c r="AF2481" s="23"/>
      <c r="AG2481" s="23"/>
      <c r="AH2481" s="23"/>
      <c r="AI2481" s="23"/>
      <c r="AN2481" s="23"/>
      <c r="AO2481" s="23"/>
      <c r="AP2481" s="23"/>
      <c r="AQ2481" s="23"/>
      <c r="AR2481" s="35"/>
      <c r="AS2481" s="35"/>
      <c r="AT2481" s="35"/>
      <c r="AU2481" s="31"/>
      <c r="AV2481" s="36"/>
    </row>
    <row r="2482" spans="4:48">
      <c r="D2482" s="31"/>
      <c r="E2482" s="31"/>
      <c r="F2482" s="31"/>
      <c r="G2482" s="31"/>
      <c r="H2482" s="32"/>
      <c r="J2482" s="33"/>
      <c r="K2482" s="33"/>
      <c r="L2482" s="33"/>
      <c r="X2482" s="23"/>
      <c r="Y2482" s="23"/>
      <c r="Z2482" s="23"/>
      <c r="AA2482" s="23"/>
      <c r="AF2482" s="23"/>
      <c r="AG2482" s="23"/>
      <c r="AH2482" s="23"/>
      <c r="AI2482" s="23"/>
      <c r="AN2482" s="23"/>
      <c r="AO2482" s="23"/>
      <c r="AP2482" s="23"/>
      <c r="AQ2482" s="23"/>
      <c r="AR2482" s="35"/>
      <c r="AS2482" s="35"/>
      <c r="AT2482" s="35"/>
      <c r="AU2482" s="31"/>
      <c r="AV2482" s="36"/>
    </row>
    <row r="2483" spans="4:48">
      <c r="D2483" s="31"/>
      <c r="E2483" s="31"/>
      <c r="F2483" s="31"/>
      <c r="G2483" s="31"/>
      <c r="H2483" s="32"/>
      <c r="J2483" s="33"/>
      <c r="K2483" s="33"/>
      <c r="L2483" s="33"/>
      <c r="X2483" s="23"/>
      <c r="Y2483" s="23"/>
      <c r="Z2483" s="23"/>
      <c r="AA2483" s="23"/>
      <c r="AF2483" s="23"/>
      <c r="AG2483" s="23"/>
      <c r="AH2483" s="23"/>
      <c r="AI2483" s="23"/>
      <c r="AN2483" s="23"/>
      <c r="AO2483" s="23"/>
      <c r="AP2483" s="23"/>
      <c r="AQ2483" s="23"/>
      <c r="AR2483" s="35"/>
      <c r="AS2483" s="35"/>
      <c r="AT2483" s="35"/>
      <c r="AU2483" s="31"/>
      <c r="AV2483" s="36"/>
    </row>
    <row r="2484" spans="4:48">
      <c r="D2484" s="31"/>
      <c r="E2484" s="31"/>
      <c r="F2484" s="31"/>
      <c r="G2484" s="31"/>
      <c r="H2484" s="32"/>
      <c r="J2484" s="33"/>
      <c r="K2484" s="33"/>
      <c r="L2484" s="33"/>
      <c r="X2484" s="23"/>
      <c r="Y2484" s="23"/>
      <c r="Z2484" s="23"/>
      <c r="AA2484" s="23"/>
      <c r="AF2484" s="23"/>
      <c r="AG2484" s="23"/>
      <c r="AH2484" s="23"/>
      <c r="AI2484" s="23"/>
      <c r="AN2484" s="23"/>
      <c r="AO2484" s="23"/>
      <c r="AP2484" s="23"/>
      <c r="AQ2484" s="23"/>
      <c r="AR2484" s="35"/>
      <c r="AS2484" s="35"/>
      <c r="AT2484" s="35"/>
      <c r="AU2484" s="31"/>
      <c r="AV2484" s="36"/>
    </row>
    <row r="2485" spans="4:48">
      <c r="D2485" s="31"/>
      <c r="E2485" s="31"/>
      <c r="F2485" s="31"/>
      <c r="G2485" s="31"/>
      <c r="H2485" s="32"/>
      <c r="J2485" s="33"/>
      <c r="K2485" s="33"/>
      <c r="L2485" s="33"/>
      <c r="X2485" s="23"/>
      <c r="Y2485" s="23"/>
      <c r="Z2485" s="23"/>
      <c r="AA2485" s="23"/>
      <c r="AF2485" s="23"/>
      <c r="AG2485" s="23"/>
      <c r="AH2485" s="23"/>
      <c r="AI2485" s="23"/>
      <c r="AN2485" s="23"/>
      <c r="AO2485" s="23"/>
      <c r="AP2485" s="23"/>
      <c r="AQ2485" s="23"/>
      <c r="AR2485" s="35"/>
      <c r="AS2485" s="35"/>
      <c r="AT2485" s="35"/>
      <c r="AU2485" s="31"/>
      <c r="AV2485" s="36"/>
    </row>
    <row r="2486" spans="4:48">
      <c r="D2486" s="31"/>
      <c r="E2486" s="31"/>
      <c r="F2486" s="31"/>
      <c r="G2486" s="31"/>
      <c r="H2486" s="32"/>
      <c r="J2486" s="33"/>
      <c r="K2486" s="33"/>
      <c r="L2486" s="33"/>
      <c r="X2486" s="23"/>
      <c r="Y2486" s="23"/>
      <c r="Z2486" s="23"/>
      <c r="AA2486" s="23"/>
      <c r="AF2486" s="23"/>
      <c r="AG2486" s="23"/>
      <c r="AH2486" s="23"/>
      <c r="AI2486" s="23"/>
      <c r="AN2486" s="23"/>
      <c r="AO2486" s="23"/>
      <c r="AP2486" s="23"/>
      <c r="AQ2486" s="23"/>
      <c r="AR2486" s="35"/>
      <c r="AS2486" s="35"/>
      <c r="AT2486" s="35"/>
      <c r="AU2486" s="31"/>
      <c r="AV2486" s="36"/>
    </row>
    <row r="2487" spans="4:48">
      <c r="D2487" s="31"/>
      <c r="E2487" s="31"/>
      <c r="F2487" s="31"/>
      <c r="G2487" s="31"/>
      <c r="H2487" s="32"/>
      <c r="J2487" s="33"/>
      <c r="K2487" s="33"/>
      <c r="L2487" s="33"/>
      <c r="X2487" s="23"/>
      <c r="Y2487" s="23"/>
      <c r="Z2487" s="23"/>
      <c r="AA2487" s="23"/>
      <c r="AF2487" s="23"/>
      <c r="AG2487" s="23"/>
      <c r="AH2487" s="23"/>
      <c r="AI2487" s="23"/>
      <c r="AN2487" s="23"/>
      <c r="AO2487" s="23"/>
      <c r="AP2487" s="23"/>
      <c r="AQ2487" s="23"/>
      <c r="AR2487" s="35"/>
      <c r="AS2487" s="35"/>
      <c r="AT2487" s="35"/>
      <c r="AU2487" s="31"/>
      <c r="AV2487" s="36"/>
    </row>
    <row r="2488" spans="4:48">
      <c r="D2488" s="31"/>
      <c r="E2488" s="31"/>
      <c r="F2488" s="31"/>
      <c r="G2488" s="31"/>
      <c r="H2488" s="32"/>
      <c r="J2488" s="33"/>
      <c r="K2488" s="33"/>
      <c r="L2488" s="33"/>
      <c r="X2488" s="23"/>
      <c r="Y2488" s="23"/>
      <c r="Z2488" s="23"/>
      <c r="AA2488" s="23"/>
      <c r="AF2488" s="23"/>
      <c r="AG2488" s="23"/>
      <c r="AH2488" s="23"/>
      <c r="AI2488" s="23"/>
      <c r="AN2488" s="23"/>
      <c r="AO2488" s="23"/>
      <c r="AP2488" s="23"/>
      <c r="AQ2488" s="23"/>
      <c r="AR2488" s="35"/>
      <c r="AS2488" s="35"/>
      <c r="AT2488" s="35"/>
      <c r="AU2488" s="31"/>
      <c r="AV2488" s="36"/>
    </row>
    <row r="2489" spans="4:48">
      <c r="D2489" s="31"/>
      <c r="E2489" s="31"/>
      <c r="F2489" s="31"/>
      <c r="G2489" s="31"/>
      <c r="H2489" s="32"/>
      <c r="J2489" s="33"/>
      <c r="K2489" s="33"/>
      <c r="L2489" s="33"/>
      <c r="X2489" s="23"/>
      <c r="Y2489" s="23"/>
      <c r="Z2489" s="23"/>
      <c r="AA2489" s="23"/>
      <c r="AF2489" s="23"/>
      <c r="AG2489" s="23"/>
      <c r="AH2489" s="23"/>
      <c r="AI2489" s="23"/>
      <c r="AN2489" s="23"/>
      <c r="AO2489" s="23"/>
      <c r="AP2489" s="23"/>
      <c r="AQ2489" s="23"/>
      <c r="AR2489" s="35"/>
      <c r="AS2489" s="35"/>
      <c r="AT2489" s="35"/>
      <c r="AU2489" s="31"/>
      <c r="AV2489" s="36"/>
    </row>
    <row r="2490" spans="4:48">
      <c r="D2490" s="31"/>
      <c r="E2490" s="31"/>
      <c r="F2490" s="31"/>
      <c r="G2490" s="31"/>
      <c r="H2490" s="32"/>
      <c r="J2490" s="33"/>
      <c r="K2490" s="33"/>
      <c r="L2490" s="33"/>
      <c r="X2490" s="23"/>
      <c r="Y2490" s="23"/>
      <c r="Z2490" s="23"/>
      <c r="AA2490" s="23"/>
      <c r="AF2490" s="23"/>
      <c r="AG2490" s="23"/>
      <c r="AH2490" s="23"/>
      <c r="AI2490" s="23"/>
      <c r="AN2490" s="23"/>
      <c r="AO2490" s="23"/>
      <c r="AP2490" s="23"/>
      <c r="AQ2490" s="23"/>
      <c r="AR2490" s="35"/>
      <c r="AS2490" s="35"/>
      <c r="AT2490" s="35"/>
      <c r="AU2490" s="31"/>
      <c r="AV2490" s="36"/>
    </row>
    <row r="2491" spans="4:48">
      <c r="D2491" s="31"/>
      <c r="E2491" s="31"/>
      <c r="F2491" s="31"/>
      <c r="G2491" s="31"/>
      <c r="H2491" s="32"/>
      <c r="J2491" s="33"/>
      <c r="K2491" s="33"/>
      <c r="L2491" s="33"/>
      <c r="X2491" s="23"/>
      <c r="Y2491" s="23"/>
      <c r="Z2491" s="23"/>
      <c r="AA2491" s="23"/>
      <c r="AF2491" s="23"/>
      <c r="AG2491" s="23"/>
      <c r="AH2491" s="23"/>
      <c r="AI2491" s="23"/>
      <c r="AN2491" s="23"/>
      <c r="AO2491" s="23"/>
      <c r="AP2491" s="23"/>
      <c r="AQ2491" s="23"/>
      <c r="AR2491" s="35"/>
      <c r="AS2491" s="35"/>
      <c r="AT2491" s="35"/>
      <c r="AU2491" s="31"/>
      <c r="AV2491" s="36"/>
    </row>
    <row r="2492" spans="4:48">
      <c r="D2492" s="31"/>
      <c r="E2492" s="31"/>
      <c r="F2492" s="31"/>
      <c r="G2492" s="31"/>
      <c r="H2492" s="32"/>
      <c r="J2492" s="33"/>
      <c r="K2492" s="33"/>
      <c r="L2492" s="33"/>
      <c r="X2492" s="23"/>
      <c r="Y2492" s="23"/>
      <c r="Z2492" s="23"/>
      <c r="AA2492" s="23"/>
      <c r="AF2492" s="23"/>
      <c r="AG2492" s="23"/>
      <c r="AH2492" s="23"/>
      <c r="AI2492" s="23"/>
      <c r="AN2492" s="23"/>
      <c r="AO2492" s="23"/>
      <c r="AP2492" s="23"/>
      <c r="AQ2492" s="23"/>
      <c r="AR2492" s="35"/>
      <c r="AS2492" s="35"/>
      <c r="AT2492" s="35"/>
      <c r="AU2492" s="31"/>
      <c r="AV2492" s="36"/>
    </row>
    <row r="2493" spans="4:48">
      <c r="D2493" s="31"/>
      <c r="E2493" s="31"/>
      <c r="F2493" s="31"/>
      <c r="G2493" s="31"/>
      <c r="H2493" s="32"/>
      <c r="J2493" s="33"/>
      <c r="K2493" s="33"/>
      <c r="L2493" s="33"/>
      <c r="X2493" s="23"/>
      <c r="Y2493" s="23"/>
      <c r="Z2493" s="23"/>
      <c r="AA2493" s="23"/>
      <c r="AF2493" s="23"/>
      <c r="AG2493" s="23"/>
      <c r="AH2493" s="23"/>
      <c r="AI2493" s="23"/>
      <c r="AN2493" s="23"/>
      <c r="AO2493" s="23"/>
      <c r="AP2493" s="23"/>
      <c r="AQ2493" s="23"/>
      <c r="AR2493" s="35"/>
      <c r="AS2493" s="35"/>
      <c r="AT2493" s="35"/>
      <c r="AU2493" s="31"/>
      <c r="AV2493" s="36"/>
    </row>
    <row r="2494" spans="4:48">
      <c r="D2494" s="31"/>
      <c r="E2494" s="31"/>
      <c r="F2494" s="31"/>
      <c r="G2494" s="31"/>
      <c r="H2494" s="32"/>
      <c r="J2494" s="33"/>
      <c r="K2494" s="33"/>
      <c r="L2494" s="33"/>
      <c r="X2494" s="23"/>
      <c r="Y2494" s="23"/>
      <c r="Z2494" s="23"/>
      <c r="AA2494" s="23"/>
      <c r="AF2494" s="23"/>
      <c r="AG2494" s="23"/>
      <c r="AH2494" s="23"/>
      <c r="AI2494" s="23"/>
      <c r="AN2494" s="23"/>
      <c r="AO2494" s="23"/>
      <c r="AP2494" s="23"/>
      <c r="AQ2494" s="23"/>
      <c r="AR2494" s="35"/>
      <c r="AS2494" s="35"/>
      <c r="AT2494" s="35"/>
      <c r="AU2494" s="31"/>
      <c r="AV2494" s="36"/>
    </row>
    <row r="2495" spans="4:48">
      <c r="D2495" s="31"/>
      <c r="E2495" s="31"/>
      <c r="F2495" s="31"/>
      <c r="G2495" s="31"/>
      <c r="H2495" s="32"/>
      <c r="J2495" s="33"/>
      <c r="K2495" s="33"/>
      <c r="L2495" s="33"/>
      <c r="X2495" s="23"/>
      <c r="Y2495" s="23"/>
      <c r="Z2495" s="23"/>
      <c r="AA2495" s="23"/>
      <c r="AF2495" s="23"/>
      <c r="AG2495" s="23"/>
      <c r="AH2495" s="23"/>
      <c r="AI2495" s="23"/>
      <c r="AN2495" s="23"/>
      <c r="AO2495" s="23"/>
      <c r="AP2495" s="23"/>
      <c r="AQ2495" s="23"/>
      <c r="AR2495" s="35"/>
      <c r="AS2495" s="35"/>
      <c r="AT2495" s="35"/>
      <c r="AU2495" s="31"/>
      <c r="AV2495" s="36"/>
    </row>
    <row r="2496" spans="4:48">
      <c r="D2496" s="31"/>
      <c r="E2496" s="31"/>
      <c r="F2496" s="31"/>
      <c r="G2496" s="31"/>
      <c r="H2496" s="32"/>
      <c r="J2496" s="33"/>
      <c r="K2496" s="33"/>
      <c r="L2496" s="33"/>
      <c r="X2496" s="23"/>
      <c r="Y2496" s="23"/>
      <c r="Z2496" s="23"/>
      <c r="AA2496" s="23"/>
      <c r="AF2496" s="23"/>
      <c r="AG2496" s="23"/>
      <c r="AH2496" s="23"/>
      <c r="AI2496" s="23"/>
      <c r="AN2496" s="23"/>
      <c r="AO2496" s="23"/>
      <c r="AP2496" s="23"/>
      <c r="AQ2496" s="23"/>
      <c r="AR2496" s="35"/>
      <c r="AS2496" s="35"/>
      <c r="AT2496" s="35"/>
      <c r="AU2496" s="31"/>
      <c r="AV2496" s="36"/>
    </row>
    <row r="2497" spans="4:48">
      <c r="D2497" s="31"/>
      <c r="E2497" s="31"/>
      <c r="F2497" s="31"/>
      <c r="G2497" s="31"/>
      <c r="H2497" s="32"/>
      <c r="J2497" s="33"/>
      <c r="K2497" s="33"/>
      <c r="L2497" s="33"/>
      <c r="X2497" s="23"/>
      <c r="Y2497" s="23"/>
      <c r="Z2497" s="23"/>
      <c r="AA2497" s="23"/>
      <c r="AF2497" s="23"/>
      <c r="AG2497" s="23"/>
      <c r="AH2497" s="23"/>
      <c r="AI2497" s="23"/>
      <c r="AN2497" s="23"/>
      <c r="AO2497" s="23"/>
      <c r="AP2497" s="23"/>
      <c r="AQ2497" s="23"/>
      <c r="AR2497" s="35"/>
      <c r="AS2497" s="35"/>
      <c r="AT2497" s="35"/>
      <c r="AU2497" s="31"/>
      <c r="AV2497" s="36"/>
    </row>
    <row r="2498" spans="4:48">
      <c r="D2498" s="31"/>
      <c r="E2498" s="31"/>
      <c r="F2498" s="31"/>
      <c r="G2498" s="31"/>
      <c r="H2498" s="32"/>
      <c r="J2498" s="33"/>
      <c r="K2498" s="33"/>
      <c r="L2498" s="33"/>
      <c r="X2498" s="23"/>
      <c r="Y2498" s="23"/>
      <c r="Z2498" s="23"/>
      <c r="AA2498" s="23"/>
      <c r="AF2498" s="23"/>
      <c r="AG2498" s="23"/>
      <c r="AH2498" s="23"/>
      <c r="AI2498" s="23"/>
      <c r="AN2498" s="23"/>
      <c r="AO2498" s="23"/>
      <c r="AP2498" s="23"/>
      <c r="AQ2498" s="23"/>
      <c r="AR2498" s="35"/>
      <c r="AS2498" s="35"/>
      <c r="AT2498" s="35"/>
      <c r="AU2498" s="31"/>
      <c r="AV2498" s="36"/>
    </row>
    <row r="2499" spans="4:48">
      <c r="D2499" s="31"/>
      <c r="E2499" s="31"/>
      <c r="F2499" s="31"/>
      <c r="G2499" s="31"/>
      <c r="H2499" s="32"/>
      <c r="J2499" s="33"/>
      <c r="K2499" s="33"/>
      <c r="L2499" s="33"/>
      <c r="X2499" s="23"/>
      <c r="Y2499" s="23"/>
      <c r="Z2499" s="23"/>
      <c r="AA2499" s="23"/>
      <c r="AF2499" s="23"/>
      <c r="AG2499" s="23"/>
      <c r="AH2499" s="23"/>
      <c r="AI2499" s="23"/>
      <c r="AN2499" s="23"/>
      <c r="AO2499" s="23"/>
      <c r="AP2499" s="23"/>
      <c r="AQ2499" s="23"/>
      <c r="AR2499" s="35"/>
      <c r="AS2499" s="35"/>
      <c r="AT2499" s="35"/>
      <c r="AU2499" s="31"/>
      <c r="AV2499" s="36"/>
    </row>
    <row r="2500" spans="4:48">
      <c r="D2500" s="31"/>
      <c r="E2500" s="31"/>
      <c r="F2500" s="31"/>
      <c r="G2500" s="31"/>
      <c r="H2500" s="32"/>
      <c r="J2500" s="33"/>
      <c r="K2500" s="33"/>
      <c r="L2500" s="33"/>
      <c r="X2500" s="23"/>
      <c r="Y2500" s="23"/>
      <c r="Z2500" s="23"/>
      <c r="AA2500" s="23"/>
      <c r="AF2500" s="23"/>
      <c r="AG2500" s="23"/>
      <c r="AH2500" s="23"/>
      <c r="AI2500" s="23"/>
      <c r="AN2500" s="23"/>
      <c r="AO2500" s="23"/>
      <c r="AP2500" s="23"/>
      <c r="AQ2500" s="23"/>
      <c r="AR2500" s="35"/>
      <c r="AS2500" s="35"/>
      <c r="AT2500" s="35"/>
      <c r="AU2500" s="31"/>
      <c r="AV2500" s="36"/>
    </row>
    <row r="2501" spans="4:48">
      <c r="D2501" s="31"/>
      <c r="E2501" s="31"/>
      <c r="F2501" s="31"/>
      <c r="G2501" s="31"/>
      <c r="H2501" s="32"/>
      <c r="J2501" s="33"/>
      <c r="K2501" s="33"/>
      <c r="L2501" s="33"/>
      <c r="X2501" s="23"/>
      <c r="Y2501" s="23"/>
      <c r="Z2501" s="23"/>
      <c r="AA2501" s="23"/>
      <c r="AF2501" s="23"/>
      <c r="AG2501" s="23"/>
      <c r="AH2501" s="23"/>
      <c r="AI2501" s="23"/>
      <c r="AN2501" s="23"/>
      <c r="AO2501" s="23"/>
      <c r="AP2501" s="23"/>
      <c r="AQ2501" s="23"/>
      <c r="AR2501" s="35"/>
      <c r="AS2501" s="35"/>
      <c r="AT2501" s="35"/>
      <c r="AU2501" s="31"/>
      <c r="AV2501" s="36"/>
    </row>
    <row r="2502" spans="4:48">
      <c r="D2502" s="31"/>
      <c r="E2502" s="31"/>
      <c r="F2502" s="31"/>
      <c r="G2502" s="31"/>
      <c r="H2502" s="32"/>
      <c r="J2502" s="33"/>
      <c r="K2502" s="33"/>
      <c r="L2502" s="33"/>
      <c r="X2502" s="23"/>
      <c r="Y2502" s="23"/>
      <c r="Z2502" s="23"/>
      <c r="AA2502" s="23"/>
      <c r="AF2502" s="23"/>
      <c r="AG2502" s="23"/>
      <c r="AH2502" s="23"/>
      <c r="AI2502" s="23"/>
      <c r="AN2502" s="23"/>
      <c r="AO2502" s="23"/>
      <c r="AP2502" s="23"/>
      <c r="AQ2502" s="23"/>
      <c r="AR2502" s="35"/>
      <c r="AS2502" s="35"/>
      <c r="AT2502" s="35"/>
      <c r="AU2502" s="31"/>
      <c r="AV2502" s="36"/>
    </row>
    <row r="2503" spans="4:48">
      <c r="D2503" s="31"/>
      <c r="E2503" s="31"/>
      <c r="F2503" s="31"/>
      <c r="G2503" s="31"/>
      <c r="H2503" s="32"/>
      <c r="J2503" s="33"/>
      <c r="K2503" s="33"/>
      <c r="L2503" s="33"/>
      <c r="X2503" s="23"/>
      <c r="Y2503" s="23"/>
      <c r="Z2503" s="23"/>
      <c r="AA2503" s="23"/>
      <c r="AF2503" s="23"/>
      <c r="AG2503" s="23"/>
      <c r="AH2503" s="23"/>
      <c r="AI2503" s="23"/>
      <c r="AN2503" s="23"/>
      <c r="AO2503" s="23"/>
      <c r="AP2503" s="23"/>
      <c r="AQ2503" s="23"/>
      <c r="AR2503" s="35"/>
      <c r="AS2503" s="35"/>
      <c r="AT2503" s="35"/>
      <c r="AU2503" s="31"/>
      <c r="AV2503" s="36"/>
    </row>
    <row r="2504" spans="4:48">
      <c r="D2504" s="31"/>
      <c r="E2504" s="31"/>
      <c r="F2504" s="31"/>
      <c r="G2504" s="31"/>
      <c r="H2504" s="32"/>
      <c r="J2504" s="33"/>
      <c r="K2504" s="33"/>
      <c r="L2504" s="33"/>
      <c r="X2504" s="23"/>
      <c r="Y2504" s="23"/>
      <c r="Z2504" s="23"/>
      <c r="AA2504" s="23"/>
      <c r="AF2504" s="23"/>
      <c r="AG2504" s="23"/>
      <c r="AH2504" s="23"/>
      <c r="AI2504" s="23"/>
      <c r="AN2504" s="23"/>
      <c r="AO2504" s="23"/>
      <c r="AP2504" s="23"/>
      <c r="AQ2504" s="23"/>
      <c r="AR2504" s="35"/>
      <c r="AS2504" s="35"/>
      <c r="AT2504" s="35"/>
      <c r="AU2504" s="31"/>
      <c r="AV2504" s="36"/>
    </row>
    <row r="2505" spans="4:48">
      <c r="D2505" s="31"/>
      <c r="E2505" s="31"/>
      <c r="F2505" s="31"/>
      <c r="G2505" s="31"/>
      <c r="H2505" s="32"/>
      <c r="J2505" s="33"/>
      <c r="K2505" s="33"/>
      <c r="L2505" s="33"/>
      <c r="X2505" s="23"/>
      <c r="Y2505" s="23"/>
      <c r="Z2505" s="23"/>
      <c r="AA2505" s="23"/>
      <c r="AF2505" s="23"/>
      <c r="AG2505" s="23"/>
      <c r="AH2505" s="23"/>
      <c r="AI2505" s="23"/>
      <c r="AN2505" s="23"/>
      <c r="AO2505" s="23"/>
      <c r="AP2505" s="23"/>
      <c r="AQ2505" s="23"/>
      <c r="AR2505" s="35"/>
      <c r="AS2505" s="35"/>
      <c r="AT2505" s="35"/>
      <c r="AU2505" s="31"/>
      <c r="AV2505" s="36"/>
    </row>
    <row r="2506" spans="4:48">
      <c r="D2506" s="31"/>
      <c r="E2506" s="31"/>
      <c r="F2506" s="31"/>
      <c r="G2506" s="31"/>
      <c r="H2506" s="32"/>
      <c r="J2506" s="33"/>
      <c r="K2506" s="33"/>
      <c r="L2506" s="33"/>
      <c r="X2506" s="23"/>
      <c r="Y2506" s="23"/>
      <c r="Z2506" s="23"/>
      <c r="AA2506" s="23"/>
      <c r="AF2506" s="23"/>
      <c r="AG2506" s="23"/>
      <c r="AH2506" s="23"/>
      <c r="AI2506" s="23"/>
      <c r="AN2506" s="23"/>
      <c r="AO2506" s="23"/>
      <c r="AP2506" s="23"/>
      <c r="AQ2506" s="23"/>
      <c r="AR2506" s="35"/>
      <c r="AS2506" s="35"/>
      <c r="AT2506" s="35"/>
      <c r="AU2506" s="31"/>
      <c r="AV2506" s="36"/>
    </row>
    <row r="2507" spans="4:48">
      <c r="D2507" s="31"/>
      <c r="E2507" s="31"/>
      <c r="F2507" s="31"/>
      <c r="G2507" s="31"/>
      <c r="H2507" s="32"/>
      <c r="J2507" s="33"/>
      <c r="K2507" s="33"/>
      <c r="L2507" s="33"/>
      <c r="X2507" s="23"/>
      <c r="Y2507" s="23"/>
      <c r="Z2507" s="23"/>
      <c r="AA2507" s="23"/>
      <c r="AF2507" s="23"/>
      <c r="AG2507" s="23"/>
      <c r="AH2507" s="23"/>
      <c r="AI2507" s="23"/>
      <c r="AN2507" s="23"/>
      <c r="AO2507" s="23"/>
      <c r="AP2507" s="23"/>
      <c r="AQ2507" s="23"/>
      <c r="AR2507" s="35"/>
      <c r="AS2507" s="35"/>
      <c r="AT2507" s="35"/>
      <c r="AU2507" s="31"/>
      <c r="AV2507" s="36"/>
    </row>
    <row r="2508" spans="4:48">
      <c r="D2508" s="31"/>
      <c r="E2508" s="31"/>
      <c r="F2508" s="31"/>
      <c r="G2508" s="31"/>
      <c r="H2508" s="32"/>
      <c r="J2508" s="33"/>
      <c r="K2508" s="33"/>
      <c r="L2508" s="33"/>
      <c r="X2508" s="23"/>
      <c r="Y2508" s="23"/>
      <c r="Z2508" s="23"/>
      <c r="AA2508" s="23"/>
      <c r="AF2508" s="23"/>
      <c r="AG2508" s="23"/>
      <c r="AH2508" s="23"/>
      <c r="AI2508" s="23"/>
      <c r="AN2508" s="23"/>
      <c r="AO2508" s="23"/>
      <c r="AP2508" s="23"/>
      <c r="AQ2508" s="23"/>
      <c r="AR2508" s="35"/>
      <c r="AS2508" s="35"/>
      <c r="AT2508" s="35"/>
      <c r="AU2508" s="31"/>
      <c r="AV2508" s="36"/>
    </row>
    <row r="2509" spans="4:48">
      <c r="D2509" s="31"/>
      <c r="E2509" s="31"/>
      <c r="F2509" s="31"/>
      <c r="G2509" s="31"/>
      <c r="H2509" s="32"/>
      <c r="J2509" s="33"/>
      <c r="K2509" s="33"/>
      <c r="L2509" s="33"/>
      <c r="X2509" s="23"/>
      <c r="Y2509" s="23"/>
      <c r="Z2509" s="23"/>
      <c r="AA2509" s="23"/>
      <c r="AF2509" s="23"/>
      <c r="AG2509" s="23"/>
      <c r="AH2509" s="23"/>
      <c r="AI2509" s="23"/>
      <c r="AN2509" s="23"/>
      <c r="AO2509" s="23"/>
      <c r="AP2509" s="23"/>
      <c r="AQ2509" s="23"/>
      <c r="AR2509" s="35"/>
      <c r="AS2509" s="35"/>
      <c r="AT2509" s="35"/>
      <c r="AU2509" s="31"/>
      <c r="AV2509" s="36"/>
    </row>
    <row r="2510" spans="4:48">
      <c r="D2510" s="31"/>
      <c r="E2510" s="31"/>
      <c r="F2510" s="31"/>
      <c r="G2510" s="31"/>
      <c r="H2510" s="32"/>
      <c r="J2510" s="33"/>
      <c r="K2510" s="33"/>
      <c r="L2510" s="33"/>
      <c r="X2510" s="23"/>
      <c r="Y2510" s="23"/>
      <c r="Z2510" s="23"/>
      <c r="AA2510" s="23"/>
      <c r="AF2510" s="23"/>
      <c r="AG2510" s="23"/>
      <c r="AH2510" s="23"/>
      <c r="AI2510" s="23"/>
      <c r="AN2510" s="23"/>
      <c r="AO2510" s="23"/>
      <c r="AP2510" s="23"/>
      <c r="AQ2510" s="23"/>
      <c r="AR2510" s="35"/>
      <c r="AS2510" s="35"/>
      <c r="AT2510" s="35"/>
      <c r="AU2510" s="31"/>
      <c r="AV2510" s="36"/>
    </row>
    <row r="2511" spans="4:48">
      <c r="D2511" s="31"/>
      <c r="E2511" s="31"/>
      <c r="F2511" s="31"/>
      <c r="G2511" s="31"/>
      <c r="H2511" s="32"/>
      <c r="J2511" s="33"/>
      <c r="K2511" s="33"/>
      <c r="L2511" s="33"/>
      <c r="X2511" s="23"/>
      <c r="Y2511" s="23"/>
      <c r="Z2511" s="23"/>
      <c r="AA2511" s="23"/>
      <c r="AF2511" s="23"/>
      <c r="AG2511" s="23"/>
      <c r="AH2511" s="23"/>
      <c r="AI2511" s="23"/>
      <c r="AN2511" s="23"/>
      <c r="AO2511" s="23"/>
      <c r="AP2511" s="23"/>
      <c r="AQ2511" s="23"/>
      <c r="AR2511" s="35"/>
      <c r="AS2511" s="35"/>
      <c r="AT2511" s="35"/>
      <c r="AU2511" s="31"/>
      <c r="AV2511" s="36"/>
    </row>
    <row r="2512" spans="4:48">
      <c r="D2512" s="31"/>
      <c r="E2512" s="31"/>
      <c r="F2512" s="31"/>
      <c r="G2512" s="31"/>
      <c r="H2512" s="32"/>
      <c r="J2512" s="33"/>
      <c r="K2512" s="33"/>
      <c r="L2512" s="33"/>
      <c r="X2512" s="23"/>
      <c r="Y2512" s="23"/>
      <c r="Z2512" s="23"/>
      <c r="AA2512" s="23"/>
      <c r="AF2512" s="23"/>
      <c r="AG2512" s="23"/>
      <c r="AH2512" s="23"/>
      <c r="AI2512" s="23"/>
      <c r="AN2512" s="23"/>
      <c r="AO2512" s="23"/>
      <c r="AP2512" s="23"/>
      <c r="AQ2512" s="23"/>
      <c r="AR2512" s="35"/>
      <c r="AS2512" s="35"/>
      <c r="AT2512" s="35"/>
      <c r="AU2512" s="31"/>
      <c r="AV2512" s="36"/>
    </row>
    <row r="2513" spans="4:48">
      <c r="D2513" s="31"/>
      <c r="E2513" s="31"/>
      <c r="F2513" s="31"/>
      <c r="G2513" s="31"/>
      <c r="H2513" s="32"/>
      <c r="J2513" s="33"/>
      <c r="K2513" s="33"/>
      <c r="L2513" s="33"/>
      <c r="X2513" s="23"/>
      <c r="Y2513" s="23"/>
      <c r="Z2513" s="23"/>
      <c r="AA2513" s="23"/>
      <c r="AF2513" s="23"/>
      <c r="AG2513" s="23"/>
      <c r="AH2513" s="23"/>
      <c r="AI2513" s="23"/>
      <c r="AN2513" s="23"/>
      <c r="AO2513" s="23"/>
      <c r="AP2513" s="23"/>
      <c r="AQ2513" s="23"/>
      <c r="AR2513" s="35"/>
      <c r="AS2513" s="35"/>
      <c r="AT2513" s="35"/>
      <c r="AU2513" s="31"/>
      <c r="AV2513" s="36"/>
    </row>
    <row r="2514" spans="4:48">
      <c r="D2514" s="31"/>
      <c r="E2514" s="31"/>
      <c r="F2514" s="31"/>
      <c r="G2514" s="31"/>
      <c r="H2514" s="32"/>
      <c r="J2514" s="33"/>
      <c r="K2514" s="33"/>
      <c r="L2514" s="33"/>
      <c r="X2514" s="23"/>
      <c r="Y2514" s="23"/>
      <c r="Z2514" s="23"/>
      <c r="AA2514" s="23"/>
      <c r="AF2514" s="23"/>
      <c r="AG2514" s="23"/>
      <c r="AH2514" s="23"/>
      <c r="AI2514" s="23"/>
      <c r="AN2514" s="23"/>
      <c r="AO2514" s="23"/>
      <c r="AP2514" s="23"/>
      <c r="AQ2514" s="23"/>
      <c r="AR2514" s="35"/>
      <c r="AS2514" s="35"/>
      <c r="AT2514" s="35"/>
      <c r="AU2514" s="31"/>
      <c r="AV2514" s="36"/>
    </row>
    <row r="2515" spans="4:48">
      <c r="D2515" s="31"/>
      <c r="E2515" s="31"/>
      <c r="F2515" s="31"/>
      <c r="G2515" s="31"/>
      <c r="H2515" s="32"/>
      <c r="J2515" s="33"/>
      <c r="K2515" s="33"/>
      <c r="L2515" s="33"/>
      <c r="X2515" s="23"/>
      <c r="Y2515" s="23"/>
      <c r="Z2515" s="23"/>
      <c r="AA2515" s="23"/>
      <c r="AF2515" s="23"/>
      <c r="AG2515" s="23"/>
      <c r="AH2515" s="23"/>
      <c r="AI2515" s="23"/>
      <c r="AN2515" s="23"/>
      <c r="AO2515" s="23"/>
      <c r="AP2515" s="23"/>
      <c r="AQ2515" s="23"/>
      <c r="AR2515" s="35"/>
      <c r="AS2515" s="35"/>
      <c r="AT2515" s="35"/>
      <c r="AU2515" s="31"/>
      <c r="AV2515" s="36"/>
    </row>
    <row r="2516" spans="4:48">
      <c r="D2516" s="31"/>
      <c r="E2516" s="31"/>
      <c r="F2516" s="31"/>
      <c r="G2516" s="31"/>
      <c r="H2516" s="32"/>
      <c r="J2516" s="33"/>
      <c r="K2516" s="33"/>
      <c r="L2516" s="33"/>
      <c r="X2516" s="23"/>
      <c r="Y2516" s="23"/>
      <c r="Z2516" s="23"/>
      <c r="AA2516" s="23"/>
      <c r="AF2516" s="23"/>
      <c r="AG2516" s="23"/>
      <c r="AH2516" s="23"/>
      <c r="AI2516" s="23"/>
      <c r="AN2516" s="23"/>
      <c r="AO2516" s="23"/>
      <c r="AP2516" s="23"/>
      <c r="AQ2516" s="23"/>
      <c r="AR2516" s="35"/>
      <c r="AS2516" s="35"/>
      <c r="AT2516" s="35"/>
      <c r="AU2516" s="31"/>
      <c r="AV2516" s="36"/>
    </row>
    <row r="2517" spans="4:48">
      <c r="D2517" s="31"/>
      <c r="E2517" s="31"/>
      <c r="F2517" s="31"/>
      <c r="G2517" s="31"/>
      <c r="H2517" s="32"/>
      <c r="J2517" s="33"/>
      <c r="K2517" s="33"/>
      <c r="L2517" s="33"/>
      <c r="X2517" s="23"/>
      <c r="Y2517" s="23"/>
      <c r="Z2517" s="23"/>
      <c r="AA2517" s="23"/>
      <c r="AF2517" s="23"/>
      <c r="AG2517" s="23"/>
      <c r="AH2517" s="23"/>
      <c r="AI2517" s="23"/>
      <c r="AN2517" s="23"/>
      <c r="AO2517" s="23"/>
      <c r="AP2517" s="23"/>
      <c r="AQ2517" s="23"/>
      <c r="AR2517" s="35"/>
      <c r="AS2517" s="35"/>
      <c r="AT2517" s="35"/>
      <c r="AU2517" s="31"/>
      <c r="AV2517" s="36"/>
    </row>
    <row r="2518" spans="4:48">
      <c r="D2518" s="31"/>
      <c r="E2518" s="31"/>
      <c r="F2518" s="31"/>
      <c r="G2518" s="31"/>
      <c r="H2518" s="32"/>
      <c r="J2518" s="33"/>
      <c r="K2518" s="33"/>
      <c r="L2518" s="33"/>
      <c r="X2518" s="23"/>
      <c r="Y2518" s="23"/>
      <c r="Z2518" s="23"/>
      <c r="AA2518" s="23"/>
      <c r="AF2518" s="23"/>
      <c r="AG2518" s="23"/>
      <c r="AH2518" s="23"/>
      <c r="AI2518" s="23"/>
      <c r="AN2518" s="23"/>
      <c r="AO2518" s="23"/>
      <c r="AP2518" s="23"/>
      <c r="AQ2518" s="23"/>
      <c r="AR2518" s="35"/>
      <c r="AS2518" s="35"/>
      <c r="AT2518" s="35"/>
      <c r="AU2518" s="31"/>
      <c r="AV2518" s="36"/>
    </row>
    <row r="2519" spans="4:48">
      <c r="D2519" s="31"/>
      <c r="E2519" s="31"/>
      <c r="F2519" s="31"/>
      <c r="G2519" s="31"/>
      <c r="H2519" s="32"/>
      <c r="J2519" s="33"/>
      <c r="K2519" s="33"/>
      <c r="L2519" s="33"/>
      <c r="X2519" s="23"/>
      <c r="Y2519" s="23"/>
      <c r="Z2519" s="23"/>
      <c r="AA2519" s="23"/>
      <c r="AF2519" s="23"/>
      <c r="AG2519" s="23"/>
      <c r="AH2519" s="23"/>
      <c r="AI2519" s="23"/>
      <c r="AN2519" s="23"/>
      <c r="AO2519" s="23"/>
      <c r="AP2519" s="23"/>
      <c r="AQ2519" s="23"/>
      <c r="AR2519" s="35"/>
      <c r="AS2519" s="35"/>
      <c r="AT2519" s="35"/>
      <c r="AU2519" s="31"/>
      <c r="AV2519" s="36"/>
    </row>
    <row r="2520" spans="4:48">
      <c r="D2520" s="31"/>
      <c r="E2520" s="31"/>
      <c r="F2520" s="31"/>
      <c r="G2520" s="31"/>
      <c r="H2520" s="32"/>
      <c r="J2520" s="33"/>
      <c r="K2520" s="33"/>
      <c r="L2520" s="33"/>
      <c r="X2520" s="23"/>
      <c r="Y2520" s="23"/>
      <c r="Z2520" s="23"/>
      <c r="AA2520" s="23"/>
      <c r="AF2520" s="23"/>
      <c r="AG2520" s="23"/>
      <c r="AH2520" s="23"/>
      <c r="AI2520" s="23"/>
      <c r="AN2520" s="23"/>
      <c r="AO2520" s="23"/>
      <c r="AP2520" s="23"/>
      <c r="AQ2520" s="23"/>
      <c r="AR2520" s="35"/>
      <c r="AS2520" s="35"/>
      <c r="AT2520" s="35"/>
      <c r="AU2520" s="31"/>
      <c r="AV2520" s="36"/>
    </row>
    <row r="2521" spans="4:48">
      <c r="D2521" s="31"/>
      <c r="E2521" s="31"/>
      <c r="F2521" s="31"/>
      <c r="G2521" s="31"/>
      <c r="H2521" s="32"/>
      <c r="J2521" s="33"/>
      <c r="K2521" s="33"/>
      <c r="L2521" s="33"/>
      <c r="X2521" s="23"/>
      <c r="Y2521" s="23"/>
      <c r="Z2521" s="23"/>
      <c r="AA2521" s="23"/>
      <c r="AF2521" s="23"/>
      <c r="AG2521" s="23"/>
      <c r="AH2521" s="23"/>
      <c r="AI2521" s="23"/>
      <c r="AN2521" s="23"/>
      <c r="AO2521" s="23"/>
      <c r="AP2521" s="23"/>
      <c r="AQ2521" s="23"/>
      <c r="AR2521" s="35"/>
      <c r="AS2521" s="35"/>
      <c r="AT2521" s="35"/>
      <c r="AU2521" s="31"/>
      <c r="AV2521" s="36"/>
    </row>
    <row r="2522" spans="4:48">
      <c r="D2522" s="31"/>
      <c r="E2522" s="31"/>
      <c r="F2522" s="31"/>
      <c r="G2522" s="31"/>
      <c r="H2522" s="32"/>
      <c r="J2522" s="33"/>
      <c r="K2522" s="33"/>
      <c r="L2522" s="33"/>
      <c r="X2522" s="23"/>
      <c r="Y2522" s="23"/>
      <c r="Z2522" s="23"/>
      <c r="AA2522" s="23"/>
      <c r="AF2522" s="23"/>
      <c r="AG2522" s="23"/>
      <c r="AH2522" s="23"/>
      <c r="AI2522" s="23"/>
      <c r="AN2522" s="23"/>
      <c r="AO2522" s="23"/>
      <c r="AP2522" s="23"/>
      <c r="AQ2522" s="23"/>
      <c r="AR2522" s="35"/>
      <c r="AS2522" s="35"/>
      <c r="AT2522" s="35"/>
      <c r="AU2522" s="31"/>
      <c r="AV2522" s="36"/>
    </row>
    <row r="2523" spans="4:48">
      <c r="D2523" s="31"/>
      <c r="E2523" s="31"/>
      <c r="F2523" s="31"/>
      <c r="G2523" s="31"/>
      <c r="H2523" s="32"/>
      <c r="J2523" s="33"/>
      <c r="K2523" s="33"/>
      <c r="L2523" s="33"/>
      <c r="X2523" s="23"/>
      <c r="Y2523" s="23"/>
      <c r="Z2523" s="23"/>
      <c r="AA2523" s="23"/>
      <c r="AF2523" s="23"/>
      <c r="AG2523" s="23"/>
      <c r="AH2523" s="23"/>
      <c r="AI2523" s="23"/>
      <c r="AN2523" s="23"/>
      <c r="AO2523" s="23"/>
      <c r="AP2523" s="23"/>
      <c r="AQ2523" s="23"/>
      <c r="AR2523" s="35"/>
      <c r="AS2523" s="35"/>
      <c r="AT2523" s="35"/>
      <c r="AU2523" s="31"/>
      <c r="AV2523" s="36"/>
    </row>
    <row r="2524" spans="4:48">
      <c r="D2524" s="31"/>
      <c r="E2524" s="31"/>
      <c r="F2524" s="31"/>
      <c r="G2524" s="31"/>
      <c r="H2524" s="32"/>
      <c r="J2524" s="33"/>
      <c r="K2524" s="33"/>
      <c r="L2524" s="33"/>
      <c r="X2524" s="23"/>
      <c r="Y2524" s="23"/>
      <c r="Z2524" s="23"/>
      <c r="AA2524" s="23"/>
      <c r="AF2524" s="23"/>
      <c r="AG2524" s="23"/>
      <c r="AH2524" s="23"/>
      <c r="AI2524" s="23"/>
      <c r="AN2524" s="23"/>
      <c r="AO2524" s="23"/>
      <c r="AP2524" s="23"/>
      <c r="AQ2524" s="23"/>
      <c r="AR2524" s="35"/>
      <c r="AS2524" s="35"/>
      <c r="AT2524" s="35"/>
      <c r="AU2524" s="31"/>
      <c r="AV2524" s="36"/>
    </row>
    <row r="2525" spans="4:48">
      <c r="D2525" s="31"/>
      <c r="E2525" s="31"/>
      <c r="F2525" s="31"/>
      <c r="G2525" s="31"/>
      <c r="H2525" s="32"/>
      <c r="J2525" s="33"/>
      <c r="K2525" s="33"/>
      <c r="L2525" s="33"/>
      <c r="X2525" s="23"/>
      <c r="Y2525" s="23"/>
      <c r="Z2525" s="23"/>
      <c r="AA2525" s="23"/>
      <c r="AF2525" s="23"/>
      <c r="AG2525" s="23"/>
      <c r="AH2525" s="23"/>
      <c r="AI2525" s="23"/>
      <c r="AN2525" s="23"/>
      <c r="AO2525" s="23"/>
      <c r="AP2525" s="23"/>
      <c r="AQ2525" s="23"/>
      <c r="AR2525" s="35"/>
      <c r="AS2525" s="35"/>
      <c r="AT2525" s="35"/>
      <c r="AU2525" s="31"/>
      <c r="AV2525" s="36"/>
    </row>
    <row r="2526" spans="4:48">
      <c r="D2526" s="31"/>
      <c r="E2526" s="31"/>
      <c r="F2526" s="31"/>
      <c r="G2526" s="31"/>
      <c r="H2526" s="32"/>
      <c r="J2526" s="33"/>
      <c r="K2526" s="33"/>
      <c r="L2526" s="33"/>
      <c r="X2526" s="23"/>
      <c r="Y2526" s="23"/>
      <c r="Z2526" s="23"/>
      <c r="AA2526" s="23"/>
      <c r="AF2526" s="23"/>
      <c r="AG2526" s="23"/>
      <c r="AH2526" s="23"/>
      <c r="AI2526" s="23"/>
      <c r="AN2526" s="23"/>
      <c r="AO2526" s="23"/>
      <c r="AP2526" s="23"/>
      <c r="AQ2526" s="23"/>
      <c r="AR2526" s="35"/>
      <c r="AS2526" s="35"/>
      <c r="AT2526" s="35"/>
      <c r="AU2526" s="31"/>
      <c r="AV2526" s="36"/>
    </row>
    <row r="2527" spans="4:48">
      <c r="D2527" s="31"/>
      <c r="E2527" s="31"/>
      <c r="F2527" s="31"/>
      <c r="G2527" s="31"/>
      <c r="H2527" s="32"/>
      <c r="J2527" s="33"/>
      <c r="K2527" s="33"/>
      <c r="L2527" s="33"/>
      <c r="X2527" s="23"/>
      <c r="Y2527" s="23"/>
      <c r="Z2527" s="23"/>
      <c r="AA2527" s="23"/>
      <c r="AF2527" s="23"/>
      <c r="AG2527" s="23"/>
      <c r="AH2527" s="23"/>
      <c r="AI2527" s="23"/>
      <c r="AN2527" s="23"/>
      <c r="AO2527" s="23"/>
      <c r="AP2527" s="23"/>
      <c r="AQ2527" s="23"/>
      <c r="AR2527" s="35"/>
      <c r="AS2527" s="35"/>
      <c r="AT2527" s="35"/>
      <c r="AU2527" s="31"/>
      <c r="AV2527" s="36"/>
    </row>
    <row r="2528" spans="4:48">
      <c r="D2528" s="31"/>
      <c r="E2528" s="31"/>
      <c r="F2528" s="31"/>
      <c r="G2528" s="31"/>
      <c r="H2528" s="32"/>
      <c r="J2528" s="33"/>
      <c r="K2528" s="33"/>
      <c r="L2528" s="33"/>
      <c r="X2528" s="23"/>
      <c r="Y2528" s="23"/>
      <c r="Z2528" s="23"/>
      <c r="AA2528" s="23"/>
      <c r="AF2528" s="23"/>
      <c r="AG2528" s="23"/>
      <c r="AH2528" s="23"/>
      <c r="AI2528" s="23"/>
      <c r="AN2528" s="23"/>
      <c r="AO2528" s="23"/>
      <c r="AP2528" s="23"/>
      <c r="AQ2528" s="23"/>
      <c r="AR2528" s="35"/>
      <c r="AS2528" s="35"/>
      <c r="AT2528" s="35"/>
      <c r="AU2528" s="31"/>
      <c r="AV2528" s="36"/>
    </row>
    <row r="2529" spans="4:48">
      <c r="D2529" s="31"/>
      <c r="E2529" s="31"/>
      <c r="F2529" s="31"/>
      <c r="G2529" s="31"/>
      <c r="H2529" s="32"/>
      <c r="J2529" s="33"/>
      <c r="K2529" s="33"/>
      <c r="L2529" s="33"/>
      <c r="X2529" s="23"/>
      <c r="Y2529" s="23"/>
      <c r="Z2529" s="23"/>
      <c r="AA2529" s="23"/>
      <c r="AF2529" s="23"/>
      <c r="AG2529" s="23"/>
      <c r="AH2529" s="23"/>
      <c r="AI2529" s="23"/>
      <c r="AN2529" s="23"/>
      <c r="AO2529" s="23"/>
      <c r="AP2529" s="23"/>
      <c r="AQ2529" s="23"/>
      <c r="AR2529" s="35"/>
      <c r="AS2529" s="35"/>
      <c r="AT2529" s="35"/>
      <c r="AU2529" s="31"/>
      <c r="AV2529" s="36"/>
    </row>
    <row r="2530" spans="4:48">
      <c r="D2530" s="31"/>
      <c r="E2530" s="31"/>
      <c r="F2530" s="31"/>
      <c r="G2530" s="31"/>
      <c r="H2530" s="32"/>
      <c r="J2530" s="33"/>
      <c r="K2530" s="33"/>
      <c r="L2530" s="33"/>
      <c r="X2530" s="23"/>
      <c r="Y2530" s="23"/>
      <c r="Z2530" s="23"/>
      <c r="AA2530" s="23"/>
      <c r="AF2530" s="23"/>
      <c r="AG2530" s="23"/>
      <c r="AH2530" s="23"/>
      <c r="AI2530" s="23"/>
      <c r="AN2530" s="23"/>
      <c r="AO2530" s="23"/>
      <c r="AP2530" s="23"/>
      <c r="AQ2530" s="23"/>
      <c r="AR2530" s="35"/>
      <c r="AS2530" s="35"/>
      <c r="AT2530" s="35"/>
      <c r="AU2530" s="31"/>
      <c r="AV2530" s="36"/>
    </row>
    <row r="2531" spans="4:48">
      <c r="D2531" s="31"/>
      <c r="E2531" s="31"/>
      <c r="F2531" s="31"/>
      <c r="G2531" s="31"/>
      <c r="H2531" s="32"/>
      <c r="J2531" s="33"/>
      <c r="K2531" s="33"/>
      <c r="L2531" s="33"/>
      <c r="X2531" s="23"/>
      <c r="Y2531" s="23"/>
      <c r="Z2531" s="23"/>
      <c r="AA2531" s="23"/>
      <c r="AF2531" s="23"/>
      <c r="AG2531" s="23"/>
      <c r="AH2531" s="23"/>
      <c r="AI2531" s="23"/>
      <c r="AN2531" s="23"/>
      <c r="AO2531" s="23"/>
      <c r="AP2531" s="23"/>
      <c r="AQ2531" s="23"/>
      <c r="AR2531" s="35"/>
      <c r="AS2531" s="35"/>
      <c r="AT2531" s="35"/>
      <c r="AU2531" s="31"/>
      <c r="AV2531" s="36"/>
    </row>
    <row r="2532" spans="4:48">
      <c r="D2532" s="31"/>
      <c r="E2532" s="31"/>
      <c r="F2532" s="31"/>
      <c r="G2532" s="31"/>
      <c r="H2532" s="32"/>
      <c r="J2532" s="33"/>
      <c r="K2532" s="33"/>
      <c r="L2532" s="33"/>
      <c r="X2532" s="23"/>
      <c r="Y2532" s="23"/>
      <c r="Z2532" s="23"/>
      <c r="AA2532" s="23"/>
      <c r="AF2532" s="23"/>
      <c r="AG2532" s="23"/>
      <c r="AH2532" s="23"/>
      <c r="AI2532" s="23"/>
      <c r="AN2532" s="23"/>
      <c r="AO2532" s="23"/>
      <c r="AP2532" s="23"/>
      <c r="AQ2532" s="23"/>
      <c r="AR2532" s="35"/>
      <c r="AS2532" s="35"/>
      <c r="AT2532" s="35"/>
      <c r="AU2532" s="31"/>
      <c r="AV2532" s="36"/>
    </row>
    <row r="2533" spans="4:48">
      <c r="D2533" s="31"/>
      <c r="E2533" s="31"/>
      <c r="F2533" s="31"/>
      <c r="G2533" s="31"/>
      <c r="H2533" s="32"/>
      <c r="J2533" s="33"/>
      <c r="K2533" s="33"/>
      <c r="L2533" s="33"/>
      <c r="X2533" s="23"/>
      <c r="Y2533" s="23"/>
      <c r="Z2533" s="23"/>
      <c r="AA2533" s="23"/>
      <c r="AF2533" s="23"/>
      <c r="AG2533" s="23"/>
      <c r="AH2533" s="23"/>
      <c r="AI2533" s="23"/>
      <c r="AN2533" s="23"/>
      <c r="AO2533" s="23"/>
      <c r="AP2533" s="23"/>
      <c r="AQ2533" s="23"/>
      <c r="AR2533" s="35"/>
      <c r="AS2533" s="35"/>
      <c r="AT2533" s="35"/>
      <c r="AU2533" s="31"/>
      <c r="AV2533" s="36"/>
    </row>
    <row r="2534" spans="4:48">
      <c r="D2534" s="31"/>
      <c r="E2534" s="31"/>
      <c r="F2534" s="31"/>
      <c r="G2534" s="31"/>
      <c r="H2534" s="32"/>
      <c r="J2534" s="33"/>
      <c r="K2534" s="33"/>
      <c r="L2534" s="33"/>
      <c r="X2534" s="23"/>
      <c r="Y2534" s="23"/>
      <c r="Z2534" s="23"/>
      <c r="AA2534" s="23"/>
      <c r="AF2534" s="23"/>
      <c r="AG2534" s="23"/>
      <c r="AH2534" s="23"/>
      <c r="AI2534" s="23"/>
      <c r="AN2534" s="23"/>
      <c r="AO2534" s="23"/>
      <c r="AP2534" s="23"/>
      <c r="AQ2534" s="23"/>
      <c r="AR2534" s="35"/>
      <c r="AS2534" s="35"/>
      <c r="AT2534" s="35"/>
      <c r="AU2534" s="31"/>
      <c r="AV2534" s="36"/>
    </row>
    <row r="2535" spans="4:48">
      <c r="D2535" s="31"/>
      <c r="E2535" s="31"/>
      <c r="F2535" s="31"/>
      <c r="G2535" s="31"/>
      <c r="H2535" s="32"/>
      <c r="J2535" s="33"/>
      <c r="K2535" s="33"/>
      <c r="L2535" s="33"/>
      <c r="X2535" s="23"/>
      <c r="Y2535" s="23"/>
      <c r="Z2535" s="23"/>
      <c r="AA2535" s="23"/>
      <c r="AF2535" s="23"/>
      <c r="AG2535" s="23"/>
      <c r="AH2535" s="23"/>
      <c r="AI2535" s="23"/>
      <c r="AN2535" s="23"/>
      <c r="AO2535" s="23"/>
      <c r="AP2535" s="23"/>
      <c r="AQ2535" s="23"/>
      <c r="AR2535" s="35"/>
      <c r="AS2535" s="35"/>
      <c r="AT2535" s="35"/>
      <c r="AU2535" s="31"/>
      <c r="AV2535" s="36"/>
    </row>
    <row r="2536" spans="4:48">
      <c r="D2536" s="31"/>
      <c r="E2536" s="31"/>
      <c r="F2536" s="31"/>
      <c r="G2536" s="31"/>
      <c r="H2536" s="32"/>
      <c r="J2536" s="33"/>
      <c r="K2536" s="33"/>
      <c r="L2536" s="33"/>
      <c r="X2536" s="23"/>
      <c r="Y2536" s="23"/>
      <c r="Z2536" s="23"/>
      <c r="AA2536" s="23"/>
      <c r="AF2536" s="23"/>
      <c r="AG2536" s="23"/>
      <c r="AH2536" s="23"/>
      <c r="AI2536" s="23"/>
      <c r="AN2536" s="23"/>
      <c r="AO2536" s="23"/>
      <c r="AP2536" s="23"/>
      <c r="AQ2536" s="23"/>
      <c r="AR2536" s="35"/>
      <c r="AS2536" s="35"/>
      <c r="AT2536" s="35"/>
      <c r="AU2536" s="31"/>
      <c r="AV2536" s="36"/>
    </row>
    <row r="2537" spans="4:48">
      <c r="D2537" s="31"/>
      <c r="E2537" s="31"/>
      <c r="F2537" s="31"/>
      <c r="G2537" s="31"/>
      <c r="H2537" s="32"/>
      <c r="J2537" s="33"/>
      <c r="K2537" s="33"/>
      <c r="L2537" s="33"/>
      <c r="X2537" s="23"/>
      <c r="Y2537" s="23"/>
      <c r="Z2537" s="23"/>
      <c r="AA2537" s="23"/>
      <c r="AF2537" s="23"/>
      <c r="AG2537" s="23"/>
      <c r="AH2537" s="23"/>
      <c r="AI2537" s="23"/>
      <c r="AN2537" s="23"/>
      <c r="AO2537" s="23"/>
      <c r="AP2537" s="23"/>
      <c r="AQ2537" s="23"/>
      <c r="AR2537" s="35"/>
      <c r="AS2537" s="35"/>
      <c r="AT2537" s="35"/>
      <c r="AU2537" s="31"/>
      <c r="AV2537" s="36"/>
    </row>
    <row r="2538" spans="4:48">
      <c r="D2538" s="31"/>
      <c r="E2538" s="31"/>
      <c r="F2538" s="31"/>
      <c r="G2538" s="31"/>
      <c r="H2538" s="32"/>
      <c r="J2538" s="33"/>
      <c r="K2538" s="33"/>
      <c r="L2538" s="33"/>
      <c r="X2538" s="23"/>
      <c r="Y2538" s="23"/>
      <c r="Z2538" s="23"/>
      <c r="AA2538" s="23"/>
      <c r="AF2538" s="23"/>
      <c r="AG2538" s="23"/>
      <c r="AH2538" s="23"/>
      <c r="AI2538" s="23"/>
      <c r="AN2538" s="23"/>
      <c r="AO2538" s="23"/>
      <c r="AP2538" s="23"/>
      <c r="AQ2538" s="23"/>
      <c r="AR2538" s="35"/>
      <c r="AS2538" s="35"/>
      <c r="AT2538" s="35"/>
      <c r="AU2538" s="31"/>
      <c r="AV2538" s="36"/>
    </row>
    <row r="2539" spans="4:48">
      <c r="D2539" s="31"/>
      <c r="E2539" s="31"/>
      <c r="F2539" s="31"/>
      <c r="G2539" s="31"/>
      <c r="H2539" s="32"/>
      <c r="J2539" s="33"/>
      <c r="K2539" s="33"/>
      <c r="L2539" s="33"/>
      <c r="X2539" s="23"/>
      <c r="Y2539" s="23"/>
      <c r="Z2539" s="23"/>
      <c r="AA2539" s="23"/>
      <c r="AF2539" s="23"/>
      <c r="AG2539" s="23"/>
      <c r="AH2539" s="23"/>
      <c r="AI2539" s="23"/>
      <c r="AN2539" s="23"/>
      <c r="AO2539" s="23"/>
      <c r="AP2539" s="23"/>
      <c r="AQ2539" s="23"/>
      <c r="AR2539" s="35"/>
      <c r="AS2539" s="35"/>
      <c r="AT2539" s="35"/>
      <c r="AU2539" s="31"/>
      <c r="AV2539" s="36"/>
    </row>
    <row r="2540" spans="4:48">
      <c r="D2540" s="31"/>
      <c r="E2540" s="31"/>
      <c r="F2540" s="31"/>
      <c r="G2540" s="31"/>
      <c r="H2540" s="32"/>
      <c r="J2540" s="33"/>
      <c r="K2540" s="33"/>
      <c r="L2540" s="33"/>
      <c r="X2540" s="23"/>
      <c r="Y2540" s="23"/>
      <c r="Z2540" s="23"/>
      <c r="AA2540" s="23"/>
      <c r="AF2540" s="23"/>
      <c r="AG2540" s="23"/>
      <c r="AH2540" s="23"/>
      <c r="AI2540" s="23"/>
      <c r="AN2540" s="23"/>
      <c r="AO2540" s="23"/>
      <c r="AP2540" s="23"/>
      <c r="AQ2540" s="23"/>
      <c r="AR2540" s="35"/>
      <c r="AS2540" s="35"/>
      <c r="AT2540" s="35"/>
      <c r="AU2540" s="31"/>
      <c r="AV2540" s="36"/>
    </row>
    <row r="2541" spans="4:48">
      <c r="D2541" s="31"/>
      <c r="E2541" s="31"/>
      <c r="F2541" s="31"/>
      <c r="G2541" s="31"/>
      <c r="H2541" s="32"/>
      <c r="J2541" s="33"/>
      <c r="K2541" s="33"/>
      <c r="L2541" s="33"/>
      <c r="X2541" s="23"/>
      <c r="Y2541" s="23"/>
      <c r="Z2541" s="23"/>
      <c r="AA2541" s="23"/>
      <c r="AF2541" s="23"/>
      <c r="AG2541" s="23"/>
      <c r="AH2541" s="23"/>
      <c r="AI2541" s="23"/>
      <c r="AN2541" s="23"/>
      <c r="AO2541" s="23"/>
      <c r="AP2541" s="23"/>
      <c r="AQ2541" s="23"/>
      <c r="AR2541" s="35"/>
      <c r="AS2541" s="35"/>
      <c r="AT2541" s="35"/>
      <c r="AU2541" s="31"/>
      <c r="AV2541" s="36"/>
    </row>
    <row r="2542" spans="4:48">
      <c r="D2542" s="31"/>
      <c r="E2542" s="31"/>
      <c r="F2542" s="31"/>
      <c r="G2542" s="31"/>
      <c r="H2542" s="32"/>
      <c r="J2542" s="33"/>
      <c r="K2542" s="33"/>
      <c r="L2542" s="33"/>
      <c r="X2542" s="23"/>
      <c r="Y2542" s="23"/>
      <c r="Z2542" s="23"/>
      <c r="AA2542" s="23"/>
      <c r="AF2542" s="23"/>
      <c r="AG2542" s="23"/>
      <c r="AH2542" s="23"/>
      <c r="AI2542" s="23"/>
      <c r="AN2542" s="23"/>
      <c r="AO2542" s="23"/>
      <c r="AP2542" s="23"/>
      <c r="AQ2542" s="23"/>
      <c r="AR2542" s="35"/>
      <c r="AS2542" s="35"/>
      <c r="AT2542" s="35"/>
      <c r="AU2542" s="31"/>
      <c r="AV2542" s="36"/>
    </row>
    <row r="2543" spans="4:48">
      <c r="D2543" s="31"/>
      <c r="E2543" s="31"/>
      <c r="F2543" s="31"/>
      <c r="G2543" s="31"/>
      <c r="H2543" s="32"/>
      <c r="J2543" s="33"/>
      <c r="K2543" s="33"/>
      <c r="L2543" s="33"/>
      <c r="X2543" s="23"/>
      <c r="Y2543" s="23"/>
      <c r="Z2543" s="23"/>
      <c r="AA2543" s="23"/>
      <c r="AF2543" s="23"/>
      <c r="AG2543" s="23"/>
      <c r="AH2543" s="23"/>
      <c r="AI2543" s="23"/>
      <c r="AN2543" s="23"/>
      <c r="AO2543" s="23"/>
      <c r="AP2543" s="23"/>
      <c r="AQ2543" s="23"/>
      <c r="AR2543" s="35"/>
      <c r="AS2543" s="35"/>
      <c r="AT2543" s="35"/>
      <c r="AU2543" s="31"/>
      <c r="AV2543" s="36"/>
    </row>
    <row r="2544" spans="4:48">
      <c r="D2544" s="31"/>
      <c r="E2544" s="31"/>
      <c r="F2544" s="31"/>
      <c r="G2544" s="31"/>
      <c r="H2544" s="32"/>
      <c r="J2544" s="33"/>
      <c r="K2544" s="33"/>
      <c r="L2544" s="33"/>
      <c r="X2544" s="23"/>
      <c r="Y2544" s="23"/>
      <c r="Z2544" s="23"/>
      <c r="AA2544" s="23"/>
      <c r="AF2544" s="23"/>
      <c r="AG2544" s="23"/>
      <c r="AH2544" s="23"/>
      <c r="AI2544" s="23"/>
      <c r="AN2544" s="23"/>
      <c r="AO2544" s="23"/>
      <c r="AP2544" s="23"/>
      <c r="AQ2544" s="23"/>
      <c r="AR2544" s="35"/>
      <c r="AS2544" s="35"/>
      <c r="AT2544" s="35"/>
      <c r="AU2544" s="31"/>
      <c r="AV2544" s="36"/>
    </row>
    <row r="2545" spans="4:48">
      <c r="D2545" s="31"/>
      <c r="E2545" s="31"/>
      <c r="F2545" s="31"/>
      <c r="G2545" s="31"/>
      <c r="H2545" s="32"/>
      <c r="J2545" s="33"/>
      <c r="K2545" s="33"/>
      <c r="L2545" s="33"/>
      <c r="X2545" s="23"/>
      <c r="Y2545" s="23"/>
      <c r="Z2545" s="23"/>
      <c r="AA2545" s="23"/>
      <c r="AF2545" s="23"/>
      <c r="AG2545" s="23"/>
      <c r="AH2545" s="23"/>
      <c r="AI2545" s="23"/>
      <c r="AN2545" s="23"/>
      <c r="AO2545" s="23"/>
      <c r="AP2545" s="23"/>
      <c r="AQ2545" s="23"/>
      <c r="AR2545" s="35"/>
      <c r="AS2545" s="35"/>
      <c r="AT2545" s="35"/>
      <c r="AU2545" s="31"/>
      <c r="AV2545" s="36"/>
    </row>
    <row r="2546" spans="4:48">
      <c r="D2546" s="31"/>
      <c r="E2546" s="31"/>
      <c r="F2546" s="31"/>
      <c r="G2546" s="31"/>
      <c r="H2546" s="32"/>
      <c r="J2546" s="33"/>
      <c r="K2546" s="33"/>
      <c r="L2546" s="33"/>
      <c r="X2546" s="23"/>
      <c r="Y2546" s="23"/>
      <c r="Z2546" s="23"/>
      <c r="AA2546" s="23"/>
      <c r="AF2546" s="23"/>
      <c r="AG2546" s="23"/>
      <c r="AH2546" s="23"/>
      <c r="AI2546" s="23"/>
      <c r="AN2546" s="23"/>
      <c r="AO2546" s="23"/>
      <c r="AP2546" s="23"/>
      <c r="AQ2546" s="23"/>
      <c r="AR2546" s="35"/>
      <c r="AS2546" s="35"/>
      <c r="AT2546" s="35"/>
      <c r="AU2546" s="31"/>
      <c r="AV2546" s="36"/>
    </row>
    <row r="2547" spans="4:48">
      <c r="D2547" s="31"/>
      <c r="E2547" s="31"/>
      <c r="F2547" s="31"/>
      <c r="G2547" s="31"/>
      <c r="H2547" s="32"/>
      <c r="J2547" s="33"/>
      <c r="K2547" s="33"/>
      <c r="L2547" s="33"/>
      <c r="X2547" s="23"/>
      <c r="Y2547" s="23"/>
      <c r="Z2547" s="23"/>
      <c r="AA2547" s="23"/>
      <c r="AF2547" s="23"/>
      <c r="AG2547" s="23"/>
      <c r="AH2547" s="23"/>
      <c r="AI2547" s="23"/>
      <c r="AN2547" s="23"/>
      <c r="AO2547" s="23"/>
      <c r="AP2547" s="23"/>
      <c r="AQ2547" s="23"/>
      <c r="AR2547" s="35"/>
      <c r="AS2547" s="35"/>
      <c r="AT2547" s="35"/>
      <c r="AU2547" s="31"/>
      <c r="AV2547" s="36"/>
    </row>
    <row r="2548" spans="4:48">
      <c r="D2548" s="31"/>
      <c r="E2548" s="31"/>
      <c r="F2548" s="31"/>
      <c r="G2548" s="31"/>
      <c r="H2548" s="32"/>
      <c r="J2548" s="33"/>
      <c r="K2548" s="33"/>
      <c r="L2548" s="33"/>
      <c r="X2548" s="23"/>
      <c r="Y2548" s="23"/>
      <c r="Z2548" s="23"/>
      <c r="AA2548" s="23"/>
      <c r="AF2548" s="23"/>
      <c r="AG2548" s="23"/>
      <c r="AH2548" s="23"/>
      <c r="AI2548" s="23"/>
      <c r="AN2548" s="23"/>
      <c r="AO2548" s="23"/>
      <c r="AP2548" s="23"/>
      <c r="AQ2548" s="23"/>
      <c r="AR2548" s="35"/>
      <c r="AS2548" s="35"/>
      <c r="AT2548" s="35"/>
      <c r="AU2548" s="31"/>
      <c r="AV2548" s="36"/>
    </row>
    <row r="2549" spans="4:48">
      <c r="D2549" s="31"/>
      <c r="E2549" s="31"/>
      <c r="F2549" s="31"/>
      <c r="G2549" s="31"/>
      <c r="H2549" s="32"/>
      <c r="J2549" s="33"/>
      <c r="K2549" s="33"/>
      <c r="L2549" s="33"/>
      <c r="X2549" s="23"/>
      <c r="Y2549" s="23"/>
      <c r="Z2549" s="23"/>
      <c r="AA2549" s="23"/>
      <c r="AF2549" s="23"/>
      <c r="AG2549" s="23"/>
      <c r="AH2549" s="23"/>
      <c r="AI2549" s="23"/>
      <c r="AN2549" s="23"/>
      <c r="AO2549" s="23"/>
      <c r="AP2549" s="23"/>
      <c r="AQ2549" s="23"/>
      <c r="AR2549" s="35"/>
      <c r="AS2549" s="35"/>
      <c r="AT2549" s="35"/>
      <c r="AU2549" s="31"/>
      <c r="AV2549" s="36"/>
    </row>
    <row r="2550" spans="4:48">
      <c r="D2550" s="31"/>
      <c r="E2550" s="31"/>
      <c r="F2550" s="31"/>
      <c r="G2550" s="31"/>
      <c r="H2550" s="32"/>
      <c r="J2550" s="33"/>
      <c r="K2550" s="33"/>
      <c r="L2550" s="33"/>
      <c r="X2550" s="23"/>
      <c r="Y2550" s="23"/>
      <c r="Z2550" s="23"/>
      <c r="AA2550" s="23"/>
      <c r="AF2550" s="23"/>
      <c r="AG2550" s="23"/>
      <c r="AH2550" s="23"/>
      <c r="AI2550" s="23"/>
      <c r="AN2550" s="23"/>
      <c r="AO2550" s="23"/>
      <c r="AP2550" s="23"/>
      <c r="AQ2550" s="23"/>
      <c r="AR2550" s="35"/>
      <c r="AS2550" s="35"/>
      <c r="AT2550" s="35"/>
      <c r="AU2550" s="31"/>
      <c r="AV2550" s="36"/>
    </row>
    <row r="2551" spans="4:48">
      <c r="D2551" s="31"/>
      <c r="E2551" s="31"/>
      <c r="F2551" s="31"/>
      <c r="G2551" s="31"/>
      <c r="H2551" s="32"/>
      <c r="J2551" s="33"/>
      <c r="K2551" s="33"/>
      <c r="L2551" s="33"/>
      <c r="X2551" s="23"/>
      <c r="Y2551" s="23"/>
      <c r="Z2551" s="23"/>
      <c r="AA2551" s="23"/>
      <c r="AF2551" s="23"/>
      <c r="AG2551" s="23"/>
      <c r="AH2551" s="23"/>
      <c r="AI2551" s="23"/>
      <c r="AN2551" s="23"/>
      <c r="AO2551" s="23"/>
      <c r="AP2551" s="23"/>
      <c r="AQ2551" s="23"/>
      <c r="AR2551" s="35"/>
      <c r="AS2551" s="35"/>
      <c r="AT2551" s="35"/>
      <c r="AU2551" s="31"/>
      <c r="AV2551" s="36"/>
    </row>
    <row r="2552" spans="4:48">
      <c r="D2552" s="31"/>
      <c r="E2552" s="31"/>
      <c r="F2552" s="31"/>
      <c r="G2552" s="31"/>
      <c r="H2552" s="32"/>
      <c r="J2552" s="33"/>
      <c r="K2552" s="33"/>
      <c r="L2552" s="33"/>
      <c r="X2552" s="23"/>
      <c r="Y2552" s="23"/>
      <c r="Z2552" s="23"/>
      <c r="AA2552" s="23"/>
      <c r="AF2552" s="23"/>
      <c r="AG2552" s="23"/>
      <c r="AH2552" s="23"/>
      <c r="AI2552" s="23"/>
      <c r="AN2552" s="23"/>
      <c r="AO2552" s="23"/>
      <c r="AP2552" s="23"/>
      <c r="AQ2552" s="23"/>
      <c r="AR2552" s="35"/>
      <c r="AS2552" s="35"/>
      <c r="AT2552" s="35"/>
      <c r="AU2552" s="31"/>
      <c r="AV2552" s="36"/>
    </row>
    <row r="2553" spans="4:48">
      <c r="D2553" s="31"/>
      <c r="E2553" s="31"/>
      <c r="F2553" s="31"/>
      <c r="G2553" s="31"/>
      <c r="H2553" s="32"/>
      <c r="J2553" s="33"/>
      <c r="K2553" s="33"/>
      <c r="L2553" s="33"/>
      <c r="X2553" s="23"/>
      <c r="Y2553" s="23"/>
      <c r="Z2553" s="23"/>
      <c r="AA2553" s="23"/>
      <c r="AF2553" s="23"/>
      <c r="AG2553" s="23"/>
      <c r="AH2553" s="23"/>
      <c r="AI2553" s="23"/>
      <c r="AN2553" s="23"/>
      <c r="AO2553" s="23"/>
      <c r="AP2553" s="23"/>
      <c r="AQ2553" s="23"/>
      <c r="AR2553" s="35"/>
      <c r="AS2553" s="35"/>
      <c r="AT2553" s="35"/>
      <c r="AU2553" s="31"/>
      <c r="AV2553" s="36"/>
    </row>
    <row r="2554" spans="4:48">
      <c r="D2554" s="31"/>
      <c r="E2554" s="31"/>
      <c r="F2554" s="31"/>
      <c r="G2554" s="31"/>
      <c r="H2554" s="32"/>
      <c r="J2554" s="33"/>
      <c r="K2554" s="33"/>
      <c r="L2554" s="33"/>
      <c r="X2554" s="23"/>
      <c r="Y2554" s="23"/>
      <c r="Z2554" s="23"/>
      <c r="AA2554" s="23"/>
      <c r="AF2554" s="23"/>
      <c r="AG2554" s="23"/>
      <c r="AH2554" s="23"/>
      <c r="AI2554" s="23"/>
      <c r="AN2554" s="23"/>
      <c r="AO2554" s="23"/>
      <c r="AP2554" s="23"/>
      <c r="AQ2554" s="23"/>
      <c r="AR2554" s="35"/>
      <c r="AS2554" s="35"/>
      <c r="AT2554" s="35"/>
      <c r="AU2554" s="31"/>
      <c r="AV2554" s="36"/>
    </row>
    <row r="2555" spans="4:48">
      <c r="D2555" s="31"/>
      <c r="E2555" s="31"/>
      <c r="F2555" s="31"/>
      <c r="G2555" s="31"/>
      <c r="H2555" s="32"/>
      <c r="J2555" s="33"/>
      <c r="K2555" s="33"/>
      <c r="L2555" s="33"/>
      <c r="X2555" s="23"/>
      <c r="Y2555" s="23"/>
      <c r="Z2555" s="23"/>
      <c r="AA2555" s="23"/>
      <c r="AF2555" s="23"/>
      <c r="AG2555" s="23"/>
      <c r="AH2555" s="23"/>
      <c r="AI2555" s="23"/>
      <c r="AN2555" s="23"/>
      <c r="AO2555" s="23"/>
      <c r="AP2555" s="23"/>
      <c r="AQ2555" s="23"/>
      <c r="AR2555" s="35"/>
      <c r="AS2555" s="35"/>
      <c r="AT2555" s="35"/>
      <c r="AU2555" s="31"/>
      <c r="AV2555" s="36"/>
    </row>
    <row r="2556" spans="4:48">
      <c r="D2556" s="31"/>
      <c r="E2556" s="31"/>
      <c r="F2556" s="31"/>
      <c r="G2556" s="31"/>
      <c r="H2556" s="32"/>
      <c r="J2556" s="33"/>
      <c r="K2556" s="33"/>
      <c r="L2556" s="33"/>
      <c r="X2556" s="23"/>
      <c r="Y2556" s="23"/>
      <c r="Z2556" s="23"/>
      <c r="AA2556" s="23"/>
      <c r="AF2556" s="23"/>
      <c r="AG2556" s="23"/>
      <c r="AH2556" s="23"/>
      <c r="AI2556" s="23"/>
      <c r="AN2556" s="23"/>
      <c r="AO2556" s="23"/>
      <c r="AP2556" s="23"/>
      <c r="AQ2556" s="23"/>
      <c r="AR2556" s="35"/>
      <c r="AS2556" s="35"/>
      <c r="AT2556" s="35"/>
      <c r="AU2556" s="31"/>
      <c r="AV2556" s="36"/>
    </row>
    <row r="2557" spans="4:48">
      <c r="D2557" s="31"/>
      <c r="E2557" s="31"/>
      <c r="F2557" s="31"/>
      <c r="G2557" s="31"/>
      <c r="H2557" s="32"/>
      <c r="J2557" s="33"/>
      <c r="K2557" s="33"/>
      <c r="L2557" s="33"/>
      <c r="X2557" s="23"/>
      <c r="Y2557" s="23"/>
      <c r="Z2557" s="23"/>
      <c r="AA2557" s="23"/>
      <c r="AF2557" s="23"/>
      <c r="AG2557" s="23"/>
      <c r="AH2557" s="23"/>
      <c r="AI2557" s="23"/>
      <c r="AN2557" s="23"/>
      <c r="AO2557" s="23"/>
      <c r="AP2557" s="23"/>
      <c r="AQ2557" s="23"/>
      <c r="AR2557" s="35"/>
      <c r="AS2557" s="35"/>
      <c r="AT2557" s="35"/>
      <c r="AU2557" s="31"/>
      <c r="AV2557" s="36"/>
    </row>
    <row r="2558" spans="4:48">
      <c r="D2558" s="31"/>
      <c r="E2558" s="31"/>
      <c r="F2558" s="31"/>
      <c r="G2558" s="31"/>
      <c r="H2558" s="32"/>
      <c r="J2558" s="33"/>
      <c r="K2558" s="33"/>
      <c r="L2558" s="33"/>
      <c r="X2558" s="23"/>
      <c r="Y2558" s="23"/>
      <c r="Z2558" s="23"/>
      <c r="AA2558" s="23"/>
      <c r="AF2558" s="23"/>
      <c r="AG2558" s="23"/>
      <c r="AH2558" s="23"/>
      <c r="AI2558" s="23"/>
      <c r="AN2558" s="23"/>
      <c r="AO2558" s="23"/>
      <c r="AP2558" s="23"/>
      <c r="AQ2558" s="23"/>
      <c r="AR2558" s="35"/>
      <c r="AS2558" s="35"/>
      <c r="AT2558" s="35"/>
      <c r="AU2558" s="31"/>
      <c r="AV2558" s="36"/>
    </row>
    <row r="2559" spans="4:48">
      <c r="D2559" s="31"/>
      <c r="E2559" s="31"/>
      <c r="F2559" s="31"/>
      <c r="G2559" s="31"/>
      <c r="H2559" s="32"/>
      <c r="J2559" s="33"/>
      <c r="K2559" s="33"/>
      <c r="L2559" s="33"/>
      <c r="X2559" s="23"/>
      <c r="Y2559" s="23"/>
      <c r="Z2559" s="23"/>
      <c r="AA2559" s="23"/>
      <c r="AF2559" s="23"/>
      <c r="AG2559" s="23"/>
      <c r="AH2559" s="23"/>
      <c r="AI2559" s="23"/>
      <c r="AN2559" s="23"/>
      <c r="AO2559" s="23"/>
      <c r="AP2559" s="23"/>
      <c r="AQ2559" s="23"/>
      <c r="AR2559" s="35"/>
      <c r="AS2559" s="35"/>
      <c r="AT2559" s="35"/>
      <c r="AU2559" s="31"/>
      <c r="AV2559" s="36"/>
    </row>
    <row r="2560" spans="4:48">
      <c r="D2560" s="31"/>
      <c r="E2560" s="31"/>
      <c r="F2560" s="31"/>
      <c r="G2560" s="31"/>
      <c r="H2560" s="32"/>
      <c r="J2560" s="33"/>
      <c r="K2560" s="33"/>
      <c r="L2560" s="33"/>
      <c r="X2560" s="23"/>
      <c r="Y2560" s="23"/>
      <c r="Z2560" s="23"/>
      <c r="AA2560" s="23"/>
      <c r="AF2560" s="23"/>
      <c r="AG2560" s="23"/>
      <c r="AH2560" s="23"/>
      <c r="AI2560" s="23"/>
      <c r="AN2560" s="23"/>
      <c r="AO2560" s="23"/>
      <c r="AP2560" s="23"/>
      <c r="AQ2560" s="23"/>
      <c r="AR2560" s="35"/>
      <c r="AS2560" s="35"/>
      <c r="AT2560" s="35"/>
      <c r="AU2560" s="31"/>
      <c r="AV2560" s="36"/>
    </row>
    <row r="2561" spans="4:48">
      <c r="D2561" s="31"/>
      <c r="E2561" s="31"/>
      <c r="F2561" s="31"/>
      <c r="G2561" s="31"/>
      <c r="H2561" s="32"/>
      <c r="J2561" s="33"/>
      <c r="K2561" s="33"/>
      <c r="L2561" s="33"/>
      <c r="X2561" s="23"/>
      <c r="Y2561" s="23"/>
      <c r="Z2561" s="23"/>
      <c r="AA2561" s="23"/>
      <c r="AF2561" s="23"/>
      <c r="AG2561" s="23"/>
      <c r="AH2561" s="23"/>
      <c r="AI2561" s="23"/>
      <c r="AN2561" s="23"/>
      <c r="AO2561" s="23"/>
      <c r="AP2561" s="23"/>
      <c r="AQ2561" s="23"/>
      <c r="AR2561" s="35"/>
      <c r="AS2561" s="35"/>
      <c r="AT2561" s="35"/>
      <c r="AU2561" s="31"/>
      <c r="AV2561" s="36"/>
    </row>
    <row r="2562" spans="4:48">
      <c r="D2562" s="31"/>
      <c r="E2562" s="31"/>
      <c r="F2562" s="31"/>
      <c r="G2562" s="31"/>
      <c r="H2562" s="32"/>
      <c r="J2562" s="33"/>
      <c r="K2562" s="33"/>
      <c r="L2562" s="33"/>
      <c r="X2562" s="23"/>
      <c r="Y2562" s="23"/>
      <c r="Z2562" s="23"/>
      <c r="AA2562" s="23"/>
      <c r="AF2562" s="23"/>
      <c r="AG2562" s="23"/>
      <c r="AH2562" s="23"/>
      <c r="AI2562" s="23"/>
      <c r="AN2562" s="23"/>
      <c r="AO2562" s="23"/>
      <c r="AP2562" s="23"/>
      <c r="AQ2562" s="23"/>
      <c r="AR2562" s="35"/>
      <c r="AS2562" s="35"/>
      <c r="AT2562" s="35"/>
      <c r="AU2562" s="31"/>
      <c r="AV2562" s="36"/>
    </row>
    <row r="2563" spans="4:48">
      <c r="D2563" s="31"/>
      <c r="E2563" s="31"/>
      <c r="F2563" s="31"/>
      <c r="G2563" s="31"/>
      <c r="H2563" s="32"/>
      <c r="J2563" s="33"/>
      <c r="K2563" s="33"/>
      <c r="L2563" s="33"/>
      <c r="X2563" s="23"/>
      <c r="Y2563" s="23"/>
      <c r="Z2563" s="23"/>
      <c r="AA2563" s="23"/>
      <c r="AF2563" s="23"/>
      <c r="AG2563" s="23"/>
      <c r="AH2563" s="23"/>
      <c r="AI2563" s="23"/>
      <c r="AN2563" s="23"/>
      <c r="AO2563" s="23"/>
      <c r="AP2563" s="23"/>
      <c r="AQ2563" s="23"/>
      <c r="AR2563" s="35"/>
      <c r="AS2563" s="35"/>
      <c r="AT2563" s="35"/>
      <c r="AU2563" s="31"/>
      <c r="AV2563" s="36"/>
    </row>
    <row r="2564" spans="4:48">
      <c r="D2564" s="31"/>
      <c r="E2564" s="31"/>
      <c r="F2564" s="31"/>
      <c r="G2564" s="31"/>
      <c r="H2564" s="32"/>
      <c r="J2564" s="33"/>
      <c r="K2564" s="33"/>
      <c r="L2564" s="33"/>
      <c r="X2564" s="23"/>
      <c r="Y2564" s="23"/>
      <c r="Z2564" s="23"/>
      <c r="AA2564" s="23"/>
      <c r="AF2564" s="23"/>
      <c r="AG2564" s="23"/>
      <c r="AH2564" s="23"/>
      <c r="AI2564" s="23"/>
      <c r="AN2564" s="23"/>
      <c r="AO2564" s="23"/>
      <c r="AP2564" s="23"/>
      <c r="AQ2564" s="23"/>
      <c r="AR2564" s="35"/>
      <c r="AS2564" s="35"/>
      <c r="AT2564" s="35"/>
      <c r="AU2564" s="31"/>
      <c r="AV2564" s="36"/>
    </row>
    <row r="2565" spans="4:48">
      <c r="D2565" s="31"/>
      <c r="E2565" s="31"/>
      <c r="F2565" s="31"/>
      <c r="G2565" s="31"/>
      <c r="H2565" s="32"/>
      <c r="J2565" s="33"/>
      <c r="K2565" s="33"/>
      <c r="L2565" s="33"/>
      <c r="X2565" s="23"/>
      <c r="Y2565" s="23"/>
      <c r="Z2565" s="23"/>
      <c r="AA2565" s="23"/>
      <c r="AF2565" s="23"/>
      <c r="AG2565" s="23"/>
      <c r="AH2565" s="23"/>
      <c r="AI2565" s="23"/>
      <c r="AN2565" s="23"/>
      <c r="AO2565" s="23"/>
      <c r="AP2565" s="23"/>
      <c r="AQ2565" s="23"/>
      <c r="AR2565" s="35"/>
      <c r="AS2565" s="35"/>
      <c r="AT2565" s="35"/>
      <c r="AU2565" s="31"/>
      <c r="AV2565" s="36"/>
    </row>
    <row r="2566" spans="4:48">
      <c r="D2566" s="31"/>
      <c r="E2566" s="31"/>
      <c r="F2566" s="31"/>
      <c r="G2566" s="31"/>
      <c r="H2566" s="32"/>
      <c r="J2566" s="33"/>
      <c r="K2566" s="33"/>
      <c r="L2566" s="33"/>
      <c r="X2566" s="23"/>
      <c r="Y2566" s="23"/>
      <c r="Z2566" s="23"/>
      <c r="AA2566" s="23"/>
      <c r="AF2566" s="23"/>
      <c r="AG2566" s="23"/>
      <c r="AH2566" s="23"/>
      <c r="AI2566" s="23"/>
      <c r="AN2566" s="23"/>
      <c r="AO2566" s="23"/>
      <c r="AP2566" s="23"/>
      <c r="AQ2566" s="23"/>
      <c r="AR2566" s="35"/>
      <c r="AS2566" s="35"/>
      <c r="AT2566" s="35"/>
      <c r="AU2566" s="31"/>
      <c r="AV2566" s="36"/>
    </row>
    <row r="2567" spans="4:48">
      <c r="D2567" s="31"/>
      <c r="E2567" s="31"/>
      <c r="F2567" s="31"/>
      <c r="G2567" s="31"/>
      <c r="H2567" s="32"/>
      <c r="J2567" s="33"/>
      <c r="K2567" s="33"/>
      <c r="L2567" s="33"/>
      <c r="X2567" s="23"/>
      <c r="Y2567" s="23"/>
      <c r="Z2567" s="23"/>
      <c r="AA2567" s="23"/>
      <c r="AF2567" s="23"/>
      <c r="AG2567" s="23"/>
      <c r="AH2567" s="23"/>
      <c r="AI2567" s="23"/>
      <c r="AN2567" s="23"/>
      <c r="AO2567" s="23"/>
      <c r="AP2567" s="23"/>
      <c r="AQ2567" s="23"/>
      <c r="AR2567" s="35"/>
      <c r="AS2567" s="35"/>
      <c r="AT2567" s="35"/>
      <c r="AU2567" s="31"/>
      <c r="AV2567" s="36"/>
    </row>
    <row r="2568" spans="4:48">
      <c r="D2568" s="31"/>
      <c r="E2568" s="31"/>
      <c r="F2568" s="31"/>
      <c r="G2568" s="31"/>
      <c r="H2568" s="32"/>
      <c r="J2568" s="33"/>
      <c r="K2568" s="33"/>
      <c r="L2568" s="33"/>
      <c r="X2568" s="23"/>
      <c r="Y2568" s="23"/>
      <c r="Z2568" s="23"/>
      <c r="AA2568" s="23"/>
      <c r="AF2568" s="23"/>
      <c r="AG2568" s="23"/>
      <c r="AH2568" s="23"/>
      <c r="AI2568" s="23"/>
      <c r="AN2568" s="23"/>
      <c r="AO2568" s="23"/>
      <c r="AP2568" s="23"/>
      <c r="AQ2568" s="23"/>
      <c r="AR2568" s="35"/>
      <c r="AS2568" s="35"/>
      <c r="AT2568" s="35"/>
      <c r="AU2568" s="31"/>
      <c r="AV2568" s="36"/>
    </row>
    <row r="2569" spans="4:48">
      <c r="D2569" s="31"/>
      <c r="E2569" s="31"/>
      <c r="F2569" s="31"/>
      <c r="G2569" s="31"/>
      <c r="H2569" s="32"/>
      <c r="J2569" s="33"/>
      <c r="K2569" s="33"/>
      <c r="L2569" s="33"/>
      <c r="X2569" s="23"/>
      <c r="Y2569" s="23"/>
      <c r="Z2569" s="23"/>
      <c r="AA2569" s="23"/>
      <c r="AF2569" s="23"/>
      <c r="AG2569" s="23"/>
      <c r="AH2569" s="23"/>
      <c r="AI2569" s="23"/>
      <c r="AN2569" s="23"/>
      <c r="AO2569" s="23"/>
      <c r="AP2569" s="23"/>
      <c r="AQ2569" s="23"/>
      <c r="AR2569" s="35"/>
      <c r="AS2569" s="35"/>
      <c r="AT2569" s="35"/>
      <c r="AU2569" s="31"/>
      <c r="AV2569" s="36"/>
    </row>
    <row r="2570" spans="4:48">
      <c r="D2570" s="31"/>
      <c r="E2570" s="31"/>
      <c r="F2570" s="31"/>
      <c r="G2570" s="31"/>
      <c r="H2570" s="32"/>
      <c r="J2570" s="33"/>
      <c r="K2570" s="33"/>
      <c r="L2570" s="33"/>
      <c r="X2570" s="23"/>
      <c r="Y2570" s="23"/>
      <c r="Z2570" s="23"/>
      <c r="AA2570" s="23"/>
      <c r="AF2570" s="23"/>
      <c r="AG2570" s="23"/>
      <c r="AH2570" s="23"/>
      <c r="AI2570" s="23"/>
      <c r="AN2570" s="23"/>
      <c r="AO2570" s="23"/>
      <c r="AP2570" s="23"/>
      <c r="AQ2570" s="23"/>
      <c r="AR2570" s="35"/>
      <c r="AS2570" s="35"/>
      <c r="AT2570" s="35"/>
      <c r="AU2570" s="31"/>
      <c r="AV2570" s="36"/>
    </row>
    <row r="2571" spans="4:48">
      <c r="D2571" s="31"/>
      <c r="E2571" s="31"/>
      <c r="F2571" s="31"/>
      <c r="G2571" s="31"/>
      <c r="H2571" s="32"/>
      <c r="J2571" s="33"/>
      <c r="K2571" s="33"/>
      <c r="L2571" s="33"/>
      <c r="X2571" s="23"/>
      <c r="Y2571" s="23"/>
      <c r="Z2571" s="23"/>
      <c r="AA2571" s="23"/>
      <c r="AF2571" s="23"/>
      <c r="AG2571" s="23"/>
      <c r="AH2571" s="23"/>
      <c r="AI2571" s="23"/>
      <c r="AN2571" s="23"/>
      <c r="AO2571" s="23"/>
      <c r="AP2571" s="23"/>
      <c r="AQ2571" s="23"/>
      <c r="AR2571" s="35"/>
      <c r="AS2571" s="35"/>
      <c r="AT2571" s="35"/>
      <c r="AU2571" s="31"/>
      <c r="AV2571" s="36"/>
    </row>
    <row r="2572" spans="4:48">
      <c r="D2572" s="31"/>
      <c r="E2572" s="31"/>
      <c r="F2572" s="31"/>
      <c r="G2572" s="31"/>
      <c r="H2572" s="32"/>
      <c r="J2572" s="33"/>
      <c r="K2572" s="33"/>
      <c r="L2572" s="33"/>
      <c r="X2572" s="23"/>
      <c r="Y2572" s="23"/>
      <c r="Z2572" s="23"/>
      <c r="AA2572" s="23"/>
      <c r="AF2572" s="23"/>
      <c r="AG2572" s="23"/>
      <c r="AH2572" s="23"/>
      <c r="AI2572" s="23"/>
      <c r="AN2572" s="23"/>
      <c r="AO2572" s="23"/>
      <c r="AP2572" s="23"/>
      <c r="AQ2572" s="23"/>
      <c r="AR2572" s="35"/>
      <c r="AS2572" s="35"/>
      <c r="AT2572" s="35"/>
      <c r="AU2572" s="31"/>
      <c r="AV2572" s="36"/>
    </row>
    <row r="2573" spans="4:48">
      <c r="D2573" s="31"/>
      <c r="E2573" s="31"/>
      <c r="F2573" s="31"/>
      <c r="G2573" s="31"/>
      <c r="H2573" s="32"/>
      <c r="J2573" s="33"/>
      <c r="K2573" s="33"/>
      <c r="L2573" s="33"/>
      <c r="X2573" s="23"/>
      <c r="Y2573" s="23"/>
      <c r="Z2573" s="23"/>
      <c r="AA2573" s="23"/>
      <c r="AF2573" s="23"/>
      <c r="AG2573" s="23"/>
      <c r="AH2573" s="23"/>
      <c r="AI2573" s="23"/>
      <c r="AN2573" s="23"/>
      <c r="AO2573" s="23"/>
      <c r="AP2573" s="23"/>
      <c r="AQ2573" s="23"/>
      <c r="AR2573" s="35"/>
      <c r="AS2573" s="35"/>
      <c r="AT2573" s="35"/>
      <c r="AU2573" s="31"/>
      <c r="AV2573" s="36"/>
    </row>
    <row r="2574" spans="4:48">
      <c r="D2574" s="31"/>
      <c r="E2574" s="31"/>
      <c r="F2574" s="31"/>
      <c r="G2574" s="31"/>
      <c r="H2574" s="32"/>
      <c r="J2574" s="33"/>
      <c r="K2574" s="33"/>
      <c r="L2574" s="33"/>
      <c r="X2574" s="23"/>
      <c r="Y2574" s="23"/>
      <c r="Z2574" s="23"/>
      <c r="AA2574" s="23"/>
      <c r="AF2574" s="23"/>
      <c r="AG2574" s="23"/>
      <c r="AH2574" s="23"/>
      <c r="AI2574" s="23"/>
      <c r="AN2574" s="23"/>
      <c r="AO2574" s="23"/>
      <c r="AP2574" s="23"/>
      <c r="AQ2574" s="23"/>
      <c r="AR2574" s="35"/>
      <c r="AS2574" s="35"/>
      <c r="AT2574" s="35"/>
      <c r="AU2574" s="31"/>
      <c r="AV2574" s="36"/>
    </row>
    <row r="2575" spans="4:48">
      <c r="D2575" s="31"/>
      <c r="E2575" s="31"/>
      <c r="F2575" s="31"/>
      <c r="G2575" s="31"/>
      <c r="H2575" s="32"/>
      <c r="J2575" s="33"/>
      <c r="K2575" s="33"/>
      <c r="L2575" s="33"/>
      <c r="X2575" s="23"/>
      <c r="Y2575" s="23"/>
      <c r="Z2575" s="23"/>
      <c r="AA2575" s="23"/>
      <c r="AF2575" s="23"/>
      <c r="AG2575" s="23"/>
      <c r="AH2575" s="23"/>
      <c r="AI2575" s="23"/>
      <c r="AN2575" s="23"/>
      <c r="AO2575" s="23"/>
      <c r="AP2575" s="23"/>
      <c r="AQ2575" s="23"/>
      <c r="AR2575" s="35"/>
      <c r="AS2575" s="35"/>
      <c r="AT2575" s="35"/>
      <c r="AU2575" s="31"/>
      <c r="AV2575" s="36"/>
    </row>
    <row r="2576" spans="4:48">
      <c r="D2576" s="31"/>
      <c r="E2576" s="31"/>
      <c r="F2576" s="31"/>
      <c r="G2576" s="31"/>
      <c r="H2576" s="32"/>
      <c r="J2576" s="33"/>
      <c r="K2576" s="33"/>
      <c r="L2576" s="33"/>
      <c r="X2576" s="23"/>
      <c r="Y2576" s="23"/>
      <c r="Z2576" s="23"/>
      <c r="AA2576" s="23"/>
      <c r="AF2576" s="23"/>
      <c r="AG2576" s="23"/>
      <c r="AH2576" s="23"/>
      <c r="AI2576" s="23"/>
      <c r="AN2576" s="23"/>
      <c r="AO2576" s="23"/>
      <c r="AP2576" s="23"/>
      <c r="AQ2576" s="23"/>
      <c r="AR2576" s="35"/>
      <c r="AS2576" s="35"/>
      <c r="AT2576" s="35"/>
      <c r="AU2576" s="31"/>
      <c r="AV2576" s="36"/>
    </row>
    <row r="2577" spans="4:48">
      <c r="D2577" s="31"/>
      <c r="E2577" s="31"/>
      <c r="F2577" s="31"/>
      <c r="G2577" s="31"/>
      <c r="H2577" s="32"/>
      <c r="J2577" s="33"/>
      <c r="K2577" s="33"/>
      <c r="L2577" s="33"/>
      <c r="X2577" s="23"/>
      <c r="Y2577" s="23"/>
      <c r="Z2577" s="23"/>
      <c r="AA2577" s="23"/>
      <c r="AF2577" s="23"/>
      <c r="AG2577" s="23"/>
      <c r="AH2577" s="23"/>
      <c r="AI2577" s="23"/>
      <c r="AN2577" s="23"/>
      <c r="AO2577" s="23"/>
      <c r="AP2577" s="23"/>
      <c r="AQ2577" s="23"/>
      <c r="AR2577" s="35"/>
      <c r="AS2577" s="35"/>
      <c r="AT2577" s="35"/>
      <c r="AU2577" s="31"/>
      <c r="AV2577" s="36"/>
    </row>
    <row r="2578" spans="4:48">
      <c r="D2578" s="31"/>
      <c r="E2578" s="31"/>
      <c r="F2578" s="31"/>
      <c r="G2578" s="31"/>
      <c r="H2578" s="32"/>
      <c r="J2578" s="33"/>
      <c r="K2578" s="33"/>
      <c r="L2578" s="33"/>
      <c r="X2578" s="23"/>
      <c r="Y2578" s="23"/>
      <c r="Z2578" s="23"/>
      <c r="AA2578" s="23"/>
      <c r="AF2578" s="23"/>
      <c r="AG2578" s="23"/>
      <c r="AH2578" s="23"/>
      <c r="AI2578" s="23"/>
      <c r="AN2578" s="23"/>
      <c r="AO2578" s="23"/>
      <c r="AP2578" s="23"/>
      <c r="AQ2578" s="23"/>
      <c r="AR2578" s="35"/>
      <c r="AS2578" s="35"/>
      <c r="AT2578" s="35"/>
      <c r="AU2578" s="31"/>
      <c r="AV2578" s="36"/>
    </row>
    <row r="2579" spans="4:48">
      <c r="D2579" s="31"/>
      <c r="E2579" s="31"/>
      <c r="F2579" s="31"/>
      <c r="G2579" s="31"/>
      <c r="H2579" s="32"/>
      <c r="J2579" s="33"/>
      <c r="K2579" s="33"/>
      <c r="L2579" s="33"/>
      <c r="X2579" s="23"/>
      <c r="Y2579" s="23"/>
      <c r="Z2579" s="23"/>
      <c r="AA2579" s="23"/>
      <c r="AF2579" s="23"/>
      <c r="AG2579" s="23"/>
      <c r="AH2579" s="23"/>
      <c r="AI2579" s="23"/>
      <c r="AN2579" s="23"/>
      <c r="AO2579" s="23"/>
      <c r="AP2579" s="23"/>
      <c r="AQ2579" s="23"/>
      <c r="AR2579" s="35"/>
      <c r="AS2579" s="35"/>
      <c r="AT2579" s="35"/>
      <c r="AU2579" s="31"/>
      <c r="AV2579" s="36"/>
    </row>
    <row r="2580" spans="4:48">
      <c r="D2580" s="31"/>
      <c r="E2580" s="31"/>
      <c r="F2580" s="31"/>
      <c r="G2580" s="31"/>
      <c r="H2580" s="32"/>
      <c r="J2580" s="33"/>
      <c r="K2580" s="33"/>
      <c r="L2580" s="33"/>
      <c r="X2580" s="23"/>
      <c r="Y2580" s="23"/>
      <c r="Z2580" s="23"/>
      <c r="AA2580" s="23"/>
      <c r="AF2580" s="23"/>
      <c r="AG2580" s="23"/>
      <c r="AH2580" s="23"/>
      <c r="AI2580" s="23"/>
      <c r="AN2580" s="23"/>
      <c r="AO2580" s="23"/>
      <c r="AP2580" s="23"/>
      <c r="AQ2580" s="23"/>
      <c r="AR2580" s="35"/>
      <c r="AS2580" s="35"/>
      <c r="AT2580" s="35"/>
      <c r="AU2580" s="31"/>
      <c r="AV2580" s="36"/>
    </row>
    <row r="2581" spans="4:48">
      <c r="D2581" s="31"/>
      <c r="E2581" s="31"/>
      <c r="F2581" s="31"/>
      <c r="G2581" s="31"/>
      <c r="H2581" s="32"/>
      <c r="J2581" s="33"/>
      <c r="K2581" s="33"/>
      <c r="L2581" s="33"/>
      <c r="X2581" s="23"/>
      <c r="Y2581" s="23"/>
      <c r="Z2581" s="23"/>
      <c r="AA2581" s="23"/>
      <c r="AF2581" s="23"/>
      <c r="AG2581" s="23"/>
      <c r="AH2581" s="23"/>
      <c r="AI2581" s="23"/>
      <c r="AN2581" s="23"/>
      <c r="AO2581" s="23"/>
      <c r="AP2581" s="23"/>
      <c r="AQ2581" s="23"/>
      <c r="AR2581" s="35"/>
      <c r="AS2581" s="35"/>
      <c r="AT2581" s="35"/>
      <c r="AU2581" s="31"/>
      <c r="AV2581" s="36"/>
    </row>
    <row r="2582" spans="4:48">
      <c r="D2582" s="31"/>
      <c r="E2582" s="31"/>
      <c r="F2582" s="31"/>
      <c r="G2582" s="31"/>
      <c r="H2582" s="32"/>
      <c r="J2582" s="33"/>
      <c r="K2582" s="33"/>
      <c r="L2582" s="33"/>
      <c r="X2582" s="23"/>
      <c r="Y2582" s="23"/>
      <c r="Z2582" s="23"/>
      <c r="AA2582" s="23"/>
      <c r="AF2582" s="23"/>
      <c r="AG2582" s="23"/>
      <c r="AH2582" s="23"/>
      <c r="AI2582" s="23"/>
      <c r="AN2582" s="23"/>
      <c r="AO2582" s="23"/>
      <c r="AP2582" s="23"/>
      <c r="AQ2582" s="23"/>
      <c r="AR2582" s="35"/>
      <c r="AS2582" s="35"/>
      <c r="AT2582" s="35"/>
      <c r="AU2582" s="31"/>
      <c r="AV2582" s="36"/>
    </row>
    <row r="2583" spans="4:48">
      <c r="D2583" s="31"/>
      <c r="E2583" s="31"/>
      <c r="F2583" s="31"/>
      <c r="G2583" s="31"/>
      <c r="H2583" s="32"/>
      <c r="J2583" s="33"/>
      <c r="K2583" s="33"/>
      <c r="L2583" s="33"/>
      <c r="X2583" s="23"/>
      <c r="Y2583" s="23"/>
      <c r="Z2583" s="23"/>
      <c r="AA2583" s="23"/>
      <c r="AF2583" s="23"/>
      <c r="AG2583" s="23"/>
      <c r="AH2583" s="23"/>
      <c r="AI2583" s="23"/>
      <c r="AN2583" s="23"/>
      <c r="AO2583" s="23"/>
      <c r="AP2583" s="23"/>
      <c r="AQ2583" s="23"/>
      <c r="AR2583" s="35"/>
      <c r="AS2583" s="35"/>
      <c r="AT2583" s="35"/>
      <c r="AU2583" s="31"/>
      <c r="AV2583" s="36"/>
    </row>
    <row r="2584" spans="4:48">
      <c r="D2584" s="31"/>
      <c r="E2584" s="31"/>
      <c r="F2584" s="31"/>
      <c r="G2584" s="31"/>
      <c r="H2584" s="32"/>
      <c r="J2584" s="33"/>
      <c r="K2584" s="33"/>
      <c r="L2584" s="33"/>
      <c r="X2584" s="23"/>
      <c r="Y2584" s="23"/>
      <c r="Z2584" s="23"/>
      <c r="AA2584" s="23"/>
      <c r="AF2584" s="23"/>
      <c r="AG2584" s="23"/>
      <c r="AH2584" s="23"/>
      <c r="AI2584" s="23"/>
      <c r="AN2584" s="23"/>
      <c r="AO2584" s="23"/>
      <c r="AP2584" s="23"/>
      <c r="AQ2584" s="23"/>
      <c r="AR2584" s="35"/>
      <c r="AS2584" s="35"/>
      <c r="AT2584" s="35"/>
      <c r="AU2584" s="31"/>
      <c r="AV2584" s="36"/>
    </row>
    <row r="2585" spans="4:48">
      <c r="D2585" s="31"/>
      <c r="E2585" s="31"/>
      <c r="F2585" s="31"/>
      <c r="G2585" s="31"/>
      <c r="H2585" s="32"/>
      <c r="J2585" s="33"/>
      <c r="K2585" s="33"/>
      <c r="L2585" s="33"/>
      <c r="X2585" s="23"/>
      <c r="Y2585" s="23"/>
      <c r="Z2585" s="23"/>
      <c r="AA2585" s="23"/>
      <c r="AF2585" s="23"/>
      <c r="AG2585" s="23"/>
      <c r="AH2585" s="23"/>
      <c r="AI2585" s="23"/>
      <c r="AN2585" s="23"/>
      <c r="AO2585" s="23"/>
      <c r="AP2585" s="23"/>
      <c r="AQ2585" s="23"/>
      <c r="AR2585" s="35"/>
      <c r="AS2585" s="35"/>
      <c r="AT2585" s="35"/>
      <c r="AU2585" s="31"/>
      <c r="AV2585" s="36"/>
    </row>
    <row r="2586" spans="4:48">
      <c r="D2586" s="31"/>
      <c r="E2586" s="31"/>
      <c r="F2586" s="31"/>
      <c r="G2586" s="31"/>
      <c r="H2586" s="32"/>
      <c r="J2586" s="33"/>
      <c r="K2586" s="33"/>
      <c r="L2586" s="33"/>
      <c r="X2586" s="23"/>
      <c r="Y2586" s="23"/>
      <c r="Z2586" s="23"/>
      <c r="AA2586" s="23"/>
      <c r="AF2586" s="23"/>
      <c r="AG2586" s="23"/>
      <c r="AH2586" s="23"/>
      <c r="AI2586" s="23"/>
      <c r="AN2586" s="23"/>
      <c r="AO2586" s="23"/>
      <c r="AP2586" s="23"/>
      <c r="AQ2586" s="23"/>
      <c r="AR2586" s="35"/>
      <c r="AS2586" s="35"/>
      <c r="AT2586" s="35"/>
      <c r="AU2586" s="31"/>
      <c r="AV2586" s="36"/>
    </row>
    <row r="2587" spans="4:48">
      <c r="D2587" s="31"/>
      <c r="E2587" s="31"/>
      <c r="F2587" s="31"/>
      <c r="G2587" s="31"/>
      <c r="H2587" s="32"/>
      <c r="J2587" s="33"/>
      <c r="K2587" s="33"/>
      <c r="L2587" s="33"/>
      <c r="X2587" s="23"/>
      <c r="Y2587" s="23"/>
      <c r="Z2587" s="23"/>
      <c r="AA2587" s="23"/>
      <c r="AF2587" s="23"/>
      <c r="AG2587" s="23"/>
      <c r="AH2587" s="23"/>
      <c r="AI2587" s="23"/>
      <c r="AN2587" s="23"/>
      <c r="AO2587" s="23"/>
      <c r="AP2587" s="23"/>
      <c r="AQ2587" s="23"/>
      <c r="AR2587" s="35"/>
      <c r="AS2587" s="35"/>
      <c r="AT2587" s="35"/>
      <c r="AU2587" s="31"/>
      <c r="AV2587" s="36"/>
    </row>
    <row r="2588" spans="4:48">
      <c r="D2588" s="31"/>
      <c r="E2588" s="31"/>
      <c r="F2588" s="31"/>
      <c r="G2588" s="31"/>
      <c r="H2588" s="32"/>
      <c r="J2588" s="33"/>
      <c r="K2588" s="33"/>
      <c r="L2588" s="33"/>
      <c r="X2588" s="23"/>
      <c r="Y2588" s="23"/>
      <c r="Z2588" s="23"/>
      <c r="AA2588" s="23"/>
      <c r="AF2588" s="23"/>
      <c r="AG2588" s="23"/>
      <c r="AH2588" s="23"/>
      <c r="AI2588" s="23"/>
      <c r="AN2588" s="23"/>
      <c r="AO2588" s="23"/>
      <c r="AP2588" s="23"/>
      <c r="AQ2588" s="23"/>
      <c r="AR2588" s="35"/>
      <c r="AS2588" s="35"/>
      <c r="AT2588" s="35"/>
      <c r="AU2588" s="31"/>
      <c r="AV2588" s="36"/>
    </row>
    <row r="2589" spans="4:48">
      <c r="D2589" s="31"/>
      <c r="E2589" s="31"/>
      <c r="F2589" s="31"/>
      <c r="G2589" s="31"/>
      <c r="H2589" s="32"/>
      <c r="J2589" s="33"/>
      <c r="K2589" s="33"/>
      <c r="L2589" s="33"/>
      <c r="X2589" s="23"/>
      <c r="Y2589" s="23"/>
      <c r="Z2589" s="23"/>
      <c r="AA2589" s="23"/>
      <c r="AF2589" s="23"/>
      <c r="AG2589" s="23"/>
      <c r="AH2589" s="23"/>
      <c r="AI2589" s="23"/>
      <c r="AN2589" s="23"/>
      <c r="AO2589" s="23"/>
      <c r="AP2589" s="23"/>
      <c r="AQ2589" s="23"/>
      <c r="AR2589" s="35"/>
      <c r="AS2589" s="35"/>
      <c r="AT2589" s="35"/>
      <c r="AU2589" s="31"/>
      <c r="AV2589" s="36"/>
    </row>
    <row r="2590" spans="4:48">
      <c r="D2590" s="31"/>
      <c r="E2590" s="31"/>
      <c r="F2590" s="31"/>
      <c r="G2590" s="31"/>
      <c r="H2590" s="32"/>
      <c r="J2590" s="33"/>
      <c r="K2590" s="33"/>
      <c r="L2590" s="33"/>
      <c r="X2590" s="23"/>
      <c r="Y2590" s="23"/>
      <c r="Z2590" s="23"/>
      <c r="AA2590" s="23"/>
      <c r="AF2590" s="23"/>
      <c r="AG2590" s="23"/>
      <c r="AH2590" s="23"/>
      <c r="AI2590" s="23"/>
      <c r="AN2590" s="23"/>
      <c r="AO2590" s="23"/>
      <c r="AP2590" s="23"/>
      <c r="AQ2590" s="23"/>
      <c r="AR2590" s="35"/>
      <c r="AS2590" s="35"/>
      <c r="AT2590" s="35"/>
      <c r="AU2590" s="31"/>
      <c r="AV2590" s="36"/>
    </row>
    <row r="2591" spans="4:48">
      <c r="D2591" s="31"/>
      <c r="E2591" s="31"/>
      <c r="F2591" s="31"/>
      <c r="G2591" s="31"/>
      <c r="H2591" s="32"/>
      <c r="J2591" s="33"/>
      <c r="K2591" s="33"/>
      <c r="L2591" s="33"/>
      <c r="X2591" s="23"/>
      <c r="Y2591" s="23"/>
      <c r="Z2591" s="23"/>
      <c r="AA2591" s="23"/>
      <c r="AF2591" s="23"/>
      <c r="AG2591" s="23"/>
      <c r="AH2591" s="23"/>
      <c r="AI2591" s="23"/>
      <c r="AN2591" s="23"/>
      <c r="AO2591" s="23"/>
      <c r="AP2591" s="23"/>
      <c r="AQ2591" s="23"/>
      <c r="AR2591" s="35"/>
      <c r="AS2591" s="35"/>
      <c r="AT2591" s="35"/>
      <c r="AU2591" s="31"/>
      <c r="AV2591" s="36"/>
    </row>
    <row r="2592" spans="4:48">
      <c r="D2592" s="31"/>
      <c r="E2592" s="31"/>
      <c r="F2592" s="31"/>
      <c r="G2592" s="31"/>
      <c r="H2592" s="32"/>
      <c r="J2592" s="33"/>
      <c r="K2592" s="33"/>
      <c r="L2592" s="33"/>
      <c r="X2592" s="23"/>
      <c r="Y2592" s="23"/>
      <c r="Z2592" s="23"/>
      <c r="AA2592" s="23"/>
      <c r="AF2592" s="23"/>
      <c r="AG2592" s="23"/>
      <c r="AH2592" s="23"/>
      <c r="AI2592" s="23"/>
      <c r="AN2592" s="23"/>
      <c r="AO2592" s="23"/>
      <c r="AP2592" s="23"/>
      <c r="AQ2592" s="23"/>
      <c r="AR2592" s="35"/>
      <c r="AS2592" s="35"/>
      <c r="AT2592" s="35"/>
      <c r="AU2592" s="31"/>
      <c r="AV2592" s="36"/>
    </row>
    <row r="2593" spans="4:48">
      <c r="D2593" s="31"/>
      <c r="E2593" s="31"/>
      <c r="F2593" s="31"/>
      <c r="G2593" s="31"/>
      <c r="H2593" s="32"/>
      <c r="J2593" s="33"/>
      <c r="K2593" s="33"/>
      <c r="L2593" s="33"/>
      <c r="X2593" s="23"/>
      <c r="Y2593" s="23"/>
      <c r="Z2593" s="23"/>
      <c r="AA2593" s="23"/>
      <c r="AF2593" s="23"/>
      <c r="AG2593" s="23"/>
      <c r="AH2593" s="23"/>
      <c r="AI2593" s="23"/>
      <c r="AN2593" s="23"/>
      <c r="AO2593" s="23"/>
      <c r="AP2593" s="23"/>
      <c r="AQ2593" s="23"/>
      <c r="AR2593" s="35"/>
      <c r="AS2593" s="35"/>
      <c r="AT2593" s="35"/>
      <c r="AU2593" s="31"/>
      <c r="AV2593" s="36"/>
    </row>
    <row r="2594" spans="4:48">
      <c r="D2594" s="31"/>
      <c r="E2594" s="31"/>
      <c r="F2594" s="31"/>
      <c r="G2594" s="31"/>
      <c r="H2594" s="32"/>
      <c r="J2594" s="33"/>
      <c r="K2594" s="33"/>
      <c r="L2594" s="33"/>
      <c r="X2594" s="23"/>
      <c r="Y2594" s="23"/>
      <c r="Z2594" s="23"/>
      <c r="AA2594" s="23"/>
      <c r="AF2594" s="23"/>
      <c r="AG2594" s="23"/>
      <c r="AH2594" s="23"/>
      <c r="AI2594" s="23"/>
      <c r="AN2594" s="23"/>
      <c r="AO2594" s="23"/>
      <c r="AP2594" s="23"/>
      <c r="AQ2594" s="23"/>
      <c r="AR2594" s="35"/>
      <c r="AS2594" s="35"/>
      <c r="AT2594" s="35"/>
      <c r="AU2594" s="31"/>
      <c r="AV2594" s="36"/>
    </row>
    <row r="2595" spans="4:48">
      <c r="D2595" s="31"/>
      <c r="E2595" s="31"/>
      <c r="F2595" s="31"/>
      <c r="G2595" s="31"/>
      <c r="H2595" s="32"/>
      <c r="J2595" s="33"/>
      <c r="K2595" s="33"/>
      <c r="L2595" s="33"/>
      <c r="X2595" s="23"/>
      <c r="Y2595" s="23"/>
      <c r="Z2595" s="23"/>
      <c r="AA2595" s="23"/>
      <c r="AF2595" s="23"/>
      <c r="AG2595" s="23"/>
      <c r="AH2595" s="23"/>
      <c r="AI2595" s="23"/>
      <c r="AN2595" s="23"/>
      <c r="AO2595" s="23"/>
      <c r="AP2595" s="23"/>
      <c r="AQ2595" s="23"/>
      <c r="AR2595" s="35"/>
      <c r="AS2595" s="35"/>
      <c r="AT2595" s="35"/>
      <c r="AU2595" s="31"/>
      <c r="AV2595" s="36"/>
    </row>
    <row r="2596" spans="4:48">
      <c r="D2596" s="31"/>
      <c r="E2596" s="31"/>
      <c r="F2596" s="31"/>
      <c r="G2596" s="31"/>
      <c r="H2596" s="32"/>
      <c r="J2596" s="33"/>
      <c r="K2596" s="33"/>
      <c r="L2596" s="33"/>
      <c r="X2596" s="23"/>
      <c r="Y2596" s="23"/>
      <c r="Z2596" s="23"/>
      <c r="AA2596" s="23"/>
      <c r="AF2596" s="23"/>
      <c r="AG2596" s="23"/>
      <c r="AH2596" s="23"/>
      <c r="AI2596" s="23"/>
      <c r="AN2596" s="23"/>
      <c r="AO2596" s="23"/>
      <c r="AP2596" s="23"/>
      <c r="AQ2596" s="23"/>
      <c r="AR2596" s="35"/>
      <c r="AS2596" s="35"/>
      <c r="AT2596" s="35"/>
      <c r="AU2596" s="31"/>
      <c r="AV2596" s="36"/>
    </row>
    <row r="2597" spans="4:48">
      <c r="D2597" s="31"/>
      <c r="E2597" s="31"/>
      <c r="F2597" s="31"/>
      <c r="G2597" s="31"/>
      <c r="H2597" s="32"/>
      <c r="J2597" s="33"/>
      <c r="K2597" s="33"/>
      <c r="L2597" s="33"/>
      <c r="X2597" s="23"/>
      <c r="Y2597" s="23"/>
      <c r="Z2597" s="23"/>
      <c r="AA2597" s="23"/>
      <c r="AF2597" s="23"/>
      <c r="AG2597" s="23"/>
      <c r="AH2597" s="23"/>
      <c r="AI2597" s="23"/>
      <c r="AN2597" s="23"/>
      <c r="AO2597" s="23"/>
      <c r="AP2597" s="23"/>
      <c r="AQ2597" s="23"/>
      <c r="AR2597" s="35"/>
      <c r="AS2597" s="35"/>
      <c r="AT2597" s="35"/>
      <c r="AU2597" s="31"/>
      <c r="AV2597" s="36"/>
    </row>
    <row r="2598" spans="4:48">
      <c r="D2598" s="31"/>
      <c r="E2598" s="31"/>
      <c r="F2598" s="31"/>
      <c r="G2598" s="31"/>
      <c r="H2598" s="32"/>
      <c r="J2598" s="33"/>
      <c r="K2598" s="33"/>
      <c r="L2598" s="33"/>
      <c r="X2598" s="23"/>
      <c r="Y2598" s="23"/>
      <c r="Z2598" s="23"/>
      <c r="AA2598" s="23"/>
      <c r="AF2598" s="23"/>
      <c r="AG2598" s="23"/>
      <c r="AH2598" s="23"/>
      <c r="AI2598" s="23"/>
      <c r="AN2598" s="23"/>
      <c r="AO2598" s="23"/>
      <c r="AP2598" s="23"/>
      <c r="AQ2598" s="23"/>
      <c r="AR2598" s="35"/>
      <c r="AS2598" s="35"/>
      <c r="AT2598" s="35"/>
      <c r="AU2598" s="31"/>
      <c r="AV2598" s="36"/>
    </row>
    <row r="2599" spans="4:48">
      <c r="D2599" s="31"/>
      <c r="E2599" s="31"/>
      <c r="F2599" s="31"/>
      <c r="G2599" s="31"/>
      <c r="H2599" s="32"/>
      <c r="J2599" s="33"/>
      <c r="K2599" s="33"/>
      <c r="L2599" s="33"/>
      <c r="X2599" s="23"/>
      <c r="Y2599" s="23"/>
      <c r="Z2599" s="23"/>
      <c r="AA2599" s="23"/>
      <c r="AF2599" s="23"/>
      <c r="AG2599" s="23"/>
      <c r="AH2599" s="23"/>
      <c r="AI2599" s="23"/>
      <c r="AN2599" s="23"/>
      <c r="AO2599" s="23"/>
      <c r="AP2599" s="23"/>
      <c r="AQ2599" s="23"/>
      <c r="AR2599" s="35"/>
      <c r="AS2599" s="35"/>
      <c r="AT2599" s="35"/>
      <c r="AU2599" s="31"/>
      <c r="AV2599" s="36"/>
    </row>
    <row r="2600" spans="4:48">
      <c r="D2600" s="31"/>
      <c r="E2600" s="31"/>
      <c r="F2600" s="31"/>
      <c r="G2600" s="31"/>
      <c r="H2600" s="32"/>
      <c r="J2600" s="33"/>
      <c r="K2600" s="33"/>
      <c r="L2600" s="33"/>
      <c r="X2600" s="23"/>
      <c r="Y2600" s="23"/>
      <c r="Z2600" s="23"/>
      <c r="AA2600" s="23"/>
      <c r="AF2600" s="23"/>
      <c r="AG2600" s="23"/>
      <c r="AH2600" s="23"/>
      <c r="AI2600" s="23"/>
      <c r="AN2600" s="23"/>
      <c r="AO2600" s="23"/>
      <c r="AP2600" s="23"/>
      <c r="AQ2600" s="23"/>
      <c r="AR2600" s="35"/>
      <c r="AS2600" s="35"/>
      <c r="AT2600" s="35"/>
      <c r="AU2600" s="31"/>
      <c r="AV2600" s="36"/>
    </row>
    <row r="2601" spans="4:48">
      <c r="D2601" s="31"/>
      <c r="E2601" s="31"/>
      <c r="F2601" s="31"/>
      <c r="G2601" s="31"/>
      <c r="H2601" s="32"/>
      <c r="J2601" s="33"/>
      <c r="K2601" s="33"/>
      <c r="L2601" s="33"/>
      <c r="X2601" s="23"/>
      <c r="Y2601" s="23"/>
      <c r="Z2601" s="23"/>
      <c r="AA2601" s="23"/>
      <c r="AF2601" s="23"/>
      <c r="AG2601" s="23"/>
      <c r="AH2601" s="23"/>
      <c r="AI2601" s="23"/>
      <c r="AN2601" s="23"/>
      <c r="AO2601" s="23"/>
      <c r="AP2601" s="23"/>
      <c r="AQ2601" s="23"/>
      <c r="AR2601" s="35"/>
      <c r="AS2601" s="35"/>
      <c r="AT2601" s="35"/>
      <c r="AU2601" s="31"/>
      <c r="AV2601" s="36"/>
    </row>
    <row r="2602" spans="4:48">
      <c r="D2602" s="31"/>
      <c r="E2602" s="31"/>
      <c r="F2602" s="31"/>
      <c r="G2602" s="31"/>
      <c r="H2602" s="32"/>
      <c r="J2602" s="33"/>
      <c r="K2602" s="33"/>
      <c r="L2602" s="33"/>
      <c r="X2602" s="23"/>
      <c r="Y2602" s="23"/>
      <c r="Z2602" s="23"/>
      <c r="AA2602" s="23"/>
      <c r="AF2602" s="23"/>
      <c r="AG2602" s="23"/>
      <c r="AH2602" s="23"/>
      <c r="AI2602" s="23"/>
      <c r="AN2602" s="23"/>
      <c r="AO2602" s="23"/>
      <c r="AP2602" s="23"/>
      <c r="AQ2602" s="23"/>
      <c r="AR2602" s="35"/>
      <c r="AS2602" s="35"/>
      <c r="AT2602" s="35"/>
      <c r="AU2602" s="31"/>
      <c r="AV2602" s="36"/>
    </row>
    <row r="2603" spans="4:48">
      <c r="D2603" s="31"/>
      <c r="E2603" s="31"/>
      <c r="F2603" s="31"/>
      <c r="G2603" s="31"/>
      <c r="H2603" s="32"/>
      <c r="J2603" s="33"/>
      <c r="K2603" s="33"/>
      <c r="L2603" s="33"/>
      <c r="X2603" s="23"/>
      <c r="Y2603" s="23"/>
      <c r="Z2603" s="23"/>
      <c r="AA2603" s="23"/>
      <c r="AF2603" s="23"/>
      <c r="AG2603" s="23"/>
      <c r="AH2603" s="23"/>
      <c r="AI2603" s="23"/>
      <c r="AN2603" s="23"/>
      <c r="AO2603" s="23"/>
      <c r="AP2603" s="23"/>
      <c r="AQ2603" s="23"/>
      <c r="AR2603" s="35"/>
      <c r="AS2603" s="35"/>
      <c r="AT2603" s="35"/>
      <c r="AU2603" s="31"/>
      <c r="AV2603" s="36"/>
    </row>
    <row r="2604" spans="4:48">
      <c r="D2604" s="31"/>
      <c r="E2604" s="31"/>
      <c r="F2604" s="31"/>
      <c r="G2604" s="31"/>
      <c r="H2604" s="32"/>
      <c r="J2604" s="33"/>
      <c r="K2604" s="33"/>
      <c r="L2604" s="33"/>
      <c r="X2604" s="23"/>
      <c r="Y2604" s="23"/>
      <c r="Z2604" s="23"/>
      <c r="AA2604" s="23"/>
      <c r="AF2604" s="23"/>
      <c r="AG2604" s="23"/>
      <c r="AH2604" s="23"/>
      <c r="AI2604" s="23"/>
      <c r="AN2604" s="23"/>
      <c r="AO2604" s="23"/>
      <c r="AP2604" s="23"/>
      <c r="AQ2604" s="23"/>
      <c r="AR2604" s="35"/>
      <c r="AS2604" s="35"/>
      <c r="AT2604" s="35"/>
      <c r="AU2604" s="31"/>
      <c r="AV2604" s="36"/>
    </row>
    <row r="2605" spans="4:48">
      <c r="D2605" s="31"/>
      <c r="E2605" s="31"/>
      <c r="F2605" s="31"/>
      <c r="G2605" s="31"/>
      <c r="H2605" s="32"/>
      <c r="J2605" s="33"/>
      <c r="K2605" s="33"/>
      <c r="L2605" s="33"/>
      <c r="X2605" s="23"/>
      <c r="Y2605" s="23"/>
      <c r="Z2605" s="23"/>
      <c r="AA2605" s="23"/>
      <c r="AF2605" s="23"/>
      <c r="AG2605" s="23"/>
      <c r="AH2605" s="23"/>
      <c r="AI2605" s="23"/>
      <c r="AN2605" s="23"/>
      <c r="AO2605" s="23"/>
      <c r="AP2605" s="23"/>
      <c r="AQ2605" s="23"/>
      <c r="AR2605" s="35"/>
      <c r="AS2605" s="35"/>
      <c r="AT2605" s="35"/>
      <c r="AU2605" s="31"/>
      <c r="AV2605" s="36"/>
    </row>
    <row r="2606" spans="4:48">
      <c r="D2606" s="31"/>
      <c r="E2606" s="31"/>
      <c r="F2606" s="31"/>
      <c r="G2606" s="31"/>
      <c r="H2606" s="32"/>
      <c r="J2606" s="33"/>
      <c r="K2606" s="33"/>
      <c r="L2606" s="33"/>
      <c r="X2606" s="23"/>
      <c r="Y2606" s="23"/>
      <c r="Z2606" s="23"/>
      <c r="AA2606" s="23"/>
      <c r="AF2606" s="23"/>
      <c r="AG2606" s="23"/>
      <c r="AH2606" s="23"/>
      <c r="AI2606" s="23"/>
      <c r="AN2606" s="23"/>
      <c r="AO2606" s="23"/>
      <c r="AP2606" s="23"/>
      <c r="AQ2606" s="23"/>
      <c r="AR2606" s="35"/>
      <c r="AS2606" s="35"/>
      <c r="AT2606" s="35"/>
      <c r="AU2606" s="31"/>
      <c r="AV2606" s="36"/>
    </row>
    <row r="2607" spans="4:48">
      <c r="D2607" s="31"/>
      <c r="E2607" s="31"/>
      <c r="F2607" s="31"/>
      <c r="G2607" s="31"/>
      <c r="H2607" s="32"/>
      <c r="J2607" s="33"/>
      <c r="K2607" s="33"/>
      <c r="L2607" s="33"/>
      <c r="X2607" s="23"/>
      <c r="Y2607" s="23"/>
      <c r="Z2607" s="23"/>
      <c r="AA2607" s="23"/>
      <c r="AF2607" s="23"/>
      <c r="AG2607" s="23"/>
      <c r="AH2607" s="23"/>
      <c r="AI2607" s="23"/>
      <c r="AN2607" s="23"/>
      <c r="AO2607" s="23"/>
      <c r="AP2607" s="23"/>
      <c r="AQ2607" s="23"/>
      <c r="AR2607" s="35"/>
      <c r="AS2607" s="35"/>
      <c r="AT2607" s="35"/>
      <c r="AU2607" s="31"/>
      <c r="AV2607" s="36"/>
    </row>
    <row r="2608" spans="4:48">
      <c r="D2608" s="31"/>
      <c r="E2608" s="31"/>
      <c r="F2608" s="31"/>
      <c r="G2608" s="31"/>
      <c r="H2608" s="32"/>
      <c r="J2608" s="33"/>
      <c r="K2608" s="33"/>
      <c r="L2608" s="33"/>
      <c r="X2608" s="23"/>
      <c r="Y2608" s="23"/>
      <c r="Z2608" s="23"/>
      <c r="AA2608" s="23"/>
      <c r="AF2608" s="23"/>
      <c r="AG2608" s="23"/>
      <c r="AH2608" s="23"/>
      <c r="AI2608" s="23"/>
      <c r="AN2608" s="23"/>
      <c r="AO2608" s="23"/>
      <c r="AP2608" s="23"/>
      <c r="AQ2608" s="23"/>
      <c r="AR2608" s="35"/>
      <c r="AS2608" s="35"/>
      <c r="AT2608" s="35"/>
      <c r="AU2608" s="31"/>
      <c r="AV2608" s="36"/>
    </row>
    <row r="2609" spans="4:48">
      <c r="D2609" s="31"/>
      <c r="E2609" s="31"/>
      <c r="F2609" s="31"/>
      <c r="G2609" s="31"/>
      <c r="H2609" s="32"/>
      <c r="J2609" s="33"/>
      <c r="K2609" s="33"/>
      <c r="L2609" s="33"/>
      <c r="X2609" s="23"/>
      <c r="Y2609" s="23"/>
      <c r="Z2609" s="23"/>
      <c r="AA2609" s="23"/>
      <c r="AF2609" s="23"/>
      <c r="AG2609" s="23"/>
      <c r="AH2609" s="23"/>
      <c r="AI2609" s="23"/>
      <c r="AN2609" s="23"/>
      <c r="AO2609" s="23"/>
      <c r="AP2609" s="23"/>
      <c r="AQ2609" s="23"/>
      <c r="AR2609" s="35"/>
      <c r="AS2609" s="35"/>
      <c r="AT2609" s="35"/>
      <c r="AU2609" s="31"/>
      <c r="AV2609" s="36"/>
    </row>
    <row r="2610" spans="4:48">
      <c r="D2610" s="31"/>
      <c r="E2610" s="31"/>
      <c r="F2610" s="31"/>
      <c r="G2610" s="31"/>
      <c r="H2610" s="32"/>
      <c r="J2610" s="33"/>
      <c r="K2610" s="33"/>
      <c r="L2610" s="33"/>
      <c r="X2610" s="23"/>
      <c r="Y2610" s="23"/>
      <c r="Z2610" s="23"/>
      <c r="AA2610" s="23"/>
      <c r="AF2610" s="23"/>
      <c r="AG2610" s="23"/>
      <c r="AH2610" s="23"/>
      <c r="AI2610" s="23"/>
      <c r="AN2610" s="23"/>
      <c r="AO2610" s="23"/>
      <c r="AP2610" s="23"/>
      <c r="AQ2610" s="23"/>
      <c r="AR2610" s="35"/>
      <c r="AS2610" s="35"/>
      <c r="AT2610" s="35"/>
      <c r="AU2610" s="31"/>
      <c r="AV2610" s="36"/>
    </row>
    <row r="2611" spans="4:48">
      <c r="D2611" s="31"/>
      <c r="E2611" s="31"/>
      <c r="F2611" s="31"/>
      <c r="G2611" s="31"/>
      <c r="H2611" s="32"/>
      <c r="J2611" s="33"/>
      <c r="K2611" s="33"/>
      <c r="L2611" s="33"/>
      <c r="X2611" s="23"/>
      <c r="Y2611" s="23"/>
      <c r="Z2611" s="23"/>
      <c r="AA2611" s="23"/>
      <c r="AF2611" s="23"/>
      <c r="AG2611" s="23"/>
      <c r="AH2611" s="23"/>
      <c r="AI2611" s="23"/>
      <c r="AN2611" s="23"/>
      <c r="AO2611" s="23"/>
      <c r="AP2611" s="23"/>
      <c r="AQ2611" s="23"/>
      <c r="AR2611" s="35"/>
      <c r="AS2611" s="35"/>
      <c r="AT2611" s="35"/>
      <c r="AU2611" s="31"/>
      <c r="AV2611" s="36"/>
    </row>
    <row r="2612" spans="4:48">
      <c r="D2612" s="31"/>
      <c r="E2612" s="31"/>
      <c r="F2612" s="31"/>
      <c r="G2612" s="31"/>
      <c r="H2612" s="32"/>
      <c r="J2612" s="33"/>
      <c r="K2612" s="33"/>
      <c r="L2612" s="33"/>
      <c r="X2612" s="23"/>
      <c r="Y2612" s="23"/>
      <c r="Z2612" s="23"/>
      <c r="AA2612" s="23"/>
      <c r="AF2612" s="23"/>
      <c r="AG2612" s="23"/>
      <c r="AH2612" s="23"/>
      <c r="AI2612" s="23"/>
      <c r="AN2612" s="23"/>
      <c r="AO2612" s="23"/>
      <c r="AP2612" s="23"/>
      <c r="AQ2612" s="23"/>
      <c r="AR2612" s="35"/>
      <c r="AS2612" s="35"/>
      <c r="AT2612" s="35"/>
      <c r="AU2612" s="31"/>
      <c r="AV2612" s="36"/>
    </row>
    <row r="2613" spans="4:48">
      <c r="D2613" s="31"/>
      <c r="E2613" s="31"/>
      <c r="F2613" s="31"/>
      <c r="G2613" s="31"/>
      <c r="H2613" s="32"/>
      <c r="J2613" s="33"/>
      <c r="K2613" s="33"/>
      <c r="L2613" s="33"/>
      <c r="X2613" s="23"/>
      <c r="Y2613" s="23"/>
      <c r="Z2613" s="23"/>
      <c r="AA2613" s="23"/>
      <c r="AF2613" s="23"/>
      <c r="AG2613" s="23"/>
      <c r="AH2613" s="23"/>
      <c r="AI2613" s="23"/>
      <c r="AN2613" s="23"/>
      <c r="AO2613" s="23"/>
      <c r="AP2613" s="23"/>
      <c r="AQ2613" s="23"/>
      <c r="AR2613" s="35"/>
      <c r="AS2613" s="35"/>
      <c r="AT2613" s="35"/>
      <c r="AU2613" s="31"/>
      <c r="AV2613" s="36"/>
    </row>
    <row r="2614" spans="4:48">
      <c r="D2614" s="31"/>
      <c r="E2614" s="31"/>
      <c r="F2614" s="31"/>
      <c r="G2614" s="31"/>
      <c r="H2614" s="32"/>
      <c r="J2614" s="33"/>
      <c r="K2614" s="33"/>
      <c r="L2614" s="33"/>
      <c r="X2614" s="23"/>
      <c r="Y2614" s="23"/>
      <c r="Z2614" s="23"/>
      <c r="AA2614" s="23"/>
      <c r="AF2614" s="23"/>
      <c r="AG2614" s="23"/>
      <c r="AH2614" s="23"/>
      <c r="AI2614" s="23"/>
      <c r="AN2614" s="23"/>
      <c r="AO2614" s="23"/>
      <c r="AP2614" s="23"/>
      <c r="AQ2614" s="23"/>
      <c r="AR2614" s="35"/>
      <c r="AS2614" s="35"/>
      <c r="AT2614" s="35"/>
      <c r="AU2614" s="31"/>
      <c r="AV2614" s="36"/>
    </row>
    <row r="2615" spans="4:48">
      <c r="D2615" s="31"/>
      <c r="E2615" s="31"/>
      <c r="F2615" s="31"/>
      <c r="G2615" s="31"/>
      <c r="H2615" s="32"/>
      <c r="J2615" s="33"/>
      <c r="K2615" s="33"/>
      <c r="L2615" s="33"/>
      <c r="X2615" s="23"/>
      <c r="Y2615" s="23"/>
      <c r="Z2615" s="23"/>
      <c r="AA2615" s="23"/>
      <c r="AF2615" s="23"/>
      <c r="AG2615" s="23"/>
      <c r="AH2615" s="23"/>
      <c r="AI2615" s="23"/>
      <c r="AN2615" s="23"/>
      <c r="AO2615" s="23"/>
      <c r="AP2615" s="23"/>
      <c r="AQ2615" s="23"/>
      <c r="AR2615" s="35"/>
      <c r="AS2615" s="35"/>
      <c r="AT2615" s="35"/>
      <c r="AU2615" s="31"/>
      <c r="AV2615" s="36"/>
    </row>
    <row r="2616" spans="4:48">
      <c r="D2616" s="31"/>
      <c r="E2616" s="31"/>
      <c r="F2616" s="31"/>
      <c r="G2616" s="31"/>
      <c r="H2616" s="32"/>
      <c r="J2616" s="33"/>
      <c r="K2616" s="33"/>
      <c r="L2616" s="33"/>
      <c r="X2616" s="23"/>
      <c r="Y2616" s="23"/>
      <c r="Z2616" s="23"/>
      <c r="AA2616" s="23"/>
      <c r="AF2616" s="23"/>
      <c r="AG2616" s="23"/>
      <c r="AH2616" s="23"/>
      <c r="AI2616" s="23"/>
      <c r="AN2616" s="23"/>
      <c r="AO2616" s="23"/>
      <c r="AP2616" s="23"/>
      <c r="AQ2616" s="23"/>
      <c r="AR2616" s="35"/>
      <c r="AS2616" s="35"/>
      <c r="AT2616" s="35"/>
      <c r="AU2616" s="31"/>
      <c r="AV2616" s="36"/>
    </row>
    <row r="2617" spans="4:48">
      <c r="D2617" s="31"/>
      <c r="E2617" s="31"/>
      <c r="F2617" s="31"/>
      <c r="G2617" s="31"/>
      <c r="H2617" s="32"/>
      <c r="J2617" s="33"/>
      <c r="K2617" s="33"/>
      <c r="L2617" s="33"/>
      <c r="X2617" s="23"/>
      <c r="Y2617" s="23"/>
      <c r="Z2617" s="23"/>
      <c r="AA2617" s="23"/>
      <c r="AF2617" s="23"/>
      <c r="AG2617" s="23"/>
      <c r="AH2617" s="23"/>
      <c r="AI2617" s="23"/>
      <c r="AN2617" s="23"/>
      <c r="AO2617" s="23"/>
      <c r="AP2617" s="23"/>
      <c r="AQ2617" s="23"/>
      <c r="AR2617" s="35"/>
      <c r="AS2617" s="35"/>
      <c r="AT2617" s="35"/>
      <c r="AU2617" s="31"/>
      <c r="AV2617" s="36"/>
    </row>
    <row r="2618" spans="4:48">
      <c r="D2618" s="31"/>
      <c r="E2618" s="31"/>
      <c r="F2618" s="31"/>
      <c r="G2618" s="31"/>
      <c r="H2618" s="32"/>
      <c r="J2618" s="33"/>
      <c r="K2618" s="33"/>
      <c r="L2618" s="33"/>
      <c r="X2618" s="23"/>
      <c r="Y2618" s="23"/>
      <c r="Z2618" s="23"/>
      <c r="AA2618" s="23"/>
      <c r="AF2618" s="23"/>
      <c r="AG2618" s="23"/>
      <c r="AH2618" s="23"/>
      <c r="AI2618" s="23"/>
      <c r="AN2618" s="23"/>
      <c r="AO2618" s="23"/>
      <c r="AP2618" s="23"/>
      <c r="AQ2618" s="23"/>
      <c r="AR2618" s="35"/>
      <c r="AS2618" s="35"/>
      <c r="AT2618" s="35"/>
      <c r="AU2618" s="31"/>
      <c r="AV2618" s="36"/>
    </row>
    <row r="2619" spans="4:48">
      <c r="D2619" s="31"/>
      <c r="E2619" s="31"/>
      <c r="F2619" s="31"/>
      <c r="G2619" s="31"/>
      <c r="H2619" s="32"/>
      <c r="J2619" s="33"/>
      <c r="K2619" s="33"/>
      <c r="L2619" s="33"/>
      <c r="X2619" s="23"/>
      <c r="Y2619" s="23"/>
      <c r="Z2619" s="23"/>
      <c r="AA2619" s="23"/>
      <c r="AF2619" s="23"/>
      <c r="AG2619" s="23"/>
      <c r="AH2619" s="23"/>
      <c r="AI2619" s="23"/>
      <c r="AN2619" s="23"/>
      <c r="AO2619" s="23"/>
      <c r="AP2619" s="23"/>
      <c r="AQ2619" s="23"/>
      <c r="AR2619" s="35"/>
      <c r="AS2619" s="35"/>
      <c r="AT2619" s="35"/>
      <c r="AU2619" s="31"/>
      <c r="AV2619" s="36"/>
    </row>
    <row r="2620" spans="4:48">
      <c r="D2620" s="31"/>
      <c r="E2620" s="31"/>
      <c r="F2620" s="31"/>
      <c r="G2620" s="31"/>
      <c r="H2620" s="32"/>
      <c r="J2620" s="33"/>
      <c r="K2620" s="33"/>
      <c r="L2620" s="33"/>
      <c r="X2620" s="23"/>
      <c r="Y2620" s="23"/>
      <c r="Z2620" s="23"/>
      <c r="AA2620" s="23"/>
      <c r="AF2620" s="23"/>
      <c r="AG2620" s="23"/>
      <c r="AH2620" s="23"/>
      <c r="AI2620" s="23"/>
      <c r="AN2620" s="23"/>
      <c r="AO2620" s="23"/>
      <c r="AP2620" s="23"/>
      <c r="AQ2620" s="23"/>
      <c r="AR2620" s="35"/>
      <c r="AS2620" s="35"/>
      <c r="AT2620" s="35"/>
      <c r="AU2620" s="31"/>
      <c r="AV2620" s="36"/>
    </row>
    <row r="2621" spans="4:48">
      <c r="D2621" s="31"/>
      <c r="E2621" s="31"/>
      <c r="F2621" s="31"/>
      <c r="G2621" s="31"/>
      <c r="H2621" s="32"/>
      <c r="J2621" s="33"/>
      <c r="K2621" s="33"/>
      <c r="L2621" s="33"/>
      <c r="X2621" s="23"/>
      <c r="Y2621" s="23"/>
      <c r="Z2621" s="23"/>
      <c r="AA2621" s="23"/>
      <c r="AF2621" s="23"/>
      <c r="AG2621" s="23"/>
      <c r="AH2621" s="23"/>
      <c r="AI2621" s="23"/>
      <c r="AN2621" s="23"/>
      <c r="AO2621" s="23"/>
      <c r="AP2621" s="23"/>
      <c r="AQ2621" s="23"/>
      <c r="AR2621" s="35"/>
      <c r="AS2621" s="35"/>
      <c r="AT2621" s="35"/>
      <c r="AU2621" s="31"/>
      <c r="AV2621" s="36"/>
    </row>
    <row r="2622" spans="4:48">
      <c r="D2622" s="31"/>
      <c r="E2622" s="31"/>
      <c r="F2622" s="31"/>
      <c r="G2622" s="31"/>
      <c r="H2622" s="32"/>
      <c r="J2622" s="33"/>
      <c r="K2622" s="33"/>
      <c r="L2622" s="33"/>
      <c r="X2622" s="23"/>
      <c r="Y2622" s="23"/>
      <c r="Z2622" s="23"/>
      <c r="AA2622" s="23"/>
      <c r="AF2622" s="23"/>
      <c r="AG2622" s="23"/>
      <c r="AH2622" s="23"/>
      <c r="AI2622" s="23"/>
      <c r="AN2622" s="23"/>
      <c r="AO2622" s="23"/>
      <c r="AP2622" s="23"/>
      <c r="AQ2622" s="23"/>
      <c r="AR2622" s="35"/>
      <c r="AS2622" s="35"/>
      <c r="AT2622" s="35"/>
      <c r="AU2622" s="31"/>
      <c r="AV2622" s="36"/>
    </row>
    <row r="2623" spans="4:48">
      <c r="D2623" s="31"/>
      <c r="E2623" s="31"/>
      <c r="F2623" s="31"/>
      <c r="G2623" s="31"/>
      <c r="H2623" s="32"/>
      <c r="J2623" s="33"/>
      <c r="K2623" s="33"/>
      <c r="L2623" s="33"/>
      <c r="X2623" s="23"/>
      <c r="Y2623" s="23"/>
      <c r="Z2623" s="23"/>
      <c r="AA2623" s="23"/>
      <c r="AF2623" s="23"/>
      <c r="AG2623" s="23"/>
      <c r="AH2623" s="23"/>
      <c r="AI2623" s="23"/>
      <c r="AN2623" s="23"/>
      <c r="AO2623" s="23"/>
      <c r="AP2623" s="23"/>
      <c r="AQ2623" s="23"/>
      <c r="AR2623" s="35"/>
      <c r="AS2623" s="35"/>
      <c r="AT2623" s="35"/>
      <c r="AU2623" s="31"/>
      <c r="AV2623" s="36"/>
    </row>
    <row r="2624" spans="4:48">
      <c r="D2624" s="31"/>
      <c r="E2624" s="31"/>
      <c r="F2624" s="31"/>
      <c r="G2624" s="31"/>
      <c r="H2624" s="32"/>
      <c r="J2624" s="33"/>
      <c r="K2624" s="33"/>
      <c r="L2624" s="33"/>
      <c r="X2624" s="23"/>
      <c r="Y2624" s="23"/>
      <c r="Z2624" s="23"/>
      <c r="AA2624" s="23"/>
      <c r="AF2624" s="23"/>
      <c r="AG2624" s="23"/>
      <c r="AH2624" s="23"/>
      <c r="AI2624" s="23"/>
      <c r="AN2624" s="23"/>
      <c r="AO2624" s="23"/>
      <c r="AP2624" s="23"/>
      <c r="AQ2624" s="23"/>
      <c r="AR2624" s="35"/>
      <c r="AS2624" s="35"/>
      <c r="AT2624" s="35"/>
      <c r="AU2624" s="31"/>
      <c r="AV2624" s="36"/>
    </row>
    <row r="2625" spans="4:48">
      <c r="D2625" s="31"/>
      <c r="E2625" s="31"/>
      <c r="F2625" s="31"/>
      <c r="G2625" s="31"/>
      <c r="H2625" s="32"/>
      <c r="J2625" s="33"/>
      <c r="K2625" s="33"/>
      <c r="L2625" s="33"/>
      <c r="X2625" s="23"/>
      <c r="Y2625" s="23"/>
      <c r="Z2625" s="23"/>
      <c r="AA2625" s="23"/>
      <c r="AF2625" s="23"/>
      <c r="AG2625" s="23"/>
      <c r="AH2625" s="23"/>
      <c r="AI2625" s="23"/>
      <c r="AN2625" s="23"/>
      <c r="AO2625" s="23"/>
      <c r="AP2625" s="23"/>
      <c r="AQ2625" s="23"/>
      <c r="AR2625" s="35"/>
      <c r="AS2625" s="35"/>
      <c r="AT2625" s="35"/>
      <c r="AU2625" s="31"/>
      <c r="AV2625" s="36"/>
    </row>
    <row r="2626" spans="4:48">
      <c r="D2626" s="31"/>
      <c r="E2626" s="31"/>
      <c r="F2626" s="31"/>
      <c r="G2626" s="31"/>
      <c r="H2626" s="32"/>
      <c r="J2626" s="33"/>
      <c r="K2626" s="33"/>
      <c r="L2626" s="33"/>
      <c r="X2626" s="23"/>
      <c r="Y2626" s="23"/>
      <c r="Z2626" s="23"/>
      <c r="AA2626" s="23"/>
      <c r="AF2626" s="23"/>
      <c r="AG2626" s="23"/>
      <c r="AH2626" s="23"/>
      <c r="AI2626" s="23"/>
      <c r="AN2626" s="23"/>
      <c r="AO2626" s="23"/>
      <c r="AP2626" s="23"/>
      <c r="AQ2626" s="23"/>
      <c r="AR2626" s="35"/>
      <c r="AS2626" s="35"/>
      <c r="AT2626" s="35"/>
      <c r="AU2626" s="31"/>
      <c r="AV2626" s="36"/>
    </row>
    <row r="2627" spans="4:48">
      <c r="D2627" s="31"/>
      <c r="E2627" s="31"/>
      <c r="F2627" s="31"/>
      <c r="G2627" s="31"/>
      <c r="H2627" s="32"/>
      <c r="J2627" s="33"/>
      <c r="K2627" s="33"/>
      <c r="L2627" s="33"/>
      <c r="X2627" s="23"/>
      <c r="Y2627" s="23"/>
      <c r="Z2627" s="23"/>
      <c r="AA2627" s="23"/>
      <c r="AF2627" s="23"/>
      <c r="AG2627" s="23"/>
      <c r="AH2627" s="23"/>
      <c r="AI2627" s="23"/>
      <c r="AN2627" s="23"/>
      <c r="AO2627" s="23"/>
      <c r="AP2627" s="23"/>
      <c r="AQ2627" s="23"/>
      <c r="AR2627" s="35"/>
      <c r="AS2627" s="35"/>
      <c r="AT2627" s="35"/>
      <c r="AU2627" s="31"/>
      <c r="AV2627" s="36"/>
    </row>
    <row r="2628" spans="4:48">
      <c r="D2628" s="31"/>
      <c r="E2628" s="31"/>
      <c r="F2628" s="31"/>
      <c r="G2628" s="31"/>
      <c r="H2628" s="32"/>
      <c r="J2628" s="33"/>
      <c r="K2628" s="33"/>
      <c r="L2628" s="33"/>
      <c r="X2628" s="23"/>
      <c r="Y2628" s="23"/>
      <c r="Z2628" s="23"/>
      <c r="AA2628" s="23"/>
      <c r="AF2628" s="23"/>
      <c r="AG2628" s="23"/>
      <c r="AH2628" s="23"/>
      <c r="AI2628" s="23"/>
      <c r="AN2628" s="23"/>
      <c r="AO2628" s="23"/>
      <c r="AP2628" s="23"/>
      <c r="AQ2628" s="23"/>
      <c r="AR2628" s="35"/>
      <c r="AS2628" s="35"/>
      <c r="AT2628" s="35"/>
      <c r="AU2628" s="31"/>
      <c r="AV2628" s="36"/>
    </row>
    <row r="2629" spans="4:48">
      <c r="D2629" s="31"/>
      <c r="E2629" s="31"/>
      <c r="F2629" s="31"/>
      <c r="G2629" s="31"/>
      <c r="H2629" s="32"/>
      <c r="J2629" s="33"/>
      <c r="K2629" s="33"/>
      <c r="L2629" s="33"/>
      <c r="X2629" s="23"/>
      <c r="Y2629" s="23"/>
      <c r="Z2629" s="23"/>
      <c r="AA2629" s="23"/>
      <c r="AF2629" s="23"/>
      <c r="AG2629" s="23"/>
      <c r="AH2629" s="23"/>
      <c r="AI2629" s="23"/>
      <c r="AN2629" s="23"/>
      <c r="AO2629" s="23"/>
      <c r="AP2629" s="23"/>
      <c r="AQ2629" s="23"/>
      <c r="AR2629" s="35"/>
      <c r="AS2629" s="35"/>
      <c r="AT2629" s="35"/>
      <c r="AU2629" s="31"/>
      <c r="AV2629" s="36"/>
    </row>
    <row r="2630" spans="4:48">
      <c r="D2630" s="31"/>
      <c r="E2630" s="31"/>
      <c r="F2630" s="31"/>
      <c r="G2630" s="31"/>
      <c r="H2630" s="32"/>
      <c r="J2630" s="33"/>
      <c r="K2630" s="33"/>
      <c r="L2630" s="33"/>
      <c r="X2630" s="23"/>
      <c r="Y2630" s="23"/>
      <c r="Z2630" s="23"/>
      <c r="AA2630" s="23"/>
      <c r="AF2630" s="23"/>
      <c r="AG2630" s="23"/>
      <c r="AH2630" s="23"/>
      <c r="AI2630" s="23"/>
      <c r="AN2630" s="23"/>
      <c r="AO2630" s="23"/>
      <c r="AP2630" s="23"/>
      <c r="AQ2630" s="23"/>
      <c r="AR2630" s="35"/>
      <c r="AS2630" s="35"/>
      <c r="AT2630" s="35"/>
      <c r="AU2630" s="31"/>
      <c r="AV2630" s="36"/>
    </row>
    <row r="2631" spans="4:48">
      <c r="D2631" s="31"/>
      <c r="E2631" s="31"/>
      <c r="F2631" s="31"/>
      <c r="G2631" s="31"/>
      <c r="H2631" s="32"/>
      <c r="J2631" s="33"/>
      <c r="K2631" s="33"/>
      <c r="L2631" s="33"/>
      <c r="X2631" s="23"/>
      <c r="Y2631" s="23"/>
      <c r="Z2631" s="23"/>
      <c r="AA2631" s="23"/>
      <c r="AF2631" s="23"/>
      <c r="AG2631" s="23"/>
      <c r="AH2631" s="23"/>
      <c r="AI2631" s="23"/>
      <c r="AN2631" s="23"/>
      <c r="AO2631" s="23"/>
      <c r="AP2631" s="23"/>
      <c r="AQ2631" s="23"/>
      <c r="AR2631" s="35"/>
      <c r="AS2631" s="35"/>
      <c r="AT2631" s="35"/>
      <c r="AU2631" s="31"/>
      <c r="AV2631" s="36"/>
    </row>
    <row r="2632" spans="4:48">
      <c r="D2632" s="31"/>
      <c r="E2632" s="31"/>
      <c r="F2632" s="31"/>
      <c r="G2632" s="31"/>
      <c r="H2632" s="32"/>
      <c r="J2632" s="33"/>
      <c r="K2632" s="33"/>
      <c r="L2632" s="33"/>
      <c r="X2632" s="23"/>
      <c r="Y2632" s="23"/>
      <c r="Z2632" s="23"/>
      <c r="AA2632" s="23"/>
      <c r="AF2632" s="23"/>
      <c r="AG2632" s="23"/>
      <c r="AH2632" s="23"/>
      <c r="AI2632" s="23"/>
      <c r="AN2632" s="23"/>
      <c r="AO2632" s="23"/>
      <c r="AP2632" s="23"/>
      <c r="AQ2632" s="23"/>
      <c r="AR2632" s="35"/>
      <c r="AS2632" s="35"/>
      <c r="AT2632" s="35"/>
      <c r="AU2632" s="31"/>
      <c r="AV2632" s="36"/>
    </row>
    <row r="2633" spans="4:48">
      <c r="D2633" s="31"/>
      <c r="E2633" s="31"/>
      <c r="F2633" s="31"/>
      <c r="G2633" s="31"/>
      <c r="H2633" s="32"/>
      <c r="J2633" s="33"/>
      <c r="K2633" s="33"/>
      <c r="L2633" s="33"/>
      <c r="X2633" s="23"/>
      <c r="Y2633" s="23"/>
      <c r="Z2633" s="23"/>
      <c r="AA2633" s="23"/>
      <c r="AF2633" s="23"/>
      <c r="AG2633" s="23"/>
      <c r="AH2633" s="23"/>
      <c r="AI2633" s="23"/>
      <c r="AN2633" s="23"/>
      <c r="AO2633" s="23"/>
      <c r="AP2633" s="23"/>
      <c r="AQ2633" s="23"/>
      <c r="AR2633" s="35"/>
      <c r="AS2633" s="35"/>
      <c r="AT2633" s="35"/>
      <c r="AU2633" s="31"/>
      <c r="AV2633" s="36"/>
    </row>
    <row r="2634" spans="4:48">
      <c r="D2634" s="31"/>
      <c r="E2634" s="31"/>
      <c r="F2634" s="31"/>
      <c r="G2634" s="31"/>
      <c r="H2634" s="32"/>
      <c r="J2634" s="33"/>
      <c r="K2634" s="33"/>
      <c r="L2634" s="33"/>
      <c r="X2634" s="23"/>
      <c r="Y2634" s="23"/>
      <c r="Z2634" s="23"/>
      <c r="AA2634" s="23"/>
      <c r="AF2634" s="23"/>
      <c r="AG2634" s="23"/>
      <c r="AH2634" s="23"/>
      <c r="AI2634" s="23"/>
      <c r="AN2634" s="23"/>
      <c r="AO2634" s="23"/>
      <c r="AP2634" s="23"/>
      <c r="AQ2634" s="23"/>
      <c r="AR2634" s="35"/>
      <c r="AS2634" s="35"/>
      <c r="AT2634" s="35"/>
      <c r="AU2634" s="31"/>
      <c r="AV2634" s="36"/>
    </row>
    <row r="2635" spans="4:48">
      <c r="D2635" s="31"/>
      <c r="E2635" s="31"/>
      <c r="F2635" s="31"/>
      <c r="G2635" s="31"/>
      <c r="H2635" s="32"/>
      <c r="J2635" s="33"/>
      <c r="K2635" s="33"/>
      <c r="L2635" s="33"/>
      <c r="X2635" s="23"/>
      <c r="Y2635" s="23"/>
      <c r="Z2635" s="23"/>
      <c r="AA2635" s="23"/>
      <c r="AF2635" s="23"/>
      <c r="AG2635" s="23"/>
      <c r="AH2635" s="23"/>
      <c r="AI2635" s="23"/>
      <c r="AN2635" s="23"/>
      <c r="AO2635" s="23"/>
      <c r="AP2635" s="23"/>
      <c r="AQ2635" s="23"/>
      <c r="AR2635" s="35"/>
      <c r="AS2635" s="35"/>
      <c r="AT2635" s="35"/>
      <c r="AU2635" s="31"/>
      <c r="AV2635" s="36"/>
    </row>
    <row r="2636" spans="4:48">
      <c r="D2636" s="31"/>
      <c r="E2636" s="31"/>
      <c r="F2636" s="31"/>
      <c r="G2636" s="31"/>
      <c r="H2636" s="32"/>
      <c r="J2636" s="33"/>
      <c r="K2636" s="33"/>
      <c r="L2636" s="33"/>
      <c r="X2636" s="23"/>
      <c r="Y2636" s="23"/>
      <c r="Z2636" s="23"/>
      <c r="AA2636" s="23"/>
      <c r="AF2636" s="23"/>
      <c r="AG2636" s="23"/>
      <c r="AH2636" s="23"/>
      <c r="AI2636" s="23"/>
      <c r="AN2636" s="23"/>
      <c r="AO2636" s="23"/>
      <c r="AP2636" s="23"/>
      <c r="AQ2636" s="23"/>
      <c r="AR2636" s="35"/>
      <c r="AS2636" s="35"/>
      <c r="AT2636" s="35"/>
      <c r="AU2636" s="31"/>
      <c r="AV2636" s="36"/>
    </row>
    <row r="2637" spans="4:48">
      <c r="D2637" s="31"/>
      <c r="E2637" s="31"/>
      <c r="F2637" s="31"/>
      <c r="G2637" s="31"/>
      <c r="H2637" s="32"/>
      <c r="J2637" s="33"/>
      <c r="K2637" s="33"/>
      <c r="L2637" s="33"/>
      <c r="X2637" s="23"/>
      <c r="Y2637" s="23"/>
      <c r="Z2637" s="23"/>
      <c r="AA2637" s="23"/>
      <c r="AF2637" s="23"/>
      <c r="AG2637" s="23"/>
      <c r="AH2637" s="23"/>
      <c r="AI2637" s="23"/>
      <c r="AN2637" s="23"/>
      <c r="AO2637" s="23"/>
      <c r="AP2637" s="23"/>
      <c r="AQ2637" s="23"/>
      <c r="AR2637" s="35"/>
      <c r="AS2637" s="35"/>
      <c r="AT2637" s="35"/>
      <c r="AU2637" s="31"/>
      <c r="AV2637" s="36"/>
    </row>
    <row r="2638" spans="4:48">
      <c r="D2638" s="31"/>
      <c r="E2638" s="31"/>
      <c r="F2638" s="31"/>
      <c r="G2638" s="31"/>
      <c r="H2638" s="32"/>
      <c r="J2638" s="33"/>
      <c r="K2638" s="33"/>
      <c r="L2638" s="33"/>
      <c r="X2638" s="23"/>
      <c r="Y2638" s="23"/>
      <c r="Z2638" s="23"/>
      <c r="AA2638" s="23"/>
      <c r="AF2638" s="23"/>
      <c r="AG2638" s="23"/>
      <c r="AH2638" s="23"/>
      <c r="AI2638" s="23"/>
      <c r="AN2638" s="23"/>
      <c r="AO2638" s="23"/>
      <c r="AP2638" s="23"/>
      <c r="AQ2638" s="23"/>
      <c r="AR2638" s="35"/>
      <c r="AS2638" s="35"/>
      <c r="AT2638" s="35"/>
      <c r="AU2638" s="31"/>
      <c r="AV2638" s="36"/>
    </row>
    <row r="2639" spans="4:48">
      <c r="D2639" s="31"/>
      <c r="E2639" s="31"/>
      <c r="F2639" s="31"/>
      <c r="G2639" s="31"/>
      <c r="H2639" s="32"/>
      <c r="J2639" s="33"/>
      <c r="K2639" s="33"/>
      <c r="L2639" s="33"/>
      <c r="X2639" s="23"/>
      <c r="Y2639" s="23"/>
      <c r="Z2639" s="23"/>
      <c r="AA2639" s="23"/>
      <c r="AF2639" s="23"/>
      <c r="AG2639" s="23"/>
      <c r="AH2639" s="23"/>
      <c r="AI2639" s="23"/>
      <c r="AN2639" s="23"/>
      <c r="AO2639" s="23"/>
      <c r="AP2639" s="23"/>
      <c r="AQ2639" s="23"/>
      <c r="AR2639" s="35"/>
      <c r="AS2639" s="35"/>
      <c r="AT2639" s="35"/>
      <c r="AU2639" s="31"/>
      <c r="AV2639" s="36"/>
    </row>
    <row r="2640" spans="4:48">
      <c r="D2640" s="31"/>
      <c r="E2640" s="31"/>
      <c r="F2640" s="31"/>
      <c r="G2640" s="31"/>
      <c r="H2640" s="32"/>
      <c r="J2640" s="33"/>
      <c r="K2640" s="33"/>
      <c r="L2640" s="33"/>
      <c r="X2640" s="23"/>
      <c r="Y2640" s="23"/>
      <c r="Z2640" s="23"/>
      <c r="AA2640" s="23"/>
      <c r="AF2640" s="23"/>
      <c r="AG2640" s="23"/>
      <c r="AH2640" s="23"/>
      <c r="AI2640" s="23"/>
      <c r="AN2640" s="23"/>
      <c r="AO2640" s="23"/>
      <c r="AP2640" s="23"/>
      <c r="AQ2640" s="23"/>
      <c r="AR2640" s="35"/>
      <c r="AS2640" s="35"/>
      <c r="AT2640" s="35"/>
      <c r="AU2640" s="31"/>
      <c r="AV2640" s="36"/>
    </row>
    <row r="2641" spans="4:48">
      <c r="D2641" s="31"/>
      <c r="E2641" s="31"/>
      <c r="F2641" s="31"/>
      <c r="G2641" s="31"/>
      <c r="H2641" s="32"/>
      <c r="J2641" s="33"/>
      <c r="K2641" s="33"/>
      <c r="L2641" s="33"/>
      <c r="X2641" s="23"/>
      <c r="Y2641" s="23"/>
      <c r="Z2641" s="23"/>
      <c r="AA2641" s="23"/>
      <c r="AF2641" s="23"/>
      <c r="AG2641" s="23"/>
      <c r="AH2641" s="23"/>
      <c r="AI2641" s="23"/>
      <c r="AN2641" s="23"/>
      <c r="AO2641" s="23"/>
      <c r="AP2641" s="23"/>
      <c r="AQ2641" s="23"/>
      <c r="AR2641" s="35"/>
      <c r="AS2641" s="35"/>
      <c r="AT2641" s="35"/>
      <c r="AU2641" s="31"/>
      <c r="AV2641" s="36"/>
    </row>
    <row r="2642" spans="4:48">
      <c r="D2642" s="31"/>
      <c r="E2642" s="31"/>
      <c r="F2642" s="31"/>
      <c r="G2642" s="31"/>
      <c r="H2642" s="32"/>
      <c r="J2642" s="33"/>
      <c r="K2642" s="33"/>
      <c r="L2642" s="33"/>
      <c r="X2642" s="23"/>
      <c r="Y2642" s="23"/>
      <c r="Z2642" s="23"/>
      <c r="AA2642" s="23"/>
      <c r="AF2642" s="23"/>
      <c r="AG2642" s="23"/>
      <c r="AH2642" s="23"/>
      <c r="AI2642" s="23"/>
      <c r="AN2642" s="23"/>
      <c r="AO2642" s="23"/>
      <c r="AP2642" s="23"/>
      <c r="AQ2642" s="23"/>
      <c r="AR2642" s="35"/>
      <c r="AS2642" s="35"/>
      <c r="AT2642" s="35"/>
      <c r="AU2642" s="31"/>
      <c r="AV2642" s="36"/>
    </row>
    <row r="2643" spans="4:48">
      <c r="D2643" s="31"/>
      <c r="E2643" s="31"/>
      <c r="F2643" s="31"/>
      <c r="G2643" s="31"/>
      <c r="H2643" s="32"/>
      <c r="J2643" s="33"/>
      <c r="K2643" s="33"/>
      <c r="L2643" s="33"/>
      <c r="X2643" s="23"/>
      <c r="Y2643" s="23"/>
      <c r="Z2643" s="23"/>
      <c r="AA2643" s="23"/>
      <c r="AF2643" s="23"/>
      <c r="AG2643" s="23"/>
      <c r="AH2643" s="23"/>
      <c r="AI2643" s="23"/>
      <c r="AN2643" s="23"/>
      <c r="AO2643" s="23"/>
      <c r="AP2643" s="23"/>
      <c r="AQ2643" s="23"/>
      <c r="AR2643" s="35"/>
      <c r="AS2643" s="35"/>
      <c r="AT2643" s="35"/>
      <c r="AU2643" s="31"/>
      <c r="AV2643" s="36"/>
    </row>
    <row r="2644" spans="4:48">
      <c r="D2644" s="31"/>
      <c r="E2644" s="31"/>
      <c r="F2644" s="31"/>
      <c r="G2644" s="31"/>
      <c r="H2644" s="32"/>
      <c r="J2644" s="33"/>
      <c r="K2644" s="33"/>
      <c r="L2644" s="33"/>
      <c r="X2644" s="23"/>
      <c r="Y2644" s="23"/>
      <c r="Z2644" s="23"/>
      <c r="AA2644" s="23"/>
      <c r="AF2644" s="23"/>
      <c r="AG2644" s="23"/>
      <c r="AH2644" s="23"/>
      <c r="AI2644" s="23"/>
      <c r="AN2644" s="23"/>
      <c r="AO2644" s="23"/>
      <c r="AP2644" s="23"/>
      <c r="AQ2644" s="23"/>
      <c r="AR2644" s="35"/>
      <c r="AS2644" s="35"/>
      <c r="AT2644" s="35"/>
      <c r="AU2644" s="31"/>
      <c r="AV2644" s="36"/>
    </row>
    <row r="2645" spans="4:48">
      <c r="D2645" s="31"/>
      <c r="E2645" s="31"/>
      <c r="F2645" s="31"/>
      <c r="G2645" s="31"/>
      <c r="H2645" s="32"/>
      <c r="J2645" s="33"/>
      <c r="K2645" s="33"/>
      <c r="L2645" s="33"/>
      <c r="X2645" s="23"/>
      <c r="Y2645" s="23"/>
      <c r="Z2645" s="23"/>
      <c r="AA2645" s="23"/>
      <c r="AF2645" s="23"/>
      <c r="AG2645" s="23"/>
      <c r="AH2645" s="23"/>
      <c r="AI2645" s="23"/>
      <c r="AN2645" s="23"/>
      <c r="AO2645" s="23"/>
      <c r="AP2645" s="23"/>
      <c r="AQ2645" s="23"/>
      <c r="AR2645" s="35"/>
      <c r="AS2645" s="35"/>
      <c r="AT2645" s="35"/>
      <c r="AU2645" s="31"/>
      <c r="AV2645" s="36"/>
    </row>
    <row r="2646" spans="4:48">
      <c r="D2646" s="31"/>
      <c r="E2646" s="31"/>
      <c r="F2646" s="31"/>
      <c r="G2646" s="31"/>
      <c r="H2646" s="32"/>
      <c r="J2646" s="33"/>
      <c r="K2646" s="33"/>
      <c r="L2646" s="33"/>
      <c r="X2646" s="23"/>
      <c r="Y2646" s="23"/>
      <c r="Z2646" s="23"/>
      <c r="AA2646" s="23"/>
      <c r="AF2646" s="23"/>
      <c r="AG2646" s="23"/>
      <c r="AH2646" s="23"/>
      <c r="AI2646" s="23"/>
      <c r="AN2646" s="23"/>
      <c r="AO2646" s="23"/>
      <c r="AP2646" s="23"/>
      <c r="AQ2646" s="23"/>
      <c r="AR2646" s="35"/>
      <c r="AS2646" s="35"/>
      <c r="AT2646" s="35"/>
      <c r="AU2646" s="31"/>
      <c r="AV2646" s="36"/>
    </row>
    <row r="2647" spans="4:48">
      <c r="D2647" s="31"/>
      <c r="E2647" s="31"/>
      <c r="F2647" s="31"/>
      <c r="G2647" s="31"/>
      <c r="H2647" s="32"/>
      <c r="J2647" s="33"/>
      <c r="K2647" s="33"/>
      <c r="L2647" s="33"/>
      <c r="X2647" s="23"/>
      <c r="Y2647" s="23"/>
      <c r="Z2647" s="23"/>
      <c r="AA2647" s="23"/>
      <c r="AF2647" s="23"/>
      <c r="AG2647" s="23"/>
      <c r="AH2647" s="23"/>
      <c r="AI2647" s="23"/>
      <c r="AN2647" s="23"/>
      <c r="AO2647" s="23"/>
      <c r="AP2647" s="23"/>
      <c r="AQ2647" s="23"/>
      <c r="AR2647" s="35"/>
      <c r="AS2647" s="35"/>
      <c r="AT2647" s="35"/>
      <c r="AU2647" s="31"/>
      <c r="AV2647" s="36"/>
    </row>
    <row r="2648" spans="4:48">
      <c r="D2648" s="31"/>
      <c r="E2648" s="31"/>
      <c r="F2648" s="31"/>
      <c r="G2648" s="31"/>
      <c r="H2648" s="32"/>
      <c r="J2648" s="33"/>
      <c r="K2648" s="33"/>
      <c r="L2648" s="33"/>
      <c r="X2648" s="23"/>
      <c r="Y2648" s="23"/>
      <c r="Z2648" s="23"/>
      <c r="AA2648" s="23"/>
      <c r="AF2648" s="23"/>
      <c r="AG2648" s="23"/>
      <c r="AH2648" s="23"/>
      <c r="AI2648" s="23"/>
      <c r="AN2648" s="23"/>
      <c r="AO2648" s="23"/>
      <c r="AP2648" s="23"/>
      <c r="AQ2648" s="23"/>
      <c r="AR2648" s="35"/>
      <c r="AS2648" s="35"/>
      <c r="AT2648" s="35"/>
      <c r="AU2648" s="31"/>
      <c r="AV2648" s="36"/>
    </row>
    <row r="2649" spans="4:48">
      <c r="D2649" s="31"/>
      <c r="E2649" s="31"/>
      <c r="F2649" s="31"/>
      <c r="G2649" s="31"/>
      <c r="H2649" s="32"/>
      <c r="J2649" s="33"/>
      <c r="K2649" s="33"/>
      <c r="L2649" s="33"/>
      <c r="X2649" s="23"/>
      <c r="Y2649" s="23"/>
      <c r="Z2649" s="23"/>
      <c r="AA2649" s="23"/>
      <c r="AF2649" s="23"/>
      <c r="AG2649" s="23"/>
      <c r="AH2649" s="23"/>
      <c r="AI2649" s="23"/>
      <c r="AN2649" s="23"/>
      <c r="AO2649" s="23"/>
      <c r="AP2649" s="23"/>
      <c r="AQ2649" s="23"/>
      <c r="AR2649" s="35"/>
      <c r="AS2649" s="35"/>
      <c r="AT2649" s="35"/>
      <c r="AU2649" s="31"/>
      <c r="AV2649" s="36"/>
    </row>
    <row r="2650" spans="4:48">
      <c r="D2650" s="31"/>
      <c r="E2650" s="31"/>
      <c r="F2650" s="31"/>
      <c r="G2650" s="31"/>
      <c r="H2650" s="32"/>
      <c r="J2650" s="33"/>
      <c r="K2650" s="33"/>
      <c r="L2650" s="33"/>
      <c r="X2650" s="23"/>
      <c r="Y2650" s="23"/>
      <c r="Z2650" s="23"/>
      <c r="AA2650" s="23"/>
      <c r="AF2650" s="23"/>
      <c r="AG2650" s="23"/>
      <c r="AH2650" s="23"/>
      <c r="AI2650" s="23"/>
      <c r="AN2650" s="23"/>
      <c r="AO2650" s="23"/>
      <c r="AP2650" s="23"/>
      <c r="AQ2650" s="23"/>
      <c r="AR2650" s="35"/>
      <c r="AS2650" s="35"/>
      <c r="AT2650" s="35"/>
      <c r="AU2650" s="31"/>
      <c r="AV2650" s="36"/>
    </row>
    <row r="2651" spans="4:48">
      <c r="D2651" s="31"/>
      <c r="E2651" s="31"/>
      <c r="F2651" s="31"/>
      <c r="G2651" s="31"/>
      <c r="H2651" s="32"/>
      <c r="J2651" s="33"/>
      <c r="K2651" s="33"/>
      <c r="L2651" s="33"/>
      <c r="X2651" s="23"/>
      <c r="Y2651" s="23"/>
      <c r="Z2651" s="23"/>
      <c r="AA2651" s="23"/>
      <c r="AF2651" s="23"/>
      <c r="AG2651" s="23"/>
      <c r="AH2651" s="23"/>
      <c r="AI2651" s="23"/>
      <c r="AN2651" s="23"/>
      <c r="AO2651" s="23"/>
      <c r="AP2651" s="23"/>
      <c r="AQ2651" s="23"/>
      <c r="AR2651" s="35"/>
      <c r="AS2651" s="35"/>
      <c r="AT2651" s="35"/>
      <c r="AU2651" s="31"/>
      <c r="AV2651" s="36"/>
    </row>
    <row r="2652" spans="4:48">
      <c r="D2652" s="31"/>
      <c r="E2652" s="31"/>
      <c r="F2652" s="31"/>
      <c r="G2652" s="31"/>
      <c r="H2652" s="32"/>
      <c r="J2652" s="33"/>
      <c r="K2652" s="33"/>
      <c r="L2652" s="33"/>
      <c r="X2652" s="23"/>
      <c r="Y2652" s="23"/>
      <c r="Z2652" s="23"/>
      <c r="AA2652" s="23"/>
      <c r="AF2652" s="23"/>
      <c r="AG2652" s="23"/>
      <c r="AH2652" s="23"/>
      <c r="AI2652" s="23"/>
      <c r="AN2652" s="23"/>
      <c r="AO2652" s="23"/>
      <c r="AP2652" s="23"/>
      <c r="AQ2652" s="23"/>
      <c r="AR2652" s="35"/>
      <c r="AS2652" s="35"/>
      <c r="AT2652" s="35"/>
      <c r="AU2652" s="31"/>
      <c r="AV2652" s="36"/>
    </row>
    <row r="2653" spans="4:48">
      <c r="D2653" s="31"/>
      <c r="E2653" s="31"/>
      <c r="F2653" s="31"/>
      <c r="G2653" s="31"/>
      <c r="H2653" s="32"/>
      <c r="J2653" s="33"/>
      <c r="K2653" s="33"/>
      <c r="L2653" s="33"/>
      <c r="X2653" s="23"/>
      <c r="Y2653" s="23"/>
      <c r="Z2653" s="23"/>
      <c r="AA2653" s="23"/>
      <c r="AF2653" s="23"/>
      <c r="AG2653" s="23"/>
      <c r="AH2653" s="23"/>
      <c r="AI2653" s="23"/>
      <c r="AN2653" s="23"/>
      <c r="AO2653" s="23"/>
      <c r="AP2653" s="23"/>
      <c r="AQ2653" s="23"/>
      <c r="AR2653" s="35"/>
      <c r="AS2653" s="35"/>
      <c r="AT2653" s="35"/>
      <c r="AU2653" s="31"/>
      <c r="AV2653" s="36"/>
    </row>
    <row r="2654" spans="4:48">
      <c r="D2654" s="31"/>
      <c r="E2654" s="31"/>
      <c r="F2654" s="31"/>
      <c r="G2654" s="31"/>
      <c r="H2654" s="32"/>
      <c r="J2654" s="33"/>
      <c r="K2654" s="33"/>
      <c r="L2654" s="33"/>
      <c r="X2654" s="23"/>
      <c r="Y2654" s="23"/>
      <c r="Z2654" s="23"/>
      <c r="AA2654" s="23"/>
      <c r="AF2654" s="23"/>
      <c r="AG2654" s="23"/>
      <c r="AH2654" s="23"/>
      <c r="AI2654" s="23"/>
      <c r="AN2654" s="23"/>
      <c r="AO2654" s="23"/>
      <c r="AP2654" s="23"/>
      <c r="AQ2654" s="23"/>
      <c r="AR2654" s="35"/>
      <c r="AS2654" s="35"/>
      <c r="AT2654" s="35"/>
      <c r="AU2654" s="31"/>
      <c r="AV2654" s="36"/>
    </row>
    <row r="2655" spans="4:48">
      <c r="D2655" s="31"/>
      <c r="E2655" s="31"/>
      <c r="F2655" s="31"/>
      <c r="G2655" s="31"/>
      <c r="H2655" s="32"/>
      <c r="J2655" s="33"/>
      <c r="K2655" s="33"/>
      <c r="L2655" s="33"/>
      <c r="X2655" s="23"/>
      <c r="Y2655" s="23"/>
      <c r="Z2655" s="23"/>
      <c r="AA2655" s="23"/>
      <c r="AF2655" s="23"/>
      <c r="AG2655" s="23"/>
      <c r="AH2655" s="23"/>
      <c r="AI2655" s="23"/>
      <c r="AN2655" s="23"/>
      <c r="AO2655" s="23"/>
      <c r="AP2655" s="23"/>
      <c r="AQ2655" s="23"/>
      <c r="AR2655" s="35"/>
      <c r="AS2655" s="35"/>
      <c r="AT2655" s="35"/>
      <c r="AU2655" s="31"/>
      <c r="AV2655" s="36"/>
    </row>
    <row r="2656" spans="4:48">
      <c r="D2656" s="31"/>
      <c r="E2656" s="31"/>
      <c r="F2656" s="31"/>
      <c r="G2656" s="31"/>
      <c r="H2656" s="32"/>
      <c r="J2656" s="33"/>
      <c r="K2656" s="33"/>
      <c r="L2656" s="33"/>
      <c r="X2656" s="23"/>
      <c r="Y2656" s="23"/>
      <c r="Z2656" s="23"/>
      <c r="AA2656" s="23"/>
      <c r="AF2656" s="23"/>
      <c r="AG2656" s="23"/>
      <c r="AH2656" s="23"/>
      <c r="AI2656" s="23"/>
      <c r="AN2656" s="23"/>
      <c r="AO2656" s="23"/>
      <c r="AP2656" s="23"/>
      <c r="AQ2656" s="23"/>
      <c r="AR2656" s="35"/>
      <c r="AS2656" s="35"/>
      <c r="AT2656" s="35"/>
      <c r="AU2656" s="31"/>
      <c r="AV2656" s="36"/>
    </row>
    <row r="2657" spans="4:48">
      <c r="D2657" s="31"/>
      <c r="E2657" s="31"/>
      <c r="F2657" s="31"/>
      <c r="G2657" s="31"/>
      <c r="H2657" s="32"/>
      <c r="J2657" s="33"/>
      <c r="K2657" s="33"/>
      <c r="L2657" s="33"/>
      <c r="X2657" s="23"/>
      <c r="Y2657" s="23"/>
      <c r="Z2657" s="23"/>
      <c r="AA2657" s="23"/>
      <c r="AF2657" s="23"/>
      <c r="AG2657" s="23"/>
      <c r="AH2657" s="23"/>
      <c r="AI2657" s="23"/>
      <c r="AN2657" s="23"/>
      <c r="AO2657" s="23"/>
      <c r="AP2657" s="23"/>
      <c r="AQ2657" s="23"/>
      <c r="AR2657" s="35"/>
      <c r="AS2657" s="35"/>
      <c r="AT2657" s="35"/>
      <c r="AU2657" s="31"/>
      <c r="AV2657" s="36"/>
    </row>
    <row r="2658" spans="4:48">
      <c r="D2658" s="31"/>
      <c r="E2658" s="31"/>
      <c r="F2658" s="31"/>
      <c r="G2658" s="31"/>
      <c r="H2658" s="32"/>
      <c r="J2658" s="33"/>
      <c r="K2658" s="33"/>
      <c r="L2658" s="33"/>
      <c r="X2658" s="23"/>
      <c r="Y2658" s="23"/>
      <c r="Z2658" s="23"/>
      <c r="AA2658" s="23"/>
      <c r="AF2658" s="23"/>
      <c r="AG2658" s="23"/>
      <c r="AH2658" s="23"/>
      <c r="AI2658" s="23"/>
      <c r="AN2658" s="23"/>
      <c r="AO2658" s="23"/>
      <c r="AP2658" s="23"/>
      <c r="AQ2658" s="23"/>
      <c r="AR2658" s="35"/>
      <c r="AS2658" s="35"/>
      <c r="AT2658" s="35"/>
      <c r="AU2658" s="31"/>
      <c r="AV2658" s="36"/>
    </row>
    <row r="2659" spans="4:48">
      <c r="D2659" s="31"/>
      <c r="E2659" s="31"/>
      <c r="F2659" s="31"/>
      <c r="G2659" s="31"/>
      <c r="H2659" s="32"/>
      <c r="J2659" s="33"/>
      <c r="K2659" s="33"/>
      <c r="L2659" s="33"/>
      <c r="X2659" s="23"/>
      <c r="Y2659" s="23"/>
      <c r="Z2659" s="23"/>
      <c r="AA2659" s="23"/>
      <c r="AF2659" s="23"/>
      <c r="AG2659" s="23"/>
      <c r="AH2659" s="23"/>
      <c r="AI2659" s="23"/>
      <c r="AN2659" s="23"/>
      <c r="AO2659" s="23"/>
      <c r="AP2659" s="23"/>
      <c r="AQ2659" s="23"/>
      <c r="AR2659" s="35"/>
      <c r="AS2659" s="35"/>
      <c r="AT2659" s="35"/>
      <c r="AU2659" s="31"/>
      <c r="AV2659" s="36"/>
    </row>
    <row r="2660" spans="4:48">
      <c r="D2660" s="31"/>
      <c r="E2660" s="31"/>
      <c r="F2660" s="31"/>
      <c r="G2660" s="31"/>
      <c r="H2660" s="32"/>
      <c r="J2660" s="33"/>
      <c r="K2660" s="33"/>
      <c r="L2660" s="33"/>
      <c r="X2660" s="23"/>
      <c r="Y2660" s="23"/>
      <c r="Z2660" s="23"/>
      <c r="AA2660" s="23"/>
      <c r="AF2660" s="23"/>
      <c r="AG2660" s="23"/>
      <c r="AH2660" s="23"/>
      <c r="AI2660" s="23"/>
      <c r="AN2660" s="23"/>
      <c r="AO2660" s="23"/>
      <c r="AP2660" s="23"/>
      <c r="AQ2660" s="23"/>
      <c r="AR2660" s="35"/>
      <c r="AS2660" s="35"/>
      <c r="AT2660" s="35"/>
      <c r="AU2660" s="31"/>
      <c r="AV2660" s="36"/>
    </row>
    <row r="2661" spans="4:48">
      <c r="D2661" s="31"/>
      <c r="E2661" s="31"/>
      <c r="F2661" s="31"/>
      <c r="G2661" s="31"/>
      <c r="H2661" s="32"/>
      <c r="J2661" s="33"/>
      <c r="K2661" s="33"/>
      <c r="L2661" s="33"/>
      <c r="X2661" s="23"/>
      <c r="Y2661" s="23"/>
      <c r="Z2661" s="23"/>
      <c r="AA2661" s="23"/>
      <c r="AF2661" s="23"/>
      <c r="AG2661" s="23"/>
      <c r="AH2661" s="23"/>
      <c r="AI2661" s="23"/>
      <c r="AN2661" s="23"/>
      <c r="AO2661" s="23"/>
      <c r="AP2661" s="23"/>
      <c r="AQ2661" s="23"/>
      <c r="AR2661" s="35"/>
      <c r="AS2661" s="35"/>
      <c r="AT2661" s="35"/>
      <c r="AU2661" s="31"/>
      <c r="AV2661" s="36"/>
    </row>
    <row r="2662" spans="4:48">
      <c r="D2662" s="31"/>
      <c r="E2662" s="31"/>
      <c r="F2662" s="31"/>
      <c r="G2662" s="31"/>
      <c r="H2662" s="32"/>
      <c r="J2662" s="33"/>
      <c r="K2662" s="33"/>
      <c r="L2662" s="33"/>
      <c r="X2662" s="23"/>
      <c r="Y2662" s="23"/>
      <c r="Z2662" s="23"/>
      <c r="AA2662" s="23"/>
      <c r="AF2662" s="23"/>
      <c r="AG2662" s="23"/>
      <c r="AH2662" s="23"/>
      <c r="AI2662" s="23"/>
      <c r="AN2662" s="23"/>
      <c r="AO2662" s="23"/>
      <c r="AP2662" s="23"/>
      <c r="AQ2662" s="23"/>
      <c r="AR2662" s="35"/>
      <c r="AS2662" s="35"/>
      <c r="AT2662" s="35"/>
      <c r="AU2662" s="31"/>
      <c r="AV2662" s="36"/>
    </row>
    <row r="2663" spans="4:48">
      <c r="D2663" s="31"/>
      <c r="E2663" s="31"/>
      <c r="F2663" s="31"/>
      <c r="G2663" s="31"/>
      <c r="H2663" s="32"/>
      <c r="J2663" s="33"/>
      <c r="K2663" s="33"/>
      <c r="L2663" s="33"/>
      <c r="X2663" s="23"/>
      <c r="Y2663" s="23"/>
      <c r="Z2663" s="23"/>
      <c r="AA2663" s="23"/>
      <c r="AF2663" s="23"/>
      <c r="AG2663" s="23"/>
      <c r="AH2663" s="23"/>
      <c r="AI2663" s="23"/>
      <c r="AN2663" s="23"/>
      <c r="AO2663" s="23"/>
      <c r="AP2663" s="23"/>
      <c r="AQ2663" s="23"/>
      <c r="AR2663" s="35"/>
      <c r="AS2663" s="35"/>
      <c r="AT2663" s="35"/>
      <c r="AU2663" s="31"/>
      <c r="AV2663" s="36"/>
    </row>
    <row r="2664" spans="4:48">
      <c r="D2664" s="31"/>
      <c r="E2664" s="31"/>
      <c r="F2664" s="31"/>
      <c r="G2664" s="31"/>
      <c r="H2664" s="32"/>
      <c r="J2664" s="33"/>
      <c r="K2664" s="33"/>
      <c r="L2664" s="33"/>
      <c r="X2664" s="23"/>
      <c r="Y2664" s="23"/>
      <c r="Z2664" s="23"/>
      <c r="AA2664" s="23"/>
      <c r="AF2664" s="23"/>
      <c r="AG2664" s="23"/>
      <c r="AH2664" s="23"/>
      <c r="AI2664" s="23"/>
      <c r="AN2664" s="23"/>
      <c r="AO2664" s="23"/>
      <c r="AP2664" s="23"/>
      <c r="AQ2664" s="23"/>
      <c r="AR2664" s="35"/>
      <c r="AS2664" s="35"/>
      <c r="AT2664" s="35"/>
      <c r="AU2664" s="31"/>
      <c r="AV2664" s="36"/>
    </row>
    <row r="2665" spans="4:48">
      <c r="D2665" s="31"/>
      <c r="E2665" s="31"/>
      <c r="F2665" s="31"/>
      <c r="G2665" s="31"/>
      <c r="H2665" s="32"/>
      <c r="J2665" s="33"/>
      <c r="K2665" s="33"/>
      <c r="L2665" s="33"/>
      <c r="X2665" s="23"/>
      <c r="Y2665" s="23"/>
      <c r="Z2665" s="23"/>
      <c r="AA2665" s="23"/>
      <c r="AF2665" s="23"/>
      <c r="AG2665" s="23"/>
      <c r="AH2665" s="23"/>
      <c r="AI2665" s="23"/>
      <c r="AN2665" s="23"/>
      <c r="AO2665" s="23"/>
      <c r="AP2665" s="23"/>
      <c r="AQ2665" s="23"/>
      <c r="AR2665" s="35"/>
      <c r="AS2665" s="35"/>
      <c r="AT2665" s="35"/>
      <c r="AU2665" s="31"/>
      <c r="AV2665" s="36"/>
    </row>
    <row r="2666" spans="4:48">
      <c r="D2666" s="31"/>
      <c r="E2666" s="31"/>
      <c r="F2666" s="31"/>
      <c r="G2666" s="31"/>
      <c r="H2666" s="32"/>
      <c r="J2666" s="33"/>
      <c r="K2666" s="33"/>
      <c r="L2666" s="33"/>
      <c r="X2666" s="23"/>
      <c r="Y2666" s="23"/>
      <c r="Z2666" s="23"/>
      <c r="AA2666" s="23"/>
      <c r="AF2666" s="23"/>
      <c r="AG2666" s="23"/>
      <c r="AH2666" s="23"/>
      <c r="AI2666" s="23"/>
      <c r="AN2666" s="23"/>
      <c r="AO2666" s="23"/>
      <c r="AP2666" s="23"/>
      <c r="AQ2666" s="23"/>
      <c r="AR2666" s="35"/>
      <c r="AS2666" s="35"/>
      <c r="AT2666" s="35"/>
      <c r="AU2666" s="31"/>
      <c r="AV2666" s="36"/>
    </row>
    <row r="2667" spans="4:48">
      <c r="D2667" s="31"/>
      <c r="E2667" s="31"/>
      <c r="F2667" s="31"/>
      <c r="G2667" s="31"/>
      <c r="H2667" s="32"/>
      <c r="J2667" s="33"/>
      <c r="K2667" s="33"/>
      <c r="L2667" s="33"/>
      <c r="X2667" s="23"/>
      <c r="Y2667" s="23"/>
      <c r="Z2667" s="23"/>
      <c r="AA2667" s="23"/>
      <c r="AF2667" s="23"/>
      <c r="AG2667" s="23"/>
      <c r="AH2667" s="23"/>
      <c r="AI2667" s="23"/>
      <c r="AN2667" s="23"/>
      <c r="AO2667" s="23"/>
      <c r="AP2667" s="23"/>
      <c r="AQ2667" s="23"/>
      <c r="AR2667" s="35"/>
      <c r="AS2667" s="35"/>
      <c r="AT2667" s="35"/>
      <c r="AU2667" s="31"/>
      <c r="AV2667" s="36"/>
    </row>
    <row r="2668" spans="4:48">
      <c r="D2668" s="31"/>
      <c r="E2668" s="31"/>
      <c r="F2668" s="31"/>
      <c r="G2668" s="31"/>
      <c r="H2668" s="32"/>
      <c r="J2668" s="33"/>
      <c r="K2668" s="33"/>
      <c r="L2668" s="33"/>
      <c r="X2668" s="23"/>
      <c r="Y2668" s="23"/>
      <c r="Z2668" s="23"/>
      <c r="AA2668" s="23"/>
      <c r="AF2668" s="23"/>
      <c r="AG2668" s="23"/>
      <c r="AH2668" s="23"/>
      <c r="AI2668" s="23"/>
      <c r="AN2668" s="23"/>
      <c r="AO2668" s="23"/>
      <c r="AP2668" s="23"/>
      <c r="AQ2668" s="23"/>
      <c r="AR2668" s="35"/>
      <c r="AS2668" s="35"/>
      <c r="AT2668" s="35"/>
      <c r="AU2668" s="31"/>
      <c r="AV2668" s="36"/>
    </row>
    <row r="2669" spans="4:48">
      <c r="D2669" s="31"/>
      <c r="E2669" s="31"/>
      <c r="F2669" s="31"/>
      <c r="G2669" s="31"/>
      <c r="H2669" s="32"/>
      <c r="J2669" s="33"/>
      <c r="K2669" s="33"/>
      <c r="L2669" s="33"/>
      <c r="X2669" s="23"/>
      <c r="Y2669" s="23"/>
      <c r="Z2669" s="23"/>
      <c r="AA2669" s="23"/>
      <c r="AF2669" s="23"/>
      <c r="AG2669" s="23"/>
      <c r="AH2669" s="23"/>
      <c r="AI2669" s="23"/>
      <c r="AN2669" s="23"/>
      <c r="AO2669" s="23"/>
      <c r="AP2669" s="23"/>
      <c r="AQ2669" s="23"/>
      <c r="AR2669" s="35"/>
      <c r="AS2669" s="35"/>
      <c r="AT2669" s="35"/>
      <c r="AU2669" s="31"/>
      <c r="AV2669" s="36"/>
    </row>
    <row r="2670" spans="4:48">
      <c r="D2670" s="31"/>
      <c r="E2670" s="31"/>
      <c r="F2670" s="31"/>
      <c r="G2670" s="31"/>
      <c r="H2670" s="32"/>
      <c r="J2670" s="33"/>
      <c r="K2670" s="33"/>
      <c r="L2670" s="33"/>
      <c r="X2670" s="23"/>
      <c r="Y2670" s="23"/>
      <c r="Z2670" s="23"/>
      <c r="AA2670" s="23"/>
      <c r="AF2670" s="23"/>
      <c r="AG2670" s="23"/>
      <c r="AH2670" s="23"/>
      <c r="AI2670" s="23"/>
      <c r="AN2670" s="23"/>
      <c r="AO2670" s="23"/>
      <c r="AP2670" s="23"/>
      <c r="AQ2670" s="23"/>
      <c r="AR2670" s="35"/>
      <c r="AS2670" s="35"/>
      <c r="AT2670" s="35"/>
      <c r="AU2670" s="31"/>
      <c r="AV2670" s="36"/>
    </row>
    <row r="2671" spans="4:48">
      <c r="D2671" s="31"/>
      <c r="E2671" s="31"/>
      <c r="F2671" s="31"/>
      <c r="G2671" s="31"/>
      <c r="H2671" s="32"/>
      <c r="J2671" s="33"/>
      <c r="K2671" s="33"/>
      <c r="L2671" s="33"/>
      <c r="X2671" s="23"/>
      <c r="Y2671" s="23"/>
      <c r="Z2671" s="23"/>
      <c r="AA2671" s="23"/>
      <c r="AF2671" s="23"/>
      <c r="AG2671" s="23"/>
      <c r="AH2671" s="23"/>
      <c r="AI2671" s="23"/>
      <c r="AN2671" s="23"/>
      <c r="AO2671" s="23"/>
      <c r="AP2671" s="23"/>
      <c r="AQ2671" s="23"/>
      <c r="AR2671" s="35"/>
      <c r="AS2671" s="35"/>
      <c r="AT2671" s="35"/>
      <c r="AU2671" s="31"/>
      <c r="AV2671" s="36"/>
    </row>
    <row r="2672" spans="4:48">
      <c r="D2672" s="31"/>
      <c r="E2672" s="31"/>
      <c r="F2672" s="31"/>
      <c r="G2672" s="31"/>
      <c r="H2672" s="32"/>
      <c r="J2672" s="33"/>
      <c r="K2672" s="33"/>
      <c r="L2672" s="33"/>
      <c r="X2672" s="23"/>
      <c r="Y2672" s="23"/>
      <c r="Z2672" s="23"/>
      <c r="AA2672" s="23"/>
      <c r="AF2672" s="23"/>
      <c r="AG2672" s="23"/>
      <c r="AH2672" s="23"/>
      <c r="AI2672" s="23"/>
      <c r="AN2672" s="23"/>
      <c r="AO2672" s="23"/>
      <c r="AP2672" s="23"/>
      <c r="AQ2672" s="23"/>
      <c r="AR2672" s="35"/>
      <c r="AS2672" s="35"/>
      <c r="AT2672" s="35"/>
      <c r="AU2672" s="31"/>
      <c r="AV2672" s="36"/>
    </row>
    <row r="2673" spans="4:48">
      <c r="D2673" s="31"/>
      <c r="E2673" s="31"/>
      <c r="F2673" s="31"/>
      <c r="G2673" s="31"/>
      <c r="H2673" s="32"/>
      <c r="J2673" s="33"/>
      <c r="K2673" s="33"/>
      <c r="L2673" s="33"/>
      <c r="X2673" s="23"/>
      <c r="Y2673" s="23"/>
      <c r="Z2673" s="23"/>
      <c r="AA2673" s="23"/>
      <c r="AF2673" s="23"/>
      <c r="AG2673" s="23"/>
      <c r="AH2673" s="23"/>
      <c r="AI2673" s="23"/>
      <c r="AN2673" s="23"/>
      <c r="AO2673" s="23"/>
      <c r="AP2673" s="23"/>
      <c r="AQ2673" s="23"/>
      <c r="AR2673" s="35"/>
      <c r="AS2673" s="35"/>
      <c r="AT2673" s="35"/>
      <c r="AU2673" s="31"/>
      <c r="AV2673" s="36"/>
    </row>
    <row r="2674" spans="4:48">
      <c r="D2674" s="31"/>
      <c r="E2674" s="31"/>
      <c r="F2674" s="31"/>
      <c r="G2674" s="31"/>
      <c r="H2674" s="32"/>
      <c r="J2674" s="33"/>
      <c r="K2674" s="33"/>
      <c r="L2674" s="33"/>
      <c r="X2674" s="23"/>
      <c r="Y2674" s="23"/>
      <c r="Z2674" s="23"/>
      <c r="AA2674" s="23"/>
      <c r="AF2674" s="23"/>
      <c r="AG2674" s="23"/>
      <c r="AH2674" s="23"/>
      <c r="AI2674" s="23"/>
      <c r="AN2674" s="23"/>
      <c r="AO2674" s="23"/>
      <c r="AP2674" s="23"/>
      <c r="AQ2674" s="23"/>
      <c r="AR2674" s="35"/>
      <c r="AS2674" s="35"/>
      <c r="AT2674" s="35"/>
      <c r="AU2674" s="31"/>
      <c r="AV2674" s="36"/>
    </row>
    <row r="2675" spans="4:48">
      <c r="D2675" s="31"/>
      <c r="E2675" s="31"/>
      <c r="F2675" s="31"/>
      <c r="G2675" s="31"/>
      <c r="H2675" s="32"/>
      <c r="J2675" s="33"/>
      <c r="K2675" s="33"/>
      <c r="L2675" s="33"/>
      <c r="X2675" s="23"/>
      <c r="Y2675" s="23"/>
      <c r="Z2675" s="23"/>
      <c r="AA2675" s="23"/>
      <c r="AF2675" s="23"/>
      <c r="AG2675" s="23"/>
      <c r="AH2675" s="23"/>
      <c r="AI2675" s="23"/>
      <c r="AN2675" s="23"/>
      <c r="AO2675" s="23"/>
      <c r="AP2675" s="23"/>
      <c r="AQ2675" s="23"/>
      <c r="AR2675" s="35"/>
      <c r="AS2675" s="35"/>
      <c r="AT2675" s="35"/>
      <c r="AU2675" s="31"/>
      <c r="AV2675" s="36"/>
    </row>
    <row r="2676" spans="4:48">
      <c r="D2676" s="31"/>
      <c r="E2676" s="31"/>
      <c r="F2676" s="31"/>
      <c r="G2676" s="31"/>
      <c r="H2676" s="32"/>
      <c r="J2676" s="33"/>
      <c r="K2676" s="33"/>
      <c r="L2676" s="33"/>
      <c r="X2676" s="23"/>
      <c r="Y2676" s="23"/>
      <c r="Z2676" s="23"/>
      <c r="AA2676" s="23"/>
      <c r="AF2676" s="23"/>
      <c r="AG2676" s="23"/>
      <c r="AH2676" s="23"/>
      <c r="AI2676" s="23"/>
      <c r="AN2676" s="23"/>
      <c r="AO2676" s="23"/>
      <c r="AP2676" s="23"/>
      <c r="AQ2676" s="23"/>
      <c r="AR2676" s="35"/>
      <c r="AS2676" s="35"/>
      <c r="AT2676" s="35"/>
      <c r="AU2676" s="31"/>
      <c r="AV2676" s="36"/>
    </row>
    <row r="2677" spans="4:48">
      <c r="D2677" s="31"/>
      <c r="E2677" s="31"/>
      <c r="F2677" s="31"/>
      <c r="G2677" s="31"/>
      <c r="H2677" s="32"/>
      <c r="J2677" s="33"/>
      <c r="K2677" s="33"/>
      <c r="L2677" s="33"/>
      <c r="X2677" s="23"/>
      <c r="Y2677" s="23"/>
      <c r="Z2677" s="23"/>
      <c r="AA2677" s="23"/>
      <c r="AF2677" s="23"/>
      <c r="AG2677" s="23"/>
      <c r="AH2677" s="23"/>
      <c r="AI2677" s="23"/>
      <c r="AN2677" s="23"/>
      <c r="AO2677" s="23"/>
      <c r="AP2677" s="23"/>
      <c r="AQ2677" s="23"/>
      <c r="AR2677" s="35"/>
      <c r="AS2677" s="35"/>
      <c r="AT2677" s="35"/>
      <c r="AU2677" s="31"/>
      <c r="AV2677" s="36"/>
    </row>
    <row r="2678" spans="4:48">
      <c r="D2678" s="31"/>
      <c r="E2678" s="31"/>
      <c r="F2678" s="31"/>
      <c r="G2678" s="31"/>
      <c r="H2678" s="32"/>
      <c r="J2678" s="33"/>
      <c r="K2678" s="33"/>
      <c r="L2678" s="33"/>
      <c r="X2678" s="23"/>
      <c r="Y2678" s="23"/>
      <c r="Z2678" s="23"/>
      <c r="AA2678" s="23"/>
      <c r="AF2678" s="23"/>
      <c r="AG2678" s="23"/>
      <c r="AH2678" s="23"/>
      <c r="AI2678" s="23"/>
      <c r="AN2678" s="23"/>
      <c r="AO2678" s="23"/>
      <c r="AP2678" s="23"/>
      <c r="AQ2678" s="23"/>
      <c r="AR2678" s="35"/>
      <c r="AS2678" s="35"/>
      <c r="AT2678" s="35"/>
      <c r="AU2678" s="31"/>
      <c r="AV2678" s="36"/>
    </row>
    <row r="2679" spans="4:48">
      <c r="D2679" s="31"/>
      <c r="E2679" s="31"/>
      <c r="F2679" s="31"/>
      <c r="G2679" s="31"/>
      <c r="H2679" s="32"/>
      <c r="J2679" s="33"/>
      <c r="K2679" s="33"/>
      <c r="L2679" s="33"/>
      <c r="X2679" s="23"/>
      <c r="Y2679" s="23"/>
      <c r="Z2679" s="23"/>
      <c r="AA2679" s="23"/>
      <c r="AF2679" s="23"/>
      <c r="AG2679" s="23"/>
      <c r="AH2679" s="23"/>
      <c r="AI2679" s="23"/>
      <c r="AN2679" s="23"/>
      <c r="AO2679" s="23"/>
      <c r="AP2679" s="23"/>
      <c r="AQ2679" s="23"/>
      <c r="AR2679" s="35"/>
      <c r="AS2679" s="35"/>
      <c r="AT2679" s="35"/>
      <c r="AU2679" s="31"/>
      <c r="AV2679" s="36"/>
    </row>
    <row r="2680" spans="4:48">
      <c r="D2680" s="31"/>
      <c r="E2680" s="31"/>
      <c r="F2680" s="31"/>
      <c r="G2680" s="31"/>
      <c r="H2680" s="32"/>
      <c r="J2680" s="33"/>
      <c r="K2680" s="33"/>
      <c r="L2680" s="33"/>
      <c r="X2680" s="23"/>
      <c r="Y2680" s="23"/>
      <c r="Z2680" s="23"/>
      <c r="AA2680" s="23"/>
      <c r="AF2680" s="23"/>
      <c r="AG2680" s="23"/>
      <c r="AH2680" s="23"/>
      <c r="AI2680" s="23"/>
      <c r="AN2680" s="23"/>
      <c r="AO2680" s="23"/>
      <c r="AP2680" s="23"/>
      <c r="AQ2680" s="23"/>
      <c r="AR2680" s="35"/>
      <c r="AS2680" s="35"/>
      <c r="AT2680" s="35"/>
      <c r="AU2680" s="31"/>
      <c r="AV2680" s="36"/>
    </row>
    <row r="2681" spans="4:48">
      <c r="D2681" s="31"/>
      <c r="E2681" s="31"/>
      <c r="F2681" s="31"/>
      <c r="G2681" s="31"/>
      <c r="H2681" s="32"/>
      <c r="J2681" s="33"/>
      <c r="K2681" s="33"/>
      <c r="L2681" s="33"/>
      <c r="X2681" s="23"/>
      <c r="Y2681" s="23"/>
      <c r="Z2681" s="23"/>
      <c r="AA2681" s="23"/>
      <c r="AF2681" s="23"/>
      <c r="AG2681" s="23"/>
      <c r="AH2681" s="23"/>
      <c r="AI2681" s="23"/>
      <c r="AN2681" s="23"/>
      <c r="AO2681" s="23"/>
      <c r="AP2681" s="23"/>
      <c r="AQ2681" s="23"/>
      <c r="AR2681" s="35"/>
      <c r="AS2681" s="35"/>
      <c r="AT2681" s="35"/>
      <c r="AU2681" s="31"/>
      <c r="AV2681" s="36"/>
    </row>
    <row r="2682" spans="4:48">
      <c r="D2682" s="31"/>
      <c r="E2682" s="31"/>
      <c r="F2682" s="31"/>
      <c r="G2682" s="31"/>
      <c r="H2682" s="32"/>
      <c r="J2682" s="33"/>
      <c r="K2682" s="33"/>
      <c r="L2682" s="33"/>
      <c r="X2682" s="23"/>
      <c r="Y2682" s="23"/>
      <c r="Z2682" s="23"/>
      <c r="AA2682" s="23"/>
      <c r="AF2682" s="23"/>
      <c r="AG2682" s="23"/>
      <c r="AH2682" s="23"/>
      <c r="AI2682" s="23"/>
      <c r="AN2682" s="23"/>
      <c r="AO2682" s="23"/>
      <c r="AP2682" s="23"/>
      <c r="AQ2682" s="23"/>
      <c r="AR2682" s="35"/>
      <c r="AS2682" s="35"/>
      <c r="AT2682" s="35"/>
      <c r="AU2682" s="31"/>
      <c r="AV2682" s="36"/>
    </row>
    <row r="2683" spans="4:48">
      <c r="D2683" s="31"/>
      <c r="E2683" s="31"/>
      <c r="F2683" s="31"/>
      <c r="G2683" s="31"/>
      <c r="H2683" s="32"/>
      <c r="J2683" s="33"/>
      <c r="K2683" s="33"/>
      <c r="L2683" s="33"/>
      <c r="X2683" s="23"/>
      <c r="Y2683" s="23"/>
      <c r="Z2683" s="23"/>
      <c r="AA2683" s="23"/>
      <c r="AF2683" s="23"/>
      <c r="AG2683" s="23"/>
      <c r="AH2683" s="23"/>
      <c r="AI2683" s="23"/>
      <c r="AN2683" s="23"/>
      <c r="AO2683" s="23"/>
      <c r="AP2683" s="23"/>
      <c r="AQ2683" s="23"/>
      <c r="AR2683" s="35"/>
      <c r="AS2683" s="35"/>
      <c r="AT2683" s="35"/>
      <c r="AU2683" s="31"/>
      <c r="AV2683" s="36"/>
    </row>
    <row r="2684" spans="4:48">
      <c r="D2684" s="31"/>
      <c r="E2684" s="31"/>
      <c r="F2684" s="31"/>
      <c r="G2684" s="31"/>
      <c r="H2684" s="32"/>
      <c r="J2684" s="33"/>
      <c r="K2684" s="33"/>
      <c r="L2684" s="33"/>
      <c r="X2684" s="23"/>
      <c r="Y2684" s="23"/>
      <c r="Z2684" s="23"/>
      <c r="AA2684" s="23"/>
      <c r="AF2684" s="23"/>
      <c r="AG2684" s="23"/>
      <c r="AH2684" s="23"/>
      <c r="AI2684" s="23"/>
      <c r="AN2684" s="23"/>
      <c r="AO2684" s="23"/>
      <c r="AP2684" s="23"/>
      <c r="AQ2684" s="23"/>
      <c r="AR2684" s="35"/>
      <c r="AS2684" s="35"/>
      <c r="AT2684" s="35"/>
      <c r="AU2684" s="31"/>
      <c r="AV2684" s="36"/>
    </row>
    <row r="2685" spans="4:48">
      <c r="D2685" s="31"/>
      <c r="E2685" s="31"/>
      <c r="F2685" s="31"/>
      <c r="G2685" s="31"/>
      <c r="H2685" s="32"/>
      <c r="J2685" s="33"/>
      <c r="K2685" s="33"/>
      <c r="L2685" s="33"/>
      <c r="X2685" s="23"/>
      <c r="Y2685" s="23"/>
      <c r="Z2685" s="23"/>
      <c r="AA2685" s="23"/>
      <c r="AF2685" s="23"/>
      <c r="AG2685" s="23"/>
      <c r="AH2685" s="23"/>
      <c r="AI2685" s="23"/>
      <c r="AN2685" s="23"/>
      <c r="AO2685" s="23"/>
      <c r="AP2685" s="23"/>
      <c r="AQ2685" s="23"/>
      <c r="AR2685" s="35"/>
      <c r="AS2685" s="35"/>
      <c r="AT2685" s="35"/>
      <c r="AU2685" s="31"/>
      <c r="AV2685" s="36"/>
    </row>
    <row r="2686" spans="4:48">
      <c r="D2686" s="31"/>
      <c r="E2686" s="31"/>
      <c r="F2686" s="31"/>
      <c r="G2686" s="31"/>
      <c r="H2686" s="32"/>
      <c r="J2686" s="33"/>
      <c r="K2686" s="33"/>
      <c r="L2686" s="33"/>
      <c r="X2686" s="23"/>
      <c r="Y2686" s="23"/>
      <c r="Z2686" s="23"/>
      <c r="AA2686" s="23"/>
      <c r="AF2686" s="23"/>
      <c r="AG2686" s="23"/>
      <c r="AH2686" s="23"/>
      <c r="AI2686" s="23"/>
      <c r="AN2686" s="23"/>
      <c r="AO2686" s="23"/>
      <c r="AP2686" s="23"/>
      <c r="AQ2686" s="23"/>
      <c r="AR2686" s="35"/>
      <c r="AS2686" s="35"/>
      <c r="AT2686" s="35"/>
      <c r="AU2686" s="31"/>
      <c r="AV2686" s="36"/>
    </row>
    <row r="2687" spans="4:48">
      <c r="D2687" s="31"/>
      <c r="E2687" s="31"/>
      <c r="F2687" s="31"/>
      <c r="G2687" s="31"/>
      <c r="H2687" s="32"/>
      <c r="J2687" s="33"/>
      <c r="K2687" s="33"/>
      <c r="L2687" s="33"/>
      <c r="X2687" s="23"/>
      <c r="Y2687" s="23"/>
      <c r="Z2687" s="23"/>
      <c r="AA2687" s="23"/>
      <c r="AF2687" s="23"/>
      <c r="AG2687" s="23"/>
      <c r="AH2687" s="23"/>
      <c r="AI2687" s="23"/>
      <c r="AN2687" s="23"/>
      <c r="AO2687" s="23"/>
      <c r="AP2687" s="23"/>
      <c r="AQ2687" s="23"/>
      <c r="AR2687" s="35"/>
      <c r="AS2687" s="35"/>
      <c r="AT2687" s="35"/>
      <c r="AU2687" s="31"/>
      <c r="AV2687" s="36"/>
    </row>
    <row r="2688" spans="4:48">
      <c r="D2688" s="31"/>
      <c r="E2688" s="31"/>
      <c r="F2688" s="31"/>
      <c r="G2688" s="31"/>
      <c r="H2688" s="32"/>
      <c r="J2688" s="33"/>
      <c r="K2688" s="33"/>
      <c r="L2688" s="33"/>
      <c r="X2688" s="23"/>
      <c r="Y2688" s="23"/>
      <c r="Z2688" s="23"/>
      <c r="AA2688" s="23"/>
      <c r="AF2688" s="23"/>
      <c r="AG2688" s="23"/>
      <c r="AH2688" s="23"/>
      <c r="AI2688" s="23"/>
      <c r="AN2688" s="23"/>
      <c r="AO2688" s="23"/>
      <c r="AP2688" s="23"/>
      <c r="AQ2688" s="23"/>
      <c r="AR2688" s="35"/>
      <c r="AS2688" s="35"/>
      <c r="AT2688" s="35"/>
      <c r="AU2688" s="31"/>
      <c r="AV2688" s="36"/>
    </row>
    <row r="2689" spans="4:48">
      <c r="D2689" s="31"/>
      <c r="E2689" s="31"/>
      <c r="F2689" s="31"/>
      <c r="G2689" s="31"/>
      <c r="H2689" s="32"/>
      <c r="J2689" s="33"/>
      <c r="K2689" s="33"/>
      <c r="L2689" s="33"/>
      <c r="X2689" s="23"/>
      <c r="Y2689" s="23"/>
      <c r="Z2689" s="23"/>
      <c r="AA2689" s="23"/>
      <c r="AF2689" s="23"/>
      <c r="AG2689" s="23"/>
      <c r="AH2689" s="23"/>
      <c r="AI2689" s="23"/>
      <c r="AN2689" s="23"/>
      <c r="AO2689" s="23"/>
      <c r="AP2689" s="23"/>
      <c r="AQ2689" s="23"/>
      <c r="AR2689" s="35"/>
      <c r="AS2689" s="35"/>
      <c r="AT2689" s="35"/>
      <c r="AU2689" s="31"/>
      <c r="AV2689" s="36"/>
    </row>
    <row r="2690" spans="4:48">
      <c r="D2690" s="31"/>
      <c r="E2690" s="31"/>
      <c r="F2690" s="31"/>
      <c r="G2690" s="31"/>
      <c r="H2690" s="32"/>
      <c r="J2690" s="33"/>
      <c r="K2690" s="33"/>
      <c r="L2690" s="33"/>
      <c r="X2690" s="23"/>
      <c r="Y2690" s="23"/>
      <c r="Z2690" s="23"/>
      <c r="AA2690" s="23"/>
      <c r="AF2690" s="23"/>
      <c r="AG2690" s="23"/>
      <c r="AH2690" s="23"/>
      <c r="AI2690" s="23"/>
      <c r="AN2690" s="23"/>
      <c r="AO2690" s="23"/>
      <c r="AP2690" s="23"/>
      <c r="AQ2690" s="23"/>
      <c r="AR2690" s="35"/>
      <c r="AS2690" s="35"/>
      <c r="AT2690" s="35"/>
      <c r="AU2690" s="31"/>
      <c r="AV2690" s="36"/>
    </row>
    <row r="2691" spans="4:48">
      <c r="D2691" s="31"/>
      <c r="E2691" s="31"/>
      <c r="F2691" s="31"/>
      <c r="G2691" s="31"/>
      <c r="H2691" s="32"/>
      <c r="J2691" s="33"/>
      <c r="K2691" s="33"/>
      <c r="L2691" s="33"/>
      <c r="X2691" s="23"/>
      <c r="Y2691" s="23"/>
      <c r="Z2691" s="23"/>
      <c r="AA2691" s="23"/>
      <c r="AF2691" s="23"/>
      <c r="AG2691" s="23"/>
      <c r="AH2691" s="23"/>
      <c r="AI2691" s="23"/>
      <c r="AN2691" s="23"/>
      <c r="AO2691" s="23"/>
      <c r="AP2691" s="23"/>
      <c r="AQ2691" s="23"/>
      <c r="AR2691" s="35"/>
      <c r="AS2691" s="35"/>
      <c r="AT2691" s="35"/>
      <c r="AU2691" s="31"/>
      <c r="AV2691" s="36"/>
    </row>
    <row r="2692" spans="4:48">
      <c r="D2692" s="31"/>
      <c r="E2692" s="31"/>
      <c r="F2692" s="31"/>
      <c r="G2692" s="31"/>
      <c r="H2692" s="32"/>
      <c r="J2692" s="33"/>
      <c r="K2692" s="33"/>
      <c r="L2692" s="33"/>
      <c r="X2692" s="23"/>
      <c r="Y2692" s="23"/>
      <c r="Z2692" s="23"/>
      <c r="AA2692" s="23"/>
      <c r="AF2692" s="23"/>
      <c r="AG2692" s="23"/>
      <c r="AH2692" s="23"/>
      <c r="AI2692" s="23"/>
      <c r="AN2692" s="23"/>
      <c r="AO2692" s="23"/>
      <c r="AP2692" s="23"/>
      <c r="AQ2692" s="23"/>
      <c r="AR2692" s="35"/>
      <c r="AS2692" s="35"/>
      <c r="AT2692" s="35"/>
      <c r="AU2692" s="31"/>
      <c r="AV2692" s="36"/>
    </row>
    <row r="2693" spans="4:48">
      <c r="D2693" s="31"/>
      <c r="E2693" s="31"/>
      <c r="F2693" s="31"/>
      <c r="G2693" s="31"/>
      <c r="H2693" s="32"/>
      <c r="J2693" s="33"/>
      <c r="K2693" s="33"/>
      <c r="L2693" s="33"/>
      <c r="X2693" s="23"/>
      <c r="Y2693" s="23"/>
      <c r="Z2693" s="23"/>
      <c r="AA2693" s="23"/>
      <c r="AF2693" s="23"/>
      <c r="AG2693" s="23"/>
      <c r="AH2693" s="23"/>
      <c r="AI2693" s="23"/>
      <c r="AN2693" s="23"/>
      <c r="AO2693" s="23"/>
      <c r="AP2693" s="23"/>
      <c r="AQ2693" s="23"/>
      <c r="AR2693" s="35"/>
      <c r="AS2693" s="35"/>
      <c r="AT2693" s="35"/>
      <c r="AU2693" s="31"/>
      <c r="AV2693" s="36"/>
    </row>
    <row r="2694" spans="4:48">
      <c r="D2694" s="31"/>
      <c r="E2694" s="31"/>
      <c r="F2694" s="31"/>
      <c r="G2694" s="31"/>
      <c r="H2694" s="32"/>
      <c r="J2694" s="33"/>
      <c r="K2694" s="33"/>
      <c r="L2694" s="33"/>
      <c r="X2694" s="23"/>
      <c r="Y2694" s="23"/>
      <c r="Z2694" s="23"/>
      <c r="AA2694" s="23"/>
      <c r="AF2694" s="23"/>
      <c r="AG2694" s="23"/>
      <c r="AH2694" s="23"/>
      <c r="AI2694" s="23"/>
      <c r="AN2694" s="23"/>
      <c r="AO2694" s="23"/>
      <c r="AP2694" s="23"/>
      <c r="AQ2694" s="23"/>
      <c r="AR2694" s="35"/>
      <c r="AS2694" s="35"/>
      <c r="AT2694" s="35"/>
      <c r="AU2694" s="31"/>
      <c r="AV2694" s="36"/>
    </row>
    <row r="2695" spans="4:48">
      <c r="D2695" s="31"/>
      <c r="E2695" s="31"/>
      <c r="F2695" s="31"/>
      <c r="G2695" s="31"/>
      <c r="H2695" s="32"/>
      <c r="J2695" s="33"/>
      <c r="K2695" s="33"/>
      <c r="L2695" s="33"/>
      <c r="X2695" s="23"/>
      <c r="Y2695" s="23"/>
      <c r="Z2695" s="23"/>
      <c r="AA2695" s="23"/>
      <c r="AF2695" s="23"/>
      <c r="AG2695" s="23"/>
      <c r="AH2695" s="23"/>
      <c r="AI2695" s="23"/>
      <c r="AN2695" s="23"/>
      <c r="AO2695" s="23"/>
      <c r="AP2695" s="23"/>
      <c r="AQ2695" s="23"/>
      <c r="AR2695" s="35"/>
      <c r="AS2695" s="35"/>
      <c r="AT2695" s="35"/>
      <c r="AU2695" s="31"/>
      <c r="AV2695" s="36"/>
    </row>
    <row r="2696" spans="4:48">
      <c r="D2696" s="31"/>
      <c r="E2696" s="31"/>
      <c r="F2696" s="31"/>
      <c r="G2696" s="31"/>
      <c r="H2696" s="32"/>
      <c r="J2696" s="33"/>
      <c r="K2696" s="33"/>
      <c r="L2696" s="33"/>
      <c r="X2696" s="23"/>
      <c r="Y2696" s="23"/>
      <c r="Z2696" s="23"/>
      <c r="AA2696" s="23"/>
      <c r="AF2696" s="23"/>
      <c r="AG2696" s="23"/>
      <c r="AH2696" s="23"/>
      <c r="AI2696" s="23"/>
      <c r="AN2696" s="23"/>
      <c r="AO2696" s="23"/>
      <c r="AP2696" s="23"/>
      <c r="AQ2696" s="23"/>
      <c r="AR2696" s="35"/>
      <c r="AS2696" s="35"/>
      <c r="AT2696" s="35"/>
      <c r="AU2696" s="31"/>
      <c r="AV2696" s="36"/>
    </row>
    <row r="2697" spans="4:48">
      <c r="D2697" s="31"/>
      <c r="E2697" s="31"/>
      <c r="F2697" s="31"/>
      <c r="G2697" s="31"/>
      <c r="H2697" s="32"/>
      <c r="J2697" s="33"/>
      <c r="K2697" s="33"/>
      <c r="L2697" s="33"/>
      <c r="X2697" s="23"/>
      <c r="Y2697" s="23"/>
      <c r="Z2697" s="23"/>
      <c r="AA2697" s="23"/>
      <c r="AF2697" s="23"/>
      <c r="AG2697" s="23"/>
      <c r="AH2697" s="23"/>
      <c r="AI2697" s="23"/>
      <c r="AN2697" s="23"/>
      <c r="AO2697" s="23"/>
      <c r="AP2697" s="23"/>
      <c r="AQ2697" s="23"/>
      <c r="AR2697" s="35"/>
      <c r="AS2697" s="35"/>
      <c r="AT2697" s="35"/>
      <c r="AU2697" s="31"/>
      <c r="AV2697" s="36"/>
    </row>
    <row r="2698" spans="4:48">
      <c r="D2698" s="31"/>
      <c r="E2698" s="31"/>
      <c r="F2698" s="31"/>
      <c r="G2698" s="31"/>
      <c r="H2698" s="32"/>
      <c r="J2698" s="33"/>
      <c r="K2698" s="33"/>
      <c r="L2698" s="33"/>
      <c r="X2698" s="23"/>
      <c r="Y2698" s="23"/>
      <c r="Z2698" s="23"/>
      <c r="AA2698" s="23"/>
      <c r="AF2698" s="23"/>
      <c r="AG2698" s="23"/>
      <c r="AH2698" s="23"/>
      <c r="AI2698" s="23"/>
      <c r="AN2698" s="23"/>
      <c r="AO2698" s="23"/>
      <c r="AP2698" s="23"/>
      <c r="AQ2698" s="23"/>
      <c r="AR2698" s="35"/>
      <c r="AS2698" s="35"/>
      <c r="AT2698" s="35"/>
      <c r="AU2698" s="31"/>
      <c r="AV2698" s="36"/>
    </row>
    <row r="2699" spans="4:48">
      <c r="D2699" s="31"/>
      <c r="E2699" s="31"/>
      <c r="F2699" s="31"/>
      <c r="G2699" s="31"/>
      <c r="H2699" s="32"/>
      <c r="J2699" s="33"/>
      <c r="K2699" s="33"/>
      <c r="L2699" s="33"/>
      <c r="X2699" s="23"/>
      <c r="Y2699" s="23"/>
      <c r="Z2699" s="23"/>
      <c r="AA2699" s="23"/>
      <c r="AF2699" s="23"/>
      <c r="AG2699" s="23"/>
      <c r="AH2699" s="23"/>
      <c r="AI2699" s="23"/>
      <c r="AN2699" s="23"/>
      <c r="AO2699" s="23"/>
      <c r="AP2699" s="23"/>
      <c r="AQ2699" s="23"/>
      <c r="AR2699" s="35"/>
      <c r="AS2699" s="35"/>
      <c r="AT2699" s="35"/>
      <c r="AU2699" s="31"/>
      <c r="AV2699" s="36"/>
    </row>
    <row r="2700" spans="4:48">
      <c r="D2700" s="31"/>
      <c r="E2700" s="31"/>
      <c r="F2700" s="31"/>
      <c r="G2700" s="31"/>
      <c r="H2700" s="32"/>
      <c r="J2700" s="33"/>
      <c r="K2700" s="33"/>
      <c r="L2700" s="33"/>
      <c r="X2700" s="23"/>
      <c r="Y2700" s="23"/>
      <c r="Z2700" s="23"/>
      <c r="AA2700" s="23"/>
      <c r="AF2700" s="23"/>
      <c r="AG2700" s="23"/>
      <c r="AH2700" s="23"/>
      <c r="AI2700" s="23"/>
      <c r="AN2700" s="23"/>
      <c r="AO2700" s="23"/>
      <c r="AP2700" s="23"/>
      <c r="AQ2700" s="23"/>
      <c r="AR2700" s="35"/>
      <c r="AS2700" s="35"/>
      <c r="AT2700" s="35"/>
      <c r="AU2700" s="31"/>
      <c r="AV2700" s="36"/>
    </row>
    <row r="2701" spans="4:48">
      <c r="D2701" s="31"/>
      <c r="E2701" s="31"/>
      <c r="F2701" s="31"/>
      <c r="G2701" s="31"/>
      <c r="H2701" s="32"/>
      <c r="J2701" s="33"/>
      <c r="K2701" s="33"/>
      <c r="L2701" s="33"/>
      <c r="X2701" s="23"/>
      <c r="Y2701" s="23"/>
      <c r="Z2701" s="23"/>
      <c r="AA2701" s="23"/>
      <c r="AF2701" s="23"/>
      <c r="AG2701" s="23"/>
      <c r="AH2701" s="23"/>
      <c r="AI2701" s="23"/>
      <c r="AN2701" s="23"/>
      <c r="AO2701" s="23"/>
      <c r="AP2701" s="23"/>
      <c r="AQ2701" s="23"/>
      <c r="AR2701" s="35"/>
      <c r="AS2701" s="35"/>
      <c r="AT2701" s="35"/>
      <c r="AU2701" s="31"/>
      <c r="AV2701" s="36"/>
    </row>
    <row r="2702" spans="4:48">
      <c r="D2702" s="31"/>
      <c r="E2702" s="31"/>
      <c r="F2702" s="31"/>
      <c r="G2702" s="31"/>
      <c r="H2702" s="32"/>
      <c r="J2702" s="33"/>
      <c r="K2702" s="33"/>
      <c r="L2702" s="33"/>
      <c r="X2702" s="23"/>
      <c r="Y2702" s="23"/>
      <c r="Z2702" s="23"/>
      <c r="AA2702" s="23"/>
      <c r="AF2702" s="23"/>
      <c r="AG2702" s="23"/>
      <c r="AH2702" s="23"/>
      <c r="AI2702" s="23"/>
      <c r="AN2702" s="23"/>
      <c r="AO2702" s="23"/>
      <c r="AP2702" s="23"/>
      <c r="AQ2702" s="23"/>
      <c r="AR2702" s="35"/>
      <c r="AS2702" s="35"/>
      <c r="AT2702" s="35"/>
      <c r="AU2702" s="31"/>
      <c r="AV2702" s="36"/>
    </row>
    <row r="2703" spans="4:48">
      <c r="D2703" s="31"/>
      <c r="E2703" s="31"/>
      <c r="F2703" s="31"/>
      <c r="G2703" s="31"/>
      <c r="H2703" s="32"/>
      <c r="J2703" s="33"/>
      <c r="K2703" s="33"/>
      <c r="L2703" s="33"/>
      <c r="X2703" s="23"/>
      <c r="Y2703" s="23"/>
      <c r="Z2703" s="23"/>
      <c r="AA2703" s="23"/>
      <c r="AF2703" s="23"/>
      <c r="AG2703" s="23"/>
      <c r="AH2703" s="23"/>
      <c r="AI2703" s="23"/>
      <c r="AN2703" s="23"/>
      <c r="AO2703" s="23"/>
      <c r="AP2703" s="23"/>
      <c r="AQ2703" s="23"/>
      <c r="AR2703" s="35"/>
      <c r="AS2703" s="35"/>
      <c r="AT2703" s="35"/>
      <c r="AU2703" s="31"/>
      <c r="AV2703" s="36"/>
    </row>
    <row r="2704" spans="4:48">
      <c r="D2704" s="31"/>
      <c r="E2704" s="31"/>
      <c r="F2704" s="31"/>
      <c r="G2704" s="31"/>
      <c r="H2704" s="32"/>
      <c r="J2704" s="33"/>
      <c r="K2704" s="33"/>
      <c r="L2704" s="33"/>
      <c r="X2704" s="23"/>
      <c r="Y2704" s="23"/>
      <c r="Z2704" s="23"/>
      <c r="AA2704" s="23"/>
      <c r="AF2704" s="23"/>
      <c r="AG2704" s="23"/>
      <c r="AH2704" s="23"/>
      <c r="AI2704" s="23"/>
      <c r="AN2704" s="23"/>
      <c r="AO2704" s="23"/>
      <c r="AP2704" s="23"/>
      <c r="AQ2704" s="23"/>
      <c r="AR2704" s="35"/>
      <c r="AS2704" s="35"/>
      <c r="AT2704" s="35"/>
      <c r="AU2704" s="31"/>
      <c r="AV2704" s="36"/>
    </row>
    <row r="2705" spans="4:48">
      <c r="D2705" s="31"/>
      <c r="E2705" s="31"/>
      <c r="F2705" s="31"/>
      <c r="G2705" s="31"/>
      <c r="H2705" s="32"/>
      <c r="J2705" s="33"/>
      <c r="K2705" s="33"/>
      <c r="L2705" s="33"/>
      <c r="X2705" s="23"/>
      <c r="Y2705" s="23"/>
      <c r="Z2705" s="23"/>
      <c r="AA2705" s="23"/>
      <c r="AF2705" s="23"/>
      <c r="AG2705" s="23"/>
      <c r="AH2705" s="23"/>
      <c r="AI2705" s="23"/>
      <c r="AN2705" s="23"/>
      <c r="AO2705" s="23"/>
      <c r="AP2705" s="23"/>
      <c r="AQ2705" s="23"/>
      <c r="AR2705" s="35"/>
      <c r="AS2705" s="35"/>
      <c r="AT2705" s="35"/>
      <c r="AU2705" s="31"/>
      <c r="AV2705" s="36"/>
    </row>
    <row r="2706" spans="4:48">
      <c r="D2706" s="31"/>
      <c r="E2706" s="31"/>
      <c r="F2706" s="31"/>
      <c r="G2706" s="31"/>
      <c r="H2706" s="32"/>
      <c r="J2706" s="33"/>
      <c r="K2706" s="33"/>
      <c r="L2706" s="33"/>
      <c r="X2706" s="23"/>
      <c r="Y2706" s="23"/>
      <c r="Z2706" s="23"/>
      <c r="AA2706" s="23"/>
      <c r="AF2706" s="23"/>
      <c r="AG2706" s="23"/>
      <c r="AH2706" s="23"/>
      <c r="AI2706" s="23"/>
      <c r="AN2706" s="23"/>
      <c r="AO2706" s="23"/>
      <c r="AP2706" s="23"/>
      <c r="AQ2706" s="23"/>
      <c r="AR2706" s="35"/>
      <c r="AS2706" s="35"/>
      <c r="AT2706" s="35"/>
      <c r="AU2706" s="31"/>
      <c r="AV2706" s="36"/>
    </row>
    <row r="2707" spans="4:48">
      <c r="D2707" s="31"/>
      <c r="E2707" s="31"/>
      <c r="F2707" s="31"/>
      <c r="G2707" s="31"/>
      <c r="H2707" s="32"/>
      <c r="J2707" s="33"/>
      <c r="K2707" s="33"/>
      <c r="L2707" s="33"/>
      <c r="X2707" s="23"/>
      <c r="Y2707" s="23"/>
      <c r="Z2707" s="23"/>
      <c r="AA2707" s="23"/>
      <c r="AF2707" s="23"/>
      <c r="AG2707" s="23"/>
      <c r="AH2707" s="23"/>
      <c r="AI2707" s="23"/>
      <c r="AN2707" s="23"/>
      <c r="AO2707" s="23"/>
      <c r="AP2707" s="23"/>
      <c r="AQ2707" s="23"/>
      <c r="AR2707" s="35"/>
      <c r="AS2707" s="35"/>
      <c r="AT2707" s="35"/>
      <c r="AU2707" s="31"/>
      <c r="AV2707" s="36"/>
    </row>
    <row r="2708" spans="4:48">
      <c r="D2708" s="31"/>
      <c r="E2708" s="31"/>
      <c r="F2708" s="31"/>
      <c r="G2708" s="31"/>
      <c r="H2708" s="32"/>
      <c r="J2708" s="33"/>
      <c r="K2708" s="33"/>
      <c r="L2708" s="33"/>
      <c r="X2708" s="23"/>
      <c r="Y2708" s="23"/>
      <c r="Z2708" s="23"/>
      <c r="AA2708" s="23"/>
      <c r="AF2708" s="23"/>
      <c r="AG2708" s="23"/>
      <c r="AH2708" s="23"/>
      <c r="AI2708" s="23"/>
      <c r="AN2708" s="23"/>
      <c r="AO2708" s="23"/>
      <c r="AP2708" s="23"/>
      <c r="AQ2708" s="23"/>
      <c r="AR2708" s="35"/>
      <c r="AS2708" s="35"/>
      <c r="AT2708" s="35"/>
      <c r="AU2708" s="31"/>
      <c r="AV2708" s="36"/>
    </row>
    <row r="2709" spans="4:48">
      <c r="D2709" s="31"/>
      <c r="E2709" s="31"/>
      <c r="F2709" s="31"/>
      <c r="G2709" s="31"/>
      <c r="H2709" s="32"/>
      <c r="J2709" s="33"/>
      <c r="K2709" s="33"/>
      <c r="L2709" s="33"/>
      <c r="X2709" s="23"/>
      <c r="Y2709" s="23"/>
      <c r="Z2709" s="23"/>
      <c r="AA2709" s="23"/>
      <c r="AF2709" s="23"/>
      <c r="AG2709" s="23"/>
      <c r="AH2709" s="23"/>
      <c r="AI2709" s="23"/>
      <c r="AN2709" s="23"/>
      <c r="AO2709" s="23"/>
      <c r="AP2709" s="23"/>
      <c r="AQ2709" s="23"/>
      <c r="AR2709" s="35"/>
      <c r="AS2709" s="35"/>
      <c r="AT2709" s="35"/>
      <c r="AU2709" s="31"/>
      <c r="AV2709" s="36"/>
    </row>
    <row r="2710" spans="4:48">
      <c r="D2710" s="31"/>
      <c r="E2710" s="31"/>
      <c r="F2710" s="31"/>
      <c r="G2710" s="31"/>
      <c r="H2710" s="32"/>
      <c r="J2710" s="33"/>
      <c r="K2710" s="33"/>
      <c r="L2710" s="33"/>
      <c r="X2710" s="23"/>
      <c r="Y2710" s="23"/>
      <c r="Z2710" s="23"/>
      <c r="AA2710" s="23"/>
      <c r="AF2710" s="23"/>
      <c r="AG2710" s="23"/>
      <c r="AH2710" s="23"/>
      <c r="AI2710" s="23"/>
      <c r="AN2710" s="23"/>
      <c r="AO2710" s="23"/>
      <c r="AP2710" s="23"/>
      <c r="AQ2710" s="23"/>
      <c r="AR2710" s="35"/>
      <c r="AS2710" s="35"/>
      <c r="AT2710" s="35"/>
      <c r="AU2710" s="31"/>
      <c r="AV2710" s="36"/>
    </row>
    <row r="2711" spans="4:48">
      <c r="D2711" s="31"/>
      <c r="E2711" s="31"/>
      <c r="F2711" s="31"/>
      <c r="G2711" s="31"/>
      <c r="H2711" s="32"/>
      <c r="J2711" s="33"/>
      <c r="K2711" s="33"/>
      <c r="L2711" s="33"/>
      <c r="X2711" s="23"/>
      <c r="Y2711" s="23"/>
      <c r="Z2711" s="23"/>
      <c r="AA2711" s="23"/>
      <c r="AF2711" s="23"/>
      <c r="AG2711" s="23"/>
      <c r="AH2711" s="23"/>
      <c r="AI2711" s="23"/>
      <c r="AN2711" s="23"/>
      <c r="AO2711" s="23"/>
      <c r="AP2711" s="23"/>
      <c r="AQ2711" s="23"/>
      <c r="AR2711" s="35"/>
      <c r="AS2711" s="35"/>
      <c r="AT2711" s="35"/>
      <c r="AU2711" s="31"/>
      <c r="AV2711" s="36"/>
    </row>
    <row r="2712" spans="4:48">
      <c r="D2712" s="31"/>
      <c r="E2712" s="31"/>
      <c r="F2712" s="31"/>
      <c r="G2712" s="31"/>
      <c r="H2712" s="32"/>
      <c r="J2712" s="33"/>
      <c r="K2712" s="33"/>
      <c r="L2712" s="33"/>
      <c r="X2712" s="23"/>
      <c r="Y2712" s="23"/>
      <c r="Z2712" s="23"/>
      <c r="AA2712" s="23"/>
      <c r="AF2712" s="23"/>
      <c r="AG2712" s="23"/>
      <c r="AH2712" s="23"/>
      <c r="AI2712" s="23"/>
      <c r="AN2712" s="23"/>
      <c r="AO2712" s="23"/>
      <c r="AP2712" s="23"/>
      <c r="AQ2712" s="23"/>
      <c r="AR2712" s="35"/>
      <c r="AS2712" s="35"/>
      <c r="AT2712" s="35"/>
      <c r="AU2712" s="31"/>
      <c r="AV2712" s="36"/>
    </row>
    <row r="2713" spans="4:48">
      <c r="D2713" s="31"/>
      <c r="E2713" s="31"/>
      <c r="F2713" s="31"/>
      <c r="G2713" s="31"/>
      <c r="H2713" s="32"/>
      <c r="J2713" s="33"/>
      <c r="K2713" s="33"/>
      <c r="L2713" s="33"/>
      <c r="X2713" s="23"/>
      <c r="Y2713" s="23"/>
      <c r="Z2713" s="23"/>
      <c r="AA2713" s="23"/>
      <c r="AF2713" s="23"/>
      <c r="AG2713" s="23"/>
      <c r="AH2713" s="23"/>
      <c r="AI2713" s="23"/>
      <c r="AN2713" s="23"/>
      <c r="AO2713" s="23"/>
      <c r="AP2713" s="23"/>
      <c r="AQ2713" s="23"/>
      <c r="AR2713" s="35"/>
      <c r="AS2713" s="35"/>
      <c r="AT2713" s="35"/>
      <c r="AU2713" s="31"/>
      <c r="AV2713" s="36"/>
    </row>
    <row r="2714" spans="4:48">
      <c r="D2714" s="31"/>
      <c r="E2714" s="31"/>
      <c r="F2714" s="31"/>
      <c r="G2714" s="31"/>
      <c r="H2714" s="32"/>
      <c r="J2714" s="33"/>
      <c r="K2714" s="33"/>
      <c r="L2714" s="33"/>
      <c r="X2714" s="23"/>
      <c r="Y2714" s="23"/>
      <c r="Z2714" s="23"/>
      <c r="AA2714" s="23"/>
      <c r="AF2714" s="23"/>
      <c r="AG2714" s="23"/>
      <c r="AH2714" s="23"/>
      <c r="AI2714" s="23"/>
      <c r="AN2714" s="23"/>
      <c r="AO2714" s="23"/>
      <c r="AP2714" s="23"/>
      <c r="AQ2714" s="23"/>
      <c r="AR2714" s="35"/>
      <c r="AS2714" s="35"/>
      <c r="AT2714" s="35"/>
      <c r="AU2714" s="31"/>
      <c r="AV2714" s="36"/>
    </row>
    <row r="2715" spans="4:48">
      <c r="D2715" s="31"/>
      <c r="E2715" s="31"/>
      <c r="F2715" s="31"/>
      <c r="G2715" s="31"/>
      <c r="H2715" s="32"/>
      <c r="J2715" s="33"/>
      <c r="K2715" s="33"/>
      <c r="L2715" s="33"/>
      <c r="X2715" s="23"/>
      <c r="Y2715" s="23"/>
      <c r="Z2715" s="23"/>
      <c r="AA2715" s="23"/>
      <c r="AF2715" s="23"/>
      <c r="AG2715" s="23"/>
      <c r="AH2715" s="23"/>
      <c r="AI2715" s="23"/>
      <c r="AN2715" s="23"/>
      <c r="AO2715" s="23"/>
      <c r="AP2715" s="23"/>
      <c r="AQ2715" s="23"/>
      <c r="AR2715" s="35"/>
      <c r="AS2715" s="35"/>
      <c r="AT2715" s="35"/>
      <c r="AU2715" s="31"/>
      <c r="AV2715" s="36"/>
    </row>
    <row r="2716" spans="4:48">
      <c r="D2716" s="31"/>
      <c r="E2716" s="31"/>
      <c r="F2716" s="31"/>
      <c r="G2716" s="31"/>
      <c r="H2716" s="32"/>
      <c r="J2716" s="33"/>
      <c r="K2716" s="33"/>
      <c r="L2716" s="33"/>
      <c r="X2716" s="23"/>
      <c r="Y2716" s="23"/>
      <c r="Z2716" s="23"/>
      <c r="AA2716" s="23"/>
      <c r="AF2716" s="23"/>
      <c r="AG2716" s="23"/>
      <c r="AH2716" s="23"/>
      <c r="AI2716" s="23"/>
      <c r="AN2716" s="23"/>
      <c r="AO2716" s="23"/>
      <c r="AP2716" s="23"/>
      <c r="AQ2716" s="23"/>
      <c r="AR2716" s="35"/>
      <c r="AS2716" s="35"/>
      <c r="AT2716" s="35"/>
      <c r="AU2716" s="31"/>
      <c r="AV2716" s="36"/>
    </row>
    <row r="2717" spans="4:48">
      <c r="D2717" s="31"/>
      <c r="E2717" s="31"/>
      <c r="F2717" s="31"/>
      <c r="G2717" s="31"/>
      <c r="H2717" s="32"/>
      <c r="J2717" s="33"/>
      <c r="K2717" s="33"/>
      <c r="L2717" s="33"/>
      <c r="X2717" s="23"/>
      <c r="Y2717" s="23"/>
      <c r="Z2717" s="23"/>
      <c r="AA2717" s="23"/>
      <c r="AF2717" s="23"/>
      <c r="AG2717" s="23"/>
      <c r="AH2717" s="23"/>
      <c r="AI2717" s="23"/>
      <c r="AN2717" s="23"/>
      <c r="AO2717" s="23"/>
      <c r="AP2717" s="23"/>
      <c r="AQ2717" s="23"/>
      <c r="AR2717" s="35"/>
      <c r="AS2717" s="35"/>
      <c r="AT2717" s="35"/>
      <c r="AU2717" s="31"/>
      <c r="AV2717" s="36"/>
    </row>
    <row r="2718" spans="4:48">
      <c r="D2718" s="31"/>
      <c r="E2718" s="31"/>
      <c r="F2718" s="31"/>
      <c r="G2718" s="31"/>
      <c r="H2718" s="32"/>
      <c r="J2718" s="33"/>
      <c r="K2718" s="33"/>
      <c r="L2718" s="33"/>
      <c r="X2718" s="23"/>
      <c r="Y2718" s="23"/>
      <c r="Z2718" s="23"/>
      <c r="AA2718" s="23"/>
      <c r="AF2718" s="23"/>
      <c r="AG2718" s="23"/>
      <c r="AH2718" s="23"/>
      <c r="AI2718" s="23"/>
      <c r="AN2718" s="23"/>
      <c r="AO2718" s="23"/>
      <c r="AP2718" s="23"/>
      <c r="AQ2718" s="23"/>
      <c r="AR2718" s="35"/>
      <c r="AS2718" s="35"/>
      <c r="AT2718" s="35"/>
      <c r="AU2718" s="31"/>
      <c r="AV2718" s="36"/>
    </row>
    <row r="2719" spans="4:48">
      <c r="D2719" s="31"/>
      <c r="E2719" s="31"/>
      <c r="F2719" s="31"/>
      <c r="G2719" s="31"/>
      <c r="H2719" s="32"/>
      <c r="J2719" s="33"/>
      <c r="K2719" s="33"/>
      <c r="L2719" s="33"/>
      <c r="X2719" s="23"/>
      <c r="Y2719" s="23"/>
      <c r="Z2719" s="23"/>
      <c r="AA2719" s="23"/>
      <c r="AF2719" s="23"/>
      <c r="AG2719" s="23"/>
      <c r="AH2719" s="23"/>
      <c r="AI2719" s="23"/>
      <c r="AN2719" s="23"/>
      <c r="AO2719" s="23"/>
      <c r="AP2719" s="23"/>
      <c r="AQ2719" s="23"/>
      <c r="AR2719" s="35"/>
      <c r="AS2719" s="35"/>
      <c r="AT2719" s="35"/>
      <c r="AU2719" s="31"/>
      <c r="AV2719" s="36"/>
    </row>
    <row r="2720" spans="4:48">
      <c r="D2720" s="31"/>
      <c r="E2720" s="31"/>
      <c r="F2720" s="31"/>
      <c r="G2720" s="31"/>
      <c r="H2720" s="32"/>
      <c r="J2720" s="33"/>
      <c r="K2720" s="33"/>
      <c r="L2720" s="33"/>
      <c r="X2720" s="23"/>
      <c r="Y2720" s="23"/>
      <c r="Z2720" s="23"/>
      <c r="AA2720" s="23"/>
      <c r="AF2720" s="23"/>
      <c r="AG2720" s="23"/>
      <c r="AH2720" s="23"/>
      <c r="AI2720" s="23"/>
      <c r="AN2720" s="23"/>
      <c r="AO2720" s="23"/>
      <c r="AP2720" s="23"/>
      <c r="AQ2720" s="23"/>
      <c r="AR2720" s="35"/>
      <c r="AS2720" s="35"/>
      <c r="AT2720" s="35"/>
      <c r="AU2720" s="31"/>
      <c r="AV2720" s="36"/>
    </row>
    <row r="2721" spans="4:48">
      <c r="D2721" s="31"/>
      <c r="E2721" s="31"/>
      <c r="F2721" s="31"/>
      <c r="G2721" s="31"/>
      <c r="H2721" s="32"/>
      <c r="J2721" s="33"/>
      <c r="K2721" s="33"/>
      <c r="L2721" s="33"/>
      <c r="X2721" s="23"/>
      <c r="Y2721" s="23"/>
      <c r="Z2721" s="23"/>
      <c r="AA2721" s="23"/>
      <c r="AF2721" s="23"/>
      <c r="AG2721" s="23"/>
      <c r="AH2721" s="23"/>
      <c r="AI2721" s="23"/>
      <c r="AN2721" s="23"/>
      <c r="AO2721" s="23"/>
      <c r="AP2721" s="23"/>
      <c r="AQ2721" s="23"/>
      <c r="AR2721" s="35"/>
      <c r="AS2721" s="35"/>
      <c r="AT2721" s="35"/>
      <c r="AU2721" s="31"/>
      <c r="AV2721" s="36"/>
    </row>
    <row r="2722" spans="4:48">
      <c r="D2722" s="31"/>
      <c r="E2722" s="31"/>
      <c r="F2722" s="31"/>
      <c r="G2722" s="31"/>
      <c r="H2722" s="32"/>
      <c r="J2722" s="33"/>
      <c r="K2722" s="33"/>
      <c r="L2722" s="33"/>
      <c r="X2722" s="23"/>
      <c r="Y2722" s="23"/>
      <c r="Z2722" s="23"/>
      <c r="AA2722" s="23"/>
      <c r="AF2722" s="23"/>
      <c r="AG2722" s="23"/>
      <c r="AH2722" s="23"/>
      <c r="AI2722" s="23"/>
      <c r="AN2722" s="23"/>
      <c r="AO2722" s="23"/>
      <c r="AP2722" s="23"/>
      <c r="AQ2722" s="23"/>
      <c r="AR2722" s="35"/>
      <c r="AS2722" s="35"/>
      <c r="AT2722" s="35"/>
      <c r="AU2722" s="31"/>
      <c r="AV2722" s="36"/>
    </row>
    <row r="2723" spans="4:48">
      <c r="D2723" s="31"/>
      <c r="E2723" s="31"/>
      <c r="F2723" s="31"/>
      <c r="G2723" s="31"/>
      <c r="H2723" s="32"/>
      <c r="J2723" s="33"/>
      <c r="K2723" s="33"/>
      <c r="L2723" s="33"/>
      <c r="X2723" s="23"/>
      <c r="Y2723" s="23"/>
      <c r="Z2723" s="23"/>
      <c r="AA2723" s="23"/>
      <c r="AF2723" s="23"/>
      <c r="AG2723" s="23"/>
      <c r="AH2723" s="23"/>
      <c r="AI2723" s="23"/>
      <c r="AN2723" s="23"/>
      <c r="AO2723" s="23"/>
      <c r="AP2723" s="23"/>
      <c r="AQ2723" s="23"/>
      <c r="AR2723" s="35"/>
      <c r="AS2723" s="35"/>
      <c r="AT2723" s="35"/>
      <c r="AU2723" s="31"/>
      <c r="AV2723" s="36"/>
    </row>
    <row r="2724" spans="4:48">
      <c r="D2724" s="31"/>
      <c r="E2724" s="31"/>
      <c r="F2724" s="31"/>
      <c r="G2724" s="31"/>
      <c r="H2724" s="32"/>
      <c r="J2724" s="33"/>
      <c r="K2724" s="33"/>
      <c r="L2724" s="33"/>
      <c r="X2724" s="23"/>
      <c r="Y2724" s="23"/>
      <c r="Z2724" s="23"/>
      <c r="AA2724" s="23"/>
      <c r="AF2724" s="23"/>
      <c r="AG2724" s="23"/>
      <c r="AH2724" s="23"/>
      <c r="AI2724" s="23"/>
      <c r="AN2724" s="23"/>
      <c r="AO2724" s="23"/>
      <c r="AP2724" s="23"/>
      <c r="AQ2724" s="23"/>
      <c r="AR2724" s="35"/>
      <c r="AS2724" s="35"/>
      <c r="AT2724" s="35"/>
      <c r="AU2724" s="31"/>
      <c r="AV2724" s="36"/>
    </row>
    <row r="2725" spans="4:48">
      <c r="D2725" s="31"/>
      <c r="E2725" s="31"/>
      <c r="F2725" s="31"/>
      <c r="G2725" s="31"/>
      <c r="H2725" s="32"/>
      <c r="J2725" s="33"/>
      <c r="K2725" s="33"/>
      <c r="L2725" s="33"/>
      <c r="X2725" s="23"/>
      <c r="Y2725" s="23"/>
      <c r="Z2725" s="23"/>
      <c r="AA2725" s="23"/>
      <c r="AF2725" s="23"/>
      <c r="AG2725" s="23"/>
      <c r="AH2725" s="23"/>
      <c r="AI2725" s="23"/>
      <c r="AN2725" s="23"/>
      <c r="AO2725" s="23"/>
      <c r="AP2725" s="23"/>
      <c r="AQ2725" s="23"/>
      <c r="AR2725" s="35"/>
      <c r="AS2725" s="35"/>
      <c r="AT2725" s="35"/>
      <c r="AU2725" s="31"/>
      <c r="AV2725" s="36"/>
    </row>
    <row r="2726" spans="4:48">
      <c r="D2726" s="31"/>
      <c r="E2726" s="31"/>
      <c r="F2726" s="31"/>
      <c r="G2726" s="31"/>
      <c r="H2726" s="32"/>
      <c r="J2726" s="33"/>
      <c r="K2726" s="33"/>
      <c r="L2726" s="33"/>
      <c r="X2726" s="23"/>
      <c r="Y2726" s="23"/>
      <c r="Z2726" s="23"/>
      <c r="AA2726" s="23"/>
      <c r="AF2726" s="23"/>
      <c r="AG2726" s="23"/>
      <c r="AH2726" s="23"/>
      <c r="AI2726" s="23"/>
      <c r="AN2726" s="23"/>
      <c r="AO2726" s="23"/>
      <c r="AP2726" s="23"/>
      <c r="AQ2726" s="23"/>
      <c r="AR2726" s="35"/>
      <c r="AS2726" s="35"/>
      <c r="AT2726" s="35"/>
      <c r="AU2726" s="31"/>
      <c r="AV2726" s="36"/>
    </row>
    <row r="2727" spans="4:48">
      <c r="D2727" s="31"/>
      <c r="E2727" s="31"/>
      <c r="F2727" s="31"/>
      <c r="G2727" s="31"/>
      <c r="H2727" s="32"/>
      <c r="J2727" s="33"/>
      <c r="K2727" s="33"/>
      <c r="L2727" s="33"/>
      <c r="X2727" s="23"/>
      <c r="Y2727" s="23"/>
      <c r="Z2727" s="23"/>
      <c r="AA2727" s="23"/>
      <c r="AF2727" s="23"/>
      <c r="AG2727" s="23"/>
      <c r="AH2727" s="23"/>
      <c r="AI2727" s="23"/>
      <c r="AN2727" s="23"/>
      <c r="AO2727" s="23"/>
      <c r="AP2727" s="23"/>
      <c r="AQ2727" s="23"/>
      <c r="AR2727" s="35"/>
      <c r="AS2727" s="35"/>
      <c r="AT2727" s="35"/>
      <c r="AU2727" s="31"/>
      <c r="AV2727" s="36"/>
    </row>
    <row r="2728" spans="4:48">
      <c r="D2728" s="31"/>
      <c r="E2728" s="31"/>
      <c r="F2728" s="31"/>
      <c r="G2728" s="31"/>
      <c r="H2728" s="32"/>
      <c r="J2728" s="33"/>
      <c r="K2728" s="33"/>
      <c r="L2728" s="33"/>
      <c r="X2728" s="23"/>
      <c r="Y2728" s="23"/>
      <c r="Z2728" s="23"/>
      <c r="AA2728" s="23"/>
      <c r="AF2728" s="23"/>
      <c r="AG2728" s="23"/>
      <c r="AH2728" s="23"/>
      <c r="AI2728" s="23"/>
      <c r="AN2728" s="23"/>
      <c r="AO2728" s="23"/>
      <c r="AP2728" s="23"/>
      <c r="AQ2728" s="23"/>
      <c r="AR2728" s="35"/>
      <c r="AS2728" s="35"/>
      <c r="AT2728" s="35"/>
      <c r="AU2728" s="31"/>
      <c r="AV2728" s="36"/>
    </row>
    <row r="2729" spans="4:48">
      <c r="D2729" s="31"/>
      <c r="E2729" s="31"/>
      <c r="F2729" s="31"/>
      <c r="G2729" s="31"/>
      <c r="H2729" s="32"/>
      <c r="J2729" s="33"/>
      <c r="K2729" s="33"/>
      <c r="L2729" s="33"/>
      <c r="X2729" s="23"/>
      <c r="Y2729" s="23"/>
      <c r="Z2729" s="23"/>
      <c r="AA2729" s="23"/>
      <c r="AF2729" s="23"/>
      <c r="AG2729" s="23"/>
      <c r="AH2729" s="23"/>
      <c r="AI2729" s="23"/>
      <c r="AN2729" s="23"/>
      <c r="AO2729" s="23"/>
      <c r="AP2729" s="23"/>
      <c r="AQ2729" s="23"/>
      <c r="AR2729" s="35"/>
      <c r="AS2729" s="35"/>
      <c r="AT2729" s="35"/>
      <c r="AU2729" s="31"/>
      <c r="AV2729" s="36"/>
    </row>
    <row r="2730" spans="4:48">
      <c r="D2730" s="31"/>
      <c r="E2730" s="31"/>
      <c r="F2730" s="31"/>
      <c r="G2730" s="31"/>
      <c r="H2730" s="32"/>
      <c r="J2730" s="33"/>
      <c r="K2730" s="33"/>
      <c r="L2730" s="33"/>
      <c r="X2730" s="23"/>
      <c r="Y2730" s="23"/>
      <c r="Z2730" s="23"/>
      <c r="AA2730" s="23"/>
      <c r="AF2730" s="23"/>
      <c r="AG2730" s="23"/>
      <c r="AH2730" s="23"/>
      <c r="AI2730" s="23"/>
      <c r="AN2730" s="23"/>
      <c r="AO2730" s="23"/>
      <c r="AP2730" s="23"/>
      <c r="AQ2730" s="23"/>
      <c r="AR2730" s="35"/>
      <c r="AS2730" s="35"/>
      <c r="AT2730" s="35"/>
      <c r="AU2730" s="31"/>
      <c r="AV2730" s="36"/>
    </row>
    <row r="2731" spans="4:48">
      <c r="D2731" s="31"/>
      <c r="E2731" s="31"/>
      <c r="F2731" s="31"/>
      <c r="G2731" s="31"/>
      <c r="H2731" s="32"/>
      <c r="J2731" s="33"/>
      <c r="K2731" s="33"/>
      <c r="L2731" s="33"/>
      <c r="X2731" s="23"/>
      <c r="Y2731" s="23"/>
      <c r="Z2731" s="23"/>
      <c r="AA2731" s="23"/>
      <c r="AF2731" s="23"/>
      <c r="AG2731" s="23"/>
      <c r="AH2731" s="23"/>
      <c r="AI2731" s="23"/>
      <c r="AN2731" s="23"/>
      <c r="AO2731" s="23"/>
      <c r="AP2731" s="23"/>
      <c r="AQ2731" s="23"/>
      <c r="AR2731" s="35"/>
      <c r="AS2731" s="35"/>
      <c r="AT2731" s="35"/>
      <c r="AU2731" s="31"/>
      <c r="AV2731" s="36"/>
    </row>
    <row r="2732" spans="4:48">
      <c r="D2732" s="31"/>
      <c r="E2732" s="31"/>
      <c r="F2732" s="31"/>
      <c r="G2732" s="31"/>
      <c r="H2732" s="32"/>
      <c r="J2732" s="33"/>
      <c r="K2732" s="33"/>
      <c r="L2732" s="33"/>
      <c r="X2732" s="23"/>
      <c r="Y2732" s="23"/>
      <c r="Z2732" s="23"/>
      <c r="AA2732" s="23"/>
      <c r="AF2732" s="23"/>
      <c r="AG2732" s="23"/>
      <c r="AH2732" s="23"/>
      <c r="AI2732" s="23"/>
      <c r="AN2732" s="23"/>
      <c r="AO2732" s="23"/>
      <c r="AP2732" s="23"/>
      <c r="AQ2732" s="23"/>
      <c r="AR2732" s="35"/>
      <c r="AS2732" s="35"/>
      <c r="AT2732" s="35"/>
      <c r="AU2732" s="31"/>
      <c r="AV2732" s="36"/>
    </row>
    <row r="2733" spans="4:48">
      <c r="D2733" s="31"/>
      <c r="E2733" s="31"/>
      <c r="F2733" s="31"/>
      <c r="G2733" s="31"/>
      <c r="H2733" s="32"/>
      <c r="J2733" s="33"/>
      <c r="K2733" s="33"/>
      <c r="L2733" s="33"/>
      <c r="X2733" s="23"/>
      <c r="Y2733" s="23"/>
      <c r="Z2733" s="23"/>
      <c r="AA2733" s="23"/>
      <c r="AF2733" s="23"/>
      <c r="AG2733" s="23"/>
      <c r="AH2733" s="23"/>
      <c r="AI2733" s="23"/>
      <c r="AN2733" s="23"/>
      <c r="AO2733" s="23"/>
      <c r="AP2733" s="23"/>
      <c r="AQ2733" s="23"/>
      <c r="AR2733" s="35"/>
      <c r="AS2733" s="35"/>
      <c r="AT2733" s="35"/>
      <c r="AU2733" s="31"/>
      <c r="AV2733" s="36"/>
    </row>
    <row r="2734" spans="4:48">
      <c r="D2734" s="31"/>
      <c r="E2734" s="31"/>
      <c r="F2734" s="31"/>
      <c r="G2734" s="31"/>
      <c r="H2734" s="32"/>
      <c r="J2734" s="33"/>
      <c r="K2734" s="33"/>
      <c r="L2734" s="33"/>
      <c r="X2734" s="23"/>
      <c r="Y2734" s="23"/>
      <c r="Z2734" s="23"/>
      <c r="AA2734" s="23"/>
      <c r="AF2734" s="23"/>
      <c r="AG2734" s="23"/>
      <c r="AH2734" s="23"/>
      <c r="AI2734" s="23"/>
      <c r="AN2734" s="23"/>
      <c r="AO2734" s="23"/>
      <c r="AP2734" s="23"/>
      <c r="AQ2734" s="23"/>
      <c r="AR2734" s="35"/>
      <c r="AS2734" s="35"/>
      <c r="AT2734" s="35"/>
      <c r="AU2734" s="31"/>
      <c r="AV2734" s="36"/>
    </row>
    <row r="2735" spans="4:48">
      <c r="D2735" s="31"/>
      <c r="E2735" s="31"/>
      <c r="F2735" s="31"/>
      <c r="G2735" s="31"/>
      <c r="H2735" s="32"/>
      <c r="J2735" s="33"/>
      <c r="K2735" s="33"/>
      <c r="L2735" s="33"/>
      <c r="X2735" s="23"/>
      <c r="Y2735" s="23"/>
      <c r="Z2735" s="23"/>
      <c r="AA2735" s="23"/>
      <c r="AF2735" s="23"/>
      <c r="AG2735" s="23"/>
      <c r="AH2735" s="23"/>
      <c r="AI2735" s="23"/>
      <c r="AN2735" s="23"/>
      <c r="AO2735" s="23"/>
      <c r="AP2735" s="23"/>
      <c r="AQ2735" s="23"/>
      <c r="AR2735" s="35"/>
      <c r="AS2735" s="35"/>
      <c r="AT2735" s="35"/>
      <c r="AU2735" s="31"/>
      <c r="AV2735" s="36"/>
    </row>
    <row r="2736" spans="4:48">
      <c r="D2736" s="31"/>
      <c r="E2736" s="31"/>
      <c r="F2736" s="31"/>
      <c r="G2736" s="31"/>
      <c r="H2736" s="32"/>
      <c r="J2736" s="33"/>
      <c r="K2736" s="33"/>
      <c r="L2736" s="33"/>
      <c r="X2736" s="23"/>
      <c r="Y2736" s="23"/>
      <c r="Z2736" s="23"/>
      <c r="AA2736" s="23"/>
      <c r="AF2736" s="23"/>
      <c r="AG2736" s="23"/>
      <c r="AH2736" s="23"/>
      <c r="AI2736" s="23"/>
      <c r="AN2736" s="23"/>
      <c r="AO2736" s="23"/>
      <c r="AP2736" s="23"/>
      <c r="AQ2736" s="23"/>
      <c r="AR2736" s="35"/>
      <c r="AS2736" s="35"/>
      <c r="AT2736" s="35"/>
      <c r="AU2736" s="31"/>
      <c r="AV2736" s="36"/>
    </row>
    <row r="2737" spans="4:48">
      <c r="D2737" s="31"/>
      <c r="E2737" s="31"/>
      <c r="F2737" s="31"/>
      <c r="G2737" s="31"/>
      <c r="H2737" s="32"/>
      <c r="J2737" s="33"/>
      <c r="K2737" s="33"/>
      <c r="L2737" s="33"/>
      <c r="X2737" s="23"/>
      <c r="Y2737" s="23"/>
      <c r="Z2737" s="23"/>
      <c r="AA2737" s="23"/>
      <c r="AF2737" s="23"/>
      <c r="AG2737" s="23"/>
      <c r="AH2737" s="23"/>
      <c r="AI2737" s="23"/>
      <c r="AN2737" s="23"/>
      <c r="AO2737" s="23"/>
      <c r="AP2737" s="23"/>
      <c r="AQ2737" s="23"/>
      <c r="AR2737" s="35"/>
      <c r="AS2737" s="35"/>
      <c r="AT2737" s="35"/>
      <c r="AU2737" s="31"/>
      <c r="AV2737" s="36"/>
    </row>
    <row r="2738" spans="4:48">
      <c r="D2738" s="31"/>
      <c r="E2738" s="31"/>
      <c r="F2738" s="31"/>
      <c r="G2738" s="31"/>
      <c r="H2738" s="32"/>
      <c r="J2738" s="33"/>
      <c r="K2738" s="33"/>
      <c r="L2738" s="33"/>
      <c r="X2738" s="23"/>
      <c r="Y2738" s="23"/>
      <c r="Z2738" s="23"/>
      <c r="AA2738" s="23"/>
      <c r="AF2738" s="23"/>
      <c r="AG2738" s="23"/>
      <c r="AH2738" s="23"/>
      <c r="AI2738" s="23"/>
      <c r="AN2738" s="23"/>
      <c r="AO2738" s="23"/>
      <c r="AP2738" s="23"/>
      <c r="AQ2738" s="23"/>
      <c r="AR2738" s="35"/>
      <c r="AS2738" s="35"/>
      <c r="AT2738" s="35"/>
      <c r="AU2738" s="31"/>
      <c r="AV2738" s="36"/>
    </row>
    <row r="2739" spans="4:48">
      <c r="D2739" s="31"/>
      <c r="E2739" s="31"/>
      <c r="F2739" s="31"/>
      <c r="G2739" s="31"/>
      <c r="H2739" s="32"/>
      <c r="J2739" s="33"/>
      <c r="K2739" s="33"/>
      <c r="L2739" s="33"/>
      <c r="X2739" s="23"/>
      <c r="Y2739" s="23"/>
      <c r="Z2739" s="23"/>
      <c r="AA2739" s="23"/>
      <c r="AF2739" s="23"/>
      <c r="AG2739" s="23"/>
      <c r="AH2739" s="23"/>
      <c r="AI2739" s="23"/>
      <c r="AN2739" s="23"/>
      <c r="AO2739" s="23"/>
      <c r="AP2739" s="23"/>
      <c r="AQ2739" s="23"/>
      <c r="AR2739" s="35"/>
      <c r="AS2739" s="35"/>
      <c r="AT2739" s="35"/>
      <c r="AU2739" s="31"/>
      <c r="AV2739" s="36"/>
    </row>
    <row r="2740" spans="4:48">
      <c r="D2740" s="31"/>
      <c r="E2740" s="31"/>
      <c r="F2740" s="31"/>
      <c r="G2740" s="31"/>
      <c r="H2740" s="32"/>
      <c r="J2740" s="33"/>
      <c r="K2740" s="33"/>
      <c r="L2740" s="33"/>
      <c r="X2740" s="23"/>
      <c r="Y2740" s="23"/>
      <c r="Z2740" s="23"/>
      <c r="AA2740" s="23"/>
      <c r="AF2740" s="23"/>
      <c r="AG2740" s="23"/>
      <c r="AH2740" s="23"/>
      <c r="AI2740" s="23"/>
      <c r="AN2740" s="23"/>
      <c r="AO2740" s="23"/>
      <c r="AP2740" s="23"/>
      <c r="AQ2740" s="23"/>
      <c r="AR2740" s="35"/>
      <c r="AS2740" s="35"/>
      <c r="AT2740" s="35"/>
      <c r="AU2740" s="31"/>
      <c r="AV2740" s="36"/>
    </row>
    <row r="2741" spans="4:48">
      <c r="D2741" s="31"/>
      <c r="E2741" s="31"/>
      <c r="F2741" s="31"/>
      <c r="G2741" s="31"/>
      <c r="H2741" s="32"/>
      <c r="J2741" s="33"/>
      <c r="K2741" s="33"/>
      <c r="L2741" s="33"/>
      <c r="X2741" s="23"/>
      <c r="Y2741" s="23"/>
      <c r="Z2741" s="23"/>
      <c r="AA2741" s="23"/>
      <c r="AF2741" s="23"/>
      <c r="AG2741" s="23"/>
      <c r="AH2741" s="23"/>
      <c r="AI2741" s="23"/>
      <c r="AN2741" s="23"/>
      <c r="AO2741" s="23"/>
      <c r="AP2741" s="23"/>
      <c r="AQ2741" s="23"/>
      <c r="AR2741" s="35"/>
      <c r="AS2741" s="35"/>
      <c r="AT2741" s="35"/>
      <c r="AU2741" s="31"/>
      <c r="AV2741" s="36"/>
    </row>
    <row r="2742" spans="4:48">
      <c r="D2742" s="31"/>
      <c r="E2742" s="31"/>
      <c r="F2742" s="31"/>
      <c r="G2742" s="31"/>
      <c r="H2742" s="32"/>
      <c r="J2742" s="33"/>
      <c r="K2742" s="33"/>
      <c r="L2742" s="33"/>
      <c r="X2742" s="23"/>
      <c r="Y2742" s="23"/>
      <c r="Z2742" s="23"/>
      <c r="AA2742" s="23"/>
      <c r="AF2742" s="23"/>
      <c r="AG2742" s="23"/>
      <c r="AH2742" s="23"/>
      <c r="AI2742" s="23"/>
      <c r="AN2742" s="23"/>
      <c r="AO2742" s="23"/>
      <c r="AP2742" s="23"/>
      <c r="AQ2742" s="23"/>
      <c r="AR2742" s="35"/>
      <c r="AS2742" s="35"/>
      <c r="AT2742" s="35"/>
      <c r="AU2742" s="31"/>
      <c r="AV2742" s="36"/>
    </row>
    <row r="2743" spans="4:48">
      <c r="D2743" s="31"/>
      <c r="E2743" s="31"/>
      <c r="F2743" s="31"/>
      <c r="G2743" s="31"/>
      <c r="H2743" s="32"/>
      <c r="J2743" s="33"/>
      <c r="K2743" s="33"/>
      <c r="L2743" s="33"/>
      <c r="X2743" s="23"/>
      <c r="Y2743" s="23"/>
      <c r="Z2743" s="23"/>
      <c r="AA2743" s="23"/>
      <c r="AF2743" s="23"/>
      <c r="AG2743" s="23"/>
      <c r="AH2743" s="23"/>
      <c r="AI2743" s="23"/>
      <c r="AN2743" s="23"/>
      <c r="AO2743" s="23"/>
      <c r="AP2743" s="23"/>
      <c r="AQ2743" s="23"/>
      <c r="AR2743" s="35"/>
      <c r="AS2743" s="35"/>
      <c r="AT2743" s="35"/>
      <c r="AU2743" s="31"/>
      <c r="AV2743" s="36"/>
    </row>
    <row r="2744" spans="4:48">
      <c r="D2744" s="31"/>
      <c r="E2744" s="31"/>
      <c r="F2744" s="31"/>
      <c r="G2744" s="31"/>
      <c r="H2744" s="32"/>
      <c r="J2744" s="33"/>
      <c r="K2744" s="33"/>
      <c r="L2744" s="33"/>
      <c r="X2744" s="23"/>
      <c r="Y2744" s="23"/>
      <c r="Z2744" s="23"/>
      <c r="AA2744" s="23"/>
      <c r="AF2744" s="23"/>
      <c r="AG2744" s="23"/>
      <c r="AH2744" s="23"/>
      <c r="AI2744" s="23"/>
      <c r="AN2744" s="23"/>
      <c r="AO2744" s="23"/>
      <c r="AP2744" s="23"/>
      <c r="AQ2744" s="23"/>
      <c r="AR2744" s="35"/>
      <c r="AS2744" s="35"/>
      <c r="AT2744" s="35"/>
      <c r="AU2744" s="31"/>
      <c r="AV2744" s="36"/>
    </row>
    <row r="2745" spans="4:48">
      <c r="D2745" s="31"/>
      <c r="E2745" s="31"/>
      <c r="F2745" s="31"/>
      <c r="G2745" s="31"/>
      <c r="H2745" s="32"/>
      <c r="J2745" s="33"/>
      <c r="K2745" s="33"/>
      <c r="L2745" s="33"/>
      <c r="X2745" s="23"/>
      <c r="Y2745" s="23"/>
      <c r="Z2745" s="23"/>
      <c r="AA2745" s="23"/>
      <c r="AF2745" s="23"/>
      <c r="AG2745" s="23"/>
      <c r="AH2745" s="23"/>
      <c r="AI2745" s="23"/>
      <c r="AN2745" s="23"/>
      <c r="AO2745" s="23"/>
      <c r="AP2745" s="23"/>
      <c r="AQ2745" s="23"/>
      <c r="AR2745" s="35"/>
      <c r="AS2745" s="35"/>
      <c r="AT2745" s="35"/>
      <c r="AU2745" s="31"/>
      <c r="AV2745" s="36"/>
    </row>
    <row r="2746" spans="4:48">
      <c r="D2746" s="31"/>
      <c r="E2746" s="31"/>
      <c r="F2746" s="31"/>
      <c r="G2746" s="31"/>
      <c r="H2746" s="32"/>
      <c r="J2746" s="33"/>
      <c r="K2746" s="33"/>
      <c r="L2746" s="33"/>
      <c r="X2746" s="23"/>
      <c r="Y2746" s="23"/>
      <c r="Z2746" s="23"/>
      <c r="AA2746" s="23"/>
      <c r="AF2746" s="23"/>
      <c r="AG2746" s="23"/>
      <c r="AH2746" s="23"/>
      <c r="AI2746" s="23"/>
      <c r="AN2746" s="23"/>
      <c r="AO2746" s="23"/>
      <c r="AP2746" s="23"/>
      <c r="AQ2746" s="23"/>
      <c r="AR2746" s="35"/>
      <c r="AS2746" s="35"/>
      <c r="AT2746" s="35"/>
      <c r="AU2746" s="31"/>
      <c r="AV2746" s="36"/>
    </row>
    <row r="2747" spans="4:48">
      <c r="D2747" s="31"/>
      <c r="E2747" s="31"/>
      <c r="F2747" s="31"/>
      <c r="G2747" s="31"/>
      <c r="H2747" s="32"/>
      <c r="J2747" s="33"/>
      <c r="K2747" s="33"/>
      <c r="L2747" s="33"/>
      <c r="X2747" s="23"/>
      <c r="Y2747" s="23"/>
      <c r="Z2747" s="23"/>
      <c r="AA2747" s="23"/>
      <c r="AF2747" s="23"/>
      <c r="AG2747" s="23"/>
      <c r="AH2747" s="23"/>
      <c r="AI2747" s="23"/>
      <c r="AN2747" s="23"/>
      <c r="AO2747" s="23"/>
      <c r="AP2747" s="23"/>
      <c r="AQ2747" s="23"/>
      <c r="AR2747" s="35"/>
      <c r="AS2747" s="35"/>
      <c r="AT2747" s="35"/>
      <c r="AU2747" s="31"/>
      <c r="AV2747" s="36"/>
    </row>
    <row r="2748" spans="4:48">
      <c r="D2748" s="31"/>
      <c r="E2748" s="31"/>
      <c r="F2748" s="31"/>
      <c r="G2748" s="31"/>
      <c r="H2748" s="32"/>
      <c r="J2748" s="33"/>
      <c r="K2748" s="33"/>
      <c r="L2748" s="33"/>
      <c r="X2748" s="23"/>
      <c r="Y2748" s="23"/>
      <c r="Z2748" s="23"/>
      <c r="AA2748" s="23"/>
      <c r="AF2748" s="23"/>
      <c r="AG2748" s="23"/>
      <c r="AH2748" s="23"/>
      <c r="AI2748" s="23"/>
      <c r="AN2748" s="23"/>
      <c r="AO2748" s="23"/>
      <c r="AP2748" s="23"/>
      <c r="AQ2748" s="23"/>
      <c r="AR2748" s="35"/>
      <c r="AS2748" s="35"/>
      <c r="AT2748" s="35"/>
      <c r="AU2748" s="31"/>
      <c r="AV2748" s="36"/>
    </row>
    <row r="2749" spans="4:48">
      <c r="D2749" s="31"/>
      <c r="E2749" s="31"/>
      <c r="F2749" s="31"/>
      <c r="G2749" s="31"/>
      <c r="H2749" s="32"/>
      <c r="J2749" s="33"/>
      <c r="K2749" s="33"/>
      <c r="L2749" s="33"/>
      <c r="X2749" s="23"/>
      <c r="Y2749" s="23"/>
      <c r="Z2749" s="23"/>
      <c r="AA2749" s="23"/>
      <c r="AF2749" s="23"/>
      <c r="AG2749" s="23"/>
      <c r="AH2749" s="23"/>
      <c r="AI2749" s="23"/>
      <c r="AN2749" s="23"/>
      <c r="AO2749" s="23"/>
      <c r="AP2749" s="23"/>
      <c r="AQ2749" s="23"/>
      <c r="AR2749" s="35"/>
      <c r="AS2749" s="35"/>
      <c r="AT2749" s="35"/>
      <c r="AU2749" s="31"/>
      <c r="AV2749" s="36"/>
    </row>
    <row r="2750" spans="4:48">
      <c r="D2750" s="31"/>
      <c r="E2750" s="31"/>
      <c r="F2750" s="31"/>
      <c r="G2750" s="31"/>
      <c r="H2750" s="32"/>
      <c r="J2750" s="33"/>
      <c r="K2750" s="33"/>
      <c r="L2750" s="33"/>
      <c r="X2750" s="23"/>
      <c r="Y2750" s="23"/>
      <c r="Z2750" s="23"/>
      <c r="AA2750" s="23"/>
      <c r="AF2750" s="23"/>
      <c r="AG2750" s="23"/>
      <c r="AH2750" s="23"/>
      <c r="AI2750" s="23"/>
      <c r="AN2750" s="23"/>
      <c r="AO2750" s="23"/>
      <c r="AP2750" s="23"/>
      <c r="AQ2750" s="23"/>
      <c r="AR2750" s="35"/>
      <c r="AS2750" s="35"/>
      <c r="AT2750" s="35"/>
      <c r="AU2750" s="31"/>
      <c r="AV2750" s="36"/>
    </row>
    <row r="2751" spans="4:48">
      <c r="D2751" s="31"/>
      <c r="E2751" s="31"/>
      <c r="F2751" s="31"/>
      <c r="G2751" s="31"/>
      <c r="H2751" s="32"/>
      <c r="J2751" s="33"/>
      <c r="K2751" s="33"/>
      <c r="L2751" s="33"/>
      <c r="X2751" s="23"/>
      <c r="Y2751" s="23"/>
      <c r="Z2751" s="23"/>
      <c r="AA2751" s="23"/>
      <c r="AF2751" s="23"/>
      <c r="AG2751" s="23"/>
      <c r="AH2751" s="23"/>
      <c r="AI2751" s="23"/>
      <c r="AN2751" s="23"/>
      <c r="AO2751" s="23"/>
      <c r="AP2751" s="23"/>
      <c r="AQ2751" s="23"/>
      <c r="AR2751" s="35"/>
      <c r="AS2751" s="35"/>
      <c r="AT2751" s="35"/>
      <c r="AU2751" s="31"/>
      <c r="AV2751" s="36"/>
    </row>
    <row r="2752" spans="4:48">
      <c r="D2752" s="31"/>
      <c r="E2752" s="31"/>
      <c r="F2752" s="31"/>
      <c r="G2752" s="31"/>
      <c r="H2752" s="32"/>
      <c r="J2752" s="33"/>
      <c r="K2752" s="33"/>
      <c r="L2752" s="33"/>
      <c r="X2752" s="23"/>
      <c r="Y2752" s="23"/>
      <c r="Z2752" s="23"/>
      <c r="AA2752" s="23"/>
      <c r="AF2752" s="23"/>
      <c r="AG2752" s="23"/>
      <c r="AH2752" s="23"/>
      <c r="AI2752" s="23"/>
      <c r="AN2752" s="23"/>
      <c r="AO2752" s="23"/>
      <c r="AP2752" s="23"/>
      <c r="AQ2752" s="23"/>
      <c r="AR2752" s="35"/>
      <c r="AS2752" s="35"/>
      <c r="AT2752" s="35"/>
      <c r="AU2752" s="31"/>
      <c r="AV2752" s="36"/>
    </row>
    <row r="2753" spans="4:48">
      <c r="D2753" s="31"/>
      <c r="E2753" s="31"/>
      <c r="F2753" s="31"/>
      <c r="G2753" s="31"/>
      <c r="H2753" s="32"/>
      <c r="J2753" s="33"/>
      <c r="K2753" s="33"/>
      <c r="L2753" s="33"/>
      <c r="X2753" s="23"/>
      <c r="Y2753" s="23"/>
      <c r="Z2753" s="23"/>
      <c r="AA2753" s="23"/>
      <c r="AF2753" s="23"/>
      <c r="AG2753" s="23"/>
      <c r="AH2753" s="23"/>
      <c r="AI2753" s="23"/>
      <c r="AN2753" s="23"/>
      <c r="AO2753" s="23"/>
      <c r="AP2753" s="23"/>
      <c r="AQ2753" s="23"/>
      <c r="AR2753" s="35"/>
      <c r="AS2753" s="35"/>
      <c r="AT2753" s="35"/>
      <c r="AU2753" s="31"/>
      <c r="AV2753" s="36"/>
    </row>
    <row r="2754" spans="4:48">
      <c r="D2754" s="31"/>
      <c r="E2754" s="31"/>
      <c r="F2754" s="31"/>
      <c r="G2754" s="31"/>
      <c r="H2754" s="32"/>
      <c r="J2754" s="33"/>
      <c r="K2754" s="33"/>
      <c r="L2754" s="33"/>
      <c r="X2754" s="23"/>
      <c r="Y2754" s="23"/>
      <c r="Z2754" s="23"/>
      <c r="AA2754" s="23"/>
      <c r="AF2754" s="23"/>
      <c r="AG2754" s="23"/>
      <c r="AH2754" s="23"/>
      <c r="AI2754" s="23"/>
      <c r="AN2754" s="23"/>
      <c r="AO2754" s="23"/>
      <c r="AP2754" s="23"/>
      <c r="AQ2754" s="23"/>
      <c r="AR2754" s="35"/>
      <c r="AS2754" s="35"/>
      <c r="AT2754" s="35"/>
      <c r="AU2754" s="31"/>
      <c r="AV2754" s="36"/>
    </row>
    <row r="2755" spans="4:48">
      <c r="D2755" s="31"/>
      <c r="E2755" s="31"/>
      <c r="F2755" s="31"/>
      <c r="G2755" s="31"/>
      <c r="H2755" s="32"/>
      <c r="J2755" s="33"/>
      <c r="K2755" s="33"/>
      <c r="L2755" s="33"/>
      <c r="X2755" s="23"/>
      <c r="Y2755" s="23"/>
      <c r="Z2755" s="23"/>
      <c r="AA2755" s="23"/>
      <c r="AF2755" s="23"/>
      <c r="AG2755" s="23"/>
      <c r="AH2755" s="23"/>
      <c r="AI2755" s="23"/>
      <c r="AN2755" s="23"/>
      <c r="AO2755" s="23"/>
      <c r="AP2755" s="23"/>
      <c r="AQ2755" s="23"/>
      <c r="AR2755" s="35"/>
      <c r="AS2755" s="35"/>
      <c r="AT2755" s="35"/>
      <c r="AU2755" s="31"/>
      <c r="AV2755" s="36"/>
    </row>
    <row r="2756" spans="4:48">
      <c r="D2756" s="31"/>
      <c r="E2756" s="31"/>
      <c r="F2756" s="31"/>
      <c r="G2756" s="31"/>
      <c r="H2756" s="32"/>
      <c r="J2756" s="33"/>
      <c r="K2756" s="33"/>
      <c r="L2756" s="33"/>
      <c r="X2756" s="23"/>
      <c r="Y2756" s="23"/>
      <c r="Z2756" s="23"/>
      <c r="AA2756" s="23"/>
      <c r="AF2756" s="23"/>
      <c r="AG2756" s="23"/>
      <c r="AH2756" s="23"/>
      <c r="AI2756" s="23"/>
      <c r="AN2756" s="23"/>
      <c r="AO2756" s="23"/>
      <c r="AP2756" s="23"/>
      <c r="AQ2756" s="23"/>
      <c r="AR2756" s="35"/>
      <c r="AS2756" s="35"/>
      <c r="AT2756" s="35"/>
      <c r="AU2756" s="31"/>
      <c r="AV2756" s="36"/>
    </row>
    <row r="2757" spans="4:48">
      <c r="D2757" s="31"/>
      <c r="E2757" s="31"/>
      <c r="F2757" s="31"/>
      <c r="G2757" s="31"/>
      <c r="H2757" s="32"/>
      <c r="J2757" s="33"/>
      <c r="K2757" s="33"/>
      <c r="L2757" s="33"/>
      <c r="X2757" s="23"/>
      <c r="Y2757" s="23"/>
      <c r="Z2757" s="23"/>
      <c r="AA2757" s="23"/>
      <c r="AF2757" s="23"/>
      <c r="AG2757" s="23"/>
      <c r="AH2757" s="23"/>
      <c r="AI2757" s="23"/>
      <c r="AN2757" s="23"/>
      <c r="AO2757" s="23"/>
      <c r="AP2757" s="23"/>
      <c r="AQ2757" s="23"/>
      <c r="AR2757" s="35"/>
      <c r="AS2757" s="35"/>
      <c r="AT2757" s="35"/>
      <c r="AU2757" s="31"/>
      <c r="AV2757" s="36"/>
    </row>
    <row r="2758" spans="4:48">
      <c r="D2758" s="31"/>
      <c r="E2758" s="31"/>
      <c r="F2758" s="31"/>
      <c r="G2758" s="31"/>
      <c r="H2758" s="32"/>
      <c r="J2758" s="33"/>
      <c r="K2758" s="33"/>
      <c r="L2758" s="33"/>
      <c r="X2758" s="23"/>
      <c r="Y2758" s="23"/>
      <c r="Z2758" s="23"/>
      <c r="AA2758" s="23"/>
      <c r="AF2758" s="23"/>
      <c r="AG2758" s="23"/>
      <c r="AH2758" s="23"/>
      <c r="AI2758" s="23"/>
      <c r="AN2758" s="23"/>
      <c r="AO2758" s="23"/>
      <c r="AP2758" s="23"/>
      <c r="AQ2758" s="23"/>
      <c r="AR2758" s="35"/>
      <c r="AS2758" s="35"/>
      <c r="AT2758" s="35"/>
      <c r="AU2758" s="31"/>
      <c r="AV2758" s="36"/>
    </row>
    <row r="2759" spans="4:48">
      <c r="D2759" s="31"/>
      <c r="E2759" s="31"/>
      <c r="F2759" s="31"/>
      <c r="G2759" s="31"/>
      <c r="H2759" s="32"/>
      <c r="J2759" s="33"/>
      <c r="K2759" s="33"/>
      <c r="L2759" s="33"/>
      <c r="X2759" s="23"/>
      <c r="Y2759" s="23"/>
      <c r="Z2759" s="23"/>
      <c r="AA2759" s="23"/>
      <c r="AF2759" s="23"/>
      <c r="AG2759" s="23"/>
      <c r="AH2759" s="23"/>
      <c r="AI2759" s="23"/>
      <c r="AN2759" s="23"/>
      <c r="AO2759" s="23"/>
      <c r="AP2759" s="23"/>
      <c r="AQ2759" s="23"/>
      <c r="AR2759" s="35"/>
      <c r="AS2759" s="35"/>
      <c r="AT2759" s="35"/>
      <c r="AU2759" s="31"/>
      <c r="AV2759" s="36"/>
    </row>
    <row r="2760" spans="4:48">
      <c r="D2760" s="31"/>
      <c r="E2760" s="31"/>
      <c r="F2760" s="31"/>
      <c r="G2760" s="31"/>
      <c r="H2760" s="32"/>
      <c r="J2760" s="33"/>
      <c r="K2760" s="33"/>
      <c r="L2760" s="33"/>
      <c r="X2760" s="23"/>
      <c r="Y2760" s="23"/>
      <c r="Z2760" s="23"/>
      <c r="AA2760" s="23"/>
      <c r="AF2760" s="23"/>
      <c r="AG2760" s="23"/>
      <c r="AH2760" s="23"/>
      <c r="AI2760" s="23"/>
      <c r="AN2760" s="23"/>
      <c r="AO2760" s="23"/>
      <c r="AP2760" s="23"/>
      <c r="AQ2760" s="23"/>
      <c r="AR2760" s="35"/>
      <c r="AS2760" s="35"/>
      <c r="AT2760" s="35"/>
      <c r="AU2760" s="31"/>
      <c r="AV2760" s="36"/>
    </row>
    <row r="2761" spans="4:48">
      <c r="D2761" s="31"/>
      <c r="E2761" s="31"/>
      <c r="F2761" s="31"/>
      <c r="G2761" s="31"/>
      <c r="H2761" s="32"/>
      <c r="J2761" s="33"/>
      <c r="K2761" s="33"/>
      <c r="L2761" s="33"/>
      <c r="X2761" s="23"/>
      <c r="Y2761" s="23"/>
      <c r="Z2761" s="23"/>
      <c r="AA2761" s="23"/>
      <c r="AF2761" s="23"/>
      <c r="AG2761" s="23"/>
      <c r="AH2761" s="23"/>
      <c r="AI2761" s="23"/>
      <c r="AN2761" s="23"/>
      <c r="AO2761" s="23"/>
      <c r="AP2761" s="23"/>
      <c r="AQ2761" s="23"/>
      <c r="AR2761" s="35"/>
      <c r="AS2761" s="35"/>
      <c r="AT2761" s="35"/>
      <c r="AU2761" s="31"/>
      <c r="AV2761" s="36"/>
    </row>
    <row r="2762" spans="4:48">
      <c r="D2762" s="31"/>
      <c r="E2762" s="31"/>
      <c r="F2762" s="31"/>
      <c r="G2762" s="31"/>
      <c r="H2762" s="32"/>
      <c r="J2762" s="33"/>
      <c r="K2762" s="33"/>
      <c r="L2762" s="33"/>
      <c r="X2762" s="23"/>
      <c r="Y2762" s="23"/>
      <c r="Z2762" s="23"/>
      <c r="AA2762" s="23"/>
      <c r="AF2762" s="23"/>
      <c r="AG2762" s="23"/>
      <c r="AH2762" s="23"/>
      <c r="AI2762" s="23"/>
      <c r="AN2762" s="23"/>
      <c r="AO2762" s="23"/>
      <c r="AP2762" s="23"/>
      <c r="AQ2762" s="23"/>
      <c r="AR2762" s="35"/>
      <c r="AS2762" s="35"/>
      <c r="AT2762" s="35"/>
      <c r="AU2762" s="31"/>
      <c r="AV2762" s="36"/>
    </row>
    <row r="2763" spans="4:48">
      <c r="D2763" s="31"/>
      <c r="E2763" s="31"/>
      <c r="F2763" s="31"/>
      <c r="G2763" s="31"/>
      <c r="H2763" s="32"/>
      <c r="J2763" s="33"/>
      <c r="K2763" s="33"/>
      <c r="L2763" s="33"/>
      <c r="X2763" s="23"/>
      <c r="Y2763" s="23"/>
      <c r="Z2763" s="23"/>
      <c r="AA2763" s="23"/>
      <c r="AF2763" s="23"/>
      <c r="AG2763" s="23"/>
      <c r="AH2763" s="23"/>
      <c r="AI2763" s="23"/>
      <c r="AN2763" s="23"/>
      <c r="AO2763" s="23"/>
      <c r="AP2763" s="23"/>
      <c r="AQ2763" s="23"/>
      <c r="AR2763" s="35"/>
      <c r="AS2763" s="35"/>
      <c r="AT2763" s="35"/>
      <c r="AU2763" s="31"/>
      <c r="AV2763" s="36"/>
    </row>
    <row r="2764" spans="4:48">
      <c r="D2764" s="31"/>
      <c r="E2764" s="31"/>
      <c r="F2764" s="31"/>
      <c r="G2764" s="31"/>
      <c r="H2764" s="32"/>
      <c r="J2764" s="33"/>
      <c r="K2764" s="33"/>
      <c r="L2764" s="33"/>
      <c r="X2764" s="23"/>
      <c r="Y2764" s="23"/>
      <c r="Z2764" s="23"/>
      <c r="AA2764" s="23"/>
      <c r="AF2764" s="23"/>
      <c r="AG2764" s="23"/>
      <c r="AH2764" s="23"/>
      <c r="AI2764" s="23"/>
      <c r="AN2764" s="23"/>
      <c r="AO2764" s="23"/>
      <c r="AP2764" s="23"/>
      <c r="AQ2764" s="23"/>
      <c r="AR2764" s="35"/>
      <c r="AS2764" s="35"/>
      <c r="AT2764" s="35"/>
      <c r="AU2764" s="31"/>
      <c r="AV2764" s="36"/>
    </row>
    <row r="2765" spans="4:48">
      <c r="D2765" s="31"/>
      <c r="E2765" s="31"/>
      <c r="F2765" s="31"/>
      <c r="G2765" s="31"/>
      <c r="H2765" s="32"/>
      <c r="J2765" s="33"/>
      <c r="K2765" s="33"/>
      <c r="L2765" s="33"/>
      <c r="X2765" s="23"/>
      <c r="Y2765" s="23"/>
      <c r="Z2765" s="23"/>
      <c r="AA2765" s="23"/>
      <c r="AF2765" s="23"/>
      <c r="AG2765" s="23"/>
      <c r="AH2765" s="23"/>
      <c r="AI2765" s="23"/>
      <c r="AN2765" s="23"/>
      <c r="AO2765" s="23"/>
      <c r="AP2765" s="23"/>
      <c r="AQ2765" s="23"/>
      <c r="AR2765" s="35"/>
      <c r="AS2765" s="35"/>
      <c r="AT2765" s="35"/>
      <c r="AU2765" s="31"/>
      <c r="AV2765" s="36"/>
    </row>
    <row r="2766" spans="4:48">
      <c r="D2766" s="31"/>
      <c r="E2766" s="31"/>
      <c r="F2766" s="31"/>
      <c r="G2766" s="31"/>
      <c r="H2766" s="32"/>
      <c r="J2766" s="33"/>
      <c r="K2766" s="33"/>
      <c r="L2766" s="33"/>
      <c r="X2766" s="23"/>
      <c r="Y2766" s="23"/>
      <c r="Z2766" s="23"/>
      <c r="AA2766" s="23"/>
      <c r="AF2766" s="23"/>
      <c r="AG2766" s="23"/>
      <c r="AH2766" s="23"/>
      <c r="AI2766" s="23"/>
      <c r="AN2766" s="23"/>
      <c r="AO2766" s="23"/>
      <c r="AP2766" s="23"/>
      <c r="AQ2766" s="23"/>
      <c r="AR2766" s="35"/>
      <c r="AS2766" s="35"/>
      <c r="AT2766" s="35"/>
      <c r="AU2766" s="31"/>
      <c r="AV2766" s="36"/>
    </row>
    <row r="2767" spans="4:48">
      <c r="D2767" s="31"/>
      <c r="E2767" s="31"/>
      <c r="F2767" s="31"/>
      <c r="G2767" s="31"/>
      <c r="H2767" s="32"/>
      <c r="J2767" s="33"/>
      <c r="K2767" s="33"/>
      <c r="L2767" s="33"/>
      <c r="X2767" s="23"/>
      <c r="Y2767" s="23"/>
      <c r="Z2767" s="23"/>
      <c r="AA2767" s="23"/>
      <c r="AF2767" s="23"/>
      <c r="AG2767" s="23"/>
      <c r="AH2767" s="23"/>
      <c r="AI2767" s="23"/>
      <c r="AN2767" s="23"/>
      <c r="AO2767" s="23"/>
      <c r="AP2767" s="23"/>
      <c r="AQ2767" s="23"/>
      <c r="AR2767" s="35"/>
      <c r="AS2767" s="35"/>
      <c r="AT2767" s="35"/>
      <c r="AU2767" s="31"/>
      <c r="AV2767" s="36"/>
    </row>
    <row r="2768" spans="4:48">
      <c r="D2768" s="31"/>
      <c r="E2768" s="31"/>
      <c r="F2768" s="31"/>
      <c r="G2768" s="31"/>
      <c r="H2768" s="32"/>
      <c r="J2768" s="33"/>
      <c r="K2768" s="33"/>
      <c r="L2768" s="33"/>
      <c r="X2768" s="23"/>
      <c r="Y2768" s="23"/>
      <c r="Z2768" s="23"/>
      <c r="AA2768" s="23"/>
      <c r="AF2768" s="23"/>
      <c r="AG2768" s="23"/>
      <c r="AH2768" s="23"/>
      <c r="AI2768" s="23"/>
      <c r="AN2768" s="23"/>
      <c r="AO2768" s="23"/>
      <c r="AP2768" s="23"/>
      <c r="AQ2768" s="23"/>
      <c r="AR2768" s="35"/>
      <c r="AS2768" s="35"/>
      <c r="AT2768" s="35"/>
      <c r="AU2768" s="31"/>
      <c r="AV2768" s="36"/>
    </row>
    <row r="2769" spans="4:48">
      <c r="D2769" s="31"/>
      <c r="E2769" s="31"/>
      <c r="F2769" s="31"/>
      <c r="G2769" s="31"/>
      <c r="H2769" s="32"/>
      <c r="J2769" s="33"/>
      <c r="K2769" s="33"/>
      <c r="L2769" s="33"/>
      <c r="X2769" s="23"/>
      <c r="Y2769" s="23"/>
      <c r="Z2769" s="23"/>
      <c r="AA2769" s="23"/>
      <c r="AF2769" s="23"/>
      <c r="AG2769" s="23"/>
      <c r="AH2769" s="23"/>
      <c r="AI2769" s="23"/>
      <c r="AN2769" s="23"/>
      <c r="AO2769" s="23"/>
      <c r="AP2769" s="23"/>
      <c r="AQ2769" s="23"/>
      <c r="AR2769" s="35"/>
      <c r="AS2769" s="35"/>
      <c r="AT2769" s="35"/>
      <c r="AU2769" s="31"/>
      <c r="AV2769" s="36"/>
    </row>
    <row r="2770" spans="4:48">
      <c r="D2770" s="31"/>
      <c r="E2770" s="31"/>
      <c r="F2770" s="31"/>
      <c r="G2770" s="31"/>
      <c r="H2770" s="32"/>
      <c r="J2770" s="33"/>
      <c r="K2770" s="33"/>
      <c r="L2770" s="33"/>
      <c r="X2770" s="23"/>
      <c r="Y2770" s="23"/>
      <c r="Z2770" s="23"/>
      <c r="AA2770" s="23"/>
      <c r="AF2770" s="23"/>
      <c r="AG2770" s="23"/>
      <c r="AH2770" s="23"/>
      <c r="AI2770" s="23"/>
      <c r="AN2770" s="23"/>
      <c r="AO2770" s="23"/>
      <c r="AP2770" s="23"/>
      <c r="AQ2770" s="23"/>
      <c r="AR2770" s="35"/>
      <c r="AS2770" s="35"/>
      <c r="AT2770" s="35"/>
      <c r="AU2770" s="31"/>
      <c r="AV2770" s="36"/>
    </row>
    <row r="2771" spans="4:48">
      <c r="D2771" s="31"/>
      <c r="E2771" s="31"/>
      <c r="F2771" s="31"/>
      <c r="G2771" s="31"/>
      <c r="H2771" s="32"/>
      <c r="J2771" s="33"/>
      <c r="K2771" s="33"/>
      <c r="L2771" s="33"/>
      <c r="X2771" s="23"/>
      <c r="Y2771" s="23"/>
      <c r="Z2771" s="23"/>
      <c r="AA2771" s="23"/>
      <c r="AF2771" s="23"/>
      <c r="AG2771" s="23"/>
      <c r="AH2771" s="23"/>
      <c r="AI2771" s="23"/>
      <c r="AN2771" s="23"/>
      <c r="AO2771" s="23"/>
      <c r="AP2771" s="23"/>
      <c r="AQ2771" s="23"/>
      <c r="AR2771" s="35"/>
      <c r="AS2771" s="35"/>
      <c r="AT2771" s="35"/>
      <c r="AU2771" s="31"/>
      <c r="AV2771" s="36"/>
    </row>
    <row r="2772" spans="4:48">
      <c r="D2772" s="31"/>
      <c r="E2772" s="31"/>
      <c r="F2772" s="31"/>
      <c r="G2772" s="31"/>
      <c r="H2772" s="32"/>
      <c r="J2772" s="33"/>
      <c r="K2772" s="33"/>
      <c r="L2772" s="33"/>
      <c r="X2772" s="23"/>
      <c r="Y2772" s="23"/>
      <c r="Z2772" s="23"/>
      <c r="AA2772" s="23"/>
      <c r="AF2772" s="23"/>
      <c r="AG2772" s="23"/>
      <c r="AH2772" s="23"/>
      <c r="AI2772" s="23"/>
      <c r="AN2772" s="23"/>
      <c r="AO2772" s="23"/>
      <c r="AP2772" s="23"/>
      <c r="AQ2772" s="23"/>
      <c r="AR2772" s="35"/>
      <c r="AS2772" s="35"/>
      <c r="AT2772" s="35"/>
      <c r="AU2772" s="31"/>
      <c r="AV2772" s="36"/>
    </row>
    <row r="2773" spans="4:48">
      <c r="D2773" s="31"/>
      <c r="E2773" s="31"/>
      <c r="F2773" s="31"/>
      <c r="G2773" s="31"/>
      <c r="H2773" s="32"/>
      <c r="J2773" s="33"/>
      <c r="K2773" s="33"/>
      <c r="L2773" s="33"/>
      <c r="X2773" s="23"/>
      <c r="Y2773" s="23"/>
      <c r="Z2773" s="23"/>
      <c r="AA2773" s="23"/>
      <c r="AF2773" s="23"/>
      <c r="AG2773" s="23"/>
      <c r="AH2773" s="23"/>
      <c r="AI2773" s="23"/>
      <c r="AN2773" s="23"/>
      <c r="AO2773" s="23"/>
      <c r="AP2773" s="23"/>
      <c r="AQ2773" s="23"/>
      <c r="AR2773" s="35"/>
      <c r="AS2773" s="35"/>
      <c r="AT2773" s="35"/>
      <c r="AU2773" s="31"/>
      <c r="AV2773" s="36"/>
    </row>
    <row r="2774" spans="4:48">
      <c r="D2774" s="31"/>
      <c r="E2774" s="31"/>
      <c r="F2774" s="31"/>
      <c r="G2774" s="31"/>
      <c r="H2774" s="32"/>
      <c r="J2774" s="33"/>
      <c r="K2774" s="33"/>
      <c r="L2774" s="33"/>
      <c r="X2774" s="23"/>
      <c r="Y2774" s="23"/>
      <c r="Z2774" s="23"/>
      <c r="AA2774" s="23"/>
      <c r="AF2774" s="23"/>
      <c r="AG2774" s="23"/>
      <c r="AH2774" s="23"/>
      <c r="AI2774" s="23"/>
      <c r="AN2774" s="23"/>
      <c r="AO2774" s="23"/>
      <c r="AP2774" s="23"/>
      <c r="AQ2774" s="23"/>
      <c r="AR2774" s="35"/>
      <c r="AS2774" s="35"/>
      <c r="AT2774" s="35"/>
      <c r="AU2774" s="31"/>
      <c r="AV2774" s="36"/>
    </row>
    <row r="2775" spans="4:48">
      <c r="D2775" s="31"/>
      <c r="E2775" s="31"/>
      <c r="F2775" s="31"/>
      <c r="G2775" s="31"/>
      <c r="H2775" s="32"/>
      <c r="J2775" s="33"/>
      <c r="K2775" s="33"/>
      <c r="L2775" s="33"/>
      <c r="X2775" s="23"/>
      <c r="Y2775" s="23"/>
      <c r="Z2775" s="23"/>
      <c r="AA2775" s="23"/>
      <c r="AF2775" s="23"/>
      <c r="AG2775" s="23"/>
      <c r="AH2775" s="23"/>
      <c r="AI2775" s="23"/>
      <c r="AN2775" s="23"/>
      <c r="AO2775" s="23"/>
      <c r="AP2775" s="23"/>
      <c r="AQ2775" s="23"/>
      <c r="AR2775" s="35"/>
      <c r="AS2775" s="35"/>
      <c r="AT2775" s="35"/>
      <c r="AU2775" s="31"/>
      <c r="AV2775" s="36"/>
    </row>
    <row r="2776" spans="4:48">
      <c r="D2776" s="31"/>
      <c r="E2776" s="31"/>
      <c r="F2776" s="31"/>
      <c r="G2776" s="31"/>
      <c r="H2776" s="32"/>
      <c r="J2776" s="33"/>
      <c r="K2776" s="33"/>
      <c r="L2776" s="33"/>
      <c r="X2776" s="23"/>
      <c r="Y2776" s="23"/>
      <c r="Z2776" s="23"/>
      <c r="AA2776" s="23"/>
      <c r="AF2776" s="23"/>
      <c r="AG2776" s="23"/>
      <c r="AH2776" s="23"/>
      <c r="AI2776" s="23"/>
      <c r="AN2776" s="23"/>
      <c r="AO2776" s="23"/>
      <c r="AP2776" s="23"/>
      <c r="AQ2776" s="23"/>
      <c r="AR2776" s="35"/>
      <c r="AS2776" s="35"/>
      <c r="AT2776" s="35"/>
      <c r="AU2776" s="31"/>
      <c r="AV2776" s="36"/>
    </row>
    <row r="2777" spans="4:48">
      <c r="D2777" s="31"/>
      <c r="E2777" s="31"/>
      <c r="F2777" s="31"/>
      <c r="G2777" s="31"/>
      <c r="H2777" s="32"/>
      <c r="J2777" s="33"/>
      <c r="K2777" s="33"/>
      <c r="L2777" s="33"/>
      <c r="X2777" s="23"/>
      <c r="Y2777" s="23"/>
      <c r="Z2777" s="23"/>
      <c r="AA2777" s="23"/>
      <c r="AF2777" s="23"/>
      <c r="AG2777" s="23"/>
      <c r="AH2777" s="23"/>
      <c r="AI2777" s="23"/>
      <c r="AN2777" s="23"/>
      <c r="AO2777" s="23"/>
      <c r="AP2777" s="23"/>
      <c r="AQ2777" s="23"/>
      <c r="AR2777" s="35"/>
      <c r="AS2777" s="35"/>
      <c r="AT2777" s="35"/>
      <c r="AU2777" s="31"/>
      <c r="AV2777" s="36"/>
    </row>
    <row r="2778" spans="4:48">
      <c r="D2778" s="31"/>
      <c r="E2778" s="31"/>
      <c r="F2778" s="31"/>
      <c r="G2778" s="31"/>
      <c r="H2778" s="32"/>
      <c r="J2778" s="33"/>
      <c r="K2778" s="33"/>
      <c r="L2778" s="33"/>
      <c r="X2778" s="23"/>
      <c r="Y2778" s="23"/>
      <c r="Z2778" s="23"/>
      <c r="AA2778" s="23"/>
      <c r="AF2778" s="23"/>
      <c r="AG2778" s="23"/>
      <c r="AH2778" s="23"/>
      <c r="AI2778" s="23"/>
      <c r="AN2778" s="23"/>
      <c r="AO2778" s="23"/>
      <c r="AP2778" s="23"/>
      <c r="AQ2778" s="23"/>
      <c r="AR2778" s="35"/>
      <c r="AS2778" s="35"/>
      <c r="AT2778" s="35"/>
      <c r="AU2778" s="31"/>
      <c r="AV2778" s="36"/>
    </row>
    <row r="2779" spans="4:48">
      <c r="D2779" s="31"/>
      <c r="E2779" s="31"/>
      <c r="F2779" s="31"/>
      <c r="G2779" s="31"/>
      <c r="H2779" s="32"/>
      <c r="J2779" s="33"/>
      <c r="K2779" s="33"/>
      <c r="L2779" s="33"/>
      <c r="X2779" s="23"/>
      <c r="Y2779" s="23"/>
      <c r="Z2779" s="23"/>
      <c r="AA2779" s="23"/>
      <c r="AF2779" s="23"/>
      <c r="AG2779" s="23"/>
      <c r="AH2779" s="23"/>
      <c r="AI2779" s="23"/>
      <c r="AN2779" s="23"/>
      <c r="AO2779" s="23"/>
      <c r="AP2779" s="23"/>
      <c r="AQ2779" s="23"/>
      <c r="AR2779" s="35"/>
      <c r="AS2779" s="35"/>
      <c r="AT2779" s="35"/>
      <c r="AU2779" s="31"/>
      <c r="AV2779" s="36"/>
    </row>
    <row r="2780" spans="4:48">
      <c r="D2780" s="31"/>
      <c r="E2780" s="31"/>
      <c r="F2780" s="31"/>
      <c r="G2780" s="31"/>
      <c r="H2780" s="32"/>
      <c r="J2780" s="33"/>
      <c r="K2780" s="33"/>
      <c r="L2780" s="33"/>
      <c r="X2780" s="23"/>
      <c r="Y2780" s="23"/>
      <c r="Z2780" s="23"/>
      <c r="AA2780" s="23"/>
      <c r="AF2780" s="23"/>
      <c r="AG2780" s="23"/>
      <c r="AH2780" s="23"/>
      <c r="AI2780" s="23"/>
      <c r="AN2780" s="23"/>
      <c r="AO2780" s="23"/>
      <c r="AP2780" s="23"/>
      <c r="AQ2780" s="23"/>
      <c r="AR2780" s="35"/>
      <c r="AS2780" s="35"/>
      <c r="AT2780" s="35"/>
      <c r="AU2780" s="31"/>
      <c r="AV2780" s="36"/>
    </row>
    <row r="2781" spans="4:48">
      <c r="D2781" s="31"/>
      <c r="E2781" s="31"/>
      <c r="F2781" s="31"/>
      <c r="G2781" s="31"/>
      <c r="H2781" s="32"/>
      <c r="J2781" s="33"/>
      <c r="K2781" s="33"/>
      <c r="L2781" s="33"/>
      <c r="X2781" s="23"/>
      <c r="Y2781" s="23"/>
      <c r="Z2781" s="23"/>
      <c r="AA2781" s="23"/>
      <c r="AF2781" s="23"/>
      <c r="AG2781" s="23"/>
      <c r="AH2781" s="23"/>
      <c r="AI2781" s="23"/>
      <c r="AN2781" s="23"/>
      <c r="AO2781" s="23"/>
      <c r="AP2781" s="23"/>
      <c r="AQ2781" s="23"/>
      <c r="AR2781" s="35"/>
      <c r="AS2781" s="35"/>
      <c r="AT2781" s="35"/>
      <c r="AU2781" s="31"/>
      <c r="AV2781" s="36"/>
    </row>
    <row r="2782" spans="4:48">
      <c r="D2782" s="31"/>
      <c r="E2782" s="31"/>
      <c r="F2782" s="31"/>
      <c r="G2782" s="31"/>
      <c r="H2782" s="32"/>
      <c r="J2782" s="33"/>
      <c r="K2782" s="33"/>
      <c r="L2782" s="33"/>
      <c r="X2782" s="23"/>
      <c r="Y2782" s="23"/>
      <c r="Z2782" s="23"/>
      <c r="AA2782" s="23"/>
      <c r="AF2782" s="23"/>
      <c r="AG2782" s="23"/>
      <c r="AH2782" s="23"/>
      <c r="AI2782" s="23"/>
      <c r="AN2782" s="23"/>
      <c r="AO2782" s="23"/>
      <c r="AP2782" s="23"/>
      <c r="AQ2782" s="23"/>
      <c r="AR2782" s="35"/>
      <c r="AS2782" s="35"/>
      <c r="AT2782" s="35"/>
      <c r="AU2782" s="31"/>
      <c r="AV2782" s="36"/>
    </row>
    <row r="2783" spans="4:48">
      <c r="D2783" s="31"/>
      <c r="E2783" s="31"/>
      <c r="F2783" s="31"/>
      <c r="G2783" s="31"/>
      <c r="H2783" s="32"/>
      <c r="J2783" s="33"/>
      <c r="K2783" s="33"/>
      <c r="L2783" s="33"/>
      <c r="X2783" s="23"/>
      <c r="Y2783" s="23"/>
      <c r="Z2783" s="23"/>
      <c r="AA2783" s="23"/>
      <c r="AF2783" s="23"/>
      <c r="AG2783" s="23"/>
      <c r="AH2783" s="23"/>
      <c r="AI2783" s="23"/>
      <c r="AN2783" s="23"/>
      <c r="AO2783" s="23"/>
      <c r="AP2783" s="23"/>
      <c r="AQ2783" s="23"/>
      <c r="AR2783" s="35"/>
      <c r="AS2783" s="35"/>
      <c r="AT2783" s="35"/>
      <c r="AU2783" s="31"/>
      <c r="AV2783" s="36"/>
    </row>
    <row r="2784" spans="4:48">
      <c r="D2784" s="31"/>
      <c r="E2784" s="31"/>
      <c r="F2784" s="31"/>
      <c r="G2784" s="31"/>
      <c r="H2784" s="32"/>
      <c r="J2784" s="33"/>
      <c r="K2784" s="33"/>
      <c r="L2784" s="33"/>
      <c r="X2784" s="23"/>
      <c r="Y2784" s="23"/>
      <c r="Z2784" s="23"/>
      <c r="AA2784" s="23"/>
      <c r="AF2784" s="23"/>
      <c r="AG2784" s="23"/>
      <c r="AH2784" s="23"/>
      <c r="AI2784" s="23"/>
      <c r="AN2784" s="23"/>
      <c r="AO2784" s="23"/>
      <c r="AP2784" s="23"/>
      <c r="AQ2784" s="23"/>
      <c r="AR2784" s="35"/>
      <c r="AS2784" s="35"/>
      <c r="AT2784" s="35"/>
      <c r="AU2784" s="31"/>
      <c r="AV2784" s="36"/>
    </row>
    <row r="2785" spans="4:48">
      <c r="D2785" s="31"/>
      <c r="E2785" s="31"/>
      <c r="F2785" s="31"/>
      <c r="G2785" s="31"/>
      <c r="H2785" s="32"/>
      <c r="J2785" s="33"/>
      <c r="K2785" s="33"/>
      <c r="L2785" s="33"/>
      <c r="X2785" s="23"/>
      <c r="Y2785" s="23"/>
      <c r="Z2785" s="23"/>
      <c r="AA2785" s="23"/>
      <c r="AF2785" s="23"/>
      <c r="AG2785" s="23"/>
      <c r="AH2785" s="23"/>
      <c r="AI2785" s="23"/>
      <c r="AN2785" s="23"/>
      <c r="AO2785" s="23"/>
      <c r="AP2785" s="23"/>
      <c r="AQ2785" s="23"/>
      <c r="AR2785" s="35"/>
      <c r="AS2785" s="35"/>
      <c r="AT2785" s="35"/>
      <c r="AU2785" s="31"/>
      <c r="AV2785" s="36"/>
    </row>
    <row r="2786" spans="4:48">
      <c r="D2786" s="31"/>
      <c r="E2786" s="31"/>
      <c r="F2786" s="31"/>
      <c r="G2786" s="31"/>
      <c r="H2786" s="32"/>
      <c r="J2786" s="33"/>
      <c r="K2786" s="33"/>
      <c r="L2786" s="33"/>
      <c r="X2786" s="23"/>
      <c r="Y2786" s="23"/>
      <c r="Z2786" s="23"/>
      <c r="AA2786" s="23"/>
      <c r="AF2786" s="23"/>
      <c r="AG2786" s="23"/>
      <c r="AH2786" s="23"/>
      <c r="AI2786" s="23"/>
      <c r="AN2786" s="23"/>
      <c r="AO2786" s="23"/>
      <c r="AP2786" s="23"/>
      <c r="AQ2786" s="23"/>
      <c r="AR2786" s="35"/>
      <c r="AS2786" s="35"/>
      <c r="AT2786" s="35"/>
      <c r="AU2786" s="31"/>
      <c r="AV2786" s="36"/>
    </row>
    <row r="2787" spans="4:48">
      <c r="D2787" s="31"/>
      <c r="E2787" s="31"/>
      <c r="F2787" s="31"/>
      <c r="G2787" s="31"/>
      <c r="H2787" s="32"/>
      <c r="J2787" s="33"/>
      <c r="K2787" s="33"/>
      <c r="L2787" s="33"/>
      <c r="X2787" s="23"/>
      <c r="Y2787" s="23"/>
      <c r="Z2787" s="23"/>
      <c r="AA2787" s="23"/>
      <c r="AF2787" s="23"/>
      <c r="AG2787" s="23"/>
      <c r="AH2787" s="23"/>
      <c r="AI2787" s="23"/>
      <c r="AN2787" s="23"/>
      <c r="AO2787" s="23"/>
      <c r="AP2787" s="23"/>
      <c r="AQ2787" s="23"/>
      <c r="AR2787" s="35"/>
      <c r="AS2787" s="35"/>
      <c r="AT2787" s="35"/>
      <c r="AU2787" s="31"/>
      <c r="AV2787" s="36"/>
    </row>
    <row r="2788" spans="4:48">
      <c r="D2788" s="31"/>
      <c r="E2788" s="31"/>
      <c r="F2788" s="31"/>
      <c r="G2788" s="31"/>
      <c r="H2788" s="32"/>
      <c r="J2788" s="33"/>
      <c r="K2788" s="33"/>
      <c r="L2788" s="33"/>
      <c r="X2788" s="23"/>
      <c r="Y2788" s="23"/>
      <c r="Z2788" s="23"/>
      <c r="AA2788" s="23"/>
      <c r="AF2788" s="23"/>
      <c r="AG2788" s="23"/>
      <c r="AH2788" s="23"/>
      <c r="AI2788" s="23"/>
      <c r="AN2788" s="23"/>
      <c r="AO2788" s="23"/>
      <c r="AP2788" s="23"/>
      <c r="AQ2788" s="23"/>
      <c r="AR2788" s="35"/>
      <c r="AS2788" s="35"/>
      <c r="AT2788" s="35"/>
      <c r="AU2788" s="31"/>
      <c r="AV2788" s="36"/>
    </row>
    <row r="2789" spans="4:48">
      <c r="D2789" s="31"/>
      <c r="E2789" s="31"/>
      <c r="F2789" s="31"/>
      <c r="G2789" s="31"/>
      <c r="H2789" s="32"/>
      <c r="J2789" s="33"/>
      <c r="K2789" s="33"/>
      <c r="L2789" s="33"/>
      <c r="X2789" s="23"/>
      <c r="Y2789" s="23"/>
      <c r="Z2789" s="23"/>
      <c r="AA2789" s="23"/>
      <c r="AF2789" s="23"/>
      <c r="AG2789" s="23"/>
      <c r="AH2789" s="23"/>
      <c r="AI2789" s="23"/>
      <c r="AN2789" s="23"/>
      <c r="AO2789" s="23"/>
      <c r="AP2789" s="23"/>
      <c r="AQ2789" s="23"/>
      <c r="AR2789" s="35"/>
      <c r="AS2789" s="35"/>
      <c r="AT2789" s="35"/>
      <c r="AU2789" s="31"/>
      <c r="AV2789" s="36"/>
    </row>
    <row r="2790" spans="4:48">
      <c r="D2790" s="31"/>
      <c r="E2790" s="31"/>
      <c r="F2790" s="31"/>
      <c r="G2790" s="31"/>
      <c r="H2790" s="32"/>
      <c r="J2790" s="33"/>
      <c r="K2790" s="33"/>
      <c r="L2790" s="33"/>
      <c r="X2790" s="23"/>
      <c r="Y2790" s="23"/>
      <c r="Z2790" s="23"/>
      <c r="AA2790" s="23"/>
      <c r="AF2790" s="23"/>
      <c r="AG2790" s="23"/>
      <c r="AH2790" s="23"/>
      <c r="AI2790" s="23"/>
      <c r="AN2790" s="23"/>
      <c r="AO2790" s="23"/>
      <c r="AP2790" s="23"/>
      <c r="AQ2790" s="23"/>
      <c r="AR2790" s="35"/>
      <c r="AS2790" s="35"/>
      <c r="AT2790" s="35"/>
      <c r="AU2790" s="31"/>
      <c r="AV2790" s="36"/>
    </row>
    <row r="2791" spans="4:48">
      <c r="D2791" s="31"/>
      <c r="E2791" s="31"/>
      <c r="F2791" s="31"/>
      <c r="G2791" s="31"/>
      <c r="H2791" s="32"/>
      <c r="J2791" s="33"/>
      <c r="K2791" s="33"/>
      <c r="L2791" s="33"/>
      <c r="X2791" s="23"/>
      <c r="Y2791" s="23"/>
      <c r="Z2791" s="23"/>
      <c r="AA2791" s="23"/>
      <c r="AF2791" s="23"/>
      <c r="AG2791" s="23"/>
      <c r="AH2791" s="23"/>
      <c r="AI2791" s="23"/>
      <c r="AN2791" s="23"/>
      <c r="AO2791" s="23"/>
      <c r="AP2791" s="23"/>
      <c r="AQ2791" s="23"/>
      <c r="AR2791" s="35"/>
      <c r="AS2791" s="35"/>
      <c r="AT2791" s="35"/>
      <c r="AU2791" s="31"/>
      <c r="AV2791" s="36"/>
    </row>
    <row r="2792" spans="4:48">
      <c r="D2792" s="31"/>
      <c r="E2792" s="31"/>
      <c r="F2792" s="31"/>
      <c r="G2792" s="31"/>
      <c r="H2792" s="32"/>
      <c r="J2792" s="33"/>
      <c r="K2792" s="33"/>
      <c r="L2792" s="33"/>
      <c r="X2792" s="23"/>
      <c r="Y2792" s="23"/>
      <c r="Z2792" s="23"/>
      <c r="AA2792" s="23"/>
      <c r="AF2792" s="23"/>
      <c r="AG2792" s="23"/>
      <c r="AH2792" s="23"/>
      <c r="AI2792" s="23"/>
      <c r="AN2792" s="23"/>
      <c r="AO2792" s="23"/>
      <c r="AP2792" s="23"/>
      <c r="AQ2792" s="23"/>
      <c r="AR2792" s="35"/>
      <c r="AS2792" s="35"/>
      <c r="AT2792" s="35"/>
      <c r="AU2792" s="31"/>
      <c r="AV2792" s="36"/>
    </row>
    <row r="2793" spans="4:48">
      <c r="D2793" s="31"/>
      <c r="E2793" s="31"/>
      <c r="F2793" s="31"/>
      <c r="G2793" s="31"/>
      <c r="H2793" s="32"/>
      <c r="J2793" s="33"/>
      <c r="K2793" s="33"/>
      <c r="L2793" s="33"/>
      <c r="X2793" s="23"/>
      <c r="Y2793" s="23"/>
      <c r="Z2793" s="23"/>
      <c r="AA2793" s="23"/>
      <c r="AF2793" s="23"/>
      <c r="AG2793" s="23"/>
      <c r="AH2793" s="23"/>
      <c r="AI2793" s="23"/>
      <c r="AN2793" s="23"/>
      <c r="AO2793" s="23"/>
      <c r="AP2793" s="23"/>
      <c r="AQ2793" s="23"/>
      <c r="AR2793" s="35"/>
      <c r="AS2793" s="35"/>
      <c r="AT2793" s="35"/>
      <c r="AU2793" s="31"/>
      <c r="AV2793" s="36"/>
    </row>
    <row r="2794" spans="4:48">
      <c r="D2794" s="31"/>
      <c r="E2794" s="31"/>
      <c r="F2794" s="31"/>
      <c r="G2794" s="31"/>
      <c r="H2794" s="32"/>
      <c r="J2794" s="33"/>
      <c r="K2794" s="33"/>
      <c r="L2794" s="33"/>
      <c r="X2794" s="23"/>
      <c r="Y2794" s="23"/>
      <c r="Z2794" s="23"/>
      <c r="AA2794" s="23"/>
      <c r="AF2794" s="23"/>
      <c r="AG2794" s="23"/>
      <c r="AH2794" s="23"/>
      <c r="AI2794" s="23"/>
      <c r="AN2794" s="23"/>
      <c r="AO2794" s="23"/>
      <c r="AP2794" s="23"/>
      <c r="AQ2794" s="23"/>
      <c r="AR2794" s="35"/>
      <c r="AS2794" s="35"/>
      <c r="AT2794" s="35"/>
      <c r="AU2794" s="31"/>
      <c r="AV2794" s="36"/>
    </row>
    <row r="2795" spans="4:48">
      <c r="D2795" s="31"/>
      <c r="E2795" s="31"/>
      <c r="F2795" s="31"/>
      <c r="G2795" s="31"/>
      <c r="H2795" s="32"/>
      <c r="J2795" s="33"/>
      <c r="K2795" s="33"/>
      <c r="L2795" s="33"/>
      <c r="X2795" s="23"/>
      <c r="Y2795" s="23"/>
      <c r="Z2795" s="23"/>
      <c r="AA2795" s="23"/>
      <c r="AF2795" s="23"/>
      <c r="AG2795" s="23"/>
      <c r="AH2795" s="23"/>
      <c r="AI2795" s="23"/>
      <c r="AN2795" s="23"/>
      <c r="AO2795" s="23"/>
      <c r="AP2795" s="23"/>
      <c r="AQ2795" s="23"/>
      <c r="AR2795" s="35"/>
      <c r="AS2795" s="35"/>
      <c r="AT2795" s="35"/>
      <c r="AU2795" s="31"/>
      <c r="AV2795" s="36"/>
    </row>
    <row r="2796" spans="4:48">
      <c r="D2796" s="31"/>
      <c r="E2796" s="31"/>
      <c r="F2796" s="31"/>
      <c r="G2796" s="31"/>
      <c r="H2796" s="32"/>
      <c r="J2796" s="33"/>
      <c r="K2796" s="33"/>
      <c r="L2796" s="33"/>
      <c r="X2796" s="23"/>
      <c r="Y2796" s="23"/>
      <c r="Z2796" s="23"/>
      <c r="AA2796" s="23"/>
      <c r="AF2796" s="23"/>
      <c r="AG2796" s="23"/>
      <c r="AH2796" s="23"/>
      <c r="AI2796" s="23"/>
      <c r="AN2796" s="23"/>
      <c r="AO2796" s="23"/>
      <c r="AP2796" s="23"/>
      <c r="AQ2796" s="23"/>
      <c r="AR2796" s="35"/>
      <c r="AS2796" s="35"/>
      <c r="AT2796" s="35"/>
      <c r="AU2796" s="31"/>
      <c r="AV2796" s="36"/>
    </row>
    <row r="2797" spans="4:48">
      <c r="D2797" s="31"/>
      <c r="E2797" s="31"/>
      <c r="F2797" s="31"/>
      <c r="G2797" s="31"/>
      <c r="H2797" s="32"/>
      <c r="J2797" s="33"/>
      <c r="K2797" s="33"/>
      <c r="L2797" s="33"/>
      <c r="X2797" s="23"/>
      <c r="Y2797" s="23"/>
      <c r="Z2797" s="23"/>
      <c r="AA2797" s="23"/>
      <c r="AF2797" s="23"/>
      <c r="AG2797" s="23"/>
      <c r="AH2797" s="23"/>
      <c r="AI2797" s="23"/>
      <c r="AN2797" s="23"/>
      <c r="AO2797" s="23"/>
      <c r="AP2797" s="23"/>
      <c r="AQ2797" s="23"/>
      <c r="AR2797" s="35"/>
      <c r="AS2797" s="35"/>
      <c r="AT2797" s="35"/>
      <c r="AU2797" s="31"/>
      <c r="AV2797" s="36"/>
    </row>
    <row r="2798" spans="4:48">
      <c r="D2798" s="31"/>
      <c r="E2798" s="31"/>
      <c r="F2798" s="31"/>
      <c r="G2798" s="31"/>
      <c r="H2798" s="32"/>
      <c r="J2798" s="33"/>
      <c r="K2798" s="33"/>
      <c r="L2798" s="33"/>
      <c r="X2798" s="23"/>
      <c r="Y2798" s="23"/>
      <c r="Z2798" s="23"/>
      <c r="AA2798" s="23"/>
      <c r="AF2798" s="23"/>
      <c r="AG2798" s="23"/>
      <c r="AH2798" s="23"/>
      <c r="AI2798" s="23"/>
      <c r="AN2798" s="23"/>
      <c r="AO2798" s="23"/>
      <c r="AP2798" s="23"/>
      <c r="AQ2798" s="23"/>
      <c r="AR2798" s="35"/>
      <c r="AS2798" s="35"/>
      <c r="AT2798" s="35"/>
      <c r="AU2798" s="31"/>
      <c r="AV2798" s="36"/>
    </row>
    <row r="2799" spans="4:48">
      <c r="D2799" s="31"/>
      <c r="E2799" s="31"/>
      <c r="F2799" s="31"/>
      <c r="G2799" s="31"/>
      <c r="H2799" s="32"/>
      <c r="J2799" s="33"/>
      <c r="K2799" s="33"/>
      <c r="L2799" s="33"/>
      <c r="X2799" s="23"/>
      <c r="Y2799" s="23"/>
      <c r="Z2799" s="23"/>
      <c r="AA2799" s="23"/>
      <c r="AF2799" s="23"/>
      <c r="AG2799" s="23"/>
      <c r="AH2799" s="23"/>
      <c r="AI2799" s="23"/>
      <c r="AN2799" s="23"/>
      <c r="AO2799" s="23"/>
      <c r="AP2799" s="23"/>
      <c r="AQ2799" s="23"/>
      <c r="AR2799" s="35"/>
      <c r="AS2799" s="35"/>
      <c r="AT2799" s="35"/>
      <c r="AU2799" s="31"/>
      <c r="AV2799" s="36"/>
    </row>
    <row r="2800" spans="4:48">
      <c r="D2800" s="31"/>
      <c r="E2800" s="31"/>
      <c r="F2800" s="31"/>
      <c r="G2800" s="31"/>
      <c r="H2800" s="32"/>
      <c r="J2800" s="33"/>
      <c r="K2800" s="33"/>
      <c r="L2800" s="33"/>
      <c r="X2800" s="23"/>
      <c r="Y2800" s="23"/>
      <c r="Z2800" s="23"/>
      <c r="AA2800" s="23"/>
      <c r="AF2800" s="23"/>
      <c r="AG2800" s="23"/>
      <c r="AH2800" s="23"/>
      <c r="AI2800" s="23"/>
      <c r="AN2800" s="23"/>
      <c r="AO2800" s="23"/>
      <c r="AP2800" s="23"/>
      <c r="AQ2800" s="23"/>
      <c r="AR2800" s="35"/>
      <c r="AS2800" s="35"/>
      <c r="AT2800" s="35"/>
      <c r="AU2800" s="31"/>
      <c r="AV2800" s="36"/>
    </row>
    <row r="2801" spans="4:48">
      <c r="D2801" s="31"/>
      <c r="E2801" s="31"/>
      <c r="F2801" s="31"/>
      <c r="G2801" s="31"/>
      <c r="H2801" s="32"/>
      <c r="J2801" s="33"/>
      <c r="K2801" s="33"/>
      <c r="L2801" s="33"/>
      <c r="X2801" s="23"/>
      <c r="Y2801" s="23"/>
      <c r="Z2801" s="23"/>
      <c r="AA2801" s="23"/>
      <c r="AF2801" s="23"/>
      <c r="AG2801" s="23"/>
      <c r="AH2801" s="23"/>
      <c r="AI2801" s="23"/>
      <c r="AN2801" s="23"/>
      <c r="AO2801" s="23"/>
      <c r="AP2801" s="23"/>
      <c r="AQ2801" s="23"/>
      <c r="AR2801" s="35"/>
      <c r="AS2801" s="35"/>
      <c r="AT2801" s="35"/>
      <c r="AU2801" s="31"/>
      <c r="AV2801" s="36"/>
    </row>
    <row r="2802" spans="4:48">
      <c r="D2802" s="31"/>
      <c r="E2802" s="31"/>
      <c r="F2802" s="31"/>
      <c r="G2802" s="31"/>
      <c r="H2802" s="32"/>
      <c r="J2802" s="33"/>
      <c r="K2802" s="33"/>
      <c r="L2802" s="33"/>
      <c r="X2802" s="23"/>
      <c r="Y2802" s="23"/>
      <c r="Z2802" s="23"/>
      <c r="AA2802" s="23"/>
      <c r="AF2802" s="23"/>
      <c r="AG2802" s="23"/>
      <c r="AH2802" s="23"/>
      <c r="AI2802" s="23"/>
      <c r="AN2802" s="23"/>
      <c r="AO2802" s="23"/>
      <c r="AP2802" s="23"/>
      <c r="AQ2802" s="23"/>
      <c r="AR2802" s="35"/>
      <c r="AS2802" s="35"/>
      <c r="AT2802" s="35"/>
      <c r="AU2802" s="31"/>
      <c r="AV2802" s="36"/>
    </row>
    <row r="2803" spans="4:48">
      <c r="D2803" s="31"/>
      <c r="E2803" s="31"/>
      <c r="F2803" s="31"/>
      <c r="G2803" s="31"/>
      <c r="H2803" s="32"/>
      <c r="J2803" s="33"/>
      <c r="K2803" s="33"/>
      <c r="L2803" s="33"/>
      <c r="X2803" s="23"/>
      <c r="Y2803" s="23"/>
      <c r="Z2803" s="23"/>
      <c r="AA2803" s="23"/>
      <c r="AF2803" s="23"/>
      <c r="AG2803" s="23"/>
      <c r="AH2803" s="23"/>
      <c r="AI2803" s="23"/>
      <c r="AN2803" s="23"/>
      <c r="AO2803" s="23"/>
      <c r="AP2803" s="23"/>
      <c r="AQ2803" s="23"/>
      <c r="AR2803" s="35"/>
      <c r="AS2803" s="35"/>
      <c r="AT2803" s="35"/>
      <c r="AU2803" s="31"/>
      <c r="AV2803" s="36"/>
    </row>
    <row r="2804" spans="4:48">
      <c r="D2804" s="31"/>
      <c r="E2804" s="31"/>
      <c r="F2804" s="31"/>
      <c r="G2804" s="31"/>
      <c r="H2804" s="32"/>
      <c r="J2804" s="33"/>
      <c r="K2804" s="33"/>
      <c r="L2804" s="33"/>
      <c r="X2804" s="23"/>
      <c r="Y2804" s="23"/>
      <c r="Z2804" s="23"/>
      <c r="AA2804" s="23"/>
      <c r="AF2804" s="23"/>
      <c r="AG2804" s="23"/>
      <c r="AH2804" s="23"/>
      <c r="AI2804" s="23"/>
      <c r="AN2804" s="23"/>
      <c r="AO2804" s="23"/>
      <c r="AP2804" s="23"/>
      <c r="AQ2804" s="23"/>
      <c r="AR2804" s="35"/>
      <c r="AS2804" s="35"/>
      <c r="AT2804" s="35"/>
      <c r="AU2804" s="31"/>
      <c r="AV2804" s="36"/>
    </row>
    <row r="2805" spans="4:48">
      <c r="D2805" s="31"/>
      <c r="E2805" s="31"/>
      <c r="F2805" s="31"/>
      <c r="G2805" s="31"/>
      <c r="H2805" s="32"/>
      <c r="J2805" s="33"/>
      <c r="K2805" s="33"/>
      <c r="L2805" s="33"/>
      <c r="X2805" s="23"/>
      <c r="Y2805" s="23"/>
      <c r="Z2805" s="23"/>
      <c r="AA2805" s="23"/>
      <c r="AF2805" s="23"/>
      <c r="AG2805" s="23"/>
      <c r="AH2805" s="23"/>
      <c r="AI2805" s="23"/>
      <c r="AN2805" s="23"/>
      <c r="AO2805" s="23"/>
      <c r="AP2805" s="23"/>
      <c r="AQ2805" s="23"/>
      <c r="AR2805" s="35"/>
      <c r="AS2805" s="35"/>
      <c r="AT2805" s="35"/>
      <c r="AU2805" s="31"/>
      <c r="AV2805" s="36"/>
    </row>
    <row r="2806" spans="4:48">
      <c r="D2806" s="31"/>
      <c r="E2806" s="31"/>
      <c r="F2806" s="31"/>
      <c r="G2806" s="31"/>
      <c r="H2806" s="32"/>
      <c r="J2806" s="33"/>
      <c r="K2806" s="33"/>
      <c r="L2806" s="33"/>
      <c r="X2806" s="23"/>
      <c r="Y2806" s="23"/>
      <c r="Z2806" s="23"/>
      <c r="AA2806" s="23"/>
      <c r="AF2806" s="23"/>
      <c r="AG2806" s="23"/>
      <c r="AH2806" s="23"/>
      <c r="AI2806" s="23"/>
      <c r="AN2806" s="23"/>
      <c r="AO2806" s="23"/>
      <c r="AP2806" s="23"/>
      <c r="AQ2806" s="23"/>
      <c r="AR2806" s="35"/>
      <c r="AS2806" s="35"/>
      <c r="AT2806" s="35"/>
      <c r="AU2806" s="31"/>
      <c r="AV2806" s="36"/>
    </row>
    <row r="2807" spans="4:48">
      <c r="D2807" s="31"/>
      <c r="E2807" s="31"/>
      <c r="F2807" s="31"/>
      <c r="G2807" s="31"/>
      <c r="H2807" s="32"/>
      <c r="J2807" s="33"/>
      <c r="K2807" s="33"/>
      <c r="L2807" s="33"/>
      <c r="X2807" s="23"/>
      <c r="Y2807" s="23"/>
      <c r="Z2807" s="23"/>
      <c r="AA2807" s="23"/>
      <c r="AF2807" s="23"/>
      <c r="AG2807" s="23"/>
      <c r="AH2807" s="23"/>
      <c r="AI2807" s="23"/>
      <c r="AN2807" s="23"/>
      <c r="AO2807" s="23"/>
      <c r="AP2807" s="23"/>
      <c r="AQ2807" s="23"/>
      <c r="AR2807" s="35"/>
      <c r="AS2807" s="35"/>
      <c r="AT2807" s="35"/>
      <c r="AU2807" s="31"/>
      <c r="AV2807" s="36"/>
    </row>
    <row r="2808" spans="4:48">
      <c r="D2808" s="31"/>
      <c r="E2808" s="31"/>
      <c r="F2808" s="31"/>
      <c r="G2808" s="31"/>
      <c r="H2808" s="32"/>
      <c r="J2808" s="33"/>
      <c r="K2808" s="33"/>
      <c r="L2808" s="33"/>
      <c r="X2808" s="23"/>
      <c r="Y2808" s="23"/>
      <c r="Z2808" s="23"/>
      <c r="AA2808" s="23"/>
      <c r="AF2808" s="23"/>
      <c r="AG2808" s="23"/>
      <c r="AH2808" s="23"/>
      <c r="AI2808" s="23"/>
      <c r="AN2808" s="23"/>
      <c r="AO2808" s="23"/>
      <c r="AP2808" s="23"/>
      <c r="AQ2808" s="23"/>
      <c r="AR2808" s="35"/>
      <c r="AS2808" s="35"/>
      <c r="AT2808" s="35"/>
      <c r="AU2808" s="31"/>
      <c r="AV2808" s="36"/>
    </row>
    <row r="2809" spans="4:48">
      <c r="D2809" s="31"/>
      <c r="E2809" s="31"/>
      <c r="F2809" s="31"/>
      <c r="G2809" s="31"/>
      <c r="H2809" s="32"/>
      <c r="J2809" s="33"/>
      <c r="K2809" s="33"/>
      <c r="L2809" s="33"/>
      <c r="X2809" s="23"/>
      <c r="Y2809" s="23"/>
      <c r="Z2809" s="23"/>
      <c r="AA2809" s="23"/>
      <c r="AF2809" s="23"/>
      <c r="AG2809" s="23"/>
      <c r="AH2809" s="23"/>
      <c r="AI2809" s="23"/>
      <c r="AN2809" s="23"/>
      <c r="AO2809" s="23"/>
      <c r="AP2809" s="23"/>
      <c r="AQ2809" s="23"/>
      <c r="AR2809" s="35"/>
      <c r="AS2809" s="35"/>
      <c r="AT2809" s="35"/>
      <c r="AU2809" s="31"/>
      <c r="AV2809" s="36"/>
    </row>
    <row r="2810" spans="4:48">
      <c r="D2810" s="31"/>
      <c r="E2810" s="31"/>
      <c r="F2810" s="31"/>
      <c r="G2810" s="31"/>
      <c r="H2810" s="32"/>
      <c r="J2810" s="33"/>
      <c r="K2810" s="33"/>
      <c r="L2810" s="33"/>
      <c r="X2810" s="23"/>
      <c r="Y2810" s="23"/>
      <c r="Z2810" s="23"/>
      <c r="AA2810" s="23"/>
      <c r="AF2810" s="23"/>
      <c r="AG2810" s="23"/>
      <c r="AH2810" s="23"/>
      <c r="AI2810" s="23"/>
      <c r="AN2810" s="23"/>
      <c r="AO2810" s="23"/>
      <c r="AP2810" s="23"/>
      <c r="AQ2810" s="23"/>
      <c r="AR2810" s="35"/>
      <c r="AS2810" s="35"/>
      <c r="AT2810" s="35"/>
      <c r="AU2810" s="31"/>
      <c r="AV2810" s="36"/>
    </row>
    <row r="2811" spans="4:48">
      <c r="D2811" s="31"/>
      <c r="E2811" s="31"/>
      <c r="F2811" s="31"/>
      <c r="G2811" s="31"/>
      <c r="H2811" s="32"/>
      <c r="J2811" s="33"/>
      <c r="K2811" s="33"/>
      <c r="L2811" s="33"/>
      <c r="X2811" s="23"/>
      <c r="Y2811" s="23"/>
      <c r="Z2811" s="23"/>
      <c r="AA2811" s="23"/>
      <c r="AF2811" s="23"/>
      <c r="AG2811" s="23"/>
      <c r="AH2811" s="23"/>
      <c r="AI2811" s="23"/>
      <c r="AN2811" s="23"/>
      <c r="AO2811" s="23"/>
      <c r="AP2811" s="23"/>
      <c r="AQ2811" s="23"/>
      <c r="AR2811" s="35"/>
      <c r="AS2811" s="35"/>
      <c r="AT2811" s="35"/>
      <c r="AU2811" s="31"/>
      <c r="AV2811" s="36"/>
    </row>
    <row r="2812" spans="4:48">
      <c r="D2812" s="31"/>
      <c r="E2812" s="31"/>
      <c r="F2812" s="31"/>
      <c r="G2812" s="31"/>
      <c r="H2812" s="32"/>
      <c r="J2812" s="33"/>
      <c r="K2812" s="33"/>
      <c r="L2812" s="33"/>
      <c r="X2812" s="23"/>
      <c r="Y2812" s="23"/>
      <c r="Z2812" s="23"/>
      <c r="AA2812" s="23"/>
      <c r="AF2812" s="23"/>
      <c r="AG2812" s="23"/>
      <c r="AH2812" s="23"/>
      <c r="AI2812" s="23"/>
      <c r="AN2812" s="23"/>
      <c r="AO2812" s="23"/>
      <c r="AP2812" s="23"/>
      <c r="AQ2812" s="23"/>
      <c r="AR2812" s="35"/>
      <c r="AS2812" s="35"/>
      <c r="AT2812" s="35"/>
      <c r="AU2812" s="31"/>
      <c r="AV2812" s="36"/>
    </row>
    <row r="2813" spans="4:48">
      <c r="D2813" s="31"/>
      <c r="E2813" s="31"/>
      <c r="F2813" s="31"/>
      <c r="G2813" s="31"/>
      <c r="H2813" s="32"/>
      <c r="J2813" s="33"/>
      <c r="K2813" s="33"/>
      <c r="L2813" s="33"/>
      <c r="X2813" s="23"/>
      <c r="Y2813" s="23"/>
      <c r="Z2813" s="23"/>
      <c r="AA2813" s="23"/>
      <c r="AF2813" s="23"/>
      <c r="AG2813" s="23"/>
      <c r="AH2813" s="23"/>
      <c r="AI2813" s="23"/>
      <c r="AN2813" s="23"/>
      <c r="AO2813" s="23"/>
      <c r="AP2813" s="23"/>
      <c r="AQ2813" s="23"/>
      <c r="AR2813" s="35"/>
      <c r="AS2813" s="35"/>
      <c r="AT2813" s="35"/>
      <c r="AU2813" s="31"/>
      <c r="AV2813" s="36"/>
    </row>
    <row r="2814" spans="4:48">
      <c r="D2814" s="31"/>
      <c r="E2814" s="31"/>
      <c r="F2814" s="31"/>
      <c r="G2814" s="31"/>
      <c r="H2814" s="32"/>
      <c r="J2814" s="33"/>
      <c r="K2814" s="33"/>
      <c r="L2814" s="33"/>
      <c r="X2814" s="23"/>
      <c r="Y2814" s="23"/>
      <c r="Z2814" s="23"/>
      <c r="AA2814" s="23"/>
      <c r="AF2814" s="23"/>
      <c r="AG2814" s="23"/>
      <c r="AH2814" s="23"/>
      <c r="AI2814" s="23"/>
      <c r="AN2814" s="23"/>
      <c r="AO2814" s="23"/>
      <c r="AP2814" s="23"/>
      <c r="AQ2814" s="23"/>
      <c r="AR2814" s="35"/>
      <c r="AS2814" s="35"/>
      <c r="AT2814" s="35"/>
      <c r="AU2814" s="31"/>
      <c r="AV2814" s="36"/>
    </row>
    <row r="2815" spans="4:48">
      <c r="D2815" s="31"/>
      <c r="E2815" s="31"/>
      <c r="F2815" s="31"/>
      <c r="G2815" s="31"/>
      <c r="H2815" s="32"/>
      <c r="J2815" s="33"/>
      <c r="K2815" s="33"/>
      <c r="L2815" s="33"/>
      <c r="X2815" s="23"/>
      <c r="Y2815" s="23"/>
      <c r="Z2815" s="23"/>
      <c r="AA2815" s="23"/>
      <c r="AF2815" s="23"/>
      <c r="AG2815" s="23"/>
      <c r="AH2815" s="23"/>
      <c r="AI2815" s="23"/>
      <c r="AN2815" s="23"/>
      <c r="AO2815" s="23"/>
      <c r="AP2815" s="23"/>
      <c r="AQ2815" s="23"/>
      <c r="AR2815" s="35"/>
      <c r="AS2815" s="35"/>
      <c r="AT2815" s="35"/>
      <c r="AU2815" s="31"/>
      <c r="AV2815" s="36"/>
    </row>
    <row r="2816" spans="4:48">
      <c r="D2816" s="31"/>
      <c r="E2816" s="31"/>
      <c r="F2816" s="31"/>
      <c r="G2816" s="31"/>
      <c r="H2816" s="32"/>
      <c r="J2816" s="33"/>
      <c r="K2816" s="33"/>
      <c r="L2816" s="33"/>
      <c r="X2816" s="23"/>
      <c r="Y2816" s="23"/>
      <c r="Z2816" s="23"/>
      <c r="AA2816" s="23"/>
      <c r="AF2816" s="23"/>
      <c r="AG2816" s="23"/>
      <c r="AH2816" s="23"/>
      <c r="AI2816" s="23"/>
      <c r="AN2816" s="23"/>
      <c r="AO2816" s="23"/>
      <c r="AP2816" s="23"/>
      <c r="AQ2816" s="23"/>
      <c r="AR2816" s="35"/>
      <c r="AS2816" s="35"/>
      <c r="AT2816" s="35"/>
      <c r="AU2816" s="31"/>
      <c r="AV2816" s="36"/>
    </row>
    <row r="2817" spans="4:48">
      <c r="D2817" s="31"/>
      <c r="E2817" s="31"/>
      <c r="F2817" s="31"/>
      <c r="G2817" s="31"/>
      <c r="H2817" s="32"/>
      <c r="J2817" s="33"/>
      <c r="K2817" s="33"/>
      <c r="L2817" s="33"/>
      <c r="X2817" s="23"/>
      <c r="Y2817" s="23"/>
      <c r="Z2817" s="23"/>
      <c r="AA2817" s="23"/>
      <c r="AF2817" s="23"/>
      <c r="AG2817" s="23"/>
      <c r="AH2817" s="23"/>
      <c r="AI2817" s="23"/>
      <c r="AN2817" s="23"/>
      <c r="AO2817" s="23"/>
      <c r="AP2817" s="23"/>
      <c r="AQ2817" s="23"/>
      <c r="AR2817" s="35"/>
      <c r="AS2817" s="35"/>
      <c r="AT2817" s="35"/>
      <c r="AU2817" s="31"/>
      <c r="AV2817" s="36"/>
    </row>
    <row r="2818" spans="4:48">
      <c r="D2818" s="31"/>
      <c r="E2818" s="31"/>
      <c r="F2818" s="31"/>
      <c r="G2818" s="31"/>
      <c r="H2818" s="32"/>
      <c r="J2818" s="33"/>
      <c r="K2818" s="33"/>
      <c r="L2818" s="33"/>
      <c r="X2818" s="23"/>
      <c r="Y2818" s="23"/>
      <c r="Z2818" s="23"/>
      <c r="AA2818" s="23"/>
      <c r="AF2818" s="23"/>
      <c r="AG2818" s="23"/>
      <c r="AH2818" s="23"/>
      <c r="AI2818" s="23"/>
      <c r="AN2818" s="23"/>
      <c r="AO2818" s="23"/>
      <c r="AP2818" s="23"/>
      <c r="AQ2818" s="23"/>
      <c r="AR2818" s="35"/>
      <c r="AS2818" s="35"/>
      <c r="AT2818" s="35"/>
      <c r="AU2818" s="31"/>
      <c r="AV2818" s="36"/>
    </row>
    <row r="2819" spans="4:48">
      <c r="D2819" s="31"/>
      <c r="E2819" s="31"/>
      <c r="F2819" s="31"/>
      <c r="G2819" s="31"/>
      <c r="H2819" s="32"/>
      <c r="J2819" s="33"/>
      <c r="K2819" s="33"/>
      <c r="L2819" s="33"/>
      <c r="X2819" s="23"/>
      <c r="Y2819" s="23"/>
      <c r="Z2819" s="23"/>
      <c r="AA2819" s="23"/>
      <c r="AF2819" s="23"/>
      <c r="AG2819" s="23"/>
      <c r="AH2819" s="23"/>
      <c r="AI2819" s="23"/>
      <c r="AN2819" s="23"/>
      <c r="AO2819" s="23"/>
      <c r="AP2819" s="23"/>
      <c r="AQ2819" s="23"/>
      <c r="AR2819" s="35"/>
      <c r="AS2819" s="35"/>
      <c r="AT2819" s="35"/>
      <c r="AU2819" s="31"/>
      <c r="AV2819" s="36"/>
    </row>
    <row r="2820" spans="4:48">
      <c r="D2820" s="31"/>
      <c r="E2820" s="31"/>
      <c r="F2820" s="31"/>
      <c r="G2820" s="31"/>
      <c r="H2820" s="32"/>
      <c r="J2820" s="33"/>
      <c r="K2820" s="33"/>
      <c r="L2820" s="33"/>
      <c r="X2820" s="23"/>
      <c r="Y2820" s="23"/>
      <c r="Z2820" s="23"/>
      <c r="AA2820" s="23"/>
      <c r="AF2820" s="23"/>
      <c r="AG2820" s="23"/>
      <c r="AH2820" s="23"/>
      <c r="AI2820" s="23"/>
      <c r="AN2820" s="23"/>
      <c r="AO2820" s="23"/>
      <c r="AP2820" s="23"/>
      <c r="AQ2820" s="23"/>
      <c r="AR2820" s="35"/>
      <c r="AS2820" s="35"/>
      <c r="AT2820" s="35"/>
      <c r="AU2820" s="31"/>
      <c r="AV2820" s="36"/>
    </row>
    <row r="2821" spans="4:48">
      <c r="D2821" s="31"/>
      <c r="E2821" s="31"/>
      <c r="F2821" s="31"/>
      <c r="G2821" s="31"/>
      <c r="H2821" s="32"/>
      <c r="J2821" s="33"/>
      <c r="K2821" s="33"/>
      <c r="L2821" s="33"/>
      <c r="X2821" s="23"/>
      <c r="Y2821" s="23"/>
      <c r="Z2821" s="23"/>
      <c r="AA2821" s="23"/>
      <c r="AF2821" s="23"/>
      <c r="AG2821" s="23"/>
      <c r="AH2821" s="23"/>
      <c r="AI2821" s="23"/>
      <c r="AN2821" s="23"/>
      <c r="AO2821" s="23"/>
      <c r="AP2821" s="23"/>
      <c r="AQ2821" s="23"/>
      <c r="AR2821" s="35"/>
      <c r="AS2821" s="35"/>
      <c r="AT2821" s="35"/>
      <c r="AU2821" s="31"/>
      <c r="AV2821" s="36"/>
    </row>
    <row r="2822" spans="4:48">
      <c r="D2822" s="31"/>
      <c r="E2822" s="31"/>
      <c r="F2822" s="31"/>
      <c r="G2822" s="31"/>
      <c r="H2822" s="32"/>
      <c r="J2822" s="33"/>
      <c r="K2822" s="33"/>
      <c r="L2822" s="33"/>
      <c r="X2822" s="23"/>
      <c r="Y2822" s="23"/>
      <c r="Z2822" s="23"/>
      <c r="AA2822" s="23"/>
      <c r="AF2822" s="23"/>
      <c r="AG2822" s="23"/>
      <c r="AH2822" s="23"/>
      <c r="AI2822" s="23"/>
      <c r="AN2822" s="23"/>
      <c r="AO2822" s="23"/>
      <c r="AP2822" s="23"/>
      <c r="AQ2822" s="23"/>
      <c r="AR2822" s="35"/>
      <c r="AS2822" s="35"/>
      <c r="AT2822" s="35"/>
      <c r="AU2822" s="31"/>
      <c r="AV2822" s="36"/>
    </row>
    <row r="2823" spans="4:48">
      <c r="D2823" s="31"/>
      <c r="E2823" s="31"/>
      <c r="F2823" s="31"/>
      <c r="G2823" s="31"/>
      <c r="H2823" s="32"/>
      <c r="J2823" s="33"/>
      <c r="K2823" s="33"/>
      <c r="L2823" s="33"/>
      <c r="X2823" s="23"/>
      <c r="Y2823" s="23"/>
      <c r="Z2823" s="23"/>
      <c r="AA2823" s="23"/>
      <c r="AF2823" s="23"/>
      <c r="AG2823" s="23"/>
      <c r="AH2823" s="23"/>
      <c r="AI2823" s="23"/>
      <c r="AN2823" s="23"/>
      <c r="AO2823" s="23"/>
      <c r="AP2823" s="23"/>
      <c r="AQ2823" s="23"/>
      <c r="AR2823" s="35"/>
      <c r="AS2823" s="35"/>
      <c r="AT2823" s="35"/>
      <c r="AU2823" s="31"/>
      <c r="AV2823" s="36"/>
    </row>
    <row r="2824" spans="4:48">
      <c r="D2824" s="31"/>
      <c r="E2824" s="31"/>
      <c r="F2824" s="31"/>
      <c r="G2824" s="31"/>
      <c r="H2824" s="32"/>
      <c r="J2824" s="33"/>
      <c r="K2824" s="33"/>
      <c r="L2824" s="33"/>
      <c r="X2824" s="23"/>
      <c r="Y2824" s="23"/>
      <c r="Z2824" s="23"/>
      <c r="AA2824" s="23"/>
      <c r="AF2824" s="23"/>
      <c r="AG2824" s="23"/>
      <c r="AH2824" s="23"/>
      <c r="AI2824" s="23"/>
      <c r="AN2824" s="23"/>
      <c r="AO2824" s="23"/>
      <c r="AP2824" s="23"/>
      <c r="AQ2824" s="23"/>
      <c r="AR2824" s="35"/>
      <c r="AS2824" s="35"/>
      <c r="AT2824" s="35"/>
      <c r="AU2824" s="31"/>
      <c r="AV2824" s="36"/>
    </row>
    <row r="2825" spans="4:48">
      <c r="D2825" s="31"/>
      <c r="E2825" s="31"/>
      <c r="F2825" s="31"/>
      <c r="G2825" s="31"/>
      <c r="H2825" s="32"/>
      <c r="J2825" s="33"/>
      <c r="K2825" s="33"/>
      <c r="L2825" s="33"/>
      <c r="X2825" s="23"/>
      <c r="Y2825" s="23"/>
      <c r="Z2825" s="23"/>
      <c r="AA2825" s="23"/>
      <c r="AF2825" s="23"/>
      <c r="AG2825" s="23"/>
      <c r="AH2825" s="23"/>
      <c r="AI2825" s="23"/>
      <c r="AN2825" s="23"/>
      <c r="AO2825" s="23"/>
      <c r="AP2825" s="23"/>
      <c r="AQ2825" s="23"/>
      <c r="AR2825" s="35"/>
      <c r="AS2825" s="35"/>
      <c r="AT2825" s="35"/>
      <c r="AU2825" s="31"/>
      <c r="AV2825" s="36"/>
    </row>
    <row r="2826" spans="4:48">
      <c r="D2826" s="31"/>
      <c r="E2826" s="31"/>
      <c r="F2826" s="31"/>
      <c r="G2826" s="31"/>
      <c r="H2826" s="32"/>
      <c r="J2826" s="33"/>
      <c r="K2826" s="33"/>
      <c r="L2826" s="33"/>
      <c r="X2826" s="23"/>
      <c r="Y2826" s="23"/>
      <c r="Z2826" s="23"/>
      <c r="AA2826" s="23"/>
      <c r="AF2826" s="23"/>
      <c r="AG2826" s="23"/>
      <c r="AH2826" s="23"/>
      <c r="AI2826" s="23"/>
      <c r="AN2826" s="23"/>
      <c r="AO2826" s="23"/>
      <c r="AP2826" s="23"/>
      <c r="AQ2826" s="23"/>
      <c r="AR2826" s="35"/>
      <c r="AS2826" s="35"/>
      <c r="AT2826" s="35"/>
      <c r="AU2826" s="31"/>
      <c r="AV2826" s="36"/>
    </row>
    <row r="2827" spans="4:48">
      <c r="D2827" s="31"/>
      <c r="E2827" s="31"/>
      <c r="F2827" s="31"/>
      <c r="G2827" s="31"/>
      <c r="H2827" s="32"/>
      <c r="J2827" s="33"/>
      <c r="K2827" s="33"/>
      <c r="L2827" s="33"/>
      <c r="X2827" s="23"/>
      <c r="Y2827" s="23"/>
      <c r="Z2827" s="23"/>
      <c r="AA2827" s="23"/>
      <c r="AF2827" s="23"/>
      <c r="AG2827" s="23"/>
      <c r="AH2827" s="23"/>
      <c r="AI2827" s="23"/>
      <c r="AN2827" s="23"/>
      <c r="AO2827" s="23"/>
      <c r="AP2827" s="23"/>
      <c r="AQ2827" s="23"/>
      <c r="AR2827" s="35"/>
      <c r="AS2827" s="35"/>
      <c r="AT2827" s="35"/>
      <c r="AU2827" s="31"/>
      <c r="AV2827" s="36"/>
    </row>
    <row r="2828" spans="4:48">
      <c r="D2828" s="31"/>
      <c r="E2828" s="31"/>
      <c r="F2828" s="31"/>
      <c r="G2828" s="31"/>
      <c r="H2828" s="32"/>
      <c r="J2828" s="33"/>
      <c r="K2828" s="33"/>
      <c r="L2828" s="33"/>
      <c r="X2828" s="23"/>
      <c r="Y2828" s="23"/>
      <c r="Z2828" s="23"/>
      <c r="AA2828" s="23"/>
      <c r="AF2828" s="23"/>
      <c r="AG2828" s="23"/>
      <c r="AH2828" s="23"/>
      <c r="AI2828" s="23"/>
      <c r="AN2828" s="23"/>
      <c r="AO2828" s="23"/>
      <c r="AP2828" s="23"/>
      <c r="AQ2828" s="23"/>
      <c r="AR2828" s="35"/>
      <c r="AS2828" s="35"/>
      <c r="AT2828" s="35"/>
      <c r="AU2828" s="31"/>
      <c r="AV2828" s="36"/>
    </row>
    <row r="2829" spans="4:48">
      <c r="D2829" s="31"/>
      <c r="E2829" s="31"/>
      <c r="F2829" s="31"/>
      <c r="G2829" s="31"/>
      <c r="H2829" s="32"/>
      <c r="J2829" s="33"/>
      <c r="K2829" s="33"/>
      <c r="L2829" s="33"/>
      <c r="X2829" s="23"/>
      <c r="Y2829" s="23"/>
      <c r="Z2829" s="23"/>
      <c r="AA2829" s="23"/>
      <c r="AF2829" s="23"/>
      <c r="AG2829" s="23"/>
      <c r="AH2829" s="23"/>
      <c r="AI2829" s="23"/>
      <c r="AN2829" s="23"/>
      <c r="AO2829" s="23"/>
      <c r="AP2829" s="23"/>
      <c r="AQ2829" s="23"/>
      <c r="AR2829" s="35"/>
      <c r="AS2829" s="35"/>
      <c r="AT2829" s="35"/>
      <c r="AU2829" s="31"/>
      <c r="AV2829" s="36"/>
    </row>
    <row r="2830" spans="4:48">
      <c r="D2830" s="31"/>
      <c r="E2830" s="31"/>
      <c r="F2830" s="31"/>
      <c r="G2830" s="31"/>
      <c r="H2830" s="32"/>
      <c r="J2830" s="33"/>
      <c r="K2830" s="33"/>
      <c r="L2830" s="33"/>
      <c r="X2830" s="23"/>
      <c r="Y2830" s="23"/>
      <c r="Z2830" s="23"/>
      <c r="AA2830" s="23"/>
      <c r="AF2830" s="23"/>
      <c r="AG2830" s="23"/>
      <c r="AH2830" s="23"/>
      <c r="AI2830" s="23"/>
      <c r="AN2830" s="23"/>
      <c r="AO2830" s="23"/>
      <c r="AP2830" s="23"/>
      <c r="AQ2830" s="23"/>
      <c r="AR2830" s="35"/>
      <c r="AS2830" s="35"/>
      <c r="AT2830" s="35"/>
      <c r="AU2830" s="31"/>
      <c r="AV2830" s="36"/>
    </row>
    <row r="2831" spans="4:48">
      <c r="D2831" s="31"/>
      <c r="E2831" s="31"/>
      <c r="F2831" s="31"/>
      <c r="G2831" s="31"/>
      <c r="H2831" s="32"/>
      <c r="J2831" s="33"/>
      <c r="K2831" s="33"/>
      <c r="L2831" s="33"/>
      <c r="X2831" s="23"/>
      <c r="Y2831" s="23"/>
      <c r="Z2831" s="23"/>
      <c r="AA2831" s="23"/>
      <c r="AF2831" s="23"/>
      <c r="AG2831" s="23"/>
      <c r="AH2831" s="23"/>
      <c r="AI2831" s="23"/>
      <c r="AN2831" s="23"/>
      <c r="AO2831" s="23"/>
      <c r="AP2831" s="23"/>
      <c r="AQ2831" s="23"/>
      <c r="AR2831" s="35"/>
      <c r="AS2831" s="35"/>
      <c r="AT2831" s="35"/>
      <c r="AU2831" s="31"/>
      <c r="AV2831" s="36"/>
    </row>
    <row r="2832" spans="4:48">
      <c r="D2832" s="31"/>
      <c r="E2832" s="31"/>
      <c r="F2832" s="31"/>
      <c r="G2832" s="31"/>
      <c r="H2832" s="32"/>
      <c r="J2832" s="33"/>
      <c r="K2832" s="33"/>
      <c r="L2832" s="33"/>
      <c r="X2832" s="23"/>
      <c r="Y2832" s="23"/>
      <c r="Z2832" s="23"/>
      <c r="AA2832" s="23"/>
      <c r="AF2832" s="23"/>
      <c r="AG2832" s="23"/>
      <c r="AH2832" s="23"/>
      <c r="AI2832" s="23"/>
      <c r="AN2832" s="23"/>
      <c r="AO2832" s="23"/>
      <c r="AP2832" s="23"/>
      <c r="AQ2832" s="23"/>
      <c r="AR2832" s="35"/>
      <c r="AS2832" s="35"/>
      <c r="AT2832" s="35"/>
      <c r="AU2832" s="31"/>
      <c r="AV2832" s="36"/>
    </row>
    <row r="2833" spans="4:48">
      <c r="D2833" s="31"/>
      <c r="E2833" s="31"/>
      <c r="F2833" s="31"/>
      <c r="G2833" s="31"/>
      <c r="H2833" s="32"/>
      <c r="J2833" s="33"/>
      <c r="K2833" s="33"/>
      <c r="L2833" s="33"/>
      <c r="X2833" s="23"/>
      <c r="Y2833" s="23"/>
      <c r="Z2833" s="23"/>
      <c r="AA2833" s="23"/>
      <c r="AF2833" s="23"/>
      <c r="AG2833" s="23"/>
      <c r="AH2833" s="23"/>
      <c r="AI2833" s="23"/>
      <c r="AN2833" s="23"/>
      <c r="AO2833" s="23"/>
      <c r="AP2833" s="23"/>
      <c r="AQ2833" s="23"/>
      <c r="AR2833" s="35"/>
      <c r="AS2833" s="35"/>
      <c r="AT2833" s="35"/>
      <c r="AU2833" s="31"/>
      <c r="AV2833" s="36"/>
    </row>
    <row r="2834" spans="4:48">
      <c r="D2834" s="31"/>
      <c r="E2834" s="31"/>
      <c r="F2834" s="31"/>
      <c r="G2834" s="31"/>
      <c r="H2834" s="32"/>
      <c r="J2834" s="33"/>
      <c r="K2834" s="33"/>
      <c r="L2834" s="33"/>
      <c r="X2834" s="23"/>
      <c r="Y2834" s="23"/>
      <c r="Z2834" s="23"/>
      <c r="AA2834" s="23"/>
      <c r="AF2834" s="23"/>
      <c r="AG2834" s="23"/>
      <c r="AH2834" s="23"/>
      <c r="AI2834" s="23"/>
      <c r="AN2834" s="23"/>
      <c r="AO2834" s="23"/>
      <c r="AP2834" s="23"/>
      <c r="AQ2834" s="23"/>
      <c r="AR2834" s="35"/>
      <c r="AS2834" s="35"/>
      <c r="AT2834" s="35"/>
      <c r="AU2834" s="31"/>
      <c r="AV2834" s="36"/>
    </row>
    <row r="2835" spans="4:48">
      <c r="D2835" s="31"/>
      <c r="E2835" s="31"/>
      <c r="F2835" s="31"/>
      <c r="G2835" s="31"/>
      <c r="H2835" s="32"/>
      <c r="J2835" s="33"/>
      <c r="K2835" s="33"/>
      <c r="L2835" s="33"/>
      <c r="X2835" s="23"/>
      <c r="Y2835" s="23"/>
      <c r="Z2835" s="23"/>
      <c r="AA2835" s="23"/>
      <c r="AF2835" s="23"/>
      <c r="AG2835" s="23"/>
      <c r="AH2835" s="23"/>
      <c r="AI2835" s="23"/>
      <c r="AN2835" s="23"/>
      <c r="AO2835" s="23"/>
      <c r="AP2835" s="23"/>
      <c r="AQ2835" s="23"/>
      <c r="AR2835" s="35"/>
      <c r="AS2835" s="35"/>
      <c r="AT2835" s="35"/>
      <c r="AU2835" s="31"/>
      <c r="AV2835" s="36"/>
    </row>
    <row r="2836" spans="4:48">
      <c r="D2836" s="31"/>
      <c r="E2836" s="31"/>
      <c r="F2836" s="31"/>
      <c r="G2836" s="31"/>
      <c r="H2836" s="32"/>
      <c r="J2836" s="33"/>
      <c r="K2836" s="33"/>
      <c r="L2836" s="33"/>
      <c r="X2836" s="23"/>
      <c r="Y2836" s="23"/>
      <c r="Z2836" s="23"/>
      <c r="AA2836" s="23"/>
      <c r="AF2836" s="23"/>
      <c r="AG2836" s="23"/>
      <c r="AH2836" s="23"/>
      <c r="AI2836" s="23"/>
      <c r="AN2836" s="23"/>
      <c r="AO2836" s="23"/>
      <c r="AP2836" s="23"/>
      <c r="AQ2836" s="23"/>
      <c r="AR2836" s="35"/>
      <c r="AS2836" s="35"/>
      <c r="AT2836" s="35"/>
      <c r="AU2836" s="31"/>
      <c r="AV2836" s="36"/>
    </row>
    <row r="2837" spans="4:48">
      <c r="D2837" s="31"/>
      <c r="E2837" s="31"/>
      <c r="F2837" s="31"/>
      <c r="G2837" s="31"/>
      <c r="H2837" s="32"/>
      <c r="J2837" s="33"/>
      <c r="K2837" s="33"/>
      <c r="L2837" s="33"/>
      <c r="X2837" s="23"/>
      <c r="Y2837" s="23"/>
      <c r="Z2837" s="23"/>
      <c r="AA2837" s="23"/>
      <c r="AF2837" s="23"/>
      <c r="AG2837" s="23"/>
      <c r="AH2837" s="23"/>
      <c r="AI2837" s="23"/>
      <c r="AN2837" s="23"/>
      <c r="AO2837" s="23"/>
      <c r="AP2837" s="23"/>
      <c r="AQ2837" s="23"/>
      <c r="AR2837" s="35"/>
      <c r="AS2837" s="35"/>
      <c r="AT2837" s="35"/>
      <c r="AU2837" s="31"/>
      <c r="AV2837" s="36"/>
    </row>
    <row r="2838" spans="4:48">
      <c r="D2838" s="31"/>
      <c r="E2838" s="31"/>
      <c r="F2838" s="31"/>
      <c r="G2838" s="31"/>
      <c r="H2838" s="32"/>
      <c r="J2838" s="33"/>
      <c r="K2838" s="33"/>
      <c r="L2838" s="33"/>
      <c r="X2838" s="23"/>
      <c r="Y2838" s="23"/>
      <c r="Z2838" s="23"/>
      <c r="AA2838" s="23"/>
      <c r="AF2838" s="23"/>
      <c r="AG2838" s="23"/>
      <c r="AH2838" s="23"/>
      <c r="AI2838" s="23"/>
      <c r="AN2838" s="23"/>
      <c r="AO2838" s="23"/>
      <c r="AP2838" s="23"/>
      <c r="AQ2838" s="23"/>
      <c r="AR2838" s="35"/>
      <c r="AS2838" s="35"/>
      <c r="AT2838" s="35"/>
      <c r="AU2838" s="31"/>
      <c r="AV2838" s="36"/>
    </row>
    <row r="2839" spans="4:48">
      <c r="D2839" s="31"/>
      <c r="E2839" s="31"/>
      <c r="F2839" s="31"/>
      <c r="G2839" s="31"/>
      <c r="H2839" s="32"/>
      <c r="J2839" s="33"/>
      <c r="K2839" s="33"/>
      <c r="L2839" s="33"/>
      <c r="X2839" s="23"/>
      <c r="Y2839" s="23"/>
      <c r="Z2839" s="23"/>
      <c r="AA2839" s="23"/>
      <c r="AF2839" s="23"/>
      <c r="AG2839" s="23"/>
      <c r="AH2839" s="23"/>
      <c r="AI2839" s="23"/>
      <c r="AN2839" s="23"/>
      <c r="AO2839" s="23"/>
      <c r="AP2839" s="23"/>
      <c r="AQ2839" s="23"/>
      <c r="AR2839" s="35"/>
      <c r="AS2839" s="35"/>
      <c r="AT2839" s="35"/>
      <c r="AU2839" s="31"/>
      <c r="AV2839" s="36"/>
    </row>
    <row r="2840" spans="4:48">
      <c r="D2840" s="31"/>
      <c r="E2840" s="31"/>
      <c r="F2840" s="31"/>
      <c r="G2840" s="31"/>
      <c r="H2840" s="32"/>
      <c r="J2840" s="33"/>
      <c r="K2840" s="33"/>
      <c r="L2840" s="33"/>
      <c r="X2840" s="23"/>
      <c r="Y2840" s="23"/>
      <c r="Z2840" s="23"/>
      <c r="AA2840" s="23"/>
      <c r="AF2840" s="23"/>
      <c r="AG2840" s="23"/>
      <c r="AH2840" s="23"/>
      <c r="AI2840" s="23"/>
      <c r="AN2840" s="23"/>
      <c r="AO2840" s="23"/>
      <c r="AP2840" s="23"/>
      <c r="AQ2840" s="23"/>
      <c r="AR2840" s="35"/>
      <c r="AS2840" s="35"/>
      <c r="AT2840" s="35"/>
      <c r="AU2840" s="31"/>
      <c r="AV2840" s="36"/>
    </row>
    <row r="2841" spans="4:48">
      <c r="D2841" s="31"/>
      <c r="E2841" s="31"/>
      <c r="F2841" s="31"/>
      <c r="G2841" s="31"/>
      <c r="H2841" s="32"/>
      <c r="J2841" s="33"/>
      <c r="K2841" s="33"/>
      <c r="L2841" s="33"/>
      <c r="X2841" s="23"/>
      <c r="Y2841" s="23"/>
      <c r="Z2841" s="23"/>
      <c r="AA2841" s="23"/>
      <c r="AF2841" s="23"/>
      <c r="AG2841" s="23"/>
      <c r="AH2841" s="23"/>
      <c r="AI2841" s="23"/>
      <c r="AN2841" s="23"/>
      <c r="AO2841" s="23"/>
      <c r="AP2841" s="23"/>
      <c r="AQ2841" s="23"/>
      <c r="AR2841" s="35"/>
      <c r="AS2841" s="35"/>
      <c r="AT2841" s="35"/>
      <c r="AU2841" s="31"/>
      <c r="AV2841" s="36"/>
    </row>
    <row r="2842" spans="4:48">
      <c r="D2842" s="31"/>
      <c r="E2842" s="31"/>
      <c r="F2842" s="31"/>
      <c r="G2842" s="31"/>
      <c r="H2842" s="32"/>
      <c r="J2842" s="33"/>
      <c r="K2842" s="33"/>
      <c r="L2842" s="33"/>
      <c r="X2842" s="23"/>
      <c r="Y2842" s="23"/>
      <c r="Z2842" s="23"/>
      <c r="AA2842" s="23"/>
      <c r="AF2842" s="23"/>
      <c r="AG2842" s="23"/>
      <c r="AH2842" s="23"/>
      <c r="AI2842" s="23"/>
      <c r="AN2842" s="23"/>
      <c r="AO2842" s="23"/>
      <c r="AP2842" s="23"/>
      <c r="AQ2842" s="23"/>
      <c r="AR2842" s="35"/>
      <c r="AS2842" s="35"/>
      <c r="AT2842" s="35"/>
      <c r="AU2842" s="31"/>
      <c r="AV2842" s="36"/>
    </row>
    <row r="2843" spans="4:48">
      <c r="D2843" s="31"/>
      <c r="E2843" s="31"/>
      <c r="F2843" s="31"/>
      <c r="G2843" s="31"/>
      <c r="H2843" s="32"/>
      <c r="J2843" s="33"/>
      <c r="K2843" s="33"/>
      <c r="L2843" s="33"/>
      <c r="X2843" s="23"/>
      <c r="Y2843" s="23"/>
      <c r="Z2843" s="23"/>
      <c r="AA2843" s="23"/>
      <c r="AF2843" s="23"/>
      <c r="AG2843" s="23"/>
      <c r="AH2843" s="23"/>
      <c r="AI2843" s="23"/>
      <c r="AN2843" s="23"/>
      <c r="AO2843" s="23"/>
      <c r="AP2843" s="23"/>
      <c r="AQ2843" s="23"/>
      <c r="AR2843" s="35"/>
      <c r="AS2843" s="35"/>
      <c r="AT2843" s="35"/>
      <c r="AU2843" s="31"/>
      <c r="AV2843" s="36"/>
    </row>
    <row r="2844" spans="4:48">
      <c r="D2844" s="31"/>
      <c r="E2844" s="31"/>
      <c r="F2844" s="31"/>
      <c r="G2844" s="31"/>
      <c r="H2844" s="32"/>
      <c r="J2844" s="33"/>
      <c r="K2844" s="33"/>
      <c r="L2844" s="33"/>
      <c r="X2844" s="23"/>
      <c r="Y2844" s="23"/>
      <c r="Z2844" s="23"/>
      <c r="AA2844" s="23"/>
      <c r="AF2844" s="23"/>
      <c r="AG2844" s="23"/>
      <c r="AH2844" s="23"/>
      <c r="AI2844" s="23"/>
      <c r="AN2844" s="23"/>
      <c r="AO2844" s="23"/>
      <c r="AP2844" s="23"/>
      <c r="AQ2844" s="23"/>
      <c r="AR2844" s="35"/>
      <c r="AS2844" s="35"/>
      <c r="AT2844" s="35"/>
      <c r="AU2844" s="31"/>
      <c r="AV2844" s="36"/>
    </row>
    <row r="2845" spans="4:48">
      <c r="D2845" s="31"/>
      <c r="E2845" s="31"/>
      <c r="F2845" s="31"/>
      <c r="G2845" s="31"/>
      <c r="H2845" s="32"/>
      <c r="J2845" s="33"/>
      <c r="K2845" s="33"/>
      <c r="L2845" s="33"/>
      <c r="X2845" s="23"/>
      <c r="Y2845" s="23"/>
      <c r="Z2845" s="23"/>
      <c r="AA2845" s="23"/>
      <c r="AF2845" s="23"/>
      <c r="AG2845" s="23"/>
      <c r="AH2845" s="23"/>
      <c r="AI2845" s="23"/>
      <c r="AN2845" s="23"/>
      <c r="AO2845" s="23"/>
      <c r="AP2845" s="23"/>
      <c r="AQ2845" s="23"/>
      <c r="AR2845" s="35"/>
      <c r="AS2845" s="35"/>
      <c r="AT2845" s="35"/>
      <c r="AU2845" s="31"/>
      <c r="AV2845" s="36"/>
    </row>
    <row r="2846" spans="4:48">
      <c r="D2846" s="31"/>
      <c r="E2846" s="31"/>
      <c r="F2846" s="31"/>
      <c r="G2846" s="31"/>
      <c r="H2846" s="32"/>
      <c r="J2846" s="33"/>
      <c r="K2846" s="33"/>
      <c r="L2846" s="33"/>
      <c r="X2846" s="23"/>
      <c r="Y2846" s="23"/>
      <c r="Z2846" s="23"/>
      <c r="AA2846" s="23"/>
      <c r="AF2846" s="23"/>
      <c r="AG2846" s="23"/>
      <c r="AH2846" s="23"/>
      <c r="AI2846" s="23"/>
      <c r="AN2846" s="23"/>
      <c r="AO2846" s="23"/>
      <c r="AP2846" s="23"/>
      <c r="AQ2846" s="23"/>
      <c r="AR2846" s="35"/>
      <c r="AS2846" s="35"/>
      <c r="AT2846" s="35"/>
      <c r="AU2846" s="31"/>
      <c r="AV2846" s="36"/>
    </row>
    <row r="2847" spans="4:48">
      <c r="D2847" s="31"/>
      <c r="E2847" s="31"/>
      <c r="F2847" s="31"/>
      <c r="G2847" s="31"/>
      <c r="H2847" s="32"/>
      <c r="J2847" s="33"/>
      <c r="K2847" s="33"/>
      <c r="L2847" s="33"/>
      <c r="X2847" s="23"/>
      <c r="Y2847" s="23"/>
      <c r="Z2847" s="23"/>
      <c r="AA2847" s="23"/>
      <c r="AF2847" s="23"/>
      <c r="AG2847" s="23"/>
      <c r="AH2847" s="23"/>
      <c r="AI2847" s="23"/>
      <c r="AN2847" s="23"/>
      <c r="AO2847" s="23"/>
      <c r="AP2847" s="23"/>
      <c r="AQ2847" s="23"/>
      <c r="AR2847" s="35"/>
      <c r="AS2847" s="35"/>
      <c r="AT2847" s="35"/>
      <c r="AU2847" s="31"/>
      <c r="AV2847" s="36"/>
    </row>
    <row r="2848" spans="4:48">
      <c r="D2848" s="31"/>
      <c r="E2848" s="31"/>
      <c r="F2848" s="31"/>
      <c r="G2848" s="31"/>
      <c r="H2848" s="32"/>
      <c r="J2848" s="33"/>
      <c r="K2848" s="33"/>
      <c r="L2848" s="33"/>
      <c r="X2848" s="23"/>
      <c r="Y2848" s="23"/>
      <c r="Z2848" s="23"/>
      <c r="AA2848" s="23"/>
      <c r="AF2848" s="23"/>
      <c r="AG2848" s="23"/>
      <c r="AH2848" s="23"/>
      <c r="AI2848" s="23"/>
      <c r="AN2848" s="23"/>
      <c r="AO2848" s="23"/>
      <c r="AP2848" s="23"/>
      <c r="AQ2848" s="23"/>
      <c r="AR2848" s="35"/>
      <c r="AS2848" s="35"/>
      <c r="AT2848" s="35"/>
      <c r="AU2848" s="31"/>
      <c r="AV2848" s="36"/>
    </row>
    <row r="2849" spans="4:48">
      <c r="D2849" s="31"/>
      <c r="E2849" s="31"/>
      <c r="F2849" s="31"/>
      <c r="G2849" s="31"/>
      <c r="H2849" s="32"/>
      <c r="J2849" s="33"/>
      <c r="K2849" s="33"/>
      <c r="L2849" s="33"/>
      <c r="X2849" s="23"/>
      <c r="Y2849" s="23"/>
      <c r="Z2849" s="23"/>
      <c r="AA2849" s="23"/>
      <c r="AF2849" s="23"/>
      <c r="AG2849" s="23"/>
      <c r="AH2849" s="23"/>
      <c r="AI2849" s="23"/>
      <c r="AN2849" s="23"/>
      <c r="AO2849" s="23"/>
      <c r="AP2849" s="23"/>
      <c r="AQ2849" s="23"/>
      <c r="AR2849" s="35"/>
      <c r="AS2849" s="35"/>
      <c r="AT2849" s="35"/>
      <c r="AU2849" s="31"/>
      <c r="AV2849" s="36"/>
    </row>
    <row r="2850" spans="4:48">
      <c r="D2850" s="31"/>
      <c r="E2850" s="31"/>
      <c r="F2850" s="31"/>
      <c r="G2850" s="31"/>
      <c r="H2850" s="32"/>
      <c r="J2850" s="33"/>
      <c r="K2850" s="33"/>
      <c r="L2850" s="33"/>
      <c r="X2850" s="23"/>
      <c r="Y2850" s="23"/>
      <c r="Z2850" s="23"/>
      <c r="AA2850" s="23"/>
      <c r="AF2850" s="23"/>
      <c r="AG2850" s="23"/>
      <c r="AH2850" s="23"/>
      <c r="AI2850" s="23"/>
      <c r="AN2850" s="23"/>
      <c r="AO2850" s="23"/>
      <c r="AP2850" s="23"/>
      <c r="AQ2850" s="23"/>
      <c r="AR2850" s="35"/>
      <c r="AS2850" s="35"/>
      <c r="AT2850" s="35"/>
      <c r="AU2850" s="31"/>
      <c r="AV2850" s="36"/>
    </row>
    <row r="2851" spans="4:48">
      <c r="D2851" s="31"/>
      <c r="E2851" s="31"/>
      <c r="F2851" s="31"/>
      <c r="G2851" s="31"/>
      <c r="H2851" s="32"/>
      <c r="J2851" s="33"/>
      <c r="K2851" s="33"/>
      <c r="L2851" s="33"/>
      <c r="X2851" s="23"/>
      <c r="Y2851" s="23"/>
      <c r="Z2851" s="23"/>
      <c r="AA2851" s="23"/>
      <c r="AF2851" s="23"/>
      <c r="AG2851" s="23"/>
      <c r="AH2851" s="23"/>
      <c r="AI2851" s="23"/>
      <c r="AN2851" s="23"/>
      <c r="AO2851" s="23"/>
      <c r="AP2851" s="23"/>
      <c r="AQ2851" s="23"/>
      <c r="AR2851" s="35"/>
      <c r="AS2851" s="35"/>
      <c r="AT2851" s="35"/>
      <c r="AU2851" s="31"/>
      <c r="AV2851" s="36"/>
    </row>
    <row r="2852" spans="4:48">
      <c r="D2852" s="31"/>
      <c r="E2852" s="31"/>
      <c r="F2852" s="31"/>
      <c r="G2852" s="31"/>
      <c r="H2852" s="32"/>
      <c r="J2852" s="33"/>
      <c r="K2852" s="33"/>
      <c r="L2852" s="33"/>
      <c r="X2852" s="23"/>
      <c r="Y2852" s="23"/>
      <c r="Z2852" s="23"/>
      <c r="AA2852" s="23"/>
      <c r="AF2852" s="23"/>
      <c r="AG2852" s="23"/>
      <c r="AH2852" s="23"/>
      <c r="AI2852" s="23"/>
      <c r="AN2852" s="23"/>
      <c r="AO2852" s="23"/>
      <c r="AP2852" s="23"/>
      <c r="AQ2852" s="23"/>
      <c r="AR2852" s="35"/>
      <c r="AS2852" s="35"/>
      <c r="AT2852" s="35"/>
      <c r="AU2852" s="31"/>
      <c r="AV2852" s="36"/>
    </row>
    <row r="2853" spans="4:48">
      <c r="D2853" s="31"/>
      <c r="E2853" s="31"/>
      <c r="F2853" s="31"/>
      <c r="G2853" s="31"/>
      <c r="H2853" s="32"/>
      <c r="J2853" s="33"/>
      <c r="K2853" s="33"/>
      <c r="L2853" s="33"/>
      <c r="X2853" s="23"/>
      <c r="Y2853" s="23"/>
      <c r="Z2853" s="23"/>
      <c r="AA2853" s="23"/>
      <c r="AF2853" s="23"/>
      <c r="AG2853" s="23"/>
      <c r="AH2853" s="23"/>
      <c r="AI2853" s="23"/>
      <c r="AN2853" s="23"/>
      <c r="AO2853" s="23"/>
      <c r="AP2853" s="23"/>
      <c r="AQ2853" s="23"/>
      <c r="AR2853" s="35"/>
      <c r="AS2853" s="35"/>
      <c r="AT2853" s="35"/>
      <c r="AU2853" s="31"/>
      <c r="AV2853" s="36"/>
    </row>
    <row r="2854" spans="4:48">
      <c r="D2854" s="31"/>
      <c r="E2854" s="31"/>
      <c r="F2854" s="31"/>
      <c r="G2854" s="31"/>
      <c r="H2854" s="32"/>
      <c r="J2854" s="33"/>
      <c r="K2854" s="33"/>
      <c r="L2854" s="33"/>
      <c r="X2854" s="23"/>
      <c r="Y2854" s="23"/>
      <c r="Z2854" s="23"/>
      <c r="AA2854" s="23"/>
      <c r="AF2854" s="23"/>
      <c r="AG2854" s="23"/>
      <c r="AH2854" s="23"/>
      <c r="AI2854" s="23"/>
      <c r="AN2854" s="23"/>
      <c r="AO2854" s="23"/>
      <c r="AP2854" s="23"/>
      <c r="AQ2854" s="23"/>
      <c r="AR2854" s="35"/>
      <c r="AS2854" s="35"/>
      <c r="AT2854" s="35"/>
      <c r="AU2854" s="31"/>
      <c r="AV2854" s="36"/>
    </row>
    <row r="2855" spans="4:48">
      <c r="D2855" s="31"/>
      <c r="E2855" s="31"/>
      <c r="F2855" s="31"/>
      <c r="G2855" s="31"/>
      <c r="H2855" s="32"/>
      <c r="J2855" s="33"/>
      <c r="K2855" s="33"/>
      <c r="L2855" s="33"/>
      <c r="X2855" s="23"/>
      <c r="Y2855" s="23"/>
      <c r="Z2855" s="23"/>
      <c r="AA2855" s="23"/>
      <c r="AF2855" s="23"/>
      <c r="AG2855" s="23"/>
      <c r="AH2855" s="23"/>
      <c r="AI2855" s="23"/>
      <c r="AN2855" s="23"/>
      <c r="AO2855" s="23"/>
      <c r="AP2855" s="23"/>
      <c r="AQ2855" s="23"/>
      <c r="AR2855" s="35"/>
      <c r="AS2855" s="35"/>
      <c r="AT2855" s="35"/>
      <c r="AU2855" s="31"/>
      <c r="AV2855" s="36"/>
    </row>
    <row r="2856" spans="4:48">
      <c r="D2856" s="31"/>
      <c r="E2856" s="31"/>
      <c r="F2856" s="31"/>
      <c r="G2856" s="31"/>
      <c r="H2856" s="32"/>
      <c r="J2856" s="33"/>
      <c r="K2856" s="33"/>
      <c r="L2856" s="33"/>
      <c r="X2856" s="23"/>
      <c r="Y2856" s="23"/>
      <c r="Z2856" s="23"/>
      <c r="AA2856" s="23"/>
      <c r="AF2856" s="23"/>
      <c r="AG2856" s="23"/>
      <c r="AH2856" s="23"/>
      <c r="AI2856" s="23"/>
      <c r="AN2856" s="23"/>
      <c r="AO2856" s="23"/>
      <c r="AP2856" s="23"/>
      <c r="AQ2856" s="23"/>
      <c r="AR2856" s="35"/>
      <c r="AS2856" s="35"/>
      <c r="AT2856" s="35"/>
      <c r="AU2856" s="31"/>
      <c r="AV2856" s="36"/>
    </row>
    <row r="2857" spans="4:48">
      <c r="D2857" s="31"/>
      <c r="E2857" s="31"/>
      <c r="F2857" s="31"/>
      <c r="G2857" s="31"/>
      <c r="H2857" s="32"/>
      <c r="J2857" s="33"/>
      <c r="K2857" s="33"/>
      <c r="L2857" s="33"/>
      <c r="X2857" s="23"/>
      <c r="Y2857" s="23"/>
      <c r="Z2857" s="23"/>
      <c r="AA2857" s="23"/>
      <c r="AF2857" s="23"/>
      <c r="AG2857" s="23"/>
      <c r="AH2857" s="23"/>
      <c r="AI2857" s="23"/>
      <c r="AN2857" s="23"/>
      <c r="AO2857" s="23"/>
      <c r="AP2857" s="23"/>
      <c r="AQ2857" s="23"/>
      <c r="AR2857" s="35"/>
      <c r="AS2857" s="35"/>
      <c r="AT2857" s="35"/>
      <c r="AU2857" s="31"/>
      <c r="AV2857" s="36"/>
    </row>
    <row r="2858" spans="4:48">
      <c r="D2858" s="31"/>
      <c r="E2858" s="31"/>
      <c r="F2858" s="31"/>
      <c r="G2858" s="31"/>
      <c r="H2858" s="32"/>
      <c r="J2858" s="33"/>
      <c r="K2858" s="33"/>
      <c r="L2858" s="33"/>
      <c r="X2858" s="23"/>
      <c r="Y2858" s="23"/>
      <c r="Z2858" s="23"/>
      <c r="AA2858" s="23"/>
      <c r="AF2858" s="23"/>
      <c r="AG2858" s="23"/>
      <c r="AH2858" s="23"/>
      <c r="AI2858" s="23"/>
      <c r="AN2858" s="23"/>
      <c r="AO2858" s="23"/>
      <c r="AP2858" s="23"/>
      <c r="AQ2858" s="23"/>
      <c r="AR2858" s="35"/>
      <c r="AS2858" s="35"/>
      <c r="AT2858" s="35"/>
      <c r="AU2858" s="31"/>
      <c r="AV2858" s="36"/>
    </row>
    <row r="2859" spans="4:48">
      <c r="D2859" s="31"/>
      <c r="E2859" s="31"/>
      <c r="F2859" s="31"/>
      <c r="G2859" s="31"/>
      <c r="H2859" s="32"/>
      <c r="J2859" s="33"/>
      <c r="K2859" s="33"/>
      <c r="L2859" s="33"/>
      <c r="X2859" s="23"/>
      <c r="Y2859" s="23"/>
      <c r="Z2859" s="23"/>
      <c r="AA2859" s="23"/>
      <c r="AF2859" s="23"/>
      <c r="AG2859" s="23"/>
      <c r="AH2859" s="23"/>
      <c r="AI2859" s="23"/>
      <c r="AN2859" s="23"/>
      <c r="AO2859" s="23"/>
      <c r="AP2859" s="23"/>
      <c r="AQ2859" s="23"/>
      <c r="AR2859" s="35"/>
      <c r="AS2859" s="35"/>
      <c r="AT2859" s="35"/>
      <c r="AU2859" s="31"/>
      <c r="AV2859" s="36"/>
    </row>
    <row r="2860" spans="4:48">
      <c r="D2860" s="31"/>
      <c r="E2860" s="31"/>
      <c r="F2860" s="31"/>
      <c r="G2860" s="31"/>
      <c r="H2860" s="32"/>
      <c r="J2860" s="33"/>
      <c r="K2860" s="33"/>
      <c r="L2860" s="33"/>
      <c r="X2860" s="23"/>
      <c r="Y2860" s="23"/>
      <c r="Z2860" s="23"/>
      <c r="AA2860" s="23"/>
      <c r="AF2860" s="23"/>
      <c r="AG2860" s="23"/>
      <c r="AH2860" s="23"/>
      <c r="AI2860" s="23"/>
      <c r="AN2860" s="23"/>
      <c r="AO2860" s="23"/>
      <c r="AP2860" s="23"/>
      <c r="AQ2860" s="23"/>
      <c r="AR2860" s="35"/>
      <c r="AS2860" s="35"/>
      <c r="AT2860" s="35"/>
      <c r="AU2860" s="31"/>
      <c r="AV2860" s="36"/>
    </row>
    <row r="2861" spans="4:48">
      <c r="D2861" s="31"/>
      <c r="E2861" s="31"/>
      <c r="F2861" s="31"/>
      <c r="G2861" s="31"/>
      <c r="H2861" s="32"/>
      <c r="J2861" s="33"/>
      <c r="K2861" s="33"/>
      <c r="L2861" s="33"/>
      <c r="X2861" s="23"/>
      <c r="Y2861" s="23"/>
      <c r="Z2861" s="23"/>
      <c r="AA2861" s="23"/>
      <c r="AF2861" s="23"/>
      <c r="AG2861" s="23"/>
      <c r="AH2861" s="23"/>
      <c r="AI2861" s="23"/>
      <c r="AN2861" s="23"/>
      <c r="AO2861" s="23"/>
      <c r="AP2861" s="23"/>
      <c r="AQ2861" s="23"/>
      <c r="AR2861" s="35"/>
      <c r="AS2861" s="35"/>
      <c r="AT2861" s="35"/>
      <c r="AU2861" s="31"/>
      <c r="AV2861" s="36"/>
    </row>
    <row r="2862" spans="4:48">
      <c r="D2862" s="31"/>
      <c r="E2862" s="31"/>
      <c r="F2862" s="31"/>
      <c r="G2862" s="31"/>
      <c r="H2862" s="32"/>
      <c r="J2862" s="33"/>
      <c r="K2862" s="33"/>
      <c r="L2862" s="33"/>
      <c r="X2862" s="23"/>
      <c r="Y2862" s="23"/>
      <c r="Z2862" s="23"/>
      <c r="AA2862" s="23"/>
      <c r="AF2862" s="23"/>
      <c r="AG2862" s="23"/>
      <c r="AH2862" s="23"/>
      <c r="AI2862" s="23"/>
      <c r="AN2862" s="23"/>
      <c r="AO2862" s="23"/>
      <c r="AP2862" s="23"/>
      <c r="AQ2862" s="23"/>
      <c r="AR2862" s="35"/>
      <c r="AS2862" s="35"/>
      <c r="AT2862" s="35"/>
      <c r="AU2862" s="31"/>
      <c r="AV2862" s="36"/>
    </row>
    <row r="2863" spans="4:48">
      <c r="D2863" s="31"/>
      <c r="E2863" s="31"/>
      <c r="F2863" s="31"/>
      <c r="G2863" s="31"/>
      <c r="H2863" s="32"/>
      <c r="J2863" s="33"/>
      <c r="K2863" s="33"/>
      <c r="L2863" s="33"/>
      <c r="X2863" s="23"/>
      <c r="Y2863" s="23"/>
      <c r="Z2863" s="23"/>
      <c r="AA2863" s="23"/>
      <c r="AF2863" s="23"/>
      <c r="AG2863" s="23"/>
      <c r="AH2863" s="23"/>
      <c r="AI2863" s="23"/>
      <c r="AN2863" s="23"/>
      <c r="AO2863" s="23"/>
      <c r="AP2863" s="23"/>
      <c r="AQ2863" s="23"/>
      <c r="AR2863" s="35"/>
      <c r="AS2863" s="35"/>
      <c r="AT2863" s="35"/>
      <c r="AU2863" s="31"/>
      <c r="AV2863" s="36"/>
    </row>
    <row r="2864" spans="4:48">
      <c r="D2864" s="31"/>
      <c r="E2864" s="31"/>
      <c r="F2864" s="31"/>
      <c r="G2864" s="31"/>
      <c r="H2864" s="32"/>
      <c r="J2864" s="33"/>
      <c r="K2864" s="33"/>
      <c r="L2864" s="33"/>
      <c r="X2864" s="23"/>
      <c r="Y2864" s="23"/>
      <c r="Z2864" s="23"/>
      <c r="AA2864" s="23"/>
      <c r="AF2864" s="23"/>
      <c r="AG2864" s="23"/>
      <c r="AH2864" s="23"/>
      <c r="AI2864" s="23"/>
      <c r="AN2864" s="23"/>
      <c r="AO2864" s="23"/>
      <c r="AP2864" s="23"/>
      <c r="AQ2864" s="23"/>
      <c r="AR2864" s="35"/>
      <c r="AS2864" s="35"/>
      <c r="AT2864" s="35"/>
      <c r="AU2864" s="31"/>
      <c r="AV2864" s="36"/>
    </row>
    <row r="2865" spans="4:48">
      <c r="D2865" s="31"/>
      <c r="E2865" s="31"/>
      <c r="F2865" s="31"/>
      <c r="G2865" s="31"/>
      <c r="H2865" s="32"/>
      <c r="J2865" s="33"/>
      <c r="K2865" s="33"/>
      <c r="L2865" s="33"/>
      <c r="X2865" s="23"/>
      <c r="Y2865" s="23"/>
      <c r="Z2865" s="23"/>
      <c r="AA2865" s="23"/>
      <c r="AF2865" s="23"/>
      <c r="AG2865" s="23"/>
      <c r="AH2865" s="23"/>
      <c r="AI2865" s="23"/>
      <c r="AN2865" s="23"/>
      <c r="AO2865" s="23"/>
      <c r="AP2865" s="23"/>
      <c r="AQ2865" s="23"/>
      <c r="AR2865" s="35"/>
      <c r="AS2865" s="35"/>
      <c r="AT2865" s="35"/>
      <c r="AU2865" s="31"/>
      <c r="AV2865" s="36"/>
    </row>
    <row r="2866" spans="4:48">
      <c r="D2866" s="31"/>
      <c r="E2866" s="31"/>
      <c r="F2866" s="31"/>
      <c r="G2866" s="31"/>
      <c r="H2866" s="32"/>
      <c r="J2866" s="33"/>
      <c r="K2866" s="33"/>
      <c r="L2866" s="33"/>
      <c r="X2866" s="23"/>
      <c r="Y2866" s="23"/>
      <c r="Z2866" s="23"/>
      <c r="AA2866" s="23"/>
      <c r="AF2866" s="23"/>
      <c r="AG2866" s="23"/>
      <c r="AH2866" s="23"/>
      <c r="AI2866" s="23"/>
      <c r="AN2866" s="23"/>
      <c r="AO2866" s="23"/>
      <c r="AP2866" s="23"/>
      <c r="AQ2866" s="23"/>
      <c r="AR2866" s="35"/>
      <c r="AS2866" s="35"/>
      <c r="AT2866" s="35"/>
      <c r="AU2866" s="31"/>
      <c r="AV2866" s="36"/>
    </row>
    <row r="2867" spans="4:48">
      <c r="D2867" s="31"/>
      <c r="E2867" s="31"/>
      <c r="F2867" s="31"/>
      <c r="G2867" s="31"/>
      <c r="H2867" s="32"/>
      <c r="J2867" s="33"/>
      <c r="K2867" s="33"/>
      <c r="L2867" s="33"/>
      <c r="X2867" s="23"/>
      <c r="Y2867" s="23"/>
      <c r="Z2867" s="23"/>
      <c r="AA2867" s="23"/>
      <c r="AF2867" s="23"/>
      <c r="AG2867" s="23"/>
      <c r="AH2867" s="23"/>
      <c r="AI2867" s="23"/>
      <c r="AN2867" s="23"/>
      <c r="AO2867" s="23"/>
      <c r="AP2867" s="23"/>
      <c r="AQ2867" s="23"/>
      <c r="AR2867" s="35"/>
      <c r="AS2867" s="35"/>
      <c r="AT2867" s="35"/>
      <c r="AU2867" s="31"/>
      <c r="AV2867" s="36"/>
    </row>
    <row r="2868" spans="4:48">
      <c r="D2868" s="31"/>
      <c r="E2868" s="31"/>
      <c r="F2868" s="31"/>
      <c r="G2868" s="31"/>
      <c r="H2868" s="32"/>
      <c r="J2868" s="33"/>
      <c r="K2868" s="33"/>
      <c r="L2868" s="33"/>
      <c r="X2868" s="23"/>
      <c r="Y2868" s="23"/>
      <c r="Z2868" s="23"/>
      <c r="AA2868" s="23"/>
      <c r="AF2868" s="23"/>
      <c r="AG2868" s="23"/>
      <c r="AH2868" s="23"/>
      <c r="AI2868" s="23"/>
      <c r="AN2868" s="23"/>
      <c r="AO2868" s="23"/>
      <c r="AP2868" s="23"/>
      <c r="AQ2868" s="23"/>
      <c r="AR2868" s="35"/>
      <c r="AS2868" s="35"/>
      <c r="AT2868" s="35"/>
      <c r="AU2868" s="31"/>
      <c r="AV2868" s="36"/>
    </row>
    <row r="2869" spans="4:48">
      <c r="D2869" s="31"/>
      <c r="E2869" s="31"/>
      <c r="F2869" s="31"/>
      <c r="G2869" s="31"/>
      <c r="H2869" s="32"/>
      <c r="J2869" s="33"/>
      <c r="K2869" s="33"/>
      <c r="L2869" s="33"/>
      <c r="X2869" s="23"/>
      <c r="Y2869" s="23"/>
      <c r="Z2869" s="23"/>
      <c r="AA2869" s="23"/>
      <c r="AF2869" s="23"/>
      <c r="AG2869" s="23"/>
      <c r="AH2869" s="23"/>
      <c r="AI2869" s="23"/>
      <c r="AN2869" s="23"/>
      <c r="AO2869" s="23"/>
      <c r="AP2869" s="23"/>
      <c r="AQ2869" s="23"/>
      <c r="AR2869" s="35"/>
      <c r="AS2869" s="35"/>
      <c r="AT2869" s="35"/>
      <c r="AU2869" s="31"/>
      <c r="AV2869" s="36"/>
    </row>
    <row r="2870" spans="4:48">
      <c r="D2870" s="31"/>
      <c r="E2870" s="31"/>
      <c r="F2870" s="31"/>
      <c r="G2870" s="31"/>
      <c r="H2870" s="32"/>
      <c r="J2870" s="33"/>
      <c r="K2870" s="33"/>
      <c r="L2870" s="33"/>
      <c r="X2870" s="23"/>
      <c r="Y2870" s="23"/>
      <c r="Z2870" s="23"/>
      <c r="AA2870" s="23"/>
      <c r="AF2870" s="23"/>
      <c r="AG2870" s="23"/>
      <c r="AH2870" s="23"/>
      <c r="AI2870" s="23"/>
      <c r="AN2870" s="23"/>
      <c r="AO2870" s="23"/>
      <c r="AP2870" s="23"/>
      <c r="AQ2870" s="23"/>
      <c r="AR2870" s="35"/>
      <c r="AS2870" s="35"/>
      <c r="AT2870" s="35"/>
      <c r="AU2870" s="31"/>
      <c r="AV2870" s="36"/>
    </row>
    <row r="2871" spans="4:48">
      <c r="D2871" s="31"/>
      <c r="E2871" s="31"/>
      <c r="F2871" s="31"/>
      <c r="G2871" s="31"/>
      <c r="H2871" s="32"/>
      <c r="J2871" s="33"/>
      <c r="K2871" s="33"/>
      <c r="L2871" s="33"/>
      <c r="X2871" s="23"/>
      <c r="Y2871" s="23"/>
      <c r="Z2871" s="23"/>
      <c r="AA2871" s="23"/>
      <c r="AF2871" s="23"/>
      <c r="AG2871" s="23"/>
      <c r="AH2871" s="23"/>
      <c r="AI2871" s="23"/>
      <c r="AN2871" s="23"/>
      <c r="AO2871" s="23"/>
      <c r="AP2871" s="23"/>
      <c r="AQ2871" s="23"/>
      <c r="AR2871" s="35"/>
      <c r="AS2871" s="35"/>
      <c r="AT2871" s="35"/>
      <c r="AU2871" s="31"/>
      <c r="AV2871" s="36"/>
    </row>
    <row r="2872" spans="4:48">
      <c r="D2872" s="31"/>
      <c r="E2872" s="31"/>
      <c r="F2872" s="31"/>
      <c r="G2872" s="31"/>
      <c r="H2872" s="32"/>
      <c r="J2872" s="33"/>
      <c r="K2872" s="33"/>
      <c r="L2872" s="33"/>
      <c r="X2872" s="23"/>
      <c r="Y2872" s="23"/>
      <c r="Z2872" s="23"/>
      <c r="AA2872" s="23"/>
      <c r="AF2872" s="23"/>
      <c r="AG2872" s="23"/>
      <c r="AH2872" s="23"/>
      <c r="AI2872" s="23"/>
      <c r="AN2872" s="23"/>
      <c r="AO2872" s="23"/>
      <c r="AP2872" s="23"/>
      <c r="AQ2872" s="23"/>
      <c r="AR2872" s="35"/>
      <c r="AS2872" s="35"/>
      <c r="AT2872" s="35"/>
      <c r="AU2872" s="31"/>
      <c r="AV2872" s="36"/>
    </row>
    <row r="2873" spans="4:48">
      <c r="D2873" s="31"/>
      <c r="E2873" s="31"/>
      <c r="F2873" s="31"/>
      <c r="G2873" s="31"/>
      <c r="H2873" s="32"/>
      <c r="J2873" s="33"/>
      <c r="K2873" s="33"/>
      <c r="L2873" s="33"/>
      <c r="X2873" s="23"/>
      <c r="Y2873" s="23"/>
      <c r="Z2873" s="23"/>
      <c r="AA2873" s="23"/>
      <c r="AF2873" s="23"/>
      <c r="AG2873" s="23"/>
      <c r="AH2873" s="23"/>
      <c r="AI2873" s="23"/>
      <c r="AN2873" s="23"/>
      <c r="AO2873" s="23"/>
      <c r="AP2873" s="23"/>
      <c r="AQ2873" s="23"/>
      <c r="AR2873" s="35"/>
      <c r="AS2873" s="35"/>
      <c r="AT2873" s="35"/>
      <c r="AU2873" s="31"/>
      <c r="AV2873" s="36"/>
    </row>
    <row r="2874" spans="4:48">
      <c r="D2874" s="31"/>
      <c r="E2874" s="31"/>
      <c r="F2874" s="31"/>
      <c r="G2874" s="31"/>
      <c r="H2874" s="32"/>
      <c r="J2874" s="33"/>
      <c r="K2874" s="33"/>
      <c r="L2874" s="33"/>
      <c r="X2874" s="23"/>
      <c r="Y2874" s="23"/>
      <c r="Z2874" s="23"/>
      <c r="AA2874" s="23"/>
      <c r="AF2874" s="23"/>
      <c r="AG2874" s="23"/>
      <c r="AH2874" s="23"/>
      <c r="AI2874" s="23"/>
      <c r="AN2874" s="23"/>
      <c r="AO2874" s="23"/>
      <c r="AP2874" s="23"/>
      <c r="AQ2874" s="23"/>
      <c r="AR2874" s="35"/>
      <c r="AS2874" s="35"/>
      <c r="AT2874" s="35"/>
      <c r="AU2874" s="31"/>
      <c r="AV2874" s="36"/>
    </row>
    <row r="2875" spans="4:48">
      <c r="D2875" s="31"/>
      <c r="E2875" s="31"/>
      <c r="F2875" s="31"/>
      <c r="G2875" s="31"/>
      <c r="H2875" s="32"/>
      <c r="J2875" s="33"/>
      <c r="K2875" s="33"/>
      <c r="L2875" s="33"/>
      <c r="X2875" s="23"/>
      <c r="Y2875" s="23"/>
      <c r="Z2875" s="23"/>
      <c r="AA2875" s="23"/>
      <c r="AF2875" s="23"/>
      <c r="AG2875" s="23"/>
      <c r="AH2875" s="23"/>
      <c r="AI2875" s="23"/>
      <c r="AN2875" s="23"/>
      <c r="AO2875" s="23"/>
      <c r="AP2875" s="23"/>
      <c r="AQ2875" s="23"/>
      <c r="AR2875" s="35"/>
      <c r="AS2875" s="35"/>
      <c r="AT2875" s="35"/>
      <c r="AU2875" s="31"/>
      <c r="AV2875" s="36"/>
    </row>
    <row r="2876" spans="4:48">
      <c r="D2876" s="31"/>
      <c r="E2876" s="31"/>
      <c r="F2876" s="31"/>
      <c r="G2876" s="31"/>
      <c r="H2876" s="32"/>
      <c r="J2876" s="33"/>
      <c r="K2876" s="33"/>
      <c r="L2876" s="33"/>
      <c r="X2876" s="23"/>
      <c r="Y2876" s="23"/>
      <c r="Z2876" s="23"/>
      <c r="AA2876" s="23"/>
      <c r="AF2876" s="23"/>
      <c r="AG2876" s="23"/>
      <c r="AH2876" s="23"/>
      <c r="AI2876" s="23"/>
      <c r="AN2876" s="23"/>
      <c r="AO2876" s="23"/>
      <c r="AP2876" s="23"/>
      <c r="AQ2876" s="23"/>
      <c r="AR2876" s="35"/>
      <c r="AS2876" s="35"/>
      <c r="AT2876" s="35"/>
      <c r="AU2876" s="31"/>
      <c r="AV2876" s="36"/>
    </row>
    <row r="2877" spans="4:48">
      <c r="D2877" s="31"/>
      <c r="E2877" s="31"/>
      <c r="F2877" s="31"/>
      <c r="G2877" s="31"/>
      <c r="H2877" s="32"/>
      <c r="J2877" s="33"/>
      <c r="K2877" s="33"/>
      <c r="L2877" s="33"/>
      <c r="X2877" s="23"/>
      <c r="Y2877" s="23"/>
      <c r="Z2877" s="23"/>
      <c r="AA2877" s="23"/>
      <c r="AF2877" s="23"/>
      <c r="AG2877" s="23"/>
      <c r="AH2877" s="23"/>
      <c r="AI2877" s="23"/>
      <c r="AN2877" s="23"/>
      <c r="AO2877" s="23"/>
      <c r="AP2877" s="23"/>
      <c r="AQ2877" s="23"/>
      <c r="AR2877" s="35"/>
      <c r="AS2877" s="35"/>
      <c r="AT2877" s="35"/>
      <c r="AU2877" s="31"/>
      <c r="AV2877" s="36"/>
    </row>
    <row r="2878" spans="4:48">
      <c r="D2878" s="31"/>
      <c r="E2878" s="31"/>
      <c r="F2878" s="31"/>
      <c r="G2878" s="31"/>
      <c r="H2878" s="32"/>
      <c r="J2878" s="33"/>
      <c r="K2878" s="33"/>
      <c r="L2878" s="33"/>
      <c r="X2878" s="23"/>
      <c r="Y2878" s="23"/>
      <c r="Z2878" s="23"/>
      <c r="AA2878" s="23"/>
      <c r="AF2878" s="23"/>
      <c r="AG2878" s="23"/>
      <c r="AH2878" s="23"/>
      <c r="AI2878" s="23"/>
      <c r="AN2878" s="23"/>
      <c r="AO2878" s="23"/>
      <c r="AP2878" s="23"/>
      <c r="AQ2878" s="23"/>
      <c r="AR2878" s="35"/>
      <c r="AS2878" s="35"/>
      <c r="AT2878" s="35"/>
      <c r="AU2878" s="31"/>
      <c r="AV2878" s="36"/>
    </row>
    <row r="2879" spans="4:48">
      <c r="D2879" s="31"/>
      <c r="E2879" s="31"/>
      <c r="F2879" s="31"/>
      <c r="G2879" s="31"/>
      <c r="H2879" s="32"/>
      <c r="J2879" s="33"/>
      <c r="K2879" s="33"/>
      <c r="L2879" s="33"/>
      <c r="X2879" s="23"/>
      <c r="Y2879" s="23"/>
      <c r="Z2879" s="23"/>
      <c r="AA2879" s="23"/>
      <c r="AF2879" s="23"/>
      <c r="AG2879" s="23"/>
      <c r="AH2879" s="23"/>
      <c r="AI2879" s="23"/>
      <c r="AN2879" s="23"/>
      <c r="AO2879" s="23"/>
      <c r="AP2879" s="23"/>
      <c r="AQ2879" s="23"/>
      <c r="AR2879" s="35"/>
      <c r="AS2879" s="35"/>
      <c r="AT2879" s="35"/>
      <c r="AU2879" s="31"/>
      <c r="AV2879" s="36"/>
    </row>
    <row r="2880" spans="4:48">
      <c r="D2880" s="31"/>
      <c r="E2880" s="31"/>
      <c r="F2880" s="31"/>
      <c r="G2880" s="31"/>
      <c r="H2880" s="32"/>
      <c r="J2880" s="33"/>
      <c r="K2880" s="33"/>
      <c r="L2880" s="33"/>
      <c r="X2880" s="23"/>
      <c r="Y2880" s="23"/>
      <c r="Z2880" s="23"/>
      <c r="AA2880" s="23"/>
      <c r="AF2880" s="23"/>
      <c r="AG2880" s="23"/>
      <c r="AH2880" s="23"/>
      <c r="AI2880" s="23"/>
      <c r="AN2880" s="23"/>
      <c r="AO2880" s="23"/>
      <c r="AP2880" s="23"/>
      <c r="AQ2880" s="23"/>
      <c r="AR2880" s="35"/>
      <c r="AS2880" s="35"/>
      <c r="AT2880" s="35"/>
      <c r="AU2880" s="31"/>
      <c r="AV2880" s="36"/>
    </row>
    <row r="2881" spans="4:48">
      <c r="D2881" s="31"/>
      <c r="E2881" s="31"/>
      <c r="F2881" s="31"/>
      <c r="G2881" s="31"/>
      <c r="H2881" s="32"/>
      <c r="J2881" s="33"/>
      <c r="K2881" s="33"/>
      <c r="L2881" s="33"/>
      <c r="X2881" s="23"/>
      <c r="Y2881" s="23"/>
      <c r="Z2881" s="23"/>
      <c r="AA2881" s="23"/>
      <c r="AF2881" s="23"/>
      <c r="AG2881" s="23"/>
      <c r="AH2881" s="23"/>
      <c r="AI2881" s="23"/>
      <c r="AN2881" s="23"/>
      <c r="AO2881" s="23"/>
      <c r="AP2881" s="23"/>
      <c r="AQ2881" s="23"/>
      <c r="AR2881" s="35"/>
      <c r="AS2881" s="35"/>
      <c r="AT2881" s="35"/>
      <c r="AU2881" s="31"/>
      <c r="AV2881" s="36"/>
    </row>
    <row r="2882" spans="4:48">
      <c r="D2882" s="31"/>
      <c r="E2882" s="31"/>
      <c r="F2882" s="31"/>
      <c r="G2882" s="31"/>
      <c r="H2882" s="32"/>
      <c r="J2882" s="33"/>
      <c r="K2882" s="33"/>
      <c r="L2882" s="33"/>
      <c r="X2882" s="23"/>
      <c r="Y2882" s="23"/>
      <c r="Z2882" s="23"/>
      <c r="AA2882" s="23"/>
      <c r="AF2882" s="23"/>
      <c r="AG2882" s="23"/>
      <c r="AH2882" s="23"/>
      <c r="AI2882" s="23"/>
      <c r="AN2882" s="23"/>
      <c r="AO2882" s="23"/>
      <c r="AP2882" s="23"/>
      <c r="AQ2882" s="23"/>
      <c r="AR2882" s="35"/>
      <c r="AS2882" s="35"/>
      <c r="AT2882" s="35"/>
      <c r="AU2882" s="31"/>
      <c r="AV2882" s="36"/>
    </row>
    <row r="2883" spans="4:48">
      <c r="D2883" s="31"/>
      <c r="E2883" s="31"/>
      <c r="F2883" s="31"/>
      <c r="G2883" s="31"/>
      <c r="H2883" s="32"/>
      <c r="J2883" s="33"/>
      <c r="K2883" s="33"/>
      <c r="L2883" s="33"/>
      <c r="X2883" s="23"/>
      <c r="Y2883" s="23"/>
      <c r="Z2883" s="23"/>
      <c r="AA2883" s="23"/>
      <c r="AF2883" s="23"/>
      <c r="AG2883" s="23"/>
      <c r="AH2883" s="23"/>
      <c r="AI2883" s="23"/>
      <c r="AN2883" s="23"/>
      <c r="AO2883" s="23"/>
      <c r="AP2883" s="23"/>
      <c r="AQ2883" s="23"/>
      <c r="AR2883" s="35"/>
      <c r="AS2883" s="35"/>
      <c r="AT2883" s="35"/>
      <c r="AU2883" s="31"/>
      <c r="AV2883" s="36"/>
    </row>
    <row r="2884" spans="4:48">
      <c r="D2884" s="31"/>
      <c r="E2884" s="31"/>
      <c r="F2884" s="31"/>
      <c r="G2884" s="31"/>
      <c r="H2884" s="32"/>
      <c r="J2884" s="33"/>
      <c r="K2884" s="33"/>
      <c r="L2884" s="33"/>
      <c r="X2884" s="23"/>
      <c r="Y2884" s="23"/>
      <c r="Z2884" s="23"/>
      <c r="AA2884" s="23"/>
      <c r="AF2884" s="23"/>
      <c r="AG2884" s="23"/>
      <c r="AH2884" s="23"/>
      <c r="AI2884" s="23"/>
      <c r="AN2884" s="23"/>
      <c r="AO2884" s="23"/>
      <c r="AP2884" s="23"/>
      <c r="AQ2884" s="23"/>
      <c r="AR2884" s="35"/>
      <c r="AS2884" s="35"/>
      <c r="AT2884" s="35"/>
      <c r="AU2884" s="31"/>
      <c r="AV2884" s="36"/>
    </row>
    <row r="2885" spans="4:48">
      <c r="D2885" s="31"/>
      <c r="E2885" s="31"/>
      <c r="F2885" s="31"/>
      <c r="G2885" s="31"/>
      <c r="H2885" s="32"/>
      <c r="J2885" s="33"/>
      <c r="K2885" s="33"/>
      <c r="L2885" s="33"/>
      <c r="X2885" s="23"/>
      <c r="Y2885" s="23"/>
      <c r="Z2885" s="23"/>
      <c r="AA2885" s="23"/>
      <c r="AF2885" s="23"/>
      <c r="AG2885" s="23"/>
      <c r="AH2885" s="23"/>
      <c r="AI2885" s="23"/>
      <c r="AN2885" s="23"/>
      <c r="AO2885" s="23"/>
      <c r="AP2885" s="23"/>
      <c r="AQ2885" s="23"/>
      <c r="AR2885" s="35"/>
      <c r="AS2885" s="35"/>
      <c r="AT2885" s="35"/>
      <c r="AU2885" s="31"/>
      <c r="AV2885" s="36"/>
    </row>
    <row r="2886" spans="4:48">
      <c r="D2886" s="31"/>
      <c r="E2886" s="31"/>
      <c r="F2886" s="31"/>
      <c r="G2886" s="31"/>
      <c r="H2886" s="32"/>
      <c r="J2886" s="33"/>
      <c r="K2886" s="33"/>
      <c r="L2886" s="33"/>
      <c r="X2886" s="23"/>
      <c r="Y2886" s="23"/>
      <c r="Z2886" s="23"/>
      <c r="AA2886" s="23"/>
      <c r="AF2886" s="23"/>
      <c r="AG2886" s="23"/>
      <c r="AH2886" s="23"/>
      <c r="AI2886" s="23"/>
      <c r="AN2886" s="23"/>
      <c r="AO2886" s="23"/>
      <c r="AP2886" s="23"/>
      <c r="AQ2886" s="23"/>
      <c r="AR2886" s="35"/>
      <c r="AS2886" s="35"/>
      <c r="AT2886" s="35"/>
      <c r="AU2886" s="31"/>
      <c r="AV2886" s="36"/>
    </row>
    <row r="2887" spans="4:48">
      <c r="D2887" s="31"/>
      <c r="E2887" s="31"/>
      <c r="F2887" s="31"/>
      <c r="G2887" s="31"/>
      <c r="H2887" s="32"/>
      <c r="J2887" s="33"/>
      <c r="K2887" s="33"/>
      <c r="L2887" s="33"/>
      <c r="X2887" s="23"/>
      <c r="Y2887" s="23"/>
      <c r="Z2887" s="23"/>
      <c r="AA2887" s="23"/>
      <c r="AF2887" s="23"/>
      <c r="AG2887" s="23"/>
      <c r="AH2887" s="23"/>
      <c r="AI2887" s="23"/>
      <c r="AN2887" s="23"/>
      <c r="AO2887" s="23"/>
      <c r="AP2887" s="23"/>
      <c r="AQ2887" s="23"/>
      <c r="AR2887" s="35"/>
      <c r="AS2887" s="35"/>
      <c r="AT2887" s="35"/>
      <c r="AU2887" s="31"/>
      <c r="AV2887" s="36"/>
    </row>
    <row r="2888" spans="4:48">
      <c r="D2888" s="31"/>
      <c r="E2888" s="31"/>
      <c r="F2888" s="31"/>
      <c r="G2888" s="31"/>
      <c r="H2888" s="32"/>
      <c r="J2888" s="33"/>
      <c r="K2888" s="33"/>
      <c r="L2888" s="33"/>
      <c r="X2888" s="23"/>
      <c r="Y2888" s="23"/>
      <c r="Z2888" s="23"/>
      <c r="AA2888" s="23"/>
      <c r="AF2888" s="23"/>
      <c r="AG2888" s="23"/>
      <c r="AH2888" s="23"/>
      <c r="AI2888" s="23"/>
      <c r="AN2888" s="23"/>
      <c r="AO2888" s="23"/>
      <c r="AP2888" s="23"/>
      <c r="AQ2888" s="23"/>
      <c r="AR2888" s="35"/>
      <c r="AS2888" s="35"/>
      <c r="AT2888" s="35"/>
      <c r="AU2888" s="31"/>
      <c r="AV2888" s="36"/>
    </row>
    <row r="2889" spans="4:48">
      <c r="D2889" s="31"/>
      <c r="E2889" s="31"/>
      <c r="F2889" s="31"/>
      <c r="G2889" s="31"/>
      <c r="H2889" s="32"/>
      <c r="J2889" s="33"/>
      <c r="K2889" s="33"/>
      <c r="L2889" s="33"/>
      <c r="X2889" s="23"/>
      <c r="Y2889" s="23"/>
      <c r="Z2889" s="23"/>
      <c r="AA2889" s="23"/>
      <c r="AF2889" s="23"/>
      <c r="AG2889" s="23"/>
      <c r="AH2889" s="23"/>
      <c r="AI2889" s="23"/>
      <c r="AN2889" s="23"/>
      <c r="AO2889" s="23"/>
      <c r="AP2889" s="23"/>
      <c r="AQ2889" s="23"/>
      <c r="AR2889" s="35"/>
      <c r="AS2889" s="35"/>
      <c r="AT2889" s="35"/>
      <c r="AU2889" s="31"/>
      <c r="AV2889" s="36"/>
    </row>
    <row r="2890" spans="4:48">
      <c r="D2890" s="31"/>
      <c r="E2890" s="31"/>
      <c r="F2890" s="31"/>
      <c r="G2890" s="31"/>
      <c r="H2890" s="32"/>
      <c r="J2890" s="33"/>
      <c r="K2890" s="33"/>
      <c r="L2890" s="33"/>
      <c r="X2890" s="23"/>
      <c r="Y2890" s="23"/>
      <c r="Z2890" s="23"/>
      <c r="AA2890" s="23"/>
      <c r="AF2890" s="23"/>
      <c r="AG2890" s="23"/>
      <c r="AH2890" s="23"/>
      <c r="AI2890" s="23"/>
      <c r="AN2890" s="23"/>
      <c r="AO2890" s="23"/>
      <c r="AP2890" s="23"/>
      <c r="AQ2890" s="23"/>
      <c r="AR2890" s="35"/>
      <c r="AS2890" s="35"/>
      <c r="AT2890" s="35"/>
      <c r="AU2890" s="31"/>
      <c r="AV2890" s="36"/>
    </row>
    <row r="2891" spans="4:48">
      <c r="D2891" s="31"/>
      <c r="E2891" s="31"/>
      <c r="F2891" s="31"/>
      <c r="G2891" s="31"/>
      <c r="H2891" s="32"/>
      <c r="J2891" s="33"/>
      <c r="K2891" s="33"/>
      <c r="L2891" s="33"/>
      <c r="X2891" s="23"/>
      <c r="Y2891" s="23"/>
      <c r="Z2891" s="23"/>
      <c r="AA2891" s="23"/>
      <c r="AF2891" s="23"/>
      <c r="AG2891" s="23"/>
      <c r="AH2891" s="23"/>
      <c r="AI2891" s="23"/>
      <c r="AN2891" s="23"/>
      <c r="AO2891" s="23"/>
      <c r="AP2891" s="23"/>
      <c r="AQ2891" s="23"/>
      <c r="AR2891" s="35"/>
      <c r="AS2891" s="35"/>
      <c r="AT2891" s="35"/>
      <c r="AU2891" s="31"/>
      <c r="AV2891" s="36"/>
    </row>
    <row r="2892" spans="4:48">
      <c r="D2892" s="31"/>
      <c r="E2892" s="31"/>
      <c r="F2892" s="31"/>
      <c r="G2892" s="31"/>
      <c r="H2892" s="32"/>
      <c r="J2892" s="33"/>
      <c r="K2892" s="33"/>
      <c r="L2892" s="33"/>
      <c r="X2892" s="23"/>
      <c r="Y2892" s="23"/>
      <c r="Z2892" s="23"/>
      <c r="AA2892" s="23"/>
      <c r="AF2892" s="23"/>
      <c r="AG2892" s="23"/>
      <c r="AH2892" s="23"/>
      <c r="AI2892" s="23"/>
      <c r="AN2892" s="23"/>
      <c r="AO2892" s="23"/>
      <c r="AP2892" s="23"/>
      <c r="AQ2892" s="23"/>
      <c r="AR2892" s="35"/>
      <c r="AS2892" s="35"/>
      <c r="AT2892" s="35"/>
      <c r="AU2892" s="31"/>
      <c r="AV2892" s="36"/>
    </row>
    <row r="2893" spans="4:48">
      <c r="D2893" s="31"/>
      <c r="E2893" s="31"/>
      <c r="F2893" s="31"/>
      <c r="G2893" s="31"/>
      <c r="H2893" s="32"/>
      <c r="J2893" s="33"/>
      <c r="K2893" s="33"/>
      <c r="L2893" s="33"/>
      <c r="X2893" s="23"/>
      <c r="Y2893" s="23"/>
      <c r="Z2893" s="23"/>
      <c r="AA2893" s="23"/>
      <c r="AF2893" s="23"/>
      <c r="AG2893" s="23"/>
      <c r="AH2893" s="23"/>
      <c r="AI2893" s="23"/>
      <c r="AN2893" s="23"/>
      <c r="AO2893" s="23"/>
      <c r="AP2893" s="23"/>
      <c r="AQ2893" s="23"/>
      <c r="AR2893" s="35"/>
      <c r="AS2893" s="35"/>
      <c r="AT2893" s="35"/>
      <c r="AU2893" s="31"/>
      <c r="AV2893" s="36"/>
    </row>
    <row r="2894" spans="4:48">
      <c r="D2894" s="31"/>
      <c r="E2894" s="31"/>
      <c r="F2894" s="31"/>
      <c r="G2894" s="31"/>
      <c r="H2894" s="32"/>
      <c r="J2894" s="33"/>
      <c r="K2894" s="33"/>
      <c r="L2894" s="33"/>
      <c r="X2894" s="23"/>
      <c r="Y2894" s="23"/>
      <c r="Z2894" s="23"/>
      <c r="AA2894" s="23"/>
      <c r="AF2894" s="23"/>
      <c r="AG2894" s="23"/>
      <c r="AH2894" s="23"/>
      <c r="AI2894" s="23"/>
      <c r="AN2894" s="23"/>
      <c r="AO2894" s="23"/>
      <c r="AP2894" s="23"/>
      <c r="AQ2894" s="23"/>
      <c r="AR2894" s="35"/>
      <c r="AS2894" s="35"/>
      <c r="AT2894" s="35"/>
      <c r="AU2894" s="31"/>
      <c r="AV2894" s="36"/>
    </row>
    <row r="2895" spans="4:48">
      <c r="D2895" s="31"/>
      <c r="E2895" s="31"/>
      <c r="F2895" s="31"/>
      <c r="G2895" s="31"/>
      <c r="H2895" s="32"/>
      <c r="J2895" s="33"/>
      <c r="K2895" s="33"/>
      <c r="L2895" s="33"/>
      <c r="X2895" s="23"/>
      <c r="Y2895" s="23"/>
      <c r="Z2895" s="23"/>
      <c r="AA2895" s="23"/>
      <c r="AF2895" s="23"/>
      <c r="AG2895" s="23"/>
      <c r="AH2895" s="23"/>
      <c r="AI2895" s="23"/>
      <c r="AN2895" s="23"/>
      <c r="AO2895" s="23"/>
      <c r="AP2895" s="23"/>
      <c r="AQ2895" s="23"/>
      <c r="AR2895" s="35"/>
      <c r="AS2895" s="35"/>
      <c r="AT2895" s="35"/>
      <c r="AU2895" s="31"/>
      <c r="AV2895" s="36"/>
    </row>
    <row r="2896" spans="4:48">
      <c r="D2896" s="31"/>
      <c r="E2896" s="31"/>
      <c r="F2896" s="31"/>
      <c r="G2896" s="31"/>
      <c r="H2896" s="32"/>
      <c r="J2896" s="33"/>
      <c r="K2896" s="33"/>
      <c r="L2896" s="33"/>
      <c r="X2896" s="23"/>
      <c r="Y2896" s="23"/>
      <c r="Z2896" s="23"/>
      <c r="AA2896" s="23"/>
      <c r="AF2896" s="23"/>
      <c r="AG2896" s="23"/>
      <c r="AH2896" s="23"/>
      <c r="AI2896" s="23"/>
      <c r="AN2896" s="23"/>
      <c r="AO2896" s="23"/>
      <c r="AP2896" s="23"/>
      <c r="AQ2896" s="23"/>
      <c r="AR2896" s="35"/>
      <c r="AS2896" s="35"/>
      <c r="AT2896" s="35"/>
      <c r="AU2896" s="31"/>
      <c r="AV2896" s="36"/>
    </row>
    <row r="2897" spans="4:48">
      <c r="D2897" s="31"/>
      <c r="E2897" s="31"/>
      <c r="F2897" s="31"/>
      <c r="G2897" s="31"/>
      <c r="H2897" s="32"/>
      <c r="J2897" s="33"/>
      <c r="K2897" s="33"/>
      <c r="L2897" s="33"/>
      <c r="X2897" s="23"/>
      <c r="Y2897" s="23"/>
      <c r="Z2897" s="23"/>
      <c r="AA2897" s="23"/>
      <c r="AF2897" s="23"/>
      <c r="AG2897" s="23"/>
      <c r="AH2897" s="23"/>
      <c r="AI2897" s="23"/>
      <c r="AN2897" s="23"/>
      <c r="AO2897" s="23"/>
      <c r="AP2897" s="23"/>
      <c r="AQ2897" s="23"/>
      <c r="AR2897" s="35"/>
      <c r="AS2897" s="35"/>
      <c r="AT2897" s="35"/>
      <c r="AU2897" s="31"/>
      <c r="AV2897" s="36"/>
    </row>
    <row r="2898" spans="4:48">
      <c r="D2898" s="31"/>
      <c r="E2898" s="31"/>
      <c r="F2898" s="31"/>
      <c r="G2898" s="31"/>
      <c r="H2898" s="32"/>
      <c r="J2898" s="33"/>
      <c r="K2898" s="33"/>
      <c r="L2898" s="33"/>
      <c r="X2898" s="23"/>
      <c r="Y2898" s="23"/>
      <c r="Z2898" s="23"/>
      <c r="AA2898" s="23"/>
      <c r="AF2898" s="23"/>
      <c r="AG2898" s="23"/>
      <c r="AH2898" s="23"/>
      <c r="AI2898" s="23"/>
      <c r="AN2898" s="23"/>
      <c r="AO2898" s="23"/>
      <c r="AP2898" s="23"/>
      <c r="AQ2898" s="23"/>
      <c r="AR2898" s="35"/>
      <c r="AS2898" s="35"/>
      <c r="AT2898" s="35"/>
      <c r="AU2898" s="31"/>
      <c r="AV2898" s="36"/>
    </row>
    <row r="2899" spans="4:48">
      <c r="D2899" s="31"/>
      <c r="E2899" s="31"/>
      <c r="F2899" s="31"/>
      <c r="G2899" s="31"/>
      <c r="H2899" s="32"/>
      <c r="J2899" s="33"/>
      <c r="K2899" s="33"/>
      <c r="L2899" s="33"/>
      <c r="X2899" s="23"/>
      <c r="Y2899" s="23"/>
      <c r="Z2899" s="23"/>
      <c r="AA2899" s="23"/>
      <c r="AF2899" s="23"/>
      <c r="AG2899" s="23"/>
      <c r="AH2899" s="23"/>
      <c r="AI2899" s="23"/>
      <c r="AN2899" s="23"/>
      <c r="AO2899" s="23"/>
      <c r="AP2899" s="23"/>
      <c r="AQ2899" s="23"/>
      <c r="AR2899" s="35"/>
      <c r="AS2899" s="35"/>
      <c r="AT2899" s="35"/>
      <c r="AU2899" s="31"/>
      <c r="AV2899" s="36"/>
    </row>
    <row r="2900" spans="4:48">
      <c r="D2900" s="31"/>
      <c r="E2900" s="31"/>
      <c r="F2900" s="31"/>
      <c r="G2900" s="31"/>
      <c r="H2900" s="32"/>
      <c r="J2900" s="33"/>
      <c r="K2900" s="33"/>
      <c r="L2900" s="33"/>
      <c r="X2900" s="23"/>
      <c r="Y2900" s="23"/>
      <c r="Z2900" s="23"/>
      <c r="AA2900" s="23"/>
      <c r="AF2900" s="23"/>
      <c r="AG2900" s="23"/>
      <c r="AH2900" s="23"/>
      <c r="AI2900" s="23"/>
      <c r="AN2900" s="23"/>
      <c r="AO2900" s="23"/>
      <c r="AP2900" s="23"/>
      <c r="AQ2900" s="23"/>
      <c r="AR2900" s="35"/>
      <c r="AS2900" s="35"/>
      <c r="AT2900" s="35"/>
      <c r="AU2900" s="31"/>
      <c r="AV2900" s="36"/>
    </row>
    <row r="2901" spans="4:48">
      <c r="D2901" s="31"/>
      <c r="E2901" s="31"/>
      <c r="F2901" s="31"/>
      <c r="G2901" s="31"/>
      <c r="H2901" s="32"/>
      <c r="J2901" s="33"/>
      <c r="K2901" s="33"/>
      <c r="L2901" s="33"/>
      <c r="X2901" s="23"/>
      <c r="Y2901" s="23"/>
      <c r="Z2901" s="23"/>
      <c r="AA2901" s="23"/>
      <c r="AF2901" s="23"/>
      <c r="AG2901" s="23"/>
      <c r="AH2901" s="23"/>
      <c r="AI2901" s="23"/>
      <c r="AN2901" s="23"/>
      <c r="AO2901" s="23"/>
      <c r="AP2901" s="23"/>
      <c r="AQ2901" s="23"/>
      <c r="AR2901" s="35"/>
      <c r="AS2901" s="35"/>
      <c r="AT2901" s="35"/>
      <c r="AU2901" s="31"/>
      <c r="AV2901" s="36"/>
    </row>
    <row r="2902" spans="4:48">
      <c r="D2902" s="31"/>
      <c r="E2902" s="31"/>
      <c r="F2902" s="31"/>
      <c r="G2902" s="31"/>
      <c r="H2902" s="32"/>
      <c r="J2902" s="33"/>
      <c r="K2902" s="33"/>
      <c r="L2902" s="33"/>
      <c r="X2902" s="23"/>
      <c r="Y2902" s="23"/>
      <c r="Z2902" s="23"/>
      <c r="AA2902" s="23"/>
      <c r="AF2902" s="23"/>
      <c r="AG2902" s="23"/>
      <c r="AH2902" s="23"/>
      <c r="AI2902" s="23"/>
      <c r="AN2902" s="23"/>
      <c r="AO2902" s="23"/>
      <c r="AP2902" s="23"/>
      <c r="AQ2902" s="23"/>
      <c r="AR2902" s="35"/>
      <c r="AS2902" s="35"/>
      <c r="AT2902" s="35"/>
      <c r="AU2902" s="31"/>
      <c r="AV2902" s="36"/>
    </row>
    <row r="2903" spans="4:48">
      <c r="D2903" s="31"/>
      <c r="E2903" s="31"/>
      <c r="F2903" s="31"/>
      <c r="G2903" s="31"/>
      <c r="H2903" s="32"/>
      <c r="J2903" s="33"/>
      <c r="K2903" s="33"/>
      <c r="L2903" s="33"/>
      <c r="X2903" s="23"/>
      <c r="Y2903" s="23"/>
      <c r="Z2903" s="23"/>
      <c r="AA2903" s="23"/>
      <c r="AF2903" s="23"/>
      <c r="AG2903" s="23"/>
      <c r="AH2903" s="23"/>
      <c r="AI2903" s="23"/>
      <c r="AN2903" s="23"/>
      <c r="AO2903" s="23"/>
      <c r="AP2903" s="23"/>
      <c r="AQ2903" s="23"/>
      <c r="AR2903" s="35"/>
      <c r="AS2903" s="35"/>
      <c r="AT2903" s="35"/>
      <c r="AU2903" s="31"/>
      <c r="AV2903" s="36"/>
    </row>
    <row r="2904" spans="4:48">
      <c r="D2904" s="31"/>
      <c r="E2904" s="31"/>
      <c r="F2904" s="31"/>
      <c r="G2904" s="31"/>
      <c r="H2904" s="32"/>
      <c r="J2904" s="33"/>
      <c r="K2904" s="33"/>
      <c r="L2904" s="33"/>
      <c r="X2904" s="23"/>
      <c r="Y2904" s="23"/>
      <c r="Z2904" s="23"/>
      <c r="AA2904" s="23"/>
      <c r="AF2904" s="23"/>
      <c r="AG2904" s="23"/>
      <c r="AH2904" s="23"/>
      <c r="AI2904" s="23"/>
      <c r="AN2904" s="23"/>
      <c r="AO2904" s="23"/>
      <c r="AP2904" s="23"/>
      <c r="AQ2904" s="23"/>
      <c r="AR2904" s="35"/>
      <c r="AS2904" s="35"/>
      <c r="AT2904" s="35"/>
      <c r="AU2904" s="31"/>
      <c r="AV2904" s="36"/>
    </row>
    <row r="2905" spans="4:48">
      <c r="D2905" s="31"/>
      <c r="E2905" s="31"/>
      <c r="F2905" s="31"/>
      <c r="G2905" s="31"/>
      <c r="H2905" s="32"/>
      <c r="J2905" s="33"/>
      <c r="K2905" s="33"/>
      <c r="L2905" s="33"/>
      <c r="X2905" s="23"/>
      <c r="Y2905" s="23"/>
      <c r="Z2905" s="23"/>
      <c r="AA2905" s="23"/>
      <c r="AF2905" s="23"/>
      <c r="AG2905" s="23"/>
      <c r="AH2905" s="23"/>
      <c r="AI2905" s="23"/>
      <c r="AN2905" s="23"/>
      <c r="AO2905" s="23"/>
      <c r="AP2905" s="23"/>
      <c r="AQ2905" s="23"/>
      <c r="AR2905" s="35"/>
      <c r="AS2905" s="35"/>
      <c r="AT2905" s="35"/>
      <c r="AU2905" s="31"/>
      <c r="AV2905" s="36"/>
    </row>
    <row r="2906" spans="4:48">
      <c r="D2906" s="31"/>
      <c r="E2906" s="31"/>
      <c r="F2906" s="31"/>
      <c r="G2906" s="31"/>
      <c r="H2906" s="32"/>
      <c r="J2906" s="33"/>
      <c r="K2906" s="33"/>
      <c r="L2906" s="33"/>
      <c r="X2906" s="23"/>
      <c r="Y2906" s="23"/>
      <c r="Z2906" s="23"/>
      <c r="AA2906" s="23"/>
      <c r="AF2906" s="23"/>
      <c r="AG2906" s="23"/>
      <c r="AH2906" s="23"/>
      <c r="AI2906" s="23"/>
      <c r="AN2906" s="23"/>
      <c r="AO2906" s="23"/>
      <c r="AP2906" s="23"/>
      <c r="AQ2906" s="23"/>
      <c r="AR2906" s="35"/>
      <c r="AS2906" s="35"/>
      <c r="AT2906" s="35"/>
      <c r="AU2906" s="31"/>
      <c r="AV2906" s="36"/>
    </row>
    <row r="2907" spans="4:48">
      <c r="D2907" s="31"/>
      <c r="E2907" s="31"/>
      <c r="F2907" s="31"/>
      <c r="G2907" s="31"/>
      <c r="H2907" s="32"/>
      <c r="J2907" s="33"/>
      <c r="K2907" s="33"/>
      <c r="L2907" s="33"/>
      <c r="X2907" s="23"/>
      <c r="Y2907" s="23"/>
      <c r="Z2907" s="23"/>
      <c r="AA2907" s="23"/>
      <c r="AF2907" s="23"/>
      <c r="AG2907" s="23"/>
      <c r="AH2907" s="23"/>
      <c r="AI2907" s="23"/>
      <c r="AN2907" s="23"/>
      <c r="AO2907" s="23"/>
      <c r="AP2907" s="23"/>
      <c r="AQ2907" s="23"/>
      <c r="AR2907" s="35"/>
      <c r="AS2907" s="35"/>
      <c r="AT2907" s="35"/>
      <c r="AU2907" s="31"/>
      <c r="AV2907" s="36"/>
    </row>
    <row r="2908" spans="4:48">
      <c r="D2908" s="31"/>
      <c r="E2908" s="31"/>
      <c r="F2908" s="31"/>
      <c r="G2908" s="31"/>
      <c r="H2908" s="32"/>
      <c r="J2908" s="33"/>
      <c r="K2908" s="33"/>
      <c r="L2908" s="33"/>
      <c r="X2908" s="23"/>
      <c r="Y2908" s="23"/>
      <c r="Z2908" s="23"/>
      <c r="AA2908" s="23"/>
      <c r="AF2908" s="23"/>
      <c r="AG2908" s="23"/>
      <c r="AH2908" s="23"/>
      <c r="AI2908" s="23"/>
      <c r="AN2908" s="23"/>
      <c r="AO2908" s="23"/>
      <c r="AP2908" s="23"/>
      <c r="AQ2908" s="23"/>
      <c r="AR2908" s="35"/>
      <c r="AS2908" s="35"/>
      <c r="AT2908" s="35"/>
      <c r="AU2908" s="31"/>
      <c r="AV2908" s="36"/>
    </row>
    <row r="2909" spans="4:48">
      <c r="D2909" s="31"/>
      <c r="E2909" s="31"/>
      <c r="F2909" s="31"/>
      <c r="G2909" s="31"/>
      <c r="H2909" s="32"/>
      <c r="J2909" s="33"/>
      <c r="K2909" s="33"/>
      <c r="L2909" s="33"/>
      <c r="X2909" s="23"/>
      <c r="Y2909" s="23"/>
      <c r="Z2909" s="23"/>
      <c r="AA2909" s="23"/>
      <c r="AF2909" s="23"/>
      <c r="AG2909" s="23"/>
      <c r="AH2909" s="23"/>
      <c r="AI2909" s="23"/>
      <c r="AN2909" s="23"/>
      <c r="AO2909" s="23"/>
      <c r="AP2909" s="23"/>
      <c r="AQ2909" s="23"/>
      <c r="AR2909" s="35"/>
      <c r="AS2909" s="35"/>
      <c r="AT2909" s="35"/>
      <c r="AU2909" s="31"/>
      <c r="AV2909" s="36"/>
    </row>
    <row r="2910" spans="4:48">
      <c r="D2910" s="31"/>
      <c r="E2910" s="31"/>
      <c r="F2910" s="31"/>
      <c r="G2910" s="31"/>
      <c r="H2910" s="32"/>
      <c r="J2910" s="33"/>
      <c r="K2910" s="33"/>
      <c r="L2910" s="33"/>
      <c r="X2910" s="23"/>
      <c r="Y2910" s="23"/>
      <c r="Z2910" s="23"/>
      <c r="AA2910" s="23"/>
      <c r="AF2910" s="23"/>
      <c r="AG2910" s="23"/>
      <c r="AH2910" s="23"/>
      <c r="AI2910" s="23"/>
      <c r="AN2910" s="23"/>
      <c r="AO2910" s="23"/>
      <c r="AP2910" s="23"/>
      <c r="AQ2910" s="23"/>
      <c r="AR2910" s="35"/>
      <c r="AS2910" s="35"/>
      <c r="AT2910" s="35"/>
      <c r="AU2910" s="31"/>
      <c r="AV2910" s="36"/>
    </row>
    <row r="2911" spans="4:48">
      <c r="D2911" s="31"/>
      <c r="E2911" s="31"/>
      <c r="F2911" s="31"/>
      <c r="G2911" s="31"/>
      <c r="H2911" s="32"/>
      <c r="J2911" s="33"/>
      <c r="K2911" s="33"/>
      <c r="L2911" s="33"/>
      <c r="X2911" s="23"/>
      <c r="Y2911" s="23"/>
      <c r="Z2911" s="23"/>
      <c r="AA2911" s="23"/>
      <c r="AF2911" s="23"/>
      <c r="AG2911" s="23"/>
      <c r="AH2911" s="23"/>
      <c r="AI2911" s="23"/>
      <c r="AN2911" s="23"/>
      <c r="AO2911" s="23"/>
      <c r="AP2911" s="23"/>
      <c r="AQ2911" s="23"/>
      <c r="AR2911" s="35"/>
      <c r="AS2911" s="35"/>
      <c r="AT2911" s="35"/>
      <c r="AU2911" s="31"/>
      <c r="AV2911" s="36"/>
    </row>
    <row r="2912" spans="4:48">
      <c r="D2912" s="31"/>
      <c r="E2912" s="31"/>
      <c r="F2912" s="31"/>
      <c r="G2912" s="31"/>
      <c r="H2912" s="32"/>
      <c r="J2912" s="33"/>
      <c r="K2912" s="33"/>
      <c r="L2912" s="33"/>
      <c r="X2912" s="23"/>
      <c r="Y2912" s="23"/>
      <c r="Z2912" s="23"/>
      <c r="AA2912" s="23"/>
      <c r="AF2912" s="23"/>
      <c r="AG2912" s="23"/>
      <c r="AH2912" s="23"/>
      <c r="AI2912" s="23"/>
      <c r="AN2912" s="23"/>
      <c r="AO2912" s="23"/>
      <c r="AP2912" s="23"/>
      <c r="AQ2912" s="23"/>
      <c r="AR2912" s="35"/>
      <c r="AS2912" s="35"/>
      <c r="AT2912" s="35"/>
      <c r="AU2912" s="31"/>
      <c r="AV2912" s="36"/>
    </row>
    <row r="2913" spans="4:48">
      <c r="D2913" s="31"/>
      <c r="E2913" s="31"/>
      <c r="F2913" s="31"/>
      <c r="G2913" s="31"/>
      <c r="H2913" s="32"/>
      <c r="J2913" s="33"/>
      <c r="K2913" s="33"/>
      <c r="L2913" s="33"/>
      <c r="X2913" s="23"/>
      <c r="Y2913" s="23"/>
      <c r="Z2913" s="23"/>
      <c r="AA2913" s="23"/>
      <c r="AF2913" s="23"/>
      <c r="AG2913" s="23"/>
      <c r="AH2913" s="23"/>
      <c r="AI2913" s="23"/>
      <c r="AN2913" s="23"/>
      <c r="AO2913" s="23"/>
      <c r="AP2913" s="23"/>
      <c r="AQ2913" s="23"/>
      <c r="AR2913" s="35"/>
      <c r="AS2913" s="35"/>
      <c r="AT2913" s="35"/>
      <c r="AU2913" s="31"/>
      <c r="AV2913" s="36"/>
    </row>
    <row r="2914" spans="4:48">
      <c r="D2914" s="31"/>
      <c r="E2914" s="31"/>
      <c r="F2914" s="31"/>
      <c r="G2914" s="31"/>
      <c r="H2914" s="32"/>
      <c r="J2914" s="33"/>
      <c r="K2914" s="33"/>
      <c r="L2914" s="33"/>
      <c r="X2914" s="23"/>
      <c r="Y2914" s="23"/>
      <c r="Z2914" s="23"/>
      <c r="AA2914" s="23"/>
      <c r="AF2914" s="23"/>
      <c r="AG2914" s="23"/>
      <c r="AH2914" s="23"/>
      <c r="AI2914" s="23"/>
      <c r="AN2914" s="23"/>
      <c r="AO2914" s="23"/>
      <c r="AP2914" s="23"/>
      <c r="AQ2914" s="23"/>
      <c r="AR2914" s="35"/>
      <c r="AS2914" s="35"/>
      <c r="AT2914" s="35"/>
      <c r="AU2914" s="31"/>
      <c r="AV2914" s="36"/>
    </row>
    <row r="2915" spans="4:48">
      <c r="D2915" s="31"/>
      <c r="E2915" s="31"/>
      <c r="F2915" s="31"/>
      <c r="G2915" s="31"/>
      <c r="H2915" s="32"/>
      <c r="J2915" s="33"/>
      <c r="K2915" s="33"/>
      <c r="L2915" s="33"/>
      <c r="X2915" s="23"/>
      <c r="Y2915" s="23"/>
      <c r="Z2915" s="23"/>
      <c r="AA2915" s="23"/>
      <c r="AF2915" s="23"/>
      <c r="AG2915" s="23"/>
      <c r="AH2915" s="23"/>
      <c r="AI2915" s="23"/>
      <c r="AN2915" s="23"/>
      <c r="AO2915" s="23"/>
      <c r="AP2915" s="23"/>
      <c r="AQ2915" s="23"/>
      <c r="AR2915" s="35"/>
      <c r="AS2915" s="35"/>
      <c r="AT2915" s="35"/>
      <c r="AU2915" s="31"/>
      <c r="AV2915" s="36"/>
    </row>
    <row r="2916" spans="4:48">
      <c r="D2916" s="31"/>
      <c r="E2916" s="31"/>
      <c r="F2916" s="31"/>
      <c r="G2916" s="31"/>
      <c r="H2916" s="32"/>
      <c r="J2916" s="33"/>
      <c r="K2916" s="33"/>
      <c r="L2916" s="33"/>
      <c r="X2916" s="23"/>
      <c r="Y2916" s="23"/>
      <c r="Z2916" s="23"/>
      <c r="AA2916" s="23"/>
      <c r="AF2916" s="23"/>
      <c r="AG2916" s="23"/>
      <c r="AH2916" s="23"/>
      <c r="AI2916" s="23"/>
      <c r="AN2916" s="23"/>
      <c r="AO2916" s="23"/>
      <c r="AP2916" s="23"/>
      <c r="AQ2916" s="23"/>
      <c r="AR2916" s="35"/>
      <c r="AS2916" s="35"/>
      <c r="AT2916" s="35"/>
      <c r="AU2916" s="31"/>
      <c r="AV2916" s="36"/>
    </row>
    <row r="2917" spans="4:48">
      <c r="D2917" s="31"/>
      <c r="E2917" s="31"/>
      <c r="F2917" s="31"/>
      <c r="G2917" s="31"/>
      <c r="H2917" s="32"/>
      <c r="J2917" s="33"/>
      <c r="K2917" s="33"/>
      <c r="L2917" s="33"/>
      <c r="X2917" s="23"/>
      <c r="Y2917" s="23"/>
      <c r="Z2917" s="23"/>
      <c r="AA2917" s="23"/>
      <c r="AF2917" s="23"/>
      <c r="AG2917" s="23"/>
      <c r="AH2917" s="23"/>
      <c r="AI2917" s="23"/>
      <c r="AN2917" s="23"/>
      <c r="AO2917" s="23"/>
      <c r="AP2917" s="23"/>
      <c r="AQ2917" s="23"/>
      <c r="AR2917" s="35"/>
      <c r="AS2917" s="35"/>
      <c r="AT2917" s="35"/>
      <c r="AU2917" s="31"/>
      <c r="AV2917" s="36"/>
    </row>
    <row r="2918" spans="4:48">
      <c r="D2918" s="31"/>
      <c r="E2918" s="31"/>
      <c r="F2918" s="31"/>
      <c r="G2918" s="31"/>
      <c r="H2918" s="32"/>
      <c r="J2918" s="33"/>
      <c r="K2918" s="33"/>
      <c r="L2918" s="33"/>
      <c r="X2918" s="23"/>
      <c r="Y2918" s="23"/>
      <c r="Z2918" s="23"/>
      <c r="AA2918" s="23"/>
      <c r="AF2918" s="23"/>
      <c r="AG2918" s="23"/>
      <c r="AH2918" s="23"/>
      <c r="AI2918" s="23"/>
      <c r="AN2918" s="23"/>
      <c r="AO2918" s="23"/>
      <c r="AP2918" s="23"/>
      <c r="AQ2918" s="23"/>
      <c r="AR2918" s="35"/>
      <c r="AS2918" s="35"/>
      <c r="AT2918" s="35"/>
      <c r="AU2918" s="31"/>
      <c r="AV2918" s="36"/>
    </row>
    <row r="2919" spans="4:48">
      <c r="D2919" s="31"/>
      <c r="E2919" s="31"/>
      <c r="F2919" s="31"/>
      <c r="G2919" s="31"/>
      <c r="H2919" s="32"/>
      <c r="J2919" s="33"/>
      <c r="K2919" s="33"/>
      <c r="L2919" s="33"/>
      <c r="X2919" s="23"/>
      <c r="Y2919" s="23"/>
      <c r="Z2919" s="23"/>
      <c r="AA2919" s="23"/>
      <c r="AF2919" s="23"/>
      <c r="AG2919" s="23"/>
      <c r="AH2919" s="23"/>
      <c r="AI2919" s="23"/>
      <c r="AN2919" s="23"/>
      <c r="AO2919" s="23"/>
      <c r="AP2919" s="23"/>
      <c r="AQ2919" s="23"/>
      <c r="AR2919" s="35"/>
      <c r="AS2919" s="35"/>
      <c r="AT2919" s="35"/>
      <c r="AU2919" s="31"/>
      <c r="AV2919" s="36"/>
    </row>
    <row r="2920" spans="4:48">
      <c r="D2920" s="31"/>
      <c r="E2920" s="31"/>
      <c r="F2920" s="31"/>
      <c r="G2920" s="31"/>
      <c r="H2920" s="32"/>
      <c r="J2920" s="33"/>
      <c r="K2920" s="33"/>
      <c r="L2920" s="33"/>
      <c r="X2920" s="23"/>
      <c r="Y2920" s="23"/>
      <c r="Z2920" s="23"/>
      <c r="AA2920" s="23"/>
      <c r="AF2920" s="23"/>
      <c r="AG2920" s="23"/>
      <c r="AH2920" s="23"/>
      <c r="AI2920" s="23"/>
      <c r="AN2920" s="23"/>
      <c r="AO2920" s="23"/>
      <c r="AP2920" s="23"/>
      <c r="AQ2920" s="23"/>
      <c r="AR2920" s="35"/>
      <c r="AS2920" s="35"/>
      <c r="AT2920" s="35"/>
      <c r="AU2920" s="31"/>
      <c r="AV2920" s="36"/>
    </row>
    <row r="2921" spans="4:48">
      <c r="D2921" s="31"/>
      <c r="E2921" s="31"/>
      <c r="F2921" s="31"/>
      <c r="G2921" s="31"/>
      <c r="H2921" s="32"/>
      <c r="J2921" s="33"/>
      <c r="K2921" s="33"/>
      <c r="L2921" s="33"/>
      <c r="X2921" s="23"/>
      <c r="Y2921" s="23"/>
      <c r="Z2921" s="23"/>
      <c r="AA2921" s="23"/>
      <c r="AF2921" s="23"/>
      <c r="AG2921" s="23"/>
      <c r="AH2921" s="23"/>
      <c r="AI2921" s="23"/>
      <c r="AN2921" s="23"/>
      <c r="AO2921" s="23"/>
      <c r="AP2921" s="23"/>
      <c r="AQ2921" s="23"/>
      <c r="AR2921" s="35"/>
      <c r="AS2921" s="35"/>
      <c r="AT2921" s="35"/>
      <c r="AU2921" s="31"/>
      <c r="AV2921" s="36"/>
    </row>
    <row r="2922" spans="4:48">
      <c r="D2922" s="31"/>
      <c r="E2922" s="31"/>
      <c r="F2922" s="31"/>
      <c r="G2922" s="31"/>
      <c r="H2922" s="32"/>
      <c r="J2922" s="33"/>
      <c r="K2922" s="33"/>
      <c r="L2922" s="33"/>
      <c r="X2922" s="23"/>
      <c r="Y2922" s="23"/>
      <c r="Z2922" s="23"/>
      <c r="AA2922" s="23"/>
      <c r="AF2922" s="23"/>
      <c r="AG2922" s="23"/>
      <c r="AH2922" s="23"/>
      <c r="AI2922" s="23"/>
      <c r="AN2922" s="23"/>
      <c r="AO2922" s="23"/>
      <c r="AP2922" s="23"/>
      <c r="AQ2922" s="23"/>
      <c r="AR2922" s="35"/>
      <c r="AS2922" s="35"/>
      <c r="AT2922" s="35"/>
      <c r="AU2922" s="31"/>
      <c r="AV2922" s="36"/>
    </row>
    <row r="2923" spans="4:48">
      <c r="D2923" s="31"/>
      <c r="E2923" s="31"/>
      <c r="F2923" s="31"/>
      <c r="G2923" s="31"/>
      <c r="H2923" s="32"/>
      <c r="J2923" s="33"/>
      <c r="K2923" s="33"/>
      <c r="L2923" s="33"/>
      <c r="X2923" s="23"/>
      <c r="Y2923" s="23"/>
      <c r="Z2923" s="23"/>
      <c r="AA2923" s="23"/>
      <c r="AF2923" s="23"/>
      <c r="AG2923" s="23"/>
      <c r="AH2923" s="23"/>
      <c r="AI2923" s="23"/>
      <c r="AN2923" s="23"/>
      <c r="AO2923" s="23"/>
      <c r="AP2923" s="23"/>
      <c r="AQ2923" s="23"/>
      <c r="AR2923" s="35"/>
      <c r="AS2923" s="35"/>
      <c r="AT2923" s="35"/>
      <c r="AU2923" s="31"/>
      <c r="AV2923" s="36"/>
    </row>
    <row r="2924" spans="4:48">
      <c r="D2924" s="31"/>
      <c r="E2924" s="31"/>
      <c r="F2924" s="31"/>
      <c r="G2924" s="31"/>
      <c r="H2924" s="32"/>
      <c r="J2924" s="33"/>
      <c r="K2924" s="33"/>
      <c r="L2924" s="33"/>
      <c r="X2924" s="23"/>
      <c r="Y2924" s="23"/>
      <c r="Z2924" s="23"/>
      <c r="AA2924" s="23"/>
      <c r="AF2924" s="23"/>
      <c r="AG2924" s="23"/>
      <c r="AH2924" s="23"/>
      <c r="AI2924" s="23"/>
      <c r="AN2924" s="23"/>
      <c r="AO2924" s="23"/>
      <c r="AP2924" s="23"/>
      <c r="AQ2924" s="23"/>
      <c r="AR2924" s="35"/>
      <c r="AS2924" s="35"/>
      <c r="AT2924" s="35"/>
      <c r="AU2924" s="31"/>
      <c r="AV2924" s="36"/>
    </row>
    <row r="2925" spans="4:48">
      <c r="D2925" s="31"/>
      <c r="E2925" s="31"/>
      <c r="F2925" s="31"/>
      <c r="G2925" s="31"/>
      <c r="H2925" s="32"/>
      <c r="J2925" s="33"/>
      <c r="K2925" s="33"/>
      <c r="L2925" s="33"/>
      <c r="X2925" s="23"/>
      <c r="Y2925" s="23"/>
      <c r="Z2925" s="23"/>
      <c r="AA2925" s="23"/>
      <c r="AF2925" s="23"/>
      <c r="AG2925" s="23"/>
      <c r="AH2925" s="23"/>
      <c r="AI2925" s="23"/>
      <c r="AN2925" s="23"/>
      <c r="AO2925" s="23"/>
      <c r="AP2925" s="23"/>
      <c r="AQ2925" s="23"/>
      <c r="AR2925" s="35"/>
      <c r="AS2925" s="35"/>
      <c r="AT2925" s="35"/>
      <c r="AU2925" s="31"/>
      <c r="AV2925" s="36"/>
    </row>
    <row r="2926" spans="4:48">
      <c r="D2926" s="31"/>
      <c r="E2926" s="31"/>
      <c r="F2926" s="31"/>
      <c r="G2926" s="31"/>
      <c r="H2926" s="32"/>
      <c r="J2926" s="33"/>
      <c r="K2926" s="33"/>
      <c r="L2926" s="33"/>
      <c r="X2926" s="23"/>
      <c r="Y2926" s="23"/>
      <c r="Z2926" s="23"/>
      <c r="AA2926" s="23"/>
      <c r="AF2926" s="23"/>
      <c r="AG2926" s="23"/>
      <c r="AH2926" s="23"/>
      <c r="AI2926" s="23"/>
      <c r="AN2926" s="23"/>
      <c r="AO2926" s="23"/>
      <c r="AP2926" s="23"/>
      <c r="AQ2926" s="23"/>
      <c r="AR2926" s="35"/>
      <c r="AS2926" s="35"/>
      <c r="AT2926" s="35"/>
      <c r="AU2926" s="31"/>
      <c r="AV2926" s="36"/>
    </row>
    <row r="2927" spans="4:48">
      <c r="D2927" s="31"/>
      <c r="E2927" s="31"/>
      <c r="F2927" s="31"/>
      <c r="G2927" s="31"/>
      <c r="H2927" s="32"/>
      <c r="J2927" s="33"/>
      <c r="K2927" s="33"/>
      <c r="L2927" s="33"/>
      <c r="X2927" s="23"/>
      <c r="Y2927" s="23"/>
      <c r="Z2927" s="23"/>
      <c r="AA2927" s="23"/>
      <c r="AF2927" s="23"/>
      <c r="AG2927" s="23"/>
      <c r="AH2927" s="23"/>
      <c r="AI2927" s="23"/>
      <c r="AN2927" s="23"/>
      <c r="AO2927" s="23"/>
      <c r="AP2927" s="23"/>
      <c r="AQ2927" s="23"/>
      <c r="AR2927" s="35"/>
      <c r="AS2927" s="35"/>
      <c r="AT2927" s="35"/>
      <c r="AU2927" s="31"/>
      <c r="AV2927" s="36"/>
    </row>
    <row r="2928" spans="4:48">
      <c r="D2928" s="31"/>
      <c r="E2928" s="31"/>
      <c r="F2928" s="31"/>
      <c r="G2928" s="31"/>
      <c r="H2928" s="32"/>
      <c r="J2928" s="33"/>
      <c r="K2928" s="33"/>
      <c r="L2928" s="33"/>
      <c r="X2928" s="23"/>
      <c r="Y2928" s="23"/>
      <c r="Z2928" s="23"/>
      <c r="AA2928" s="23"/>
      <c r="AF2928" s="23"/>
      <c r="AG2928" s="23"/>
      <c r="AH2928" s="23"/>
      <c r="AI2928" s="23"/>
      <c r="AN2928" s="23"/>
      <c r="AO2928" s="23"/>
      <c r="AP2928" s="23"/>
      <c r="AQ2928" s="23"/>
      <c r="AR2928" s="35"/>
      <c r="AS2928" s="35"/>
      <c r="AT2928" s="35"/>
      <c r="AU2928" s="31"/>
      <c r="AV2928" s="36"/>
    </row>
    <row r="2929" spans="4:48">
      <c r="D2929" s="31"/>
      <c r="E2929" s="31"/>
      <c r="F2929" s="31"/>
      <c r="G2929" s="31"/>
      <c r="H2929" s="32"/>
      <c r="J2929" s="33"/>
      <c r="K2929" s="33"/>
      <c r="L2929" s="33"/>
      <c r="X2929" s="23"/>
      <c r="Y2929" s="23"/>
      <c r="Z2929" s="23"/>
      <c r="AA2929" s="23"/>
      <c r="AF2929" s="23"/>
      <c r="AG2929" s="23"/>
      <c r="AH2929" s="23"/>
      <c r="AI2929" s="23"/>
      <c r="AN2929" s="23"/>
      <c r="AO2929" s="23"/>
      <c r="AP2929" s="23"/>
      <c r="AQ2929" s="23"/>
      <c r="AR2929" s="35"/>
      <c r="AS2929" s="35"/>
      <c r="AT2929" s="35"/>
      <c r="AU2929" s="31"/>
      <c r="AV2929" s="36"/>
    </row>
    <row r="2930" spans="4:48">
      <c r="D2930" s="31"/>
      <c r="E2930" s="31"/>
      <c r="F2930" s="31"/>
      <c r="G2930" s="31"/>
      <c r="H2930" s="32"/>
      <c r="J2930" s="33"/>
      <c r="K2930" s="33"/>
      <c r="L2930" s="33"/>
      <c r="X2930" s="23"/>
      <c r="Y2930" s="23"/>
      <c r="Z2930" s="23"/>
      <c r="AA2930" s="23"/>
      <c r="AF2930" s="23"/>
      <c r="AG2930" s="23"/>
      <c r="AH2930" s="23"/>
      <c r="AI2930" s="23"/>
      <c r="AN2930" s="23"/>
      <c r="AO2930" s="23"/>
      <c r="AP2930" s="23"/>
      <c r="AQ2930" s="23"/>
      <c r="AR2930" s="35"/>
      <c r="AS2930" s="35"/>
      <c r="AT2930" s="35"/>
      <c r="AU2930" s="31"/>
      <c r="AV2930" s="36"/>
    </row>
    <row r="2931" spans="4:48">
      <c r="D2931" s="31"/>
      <c r="E2931" s="31"/>
      <c r="F2931" s="31"/>
      <c r="G2931" s="31"/>
      <c r="H2931" s="32"/>
      <c r="J2931" s="33"/>
      <c r="K2931" s="33"/>
      <c r="L2931" s="33"/>
      <c r="X2931" s="23"/>
      <c r="Y2931" s="23"/>
      <c r="Z2931" s="23"/>
      <c r="AA2931" s="23"/>
      <c r="AF2931" s="23"/>
      <c r="AG2931" s="23"/>
      <c r="AH2931" s="23"/>
      <c r="AI2931" s="23"/>
      <c r="AN2931" s="23"/>
      <c r="AO2931" s="23"/>
      <c r="AP2931" s="23"/>
      <c r="AQ2931" s="23"/>
      <c r="AR2931" s="35"/>
      <c r="AS2931" s="35"/>
      <c r="AT2931" s="35"/>
      <c r="AU2931" s="31"/>
      <c r="AV2931" s="36"/>
    </row>
    <row r="2932" spans="4:48">
      <c r="D2932" s="31"/>
      <c r="E2932" s="31"/>
      <c r="F2932" s="31"/>
      <c r="G2932" s="31"/>
      <c r="H2932" s="32"/>
      <c r="J2932" s="33"/>
      <c r="K2932" s="33"/>
      <c r="L2932" s="33"/>
      <c r="X2932" s="23"/>
      <c r="Y2932" s="23"/>
      <c r="Z2932" s="23"/>
      <c r="AA2932" s="23"/>
      <c r="AF2932" s="23"/>
      <c r="AG2932" s="23"/>
      <c r="AH2932" s="23"/>
      <c r="AI2932" s="23"/>
      <c r="AN2932" s="23"/>
      <c r="AO2932" s="23"/>
      <c r="AP2932" s="23"/>
      <c r="AQ2932" s="23"/>
      <c r="AR2932" s="35"/>
      <c r="AS2932" s="35"/>
      <c r="AT2932" s="35"/>
      <c r="AU2932" s="31"/>
      <c r="AV2932" s="36"/>
    </row>
    <row r="2933" spans="4:48">
      <c r="D2933" s="31"/>
      <c r="E2933" s="31"/>
      <c r="F2933" s="31"/>
      <c r="G2933" s="31"/>
      <c r="H2933" s="32"/>
      <c r="J2933" s="33"/>
      <c r="K2933" s="33"/>
      <c r="L2933" s="33"/>
      <c r="X2933" s="23"/>
      <c r="Y2933" s="23"/>
      <c r="Z2933" s="23"/>
      <c r="AA2933" s="23"/>
      <c r="AF2933" s="23"/>
      <c r="AG2933" s="23"/>
      <c r="AH2933" s="23"/>
      <c r="AI2933" s="23"/>
      <c r="AN2933" s="23"/>
      <c r="AO2933" s="23"/>
      <c r="AP2933" s="23"/>
      <c r="AQ2933" s="23"/>
      <c r="AR2933" s="35"/>
      <c r="AS2933" s="35"/>
      <c r="AT2933" s="35"/>
      <c r="AU2933" s="31"/>
      <c r="AV2933" s="36"/>
    </row>
    <row r="2934" spans="4:48">
      <c r="D2934" s="31"/>
      <c r="E2934" s="31"/>
      <c r="F2934" s="31"/>
      <c r="G2934" s="31"/>
      <c r="H2934" s="32"/>
      <c r="J2934" s="33"/>
      <c r="K2934" s="33"/>
      <c r="L2934" s="33"/>
      <c r="X2934" s="23"/>
      <c r="Y2934" s="23"/>
      <c r="Z2934" s="23"/>
      <c r="AA2934" s="23"/>
      <c r="AF2934" s="23"/>
      <c r="AG2934" s="23"/>
      <c r="AH2934" s="23"/>
      <c r="AI2934" s="23"/>
      <c r="AN2934" s="23"/>
      <c r="AO2934" s="23"/>
      <c r="AP2934" s="23"/>
      <c r="AQ2934" s="23"/>
      <c r="AR2934" s="35"/>
      <c r="AS2934" s="35"/>
      <c r="AT2934" s="35"/>
      <c r="AU2934" s="31"/>
      <c r="AV2934" s="36"/>
    </row>
    <row r="2935" spans="4:48">
      <c r="D2935" s="31"/>
      <c r="E2935" s="31"/>
      <c r="F2935" s="31"/>
      <c r="G2935" s="31"/>
      <c r="H2935" s="32"/>
      <c r="J2935" s="33"/>
      <c r="K2935" s="33"/>
      <c r="L2935" s="33"/>
      <c r="X2935" s="23"/>
      <c r="Y2935" s="23"/>
      <c r="Z2935" s="23"/>
      <c r="AA2935" s="23"/>
      <c r="AF2935" s="23"/>
      <c r="AG2935" s="23"/>
      <c r="AH2935" s="23"/>
      <c r="AI2935" s="23"/>
      <c r="AN2935" s="23"/>
      <c r="AO2935" s="23"/>
      <c r="AP2935" s="23"/>
      <c r="AQ2935" s="23"/>
      <c r="AR2935" s="35"/>
      <c r="AS2935" s="35"/>
      <c r="AT2935" s="35"/>
      <c r="AU2935" s="31"/>
      <c r="AV2935" s="36"/>
    </row>
    <row r="2936" spans="4:48">
      <c r="D2936" s="31"/>
      <c r="E2936" s="31"/>
      <c r="F2936" s="31"/>
      <c r="G2936" s="31"/>
      <c r="H2936" s="32"/>
      <c r="J2936" s="33"/>
      <c r="K2936" s="33"/>
      <c r="L2936" s="33"/>
      <c r="X2936" s="23"/>
      <c r="Y2936" s="23"/>
      <c r="Z2936" s="23"/>
      <c r="AA2936" s="23"/>
      <c r="AF2936" s="23"/>
      <c r="AG2936" s="23"/>
      <c r="AH2936" s="23"/>
      <c r="AI2936" s="23"/>
      <c r="AN2936" s="23"/>
      <c r="AO2936" s="23"/>
      <c r="AP2936" s="23"/>
      <c r="AQ2936" s="23"/>
      <c r="AR2936" s="35"/>
      <c r="AS2936" s="35"/>
      <c r="AT2936" s="35"/>
      <c r="AU2936" s="31"/>
      <c r="AV2936" s="36"/>
    </row>
    <row r="2937" spans="4:48">
      <c r="D2937" s="31"/>
      <c r="E2937" s="31"/>
      <c r="F2937" s="31"/>
      <c r="G2937" s="31"/>
      <c r="H2937" s="32"/>
      <c r="J2937" s="33"/>
      <c r="K2937" s="33"/>
      <c r="L2937" s="33"/>
      <c r="X2937" s="23"/>
      <c r="Y2937" s="23"/>
      <c r="Z2937" s="23"/>
      <c r="AA2937" s="23"/>
      <c r="AF2937" s="23"/>
      <c r="AG2937" s="23"/>
      <c r="AH2937" s="23"/>
      <c r="AI2937" s="23"/>
      <c r="AN2937" s="23"/>
      <c r="AO2937" s="23"/>
      <c r="AP2937" s="23"/>
      <c r="AQ2937" s="23"/>
      <c r="AR2937" s="35"/>
      <c r="AS2937" s="35"/>
      <c r="AT2937" s="35"/>
      <c r="AU2937" s="31"/>
      <c r="AV2937" s="36"/>
    </row>
    <row r="2938" spans="4:48">
      <c r="D2938" s="31"/>
      <c r="E2938" s="31"/>
      <c r="F2938" s="31"/>
      <c r="G2938" s="31"/>
      <c r="H2938" s="32"/>
      <c r="J2938" s="33"/>
      <c r="K2938" s="33"/>
      <c r="L2938" s="33"/>
      <c r="X2938" s="23"/>
      <c r="Y2938" s="23"/>
      <c r="Z2938" s="23"/>
      <c r="AA2938" s="23"/>
      <c r="AF2938" s="23"/>
      <c r="AG2938" s="23"/>
      <c r="AH2938" s="23"/>
      <c r="AI2938" s="23"/>
      <c r="AN2938" s="23"/>
      <c r="AO2938" s="23"/>
      <c r="AP2938" s="23"/>
      <c r="AQ2938" s="23"/>
      <c r="AR2938" s="35"/>
      <c r="AS2938" s="35"/>
      <c r="AT2938" s="35"/>
      <c r="AU2938" s="31"/>
      <c r="AV2938" s="36"/>
    </row>
    <row r="2939" spans="4:48">
      <c r="D2939" s="31"/>
      <c r="E2939" s="31"/>
      <c r="F2939" s="31"/>
      <c r="G2939" s="31"/>
      <c r="H2939" s="32"/>
      <c r="J2939" s="33"/>
      <c r="K2939" s="33"/>
      <c r="L2939" s="33"/>
      <c r="X2939" s="23"/>
      <c r="Y2939" s="23"/>
      <c r="Z2939" s="23"/>
      <c r="AA2939" s="23"/>
      <c r="AF2939" s="23"/>
      <c r="AG2939" s="23"/>
      <c r="AH2939" s="23"/>
      <c r="AI2939" s="23"/>
      <c r="AN2939" s="23"/>
      <c r="AO2939" s="23"/>
      <c r="AP2939" s="23"/>
      <c r="AQ2939" s="23"/>
      <c r="AR2939" s="35"/>
      <c r="AS2939" s="35"/>
      <c r="AT2939" s="35"/>
      <c r="AU2939" s="31"/>
      <c r="AV2939" s="36"/>
    </row>
    <row r="2940" spans="4:48">
      <c r="D2940" s="31"/>
      <c r="E2940" s="31"/>
      <c r="F2940" s="31"/>
      <c r="G2940" s="31"/>
      <c r="H2940" s="32"/>
      <c r="J2940" s="33"/>
      <c r="K2940" s="33"/>
      <c r="L2940" s="33"/>
      <c r="X2940" s="23"/>
      <c r="Y2940" s="23"/>
      <c r="Z2940" s="23"/>
      <c r="AA2940" s="23"/>
      <c r="AF2940" s="23"/>
      <c r="AG2940" s="23"/>
      <c r="AH2940" s="23"/>
      <c r="AI2940" s="23"/>
      <c r="AN2940" s="23"/>
      <c r="AO2940" s="23"/>
      <c r="AP2940" s="23"/>
      <c r="AQ2940" s="23"/>
      <c r="AR2940" s="35"/>
      <c r="AS2940" s="35"/>
      <c r="AT2940" s="35"/>
      <c r="AU2940" s="31"/>
      <c r="AV2940" s="36"/>
    </row>
    <row r="2941" spans="4:48">
      <c r="D2941" s="31"/>
      <c r="E2941" s="31"/>
      <c r="F2941" s="31"/>
      <c r="G2941" s="31"/>
      <c r="H2941" s="32"/>
      <c r="J2941" s="33"/>
      <c r="K2941" s="33"/>
      <c r="L2941" s="33"/>
      <c r="X2941" s="23"/>
      <c r="Y2941" s="23"/>
      <c r="Z2941" s="23"/>
      <c r="AA2941" s="23"/>
      <c r="AF2941" s="23"/>
      <c r="AG2941" s="23"/>
      <c r="AH2941" s="23"/>
      <c r="AI2941" s="23"/>
      <c r="AN2941" s="23"/>
      <c r="AO2941" s="23"/>
      <c r="AP2941" s="23"/>
      <c r="AQ2941" s="23"/>
      <c r="AR2941" s="35"/>
      <c r="AS2941" s="35"/>
      <c r="AT2941" s="35"/>
      <c r="AU2941" s="31"/>
      <c r="AV2941" s="36"/>
    </row>
    <row r="2942" spans="4:48">
      <c r="D2942" s="31"/>
      <c r="E2942" s="31"/>
      <c r="F2942" s="31"/>
      <c r="G2942" s="31"/>
      <c r="H2942" s="32"/>
      <c r="J2942" s="33"/>
      <c r="K2942" s="33"/>
      <c r="L2942" s="33"/>
      <c r="X2942" s="23"/>
      <c r="Y2942" s="23"/>
      <c r="Z2942" s="23"/>
      <c r="AA2942" s="23"/>
      <c r="AF2942" s="23"/>
      <c r="AG2942" s="23"/>
      <c r="AH2942" s="23"/>
      <c r="AI2942" s="23"/>
      <c r="AN2942" s="23"/>
      <c r="AO2942" s="23"/>
      <c r="AP2942" s="23"/>
      <c r="AQ2942" s="23"/>
      <c r="AR2942" s="35"/>
      <c r="AS2942" s="35"/>
      <c r="AT2942" s="35"/>
      <c r="AU2942" s="31"/>
      <c r="AV2942" s="36"/>
    </row>
    <row r="2943" spans="4:48">
      <c r="D2943" s="31"/>
      <c r="E2943" s="31"/>
      <c r="F2943" s="31"/>
      <c r="G2943" s="31"/>
      <c r="H2943" s="32"/>
      <c r="J2943" s="33"/>
      <c r="K2943" s="33"/>
      <c r="L2943" s="33"/>
      <c r="X2943" s="23"/>
      <c r="Y2943" s="23"/>
      <c r="Z2943" s="23"/>
      <c r="AA2943" s="23"/>
      <c r="AF2943" s="23"/>
      <c r="AG2943" s="23"/>
      <c r="AH2943" s="23"/>
      <c r="AI2943" s="23"/>
      <c r="AN2943" s="23"/>
      <c r="AO2943" s="23"/>
      <c r="AP2943" s="23"/>
      <c r="AQ2943" s="23"/>
      <c r="AR2943" s="35"/>
      <c r="AS2943" s="35"/>
      <c r="AT2943" s="35"/>
      <c r="AU2943" s="31"/>
      <c r="AV2943" s="36"/>
    </row>
    <row r="2944" spans="4:48">
      <c r="D2944" s="31"/>
      <c r="E2944" s="31"/>
      <c r="F2944" s="31"/>
      <c r="G2944" s="31"/>
      <c r="H2944" s="32"/>
      <c r="J2944" s="33"/>
      <c r="K2944" s="33"/>
      <c r="L2944" s="33"/>
      <c r="X2944" s="23"/>
      <c r="Y2944" s="23"/>
      <c r="Z2944" s="23"/>
      <c r="AA2944" s="23"/>
      <c r="AF2944" s="23"/>
      <c r="AG2944" s="23"/>
      <c r="AH2944" s="23"/>
      <c r="AI2944" s="23"/>
      <c r="AN2944" s="23"/>
      <c r="AO2944" s="23"/>
      <c r="AP2944" s="23"/>
      <c r="AQ2944" s="23"/>
      <c r="AR2944" s="35"/>
      <c r="AS2944" s="35"/>
      <c r="AT2944" s="35"/>
      <c r="AU2944" s="31"/>
      <c r="AV2944" s="36"/>
    </row>
    <row r="2945" spans="4:48">
      <c r="D2945" s="31"/>
      <c r="E2945" s="31"/>
      <c r="F2945" s="31"/>
      <c r="G2945" s="31"/>
      <c r="H2945" s="32"/>
      <c r="J2945" s="33"/>
      <c r="K2945" s="33"/>
      <c r="L2945" s="33"/>
      <c r="X2945" s="23"/>
      <c r="Y2945" s="23"/>
      <c r="Z2945" s="23"/>
      <c r="AA2945" s="23"/>
      <c r="AF2945" s="23"/>
      <c r="AG2945" s="23"/>
      <c r="AH2945" s="23"/>
      <c r="AI2945" s="23"/>
      <c r="AN2945" s="23"/>
      <c r="AO2945" s="23"/>
      <c r="AP2945" s="23"/>
      <c r="AQ2945" s="23"/>
      <c r="AR2945" s="35"/>
      <c r="AS2945" s="35"/>
      <c r="AT2945" s="35"/>
      <c r="AU2945" s="31"/>
      <c r="AV2945" s="36"/>
    </row>
    <row r="2946" spans="4:48">
      <c r="D2946" s="31"/>
      <c r="E2946" s="31"/>
      <c r="F2946" s="31"/>
      <c r="G2946" s="31"/>
      <c r="H2946" s="32"/>
      <c r="J2946" s="33"/>
      <c r="K2946" s="33"/>
      <c r="L2946" s="33"/>
      <c r="X2946" s="23"/>
      <c r="Y2946" s="23"/>
      <c r="Z2946" s="23"/>
      <c r="AA2946" s="23"/>
      <c r="AF2946" s="23"/>
      <c r="AG2946" s="23"/>
      <c r="AH2946" s="23"/>
      <c r="AI2946" s="23"/>
      <c r="AN2946" s="23"/>
      <c r="AO2946" s="23"/>
      <c r="AP2946" s="23"/>
      <c r="AQ2946" s="23"/>
      <c r="AR2946" s="35"/>
      <c r="AS2946" s="35"/>
      <c r="AT2946" s="35"/>
      <c r="AU2946" s="31"/>
      <c r="AV2946" s="36"/>
    </row>
    <row r="2947" spans="4:48">
      <c r="D2947" s="31"/>
      <c r="E2947" s="31"/>
      <c r="F2947" s="31"/>
      <c r="G2947" s="31"/>
      <c r="H2947" s="32"/>
      <c r="J2947" s="33"/>
      <c r="K2947" s="33"/>
      <c r="L2947" s="33"/>
      <c r="X2947" s="23"/>
      <c r="Y2947" s="23"/>
      <c r="Z2947" s="23"/>
      <c r="AA2947" s="23"/>
      <c r="AF2947" s="23"/>
      <c r="AG2947" s="23"/>
      <c r="AH2947" s="23"/>
      <c r="AI2947" s="23"/>
      <c r="AN2947" s="23"/>
      <c r="AO2947" s="23"/>
      <c r="AP2947" s="23"/>
      <c r="AQ2947" s="23"/>
      <c r="AR2947" s="35"/>
      <c r="AS2947" s="35"/>
      <c r="AT2947" s="35"/>
      <c r="AU2947" s="31"/>
      <c r="AV2947" s="36"/>
    </row>
    <row r="2948" spans="4:48">
      <c r="D2948" s="31"/>
      <c r="E2948" s="31"/>
      <c r="F2948" s="31"/>
      <c r="G2948" s="31"/>
      <c r="H2948" s="32"/>
      <c r="J2948" s="33"/>
      <c r="K2948" s="33"/>
      <c r="L2948" s="33"/>
      <c r="X2948" s="23"/>
      <c r="Y2948" s="23"/>
      <c r="Z2948" s="23"/>
      <c r="AA2948" s="23"/>
      <c r="AF2948" s="23"/>
      <c r="AG2948" s="23"/>
      <c r="AH2948" s="23"/>
      <c r="AI2948" s="23"/>
      <c r="AN2948" s="23"/>
      <c r="AO2948" s="23"/>
      <c r="AP2948" s="23"/>
      <c r="AQ2948" s="23"/>
      <c r="AR2948" s="35"/>
      <c r="AS2948" s="35"/>
      <c r="AT2948" s="35"/>
      <c r="AU2948" s="31"/>
      <c r="AV2948" s="36"/>
    </row>
    <row r="2949" spans="4:48">
      <c r="D2949" s="31"/>
      <c r="E2949" s="31"/>
      <c r="F2949" s="31"/>
      <c r="G2949" s="31"/>
      <c r="H2949" s="32"/>
      <c r="J2949" s="33"/>
      <c r="K2949" s="33"/>
      <c r="L2949" s="33"/>
      <c r="X2949" s="23"/>
      <c r="Y2949" s="23"/>
      <c r="Z2949" s="23"/>
      <c r="AA2949" s="23"/>
      <c r="AF2949" s="23"/>
      <c r="AG2949" s="23"/>
      <c r="AH2949" s="23"/>
      <c r="AI2949" s="23"/>
      <c r="AN2949" s="23"/>
      <c r="AO2949" s="23"/>
      <c r="AP2949" s="23"/>
      <c r="AQ2949" s="23"/>
      <c r="AR2949" s="35"/>
      <c r="AS2949" s="35"/>
      <c r="AT2949" s="35"/>
      <c r="AU2949" s="31"/>
      <c r="AV2949" s="36"/>
    </row>
    <row r="2950" spans="4:48">
      <c r="D2950" s="31"/>
      <c r="E2950" s="31"/>
      <c r="F2950" s="31"/>
      <c r="G2950" s="31"/>
      <c r="H2950" s="32"/>
      <c r="J2950" s="33"/>
      <c r="K2950" s="33"/>
      <c r="L2950" s="33"/>
      <c r="X2950" s="23"/>
      <c r="Y2950" s="23"/>
      <c r="Z2950" s="23"/>
      <c r="AA2950" s="23"/>
      <c r="AF2950" s="23"/>
      <c r="AG2950" s="23"/>
      <c r="AH2950" s="23"/>
      <c r="AI2950" s="23"/>
      <c r="AN2950" s="23"/>
      <c r="AO2950" s="23"/>
      <c r="AP2950" s="23"/>
      <c r="AQ2950" s="23"/>
      <c r="AR2950" s="35"/>
      <c r="AS2950" s="35"/>
      <c r="AT2950" s="35"/>
      <c r="AU2950" s="31"/>
      <c r="AV2950" s="36"/>
    </row>
    <row r="2951" spans="4:48">
      <c r="D2951" s="31"/>
      <c r="E2951" s="31"/>
      <c r="F2951" s="31"/>
      <c r="G2951" s="31"/>
      <c r="H2951" s="32"/>
      <c r="J2951" s="33"/>
      <c r="K2951" s="33"/>
      <c r="L2951" s="33"/>
      <c r="X2951" s="23"/>
      <c r="Y2951" s="23"/>
      <c r="Z2951" s="23"/>
      <c r="AA2951" s="23"/>
      <c r="AF2951" s="23"/>
      <c r="AG2951" s="23"/>
      <c r="AH2951" s="23"/>
      <c r="AI2951" s="23"/>
      <c r="AN2951" s="23"/>
      <c r="AO2951" s="23"/>
      <c r="AP2951" s="23"/>
      <c r="AQ2951" s="23"/>
      <c r="AR2951" s="35"/>
      <c r="AS2951" s="35"/>
      <c r="AT2951" s="35"/>
      <c r="AU2951" s="31"/>
      <c r="AV2951" s="36"/>
    </row>
    <row r="2952" spans="4:48">
      <c r="D2952" s="31"/>
      <c r="E2952" s="31"/>
      <c r="F2952" s="31"/>
      <c r="G2952" s="31"/>
      <c r="H2952" s="32"/>
      <c r="J2952" s="33"/>
      <c r="K2952" s="33"/>
      <c r="L2952" s="33"/>
      <c r="X2952" s="23"/>
      <c r="Y2952" s="23"/>
      <c r="Z2952" s="23"/>
      <c r="AA2952" s="23"/>
      <c r="AF2952" s="23"/>
      <c r="AG2952" s="23"/>
      <c r="AH2952" s="23"/>
      <c r="AI2952" s="23"/>
      <c r="AN2952" s="23"/>
      <c r="AO2952" s="23"/>
      <c r="AP2952" s="23"/>
      <c r="AQ2952" s="23"/>
      <c r="AR2952" s="35"/>
      <c r="AS2952" s="35"/>
      <c r="AT2952" s="35"/>
      <c r="AU2952" s="31"/>
      <c r="AV2952" s="36"/>
    </row>
    <row r="2953" spans="4:48">
      <c r="D2953" s="31"/>
      <c r="E2953" s="31"/>
      <c r="F2953" s="31"/>
      <c r="G2953" s="31"/>
      <c r="H2953" s="32"/>
      <c r="J2953" s="33"/>
      <c r="K2953" s="33"/>
      <c r="L2953" s="33"/>
      <c r="X2953" s="23"/>
      <c r="Y2953" s="23"/>
      <c r="Z2953" s="23"/>
      <c r="AA2953" s="23"/>
      <c r="AF2953" s="23"/>
      <c r="AG2953" s="23"/>
      <c r="AH2953" s="23"/>
      <c r="AI2953" s="23"/>
      <c r="AN2953" s="23"/>
      <c r="AO2953" s="23"/>
      <c r="AP2953" s="23"/>
      <c r="AQ2953" s="23"/>
      <c r="AR2953" s="35"/>
      <c r="AS2953" s="35"/>
      <c r="AT2953" s="35"/>
      <c r="AU2953" s="31"/>
      <c r="AV2953" s="36"/>
    </row>
    <row r="2954" spans="4:48">
      <c r="D2954" s="31"/>
      <c r="E2954" s="31"/>
      <c r="F2954" s="31"/>
      <c r="G2954" s="31"/>
      <c r="H2954" s="32"/>
      <c r="J2954" s="33"/>
      <c r="K2954" s="33"/>
      <c r="L2954" s="33"/>
      <c r="X2954" s="23"/>
      <c r="Y2954" s="23"/>
      <c r="Z2954" s="23"/>
      <c r="AA2954" s="23"/>
      <c r="AF2954" s="23"/>
      <c r="AG2954" s="23"/>
      <c r="AH2954" s="23"/>
      <c r="AI2954" s="23"/>
      <c r="AN2954" s="23"/>
      <c r="AO2954" s="23"/>
      <c r="AP2954" s="23"/>
      <c r="AQ2954" s="23"/>
      <c r="AR2954" s="35"/>
      <c r="AS2954" s="35"/>
      <c r="AT2954" s="35"/>
      <c r="AU2954" s="31"/>
      <c r="AV2954" s="36"/>
    </row>
    <row r="2955" spans="4:48">
      <c r="D2955" s="31"/>
      <c r="E2955" s="31"/>
      <c r="F2955" s="31"/>
      <c r="G2955" s="31"/>
      <c r="H2955" s="32"/>
      <c r="J2955" s="33"/>
      <c r="K2955" s="33"/>
      <c r="L2955" s="33"/>
      <c r="X2955" s="23"/>
      <c r="Y2955" s="23"/>
      <c r="Z2955" s="23"/>
      <c r="AA2955" s="23"/>
      <c r="AF2955" s="23"/>
      <c r="AG2955" s="23"/>
      <c r="AH2955" s="23"/>
      <c r="AI2955" s="23"/>
      <c r="AN2955" s="23"/>
      <c r="AO2955" s="23"/>
      <c r="AP2955" s="23"/>
      <c r="AQ2955" s="23"/>
      <c r="AR2955" s="35"/>
      <c r="AS2955" s="35"/>
      <c r="AT2955" s="35"/>
      <c r="AU2955" s="31"/>
      <c r="AV2955" s="36"/>
    </row>
    <row r="2956" spans="4:48">
      <c r="D2956" s="31"/>
      <c r="E2956" s="31"/>
      <c r="F2956" s="31"/>
      <c r="G2956" s="31"/>
      <c r="H2956" s="32"/>
      <c r="J2956" s="33"/>
      <c r="K2956" s="33"/>
      <c r="L2956" s="33"/>
      <c r="X2956" s="23"/>
      <c r="Y2956" s="23"/>
      <c r="Z2956" s="23"/>
      <c r="AA2956" s="23"/>
      <c r="AF2956" s="23"/>
      <c r="AG2956" s="23"/>
      <c r="AH2956" s="23"/>
      <c r="AI2956" s="23"/>
      <c r="AN2956" s="23"/>
      <c r="AO2956" s="23"/>
      <c r="AP2956" s="23"/>
      <c r="AQ2956" s="23"/>
      <c r="AR2956" s="35"/>
      <c r="AS2956" s="35"/>
      <c r="AT2956" s="35"/>
      <c r="AU2956" s="31"/>
      <c r="AV2956" s="36"/>
    </row>
    <row r="2957" spans="4:48">
      <c r="D2957" s="31"/>
      <c r="E2957" s="31"/>
      <c r="F2957" s="31"/>
      <c r="G2957" s="31"/>
      <c r="H2957" s="32"/>
      <c r="J2957" s="33"/>
      <c r="K2957" s="33"/>
      <c r="L2957" s="33"/>
      <c r="X2957" s="23"/>
      <c r="Y2957" s="23"/>
      <c r="Z2957" s="23"/>
      <c r="AA2957" s="23"/>
      <c r="AF2957" s="23"/>
      <c r="AG2957" s="23"/>
      <c r="AH2957" s="23"/>
      <c r="AI2957" s="23"/>
      <c r="AN2957" s="23"/>
      <c r="AO2957" s="23"/>
      <c r="AP2957" s="23"/>
      <c r="AQ2957" s="23"/>
      <c r="AR2957" s="35"/>
      <c r="AS2957" s="35"/>
      <c r="AT2957" s="35"/>
      <c r="AU2957" s="31"/>
      <c r="AV2957" s="36"/>
    </row>
    <row r="2958" spans="4:48">
      <c r="D2958" s="31"/>
      <c r="E2958" s="31"/>
      <c r="F2958" s="31"/>
      <c r="G2958" s="31"/>
      <c r="H2958" s="32"/>
      <c r="J2958" s="33"/>
      <c r="K2958" s="33"/>
      <c r="L2958" s="33"/>
      <c r="X2958" s="23"/>
      <c r="Y2958" s="23"/>
      <c r="Z2958" s="23"/>
      <c r="AA2958" s="23"/>
      <c r="AF2958" s="23"/>
      <c r="AG2958" s="23"/>
      <c r="AH2958" s="23"/>
      <c r="AI2958" s="23"/>
      <c r="AN2958" s="23"/>
      <c r="AO2958" s="23"/>
      <c r="AP2958" s="23"/>
      <c r="AQ2958" s="23"/>
      <c r="AR2958" s="35"/>
      <c r="AS2958" s="35"/>
      <c r="AT2958" s="35"/>
      <c r="AU2958" s="31"/>
      <c r="AV2958" s="36"/>
    </row>
    <row r="2959" spans="4:48">
      <c r="D2959" s="31"/>
      <c r="E2959" s="31"/>
      <c r="F2959" s="31"/>
      <c r="G2959" s="31"/>
      <c r="H2959" s="32"/>
      <c r="J2959" s="33"/>
      <c r="K2959" s="33"/>
      <c r="L2959" s="33"/>
      <c r="X2959" s="23"/>
      <c r="Y2959" s="23"/>
      <c r="Z2959" s="23"/>
      <c r="AA2959" s="23"/>
      <c r="AF2959" s="23"/>
      <c r="AG2959" s="23"/>
      <c r="AH2959" s="23"/>
      <c r="AI2959" s="23"/>
      <c r="AN2959" s="23"/>
      <c r="AO2959" s="23"/>
      <c r="AP2959" s="23"/>
      <c r="AQ2959" s="23"/>
      <c r="AR2959" s="35"/>
      <c r="AS2959" s="35"/>
      <c r="AT2959" s="35"/>
      <c r="AU2959" s="31"/>
      <c r="AV2959" s="36"/>
    </row>
    <row r="2960" spans="4:48">
      <c r="D2960" s="31"/>
      <c r="E2960" s="31"/>
      <c r="F2960" s="31"/>
      <c r="G2960" s="31"/>
      <c r="H2960" s="32"/>
      <c r="J2960" s="33"/>
      <c r="K2960" s="33"/>
      <c r="L2960" s="33"/>
      <c r="X2960" s="23"/>
      <c r="Y2960" s="23"/>
      <c r="Z2960" s="23"/>
      <c r="AA2960" s="23"/>
      <c r="AF2960" s="23"/>
      <c r="AG2960" s="23"/>
      <c r="AH2960" s="23"/>
      <c r="AI2960" s="23"/>
      <c r="AN2960" s="23"/>
      <c r="AO2960" s="23"/>
      <c r="AP2960" s="23"/>
      <c r="AQ2960" s="23"/>
      <c r="AR2960" s="35"/>
      <c r="AS2960" s="35"/>
      <c r="AT2960" s="35"/>
      <c r="AU2960" s="31"/>
      <c r="AV2960" s="36"/>
    </row>
    <row r="2961" spans="4:48">
      <c r="D2961" s="31"/>
      <c r="E2961" s="31"/>
      <c r="F2961" s="31"/>
      <c r="G2961" s="31"/>
      <c r="H2961" s="32"/>
      <c r="J2961" s="33"/>
      <c r="K2961" s="33"/>
      <c r="L2961" s="33"/>
      <c r="X2961" s="23"/>
      <c r="Y2961" s="23"/>
      <c r="Z2961" s="23"/>
      <c r="AA2961" s="23"/>
      <c r="AF2961" s="23"/>
      <c r="AG2961" s="23"/>
      <c r="AH2961" s="23"/>
      <c r="AI2961" s="23"/>
      <c r="AN2961" s="23"/>
      <c r="AO2961" s="23"/>
      <c r="AP2961" s="23"/>
      <c r="AQ2961" s="23"/>
      <c r="AR2961" s="35"/>
      <c r="AS2961" s="35"/>
      <c r="AT2961" s="35"/>
      <c r="AU2961" s="31"/>
      <c r="AV2961" s="36"/>
    </row>
    <row r="2962" spans="4:48">
      <c r="D2962" s="31"/>
      <c r="E2962" s="31"/>
      <c r="F2962" s="31"/>
      <c r="G2962" s="31"/>
      <c r="H2962" s="32"/>
      <c r="J2962" s="33"/>
      <c r="K2962" s="33"/>
      <c r="L2962" s="33"/>
      <c r="X2962" s="23"/>
      <c r="Y2962" s="23"/>
      <c r="Z2962" s="23"/>
      <c r="AA2962" s="23"/>
      <c r="AF2962" s="23"/>
      <c r="AG2962" s="23"/>
      <c r="AH2962" s="23"/>
      <c r="AI2962" s="23"/>
      <c r="AN2962" s="23"/>
      <c r="AO2962" s="23"/>
      <c r="AP2962" s="23"/>
      <c r="AQ2962" s="23"/>
      <c r="AR2962" s="35"/>
      <c r="AS2962" s="35"/>
      <c r="AT2962" s="35"/>
      <c r="AU2962" s="31"/>
      <c r="AV2962" s="36"/>
    </row>
    <row r="2963" spans="4:48">
      <c r="D2963" s="31"/>
      <c r="E2963" s="31"/>
      <c r="F2963" s="31"/>
      <c r="G2963" s="31"/>
      <c r="H2963" s="32"/>
      <c r="J2963" s="33"/>
      <c r="K2963" s="33"/>
      <c r="L2963" s="33"/>
      <c r="X2963" s="23"/>
      <c r="Y2963" s="23"/>
      <c r="Z2963" s="23"/>
      <c r="AA2963" s="23"/>
      <c r="AF2963" s="23"/>
      <c r="AG2963" s="23"/>
      <c r="AH2963" s="23"/>
      <c r="AI2963" s="23"/>
      <c r="AN2963" s="23"/>
      <c r="AO2963" s="23"/>
      <c r="AP2963" s="23"/>
      <c r="AQ2963" s="23"/>
      <c r="AR2963" s="35"/>
      <c r="AS2963" s="35"/>
      <c r="AT2963" s="35"/>
      <c r="AU2963" s="31"/>
      <c r="AV2963" s="36"/>
    </row>
    <row r="2964" spans="4:48">
      <c r="D2964" s="31"/>
      <c r="E2964" s="31"/>
      <c r="F2964" s="31"/>
      <c r="G2964" s="31"/>
      <c r="H2964" s="32"/>
      <c r="J2964" s="33"/>
      <c r="K2964" s="33"/>
      <c r="L2964" s="33"/>
      <c r="X2964" s="23"/>
      <c r="Y2964" s="23"/>
      <c r="Z2964" s="23"/>
      <c r="AA2964" s="23"/>
      <c r="AF2964" s="23"/>
      <c r="AG2964" s="23"/>
      <c r="AH2964" s="23"/>
      <c r="AI2964" s="23"/>
      <c r="AN2964" s="23"/>
      <c r="AO2964" s="23"/>
      <c r="AP2964" s="23"/>
      <c r="AQ2964" s="23"/>
      <c r="AR2964" s="35"/>
      <c r="AS2964" s="35"/>
      <c r="AT2964" s="35"/>
      <c r="AU2964" s="31"/>
      <c r="AV2964" s="36"/>
    </row>
    <row r="2965" spans="4:48">
      <c r="D2965" s="31"/>
      <c r="E2965" s="31"/>
      <c r="F2965" s="31"/>
      <c r="G2965" s="31"/>
      <c r="H2965" s="32"/>
      <c r="J2965" s="33"/>
      <c r="K2965" s="33"/>
      <c r="L2965" s="33"/>
      <c r="X2965" s="23"/>
      <c r="Y2965" s="23"/>
      <c r="Z2965" s="23"/>
      <c r="AA2965" s="23"/>
      <c r="AF2965" s="23"/>
      <c r="AG2965" s="23"/>
      <c r="AH2965" s="23"/>
      <c r="AI2965" s="23"/>
      <c r="AN2965" s="23"/>
      <c r="AO2965" s="23"/>
      <c r="AP2965" s="23"/>
      <c r="AQ2965" s="23"/>
      <c r="AR2965" s="35"/>
      <c r="AS2965" s="35"/>
      <c r="AT2965" s="35"/>
      <c r="AU2965" s="31"/>
      <c r="AV2965" s="36"/>
    </row>
    <row r="2966" spans="4:48">
      <c r="D2966" s="31"/>
      <c r="E2966" s="31"/>
      <c r="F2966" s="31"/>
      <c r="G2966" s="31"/>
      <c r="H2966" s="32"/>
      <c r="J2966" s="33"/>
      <c r="K2966" s="33"/>
      <c r="L2966" s="33"/>
      <c r="X2966" s="23"/>
      <c r="Y2966" s="23"/>
      <c r="Z2966" s="23"/>
      <c r="AA2966" s="23"/>
      <c r="AF2966" s="23"/>
      <c r="AG2966" s="23"/>
      <c r="AH2966" s="23"/>
      <c r="AI2966" s="23"/>
      <c r="AN2966" s="23"/>
      <c r="AO2966" s="23"/>
      <c r="AP2966" s="23"/>
      <c r="AQ2966" s="23"/>
      <c r="AR2966" s="35"/>
      <c r="AS2966" s="35"/>
      <c r="AT2966" s="35"/>
      <c r="AU2966" s="31"/>
      <c r="AV2966" s="36"/>
    </row>
    <row r="2967" spans="4:48">
      <c r="D2967" s="31"/>
      <c r="E2967" s="31"/>
      <c r="F2967" s="31"/>
      <c r="G2967" s="31"/>
      <c r="H2967" s="32"/>
      <c r="J2967" s="33"/>
      <c r="K2967" s="33"/>
      <c r="L2967" s="33"/>
      <c r="X2967" s="23"/>
      <c r="Y2967" s="23"/>
      <c r="Z2967" s="23"/>
      <c r="AA2967" s="23"/>
      <c r="AF2967" s="23"/>
      <c r="AG2967" s="23"/>
      <c r="AH2967" s="23"/>
      <c r="AI2967" s="23"/>
      <c r="AN2967" s="23"/>
      <c r="AO2967" s="23"/>
      <c r="AP2967" s="23"/>
      <c r="AQ2967" s="23"/>
      <c r="AR2967" s="35"/>
      <c r="AS2967" s="35"/>
      <c r="AT2967" s="35"/>
      <c r="AU2967" s="31"/>
      <c r="AV2967" s="36"/>
    </row>
    <row r="2968" spans="4:48">
      <c r="D2968" s="31"/>
      <c r="E2968" s="31"/>
      <c r="F2968" s="31"/>
      <c r="G2968" s="31"/>
      <c r="H2968" s="32"/>
      <c r="J2968" s="33"/>
      <c r="K2968" s="33"/>
      <c r="L2968" s="33"/>
      <c r="X2968" s="23"/>
      <c r="Y2968" s="23"/>
      <c r="Z2968" s="23"/>
      <c r="AA2968" s="23"/>
      <c r="AF2968" s="23"/>
      <c r="AG2968" s="23"/>
      <c r="AH2968" s="23"/>
      <c r="AI2968" s="23"/>
      <c r="AN2968" s="23"/>
      <c r="AO2968" s="23"/>
      <c r="AP2968" s="23"/>
      <c r="AQ2968" s="23"/>
      <c r="AR2968" s="35"/>
      <c r="AS2968" s="35"/>
      <c r="AT2968" s="35"/>
      <c r="AU2968" s="31"/>
      <c r="AV2968" s="36"/>
    </row>
    <row r="2969" spans="4:48">
      <c r="D2969" s="31"/>
      <c r="E2969" s="31"/>
      <c r="F2969" s="31"/>
      <c r="G2969" s="31"/>
      <c r="H2969" s="32"/>
      <c r="J2969" s="33"/>
      <c r="K2969" s="33"/>
      <c r="L2969" s="33"/>
      <c r="X2969" s="23"/>
      <c r="Y2969" s="23"/>
      <c r="Z2969" s="23"/>
      <c r="AA2969" s="23"/>
      <c r="AF2969" s="23"/>
      <c r="AG2969" s="23"/>
      <c r="AH2969" s="23"/>
      <c r="AI2969" s="23"/>
      <c r="AN2969" s="23"/>
      <c r="AO2969" s="23"/>
      <c r="AP2969" s="23"/>
      <c r="AQ2969" s="23"/>
      <c r="AR2969" s="35"/>
      <c r="AS2969" s="35"/>
      <c r="AT2969" s="35"/>
      <c r="AU2969" s="31"/>
      <c r="AV2969" s="36"/>
    </row>
    <row r="2970" spans="4:48">
      <c r="D2970" s="31"/>
      <c r="E2970" s="31"/>
      <c r="F2970" s="31"/>
      <c r="G2970" s="31"/>
      <c r="H2970" s="32"/>
      <c r="J2970" s="33"/>
      <c r="K2970" s="33"/>
      <c r="L2970" s="33"/>
      <c r="X2970" s="23"/>
      <c r="Y2970" s="23"/>
      <c r="Z2970" s="23"/>
      <c r="AA2970" s="23"/>
      <c r="AF2970" s="23"/>
      <c r="AG2970" s="23"/>
      <c r="AH2970" s="23"/>
      <c r="AI2970" s="23"/>
      <c r="AN2970" s="23"/>
      <c r="AO2970" s="23"/>
      <c r="AP2970" s="23"/>
      <c r="AQ2970" s="23"/>
      <c r="AR2970" s="35"/>
      <c r="AS2970" s="35"/>
      <c r="AT2970" s="35"/>
      <c r="AU2970" s="31"/>
      <c r="AV2970" s="36"/>
    </row>
    <row r="2971" spans="4:48">
      <c r="D2971" s="31"/>
      <c r="E2971" s="31"/>
      <c r="F2971" s="31"/>
      <c r="G2971" s="31"/>
      <c r="H2971" s="32"/>
      <c r="J2971" s="33"/>
      <c r="K2971" s="33"/>
      <c r="L2971" s="33"/>
      <c r="X2971" s="23"/>
      <c r="Y2971" s="23"/>
      <c r="Z2971" s="23"/>
      <c r="AA2971" s="23"/>
      <c r="AF2971" s="23"/>
      <c r="AG2971" s="23"/>
      <c r="AH2971" s="23"/>
      <c r="AI2971" s="23"/>
      <c r="AN2971" s="23"/>
      <c r="AO2971" s="23"/>
      <c r="AP2971" s="23"/>
      <c r="AQ2971" s="23"/>
      <c r="AR2971" s="35"/>
      <c r="AS2971" s="35"/>
      <c r="AT2971" s="35"/>
      <c r="AU2971" s="31"/>
      <c r="AV2971" s="36"/>
    </row>
    <row r="2972" spans="4:48">
      <c r="D2972" s="31"/>
      <c r="E2972" s="31"/>
      <c r="F2972" s="31"/>
      <c r="G2972" s="31"/>
      <c r="H2972" s="32"/>
      <c r="J2972" s="33"/>
      <c r="K2972" s="33"/>
      <c r="L2972" s="33"/>
      <c r="X2972" s="23"/>
      <c r="Y2972" s="23"/>
      <c r="Z2972" s="23"/>
      <c r="AA2972" s="23"/>
      <c r="AF2972" s="23"/>
      <c r="AG2972" s="23"/>
      <c r="AH2972" s="23"/>
      <c r="AI2972" s="23"/>
      <c r="AN2972" s="23"/>
      <c r="AO2972" s="23"/>
      <c r="AP2972" s="23"/>
      <c r="AQ2972" s="23"/>
      <c r="AR2972" s="35"/>
      <c r="AS2972" s="35"/>
      <c r="AT2972" s="35"/>
      <c r="AU2972" s="31"/>
      <c r="AV2972" s="36"/>
    </row>
    <row r="2973" spans="4:48">
      <c r="D2973" s="31"/>
      <c r="E2973" s="31"/>
      <c r="F2973" s="31"/>
      <c r="G2973" s="31"/>
      <c r="H2973" s="32"/>
      <c r="J2973" s="33"/>
      <c r="K2973" s="33"/>
      <c r="L2973" s="33"/>
      <c r="X2973" s="23"/>
      <c r="Y2973" s="23"/>
      <c r="Z2973" s="23"/>
      <c r="AA2973" s="23"/>
      <c r="AF2973" s="23"/>
      <c r="AG2973" s="23"/>
      <c r="AH2973" s="23"/>
      <c r="AI2973" s="23"/>
      <c r="AN2973" s="23"/>
      <c r="AO2973" s="23"/>
      <c r="AP2973" s="23"/>
      <c r="AQ2973" s="23"/>
      <c r="AR2973" s="35"/>
      <c r="AS2973" s="35"/>
      <c r="AT2973" s="35"/>
      <c r="AU2973" s="31"/>
      <c r="AV2973" s="36"/>
    </row>
    <row r="2974" spans="4:48">
      <c r="D2974" s="31"/>
      <c r="E2974" s="31"/>
      <c r="F2974" s="31"/>
      <c r="G2974" s="31"/>
      <c r="H2974" s="32"/>
      <c r="J2974" s="33"/>
      <c r="K2974" s="33"/>
      <c r="L2974" s="33"/>
      <c r="X2974" s="23"/>
      <c r="Y2974" s="23"/>
      <c r="Z2974" s="23"/>
      <c r="AA2974" s="23"/>
      <c r="AF2974" s="23"/>
      <c r="AG2974" s="23"/>
      <c r="AH2974" s="23"/>
      <c r="AI2974" s="23"/>
      <c r="AN2974" s="23"/>
      <c r="AO2974" s="23"/>
      <c r="AP2974" s="23"/>
      <c r="AQ2974" s="23"/>
      <c r="AR2974" s="35"/>
      <c r="AS2974" s="35"/>
      <c r="AT2974" s="35"/>
      <c r="AU2974" s="31"/>
      <c r="AV2974" s="36"/>
    </row>
    <row r="2975" spans="4:48">
      <c r="D2975" s="31"/>
      <c r="E2975" s="31"/>
      <c r="F2975" s="31"/>
      <c r="G2975" s="31"/>
      <c r="H2975" s="32"/>
      <c r="J2975" s="33"/>
      <c r="K2975" s="33"/>
      <c r="L2975" s="33"/>
      <c r="X2975" s="23"/>
      <c r="Y2975" s="23"/>
      <c r="Z2975" s="23"/>
      <c r="AA2975" s="23"/>
      <c r="AF2975" s="23"/>
      <c r="AG2975" s="23"/>
      <c r="AH2975" s="23"/>
      <c r="AI2975" s="23"/>
      <c r="AN2975" s="23"/>
      <c r="AO2975" s="23"/>
      <c r="AP2975" s="23"/>
      <c r="AQ2975" s="23"/>
      <c r="AR2975" s="35"/>
      <c r="AS2975" s="35"/>
      <c r="AT2975" s="35"/>
      <c r="AU2975" s="31"/>
      <c r="AV2975" s="36"/>
    </row>
    <row r="2976" spans="4:48">
      <c r="D2976" s="31"/>
      <c r="E2976" s="31"/>
      <c r="F2976" s="31"/>
      <c r="G2976" s="31"/>
      <c r="H2976" s="32"/>
      <c r="J2976" s="33"/>
      <c r="K2976" s="33"/>
      <c r="L2976" s="33"/>
      <c r="X2976" s="23"/>
      <c r="Y2976" s="23"/>
      <c r="Z2976" s="23"/>
      <c r="AA2976" s="23"/>
      <c r="AF2976" s="23"/>
      <c r="AG2976" s="23"/>
      <c r="AH2976" s="23"/>
      <c r="AI2976" s="23"/>
      <c r="AN2976" s="23"/>
      <c r="AO2976" s="23"/>
      <c r="AP2976" s="23"/>
      <c r="AQ2976" s="23"/>
      <c r="AR2976" s="35"/>
      <c r="AS2976" s="35"/>
      <c r="AT2976" s="35"/>
      <c r="AU2976" s="31"/>
      <c r="AV2976" s="36"/>
    </row>
    <row r="2977" spans="4:48">
      <c r="D2977" s="31"/>
      <c r="E2977" s="31"/>
      <c r="F2977" s="31"/>
      <c r="G2977" s="31"/>
      <c r="H2977" s="32"/>
      <c r="J2977" s="33"/>
      <c r="K2977" s="33"/>
      <c r="L2977" s="33"/>
      <c r="X2977" s="23"/>
      <c r="Y2977" s="23"/>
      <c r="Z2977" s="23"/>
      <c r="AA2977" s="23"/>
      <c r="AF2977" s="23"/>
      <c r="AG2977" s="23"/>
      <c r="AH2977" s="23"/>
      <c r="AI2977" s="23"/>
      <c r="AN2977" s="23"/>
      <c r="AO2977" s="23"/>
      <c r="AP2977" s="23"/>
      <c r="AQ2977" s="23"/>
      <c r="AR2977" s="35"/>
      <c r="AS2977" s="35"/>
      <c r="AT2977" s="35"/>
      <c r="AU2977" s="31"/>
      <c r="AV2977" s="36"/>
    </row>
    <row r="2978" spans="4:48">
      <c r="D2978" s="31"/>
      <c r="E2978" s="31"/>
      <c r="F2978" s="31"/>
      <c r="G2978" s="31"/>
      <c r="H2978" s="32"/>
      <c r="J2978" s="33"/>
      <c r="K2978" s="33"/>
      <c r="L2978" s="33"/>
      <c r="X2978" s="23"/>
      <c r="Y2978" s="23"/>
      <c r="Z2978" s="23"/>
      <c r="AA2978" s="23"/>
      <c r="AF2978" s="23"/>
      <c r="AG2978" s="23"/>
      <c r="AH2978" s="23"/>
      <c r="AI2978" s="23"/>
      <c r="AN2978" s="23"/>
      <c r="AO2978" s="23"/>
      <c r="AP2978" s="23"/>
      <c r="AQ2978" s="23"/>
      <c r="AR2978" s="35"/>
      <c r="AS2978" s="35"/>
      <c r="AT2978" s="35"/>
      <c r="AU2978" s="31"/>
      <c r="AV2978" s="36"/>
    </row>
    <row r="2979" spans="4:48">
      <c r="D2979" s="31"/>
      <c r="E2979" s="31"/>
      <c r="F2979" s="31"/>
      <c r="G2979" s="31"/>
      <c r="H2979" s="32"/>
      <c r="J2979" s="33"/>
      <c r="K2979" s="33"/>
      <c r="L2979" s="33"/>
      <c r="X2979" s="23"/>
      <c r="Y2979" s="23"/>
      <c r="Z2979" s="23"/>
      <c r="AA2979" s="23"/>
      <c r="AF2979" s="23"/>
      <c r="AG2979" s="23"/>
      <c r="AH2979" s="23"/>
      <c r="AI2979" s="23"/>
      <c r="AN2979" s="23"/>
      <c r="AO2979" s="23"/>
      <c r="AP2979" s="23"/>
      <c r="AQ2979" s="23"/>
      <c r="AR2979" s="35"/>
      <c r="AS2979" s="35"/>
      <c r="AT2979" s="35"/>
      <c r="AU2979" s="31"/>
      <c r="AV2979" s="36"/>
    </row>
    <row r="2980" spans="4:48">
      <c r="D2980" s="31"/>
      <c r="E2980" s="31"/>
      <c r="F2980" s="31"/>
      <c r="G2980" s="31"/>
      <c r="H2980" s="32"/>
      <c r="J2980" s="33"/>
      <c r="K2980" s="33"/>
      <c r="L2980" s="33"/>
      <c r="X2980" s="23"/>
      <c r="Y2980" s="23"/>
      <c r="Z2980" s="23"/>
      <c r="AA2980" s="23"/>
      <c r="AF2980" s="23"/>
      <c r="AG2980" s="23"/>
      <c r="AH2980" s="23"/>
      <c r="AI2980" s="23"/>
      <c r="AN2980" s="23"/>
      <c r="AO2980" s="23"/>
      <c r="AP2980" s="23"/>
      <c r="AQ2980" s="23"/>
      <c r="AR2980" s="35"/>
      <c r="AS2980" s="35"/>
      <c r="AT2980" s="35"/>
      <c r="AU2980" s="31"/>
      <c r="AV2980" s="36"/>
    </row>
    <row r="2981" spans="4:48">
      <c r="D2981" s="31"/>
      <c r="E2981" s="31"/>
      <c r="F2981" s="31"/>
      <c r="G2981" s="31"/>
      <c r="H2981" s="32"/>
      <c r="J2981" s="33"/>
      <c r="K2981" s="33"/>
      <c r="L2981" s="33"/>
      <c r="X2981" s="23"/>
      <c r="Y2981" s="23"/>
      <c r="Z2981" s="23"/>
      <c r="AA2981" s="23"/>
      <c r="AF2981" s="23"/>
      <c r="AG2981" s="23"/>
      <c r="AH2981" s="23"/>
      <c r="AI2981" s="23"/>
      <c r="AN2981" s="23"/>
      <c r="AO2981" s="23"/>
      <c r="AP2981" s="23"/>
      <c r="AQ2981" s="23"/>
      <c r="AR2981" s="35"/>
      <c r="AS2981" s="35"/>
      <c r="AT2981" s="35"/>
      <c r="AU2981" s="31"/>
      <c r="AV2981" s="36"/>
    </row>
    <row r="2982" spans="4:48">
      <c r="D2982" s="31"/>
      <c r="E2982" s="31"/>
      <c r="F2982" s="31"/>
      <c r="G2982" s="31"/>
      <c r="H2982" s="32"/>
      <c r="J2982" s="33"/>
      <c r="K2982" s="33"/>
      <c r="L2982" s="33"/>
      <c r="X2982" s="23"/>
      <c r="Y2982" s="23"/>
      <c r="Z2982" s="23"/>
      <c r="AA2982" s="23"/>
      <c r="AF2982" s="23"/>
      <c r="AG2982" s="23"/>
      <c r="AH2982" s="23"/>
      <c r="AI2982" s="23"/>
      <c r="AN2982" s="23"/>
      <c r="AO2982" s="23"/>
      <c r="AP2982" s="23"/>
      <c r="AQ2982" s="23"/>
      <c r="AR2982" s="35"/>
      <c r="AS2982" s="35"/>
      <c r="AT2982" s="35"/>
      <c r="AU2982" s="31"/>
      <c r="AV2982" s="36"/>
    </row>
    <row r="2983" spans="4:48">
      <c r="D2983" s="31"/>
      <c r="E2983" s="31"/>
      <c r="F2983" s="31"/>
      <c r="G2983" s="31"/>
      <c r="H2983" s="32"/>
      <c r="J2983" s="33"/>
      <c r="K2983" s="33"/>
      <c r="L2983" s="33"/>
      <c r="X2983" s="23"/>
      <c r="Y2983" s="23"/>
      <c r="Z2983" s="23"/>
      <c r="AA2983" s="23"/>
      <c r="AF2983" s="23"/>
      <c r="AG2983" s="23"/>
      <c r="AH2983" s="23"/>
      <c r="AI2983" s="23"/>
      <c r="AN2983" s="23"/>
      <c r="AO2983" s="23"/>
      <c r="AP2983" s="23"/>
      <c r="AQ2983" s="23"/>
      <c r="AR2983" s="35"/>
      <c r="AS2983" s="35"/>
      <c r="AT2983" s="35"/>
      <c r="AU2983" s="31"/>
      <c r="AV2983" s="36"/>
    </row>
    <row r="2984" spans="4:48">
      <c r="D2984" s="31"/>
      <c r="E2984" s="31"/>
      <c r="F2984" s="31"/>
      <c r="G2984" s="31"/>
      <c r="H2984" s="32"/>
      <c r="J2984" s="33"/>
      <c r="K2984" s="33"/>
      <c r="L2984" s="33"/>
      <c r="X2984" s="23"/>
      <c r="Y2984" s="23"/>
      <c r="Z2984" s="23"/>
      <c r="AA2984" s="23"/>
      <c r="AF2984" s="23"/>
      <c r="AG2984" s="23"/>
      <c r="AH2984" s="23"/>
      <c r="AI2984" s="23"/>
      <c r="AN2984" s="23"/>
      <c r="AO2984" s="23"/>
      <c r="AP2984" s="23"/>
      <c r="AQ2984" s="23"/>
      <c r="AR2984" s="35"/>
      <c r="AS2984" s="35"/>
      <c r="AT2984" s="35"/>
      <c r="AU2984" s="31"/>
      <c r="AV2984" s="36"/>
    </row>
    <row r="2985" spans="4:48">
      <c r="D2985" s="31"/>
      <c r="E2985" s="31"/>
      <c r="F2985" s="31"/>
      <c r="G2985" s="31"/>
      <c r="H2985" s="32"/>
      <c r="J2985" s="33"/>
      <c r="K2985" s="33"/>
      <c r="L2985" s="33"/>
      <c r="X2985" s="23"/>
      <c r="Y2985" s="23"/>
      <c r="Z2985" s="23"/>
      <c r="AA2985" s="23"/>
      <c r="AF2985" s="23"/>
      <c r="AG2985" s="23"/>
      <c r="AH2985" s="23"/>
      <c r="AI2985" s="23"/>
      <c r="AN2985" s="23"/>
      <c r="AO2985" s="23"/>
      <c r="AP2985" s="23"/>
      <c r="AQ2985" s="23"/>
      <c r="AR2985" s="35"/>
      <c r="AS2985" s="35"/>
      <c r="AT2985" s="35"/>
      <c r="AU2985" s="31"/>
      <c r="AV2985" s="36"/>
    </row>
    <row r="2986" spans="4:48">
      <c r="D2986" s="31"/>
      <c r="E2986" s="31"/>
      <c r="F2986" s="31"/>
      <c r="G2986" s="31"/>
      <c r="H2986" s="32"/>
      <c r="J2986" s="33"/>
      <c r="K2986" s="33"/>
      <c r="L2986" s="33"/>
      <c r="X2986" s="23"/>
      <c r="Y2986" s="23"/>
      <c r="Z2986" s="23"/>
      <c r="AA2986" s="23"/>
      <c r="AF2986" s="23"/>
      <c r="AG2986" s="23"/>
      <c r="AH2986" s="23"/>
      <c r="AI2986" s="23"/>
      <c r="AN2986" s="23"/>
      <c r="AO2986" s="23"/>
      <c r="AP2986" s="23"/>
      <c r="AQ2986" s="23"/>
      <c r="AR2986" s="35"/>
      <c r="AS2986" s="35"/>
      <c r="AT2986" s="35"/>
      <c r="AU2986" s="31"/>
      <c r="AV2986" s="36"/>
    </row>
    <row r="2987" spans="4:48">
      <c r="D2987" s="31"/>
      <c r="E2987" s="31"/>
      <c r="F2987" s="31"/>
      <c r="G2987" s="31"/>
      <c r="H2987" s="32"/>
      <c r="J2987" s="33"/>
      <c r="K2987" s="33"/>
      <c r="L2987" s="33"/>
      <c r="X2987" s="23"/>
      <c r="Y2987" s="23"/>
      <c r="Z2987" s="23"/>
      <c r="AA2987" s="23"/>
      <c r="AF2987" s="23"/>
      <c r="AG2987" s="23"/>
      <c r="AH2987" s="23"/>
      <c r="AI2987" s="23"/>
      <c r="AN2987" s="23"/>
      <c r="AO2987" s="23"/>
      <c r="AP2987" s="23"/>
      <c r="AQ2987" s="23"/>
      <c r="AR2987" s="35"/>
      <c r="AS2987" s="35"/>
      <c r="AT2987" s="35"/>
      <c r="AU2987" s="31"/>
      <c r="AV2987" s="36"/>
    </row>
    <row r="2988" spans="4:48">
      <c r="D2988" s="31"/>
      <c r="E2988" s="31"/>
      <c r="F2988" s="31"/>
      <c r="G2988" s="31"/>
      <c r="H2988" s="32"/>
      <c r="J2988" s="33"/>
      <c r="K2988" s="33"/>
      <c r="L2988" s="33"/>
      <c r="X2988" s="23"/>
      <c r="Y2988" s="23"/>
      <c r="Z2988" s="23"/>
      <c r="AA2988" s="23"/>
      <c r="AF2988" s="23"/>
      <c r="AG2988" s="23"/>
      <c r="AH2988" s="23"/>
      <c r="AI2988" s="23"/>
      <c r="AN2988" s="23"/>
      <c r="AO2988" s="23"/>
      <c r="AP2988" s="23"/>
      <c r="AQ2988" s="23"/>
      <c r="AR2988" s="35"/>
      <c r="AS2988" s="35"/>
      <c r="AT2988" s="35"/>
      <c r="AU2988" s="31"/>
      <c r="AV2988" s="36"/>
    </row>
    <row r="2989" spans="4:48">
      <c r="D2989" s="31"/>
      <c r="E2989" s="31"/>
      <c r="F2989" s="31"/>
      <c r="G2989" s="31"/>
      <c r="H2989" s="32"/>
      <c r="J2989" s="33"/>
      <c r="K2989" s="33"/>
      <c r="L2989" s="33"/>
      <c r="X2989" s="23"/>
      <c r="Y2989" s="23"/>
      <c r="Z2989" s="23"/>
      <c r="AA2989" s="23"/>
      <c r="AF2989" s="23"/>
      <c r="AG2989" s="23"/>
      <c r="AH2989" s="23"/>
      <c r="AI2989" s="23"/>
      <c r="AN2989" s="23"/>
      <c r="AO2989" s="23"/>
      <c r="AP2989" s="23"/>
      <c r="AQ2989" s="23"/>
      <c r="AR2989" s="35"/>
      <c r="AS2989" s="35"/>
      <c r="AT2989" s="35"/>
      <c r="AU2989" s="31"/>
      <c r="AV2989" s="36"/>
    </row>
    <row r="2990" spans="4:48">
      <c r="D2990" s="31"/>
      <c r="E2990" s="31"/>
      <c r="F2990" s="31"/>
      <c r="G2990" s="31"/>
      <c r="H2990" s="32"/>
      <c r="J2990" s="33"/>
      <c r="K2990" s="33"/>
      <c r="L2990" s="33"/>
      <c r="X2990" s="23"/>
      <c r="Y2990" s="23"/>
      <c r="Z2990" s="23"/>
      <c r="AA2990" s="23"/>
      <c r="AF2990" s="23"/>
      <c r="AG2990" s="23"/>
      <c r="AH2990" s="23"/>
      <c r="AI2990" s="23"/>
      <c r="AN2990" s="23"/>
      <c r="AO2990" s="23"/>
      <c r="AP2990" s="23"/>
      <c r="AQ2990" s="23"/>
      <c r="AR2990" s="35"/>
      <c r="AS2990" s="35"/>
      <c r="AT2990" s="35"/>
      <c r="AU2990" s="31"/>
      <c r="AV2990" s="36"/>
    </row>
    <row r="2991" spans="4:48">
      <c r="D2991" s="31"/>
      <c r="E2991" s="31"/>
      <c r="F2991" s="31"/>
      <c r="G2991" s="31"/>
      <c r="H2991" s="32"/>
      <c r="J2991" s="33"/>
      <c r="K2991" s="33"/>
      <c r="L2991" s="33"/>
      <c r="X2991" s="23"/>
      <c r="Y2991" s="23"/>
      <c r="Z2991" s="23"/>
      <c r="AA2991" s="23"/>
      <c r="AF2991" s="23"/>
      <c r="AG2991" s="23"/>
      <c r="AH2991" s="23"/>
      <c r="AI2991" s="23"/>
      <c r="AN2991" s="23"/>
      <c r="AO2991" s="23"/>
      <c r="AP2991" s="23"/>
      <c r="AQ2991" s="23"/>
      <c r="AR2991" s="35"/>
      <c r="AS2991" s="35"/>
      <c r="AT2991" s="35"/>
      <c r="AU2991" s="31"/>
      <c r="AV2991" s="36"/>
    </row>
    <row r="2992" spans="4:48">
      <c r="D2992" s="31"/>
      <c r="E2992" s="31"/>
      <c r="F2992" s="31"/>
      <c r="G2992" s="31"/>
      <c r="H2992" s="32"/>
      <c r="J2992" s="33"/>
      <c r="K2992" s="33"/>
      <c r="L2992" s="33"/>
      <c r="X2992" s="23"/>
      <c r="Y2992" s="23"/>
      <c r="Z2992" s="23"/>
      <c r="AA2992" s="23"/>
      <c r="AF2992" s="23"/>
      <c r="AG2992" s="23"/>
      <c r="AH2992" s="23"/>
      <c r="AI2992" s="23"/>
      <c r="AN2992" s="23"/>
      <c r="AO2992" s="23"/>
      <c r="AP2992" s="23"/>
      <c r="AQ2992" s="23"/>
      <c r="AR2992" s="35"/>
      <c r="AS2992" s="35"/>
      <c r="AT2992" s="35"/>
      <c r="AU2992" s="31"/>
      <c r="AV2992" s="36"/>
    </row>
    <row r="2993" spans="4:48">
      <c r="D2993" s="31"/>
      <c r="E2993" s="31"/>
      <c r="F2993" s="31"/>
      <c r="G2993" s="31"/>
      <c r="H2993" s="32"/>
      <c r="J2993" s="33"/>
      <c r="K2993" s="33"/>
      <c r="L2993" s="33"/>
      <c r="X2993" s="23"/>
      <c r="Y2993" s="23"/>
      <c r="Z2993" s="23"/>
      <c r="AA2993" s="23"/>
      <c r="AF2993" s="23"/>
      <c r="AG2993" s="23"/>
      <c r="AH2993" s="23"/>
      <c r="AI2993" s="23"/>
      <c r="AN2993" s="23"/>
      <c r="AO2993" s="23"/>
      <c r="AP2993" s="23"/>
      <c r="AQ2993" s="23"/>
      <c r="AR2993" s="35"/>
      <c r="AS2993" s="35"/>
      <c r="AT2993" s="35"/>
      <c r="AU2993" s="31"/>
      <c r="AV2993" s="36"/>
    </row>
    <row r="2994" spans="4:48">
      <c r="D2994" s="31"/>
      <c r="E2994" s="31"/>
      <c r="F2994" s="31"/>
      <c r="G2994" s="31"/>
      <c r="H2994" s="32"/>
      <c r="J2994" s="33"/>
      <c r="K2994" s="33"/>
      <c r="L2994" s="33"/>
      <c r="X2994" s="23"/>
      <c r="Y2994" s="23"/>
      <c r="Z2994" s="23"/>
      <c r="AA2994" s="23"/>
      <c r="AF2994" s="23"/>
      <c r="AG2994" s="23"/>
      <c r="AH2994" s="23"/>
      <c r="AI2994" s="23"/>
      <c r="AN2994" s="23"/>
      <c r="AO2994" s="23"/>
      <c r="AP2994" s="23"/>
      <c r="AQ2994" s="23"/>
      <c r="AR2994" s="35"/>
      <c r="AS2994" s="35"/>
      <c r="AT2994" s="35"/>
      <c r="AU2994" s="31"/>
      <c r="AV2994" s="36"/>
    </row>
    <row r="2995" spans="4:48">
      <c r="D2995" s="31"/>
      <c r="E2995" s="31"/>
      <c r="F2995" s="31"/>
      <c r="G2995" s="31"/>
      <c r="H2995" s="32"/>
      <c r="J2995" s="33"/>
      <c r="K2995" s="33"/>
      <c r="L2995" s="33"/>
      <c r="X2995" s="23"/>
      <c r="Y2995" s="23"/>
      <c r="Z2995" s="23"/>
      <c r="AA2995" s="23"/>
      <c r="AF2995" s="23"/>
      <c r="AG2995" s="23"/>
      <c r="AH2995" s="23"/>
      <c r="AI2995" s="23"/>
      <c r="AN2995" s="23"/>
      <c r="AO2995" s="23"/>
      <c r="AP2995" s="23"/>
      <c r="AQ2995" s="23"/>
      <c r="AR2995" s="35"/>
      <c r="AS2995" s="35"/>
      <c r="AT2995" s="35"/>
      <c r="AU2995" s="31"/>
      <c r="AV2995" s="36"/>
    </row>
    <row r="2996" spans="4:48">
      <c r="D2996" s="31"/>
      <c r="E2996" s="31"/>
      <c r="F2996" s="31"/>
      <c r="G2996" s="31"/>
      <c r="H2996" s="32"/>
      <c r="J2996" s="33"/>
      <c r="K2996" s="33"/>
      <c r="L2996" s="33"/>
      <c r="X2996" s="23"/>
      <c r="Y2996" s="23"/>
      <c r="Z2996" s="23"/>
      <c r="AA2996" s="23"/>
      <c r="AF2996" s="23"/>
      <c r="AG2996" s="23"/>
      <c r="AH2996" s="23"/>
      <c r="AI2996" s="23"/>
      <c r="AN2996" s="23"/>
      <c r="AO2996" s="23"/>
      <c r="AP2996" s="23"/>
      <c r="AQ2996" s="23"/>
      <c r="AR2996" s="35"/>
      <c r="AS2996" s="35"/>
      <c r="AT2996" s="35"/>
      <c r="AU2996" s="31"/>
      <c r="AV2996" s="36"/>
    </row>
    <row r="2997" spans="4:48">
      <c r="D2997" s="31"/>
      <c r="E2997" s="31"/>
      <c r="F2997" s="31"/>
      <c r="G2997" s="31"/>
      <c r="H2997" s="32"/>
      <c r="J2997" s="33"/>
      <c r="K2997" s="33"/>
      <c r="L2997" s="33"/>
      <c r="X2997" s="23"/>
      <c r="Y2997" s="23"/>
      <c r="Z2997" s="23"/>
      <c r="AA2997" s="23"/>
      <c r="AF2997" s="23"/>
      <c r="AG2997" s="23"/>
      <c r="AH2997" s="23"/>
      <c r="AI2997" s="23"/>
      <c r="AN2997" s="23"/>
      <c r="AO2997" s="23"/>
      <c r="AP2997" s="23"/>
      <c r="AQ2997" s="23"/>
      <c r="AR2997" s="35"/>
      <c r="AS2997" s="35"/>
      <c r="AT2997" s="35"/>
      <c r="AU2997" s="31"/>
      <c r="AV2997" s="36"/>
    </row>
    <row r="2998" spans="4:48">
      <c r="D2998" s="31"/>
      <c r="E2998" s="31"/>
      <c r="F2998" s="31"/>
      <c r="G2998" s="31"/>
      <c r="H2998" s="32"/>
      <c r="J2998" s="33"/>
      <c r="K2998" s="33"/>
      <c r="L2998" s="33"/>
      <c r="X2998" s="23"/>
      <c r="Y2998" s="23"/>
      <c r="Z2998" s="23"/>
      <c r="AA2998" s="23"/>
      <c r="AF2998" s="23"/>
      <c r="AG2998" s="23"/>
      <c r="AH2998" s="23"/>
      <c r="AI2998" s="23"/>
      <c r="AN2998" s="23"/>
      <c r="AO2998" s="23"/>
      <c r="AP2998" s="23"/>
      <c r="AQ2998" s="23"/>
      <c r="AR2998" s="35"/>
      <c r="AS2998" s="35"/>
      <c r="AT2998" s="35"/>
      <c r="AU2998" s="31"/>
      <c r="AV2998" s="36"/>
    </row>
    <row r="2999" spans="4:48">
      <c r="D2999" s="31"/>
      <c r="E2999" s="31"/>
      <c r="F2999" s="31"/>
      <c r="G2999" s="31"/>
      <c r="H2999" s="32"/>
      <c r="J2999" s="33"/>
      <c r="K2999" s="33"/>
      <c r="L2999" s="33"/>
      <c r="X2999" s="23"/>
      <c r="Y2999" s="23"/>
      <c r="Z2999" s="23"/>
      <c r="AA2999" s="23"/>
      <c r="AF2999" s="23"/>
      <c r="AG2999" s="23"/>
      <c r="AH2999" s="23"/>
      <c r="AI2999" s="23"/>
      <c r="AN2999" s="23"/>
      <c r="AO2999" s="23"/>
      <c r="AP2999" s="23"/>
      <c r="AQ2999" s="23"/>
      <c r="AR2999" s="35"/>
      <c r="AS2999" s="35"/>
      <c r="AT2999" s="35"/>
      <c r="AU2999" s="31"/>
      <c r="AV2999" s="36"/>
    </row>
    <row r="3000" spans="4:48">
      <c r="D3000" s="31"/>
      <c r="E3000" s="31"/>
      <c r="F3000" s="31"/>
      <c r="G3000" s="31"/>
      <c r="H3000" s="32"/>
      <c r="J3000" s="33"/>
      <c r="K3000" s="33"/>
      <c r="L3000" s="33"/>
      <c r="X3000" s="23"/>
      <c r="Y3000" s="23"/>
      <c r="Z3000" s="23"/>
      <c r="AA3000" s="23"/>
      <c r="AF3000" s="23"/>
      <c r="AG3000" s="23"/>
      <c r="AH3000" s="23"/>
      <c r="AI3000" s="23"/>
      <c r="AN3000" s="23"/>
      <c r="AO3000" s="23"/>
      <c r="AP3000" s="23"/>
      <c r="AQ3000" s="23"/>
      <c r="AR3000" s="35"/>
      <c r="AS3000" s="35"/>
      <c r="AT3000" s="35"/>
      <c r="AU3000" s="31"/>
      <c r="AV3000" s="36"/>
    </row>
    <row r="3001" spans="4:48">
      <c r="D3001" s="31"/>
      <c r="E3001" s="31"/>
      <c r="F3001" s="31"/>
      <c r="G3001" s="31"/>
      <c r="H3001" s="32"/>
      <c r="J3001" s="33"/>
      <c r="K3001" s="33"/>
      <c r="L3001" s="33"/>
      <c r="X3001" s="23"/>
      <c r="Y3001" s="23"/>
      <c r="Z3001" s="23"/>
      <c r="AA3001" s="23"/>
      <c r="AF3001" s="23"/>
      <c r="AG3001" s="23"/>
      <c r="AH3001" s="23"/>
      <c r="AI3001" s="23"/>
      <c r="AN3001" s="23"/>
      <c r="AO3001" s="23"/>
      <c r="AP3001" s="23"/>
      <c r="AQ3001" s="23"/>
      <c r="AR3001" s="35"/>
      <c r="AS3001" s="35"/>
      <c r="AT3001" s="35"/>
      <c r="AU3001" s="31"/>
      <c r="AV3001" s="36"/>
    </row>
    <row r="3002" spans="4:48">
      <c r="D3002" s="31"/>
      <c r="E3002" s="31"/>
      <c r="F3002" s="31"/>
      <c r="G3002" s="31"/>
      <c r="H3002" s="32"/>
      <c r="J3002" s="33"/>
      <c r="K3002" s="33"/>
      <c r="L3002" s="33"/>
      <c r="X3002" s="23"/>
      <c r="Y3002" s="23"/>
      <c r="Z3002" s="23"/>
      <c r="AA3002" s="23"/>
      <c r="AF3002" s="23"/>
      <c r="AG3002" s="23"/>
      <c r="AH3002" s="23"/>
      <c r="AI3002" s="23"/>
      <c r="AN3002" s="23"/>
      <c r="AO3002" s="23"/>
      <c r="AP3002" s="23"/>
      <c r="AQ3002" s="23"/>
      <c r="AR3002" s="35"/>
      <c r="AS3002" s="35"/>
      <c r="AT3002" s="35"/>
      <c r="AU3002" s="31"/>
      <c r="AV3002" s="36"/>
    </row>
    <row r="3003" spans="4:48">
      <c r="D3003" s="31"/>
      <c r="E3003" s="31"/>
      <c r="F3003" s="31"/>
      <c r="G3003" s="31"/>
      <c r="H3003" s="32"/>
      <c r="J3003" s="33"/>
      <c r="K3003" s="33"/>
      <c r="L3003" s="33"/>
      <c r="X3003" s="23"/>
      <c r="Y3003" s="23"/>
      <c r="Z3003" s="23"/>
      <c r="AA3003" s="23"/>
      <c r="AF3003" s="23"/>
      <c r="AG3003" s="23"/>
      <c r="AH3003" s="23"/>
      <c r="AI3003" s="23"/>
      <c r="AN3003" s="23"/>
      <c r="AO3003" s="23"/>
      <c r="AP3003" s="23"/>
      <c r="AQ3003" s="23"/>
      <c r="AR3003" s="35"/>
      <c r="AS3003" s="35"/>
      <c r="AT3003" s="35"/>
      <c r="AU3003" s="31"/>
      <c r="AV3003" s="36"/>
    </row>
    <row r="3004" spans="4:48">
      <c r="D3004" s="31"/>
      <c r="E3004" s="31"/>
      <c r="F3004" s="31"/>
      <c r="G3004" s="31"/>
      <c r="H3004" s="32"/>
      <c r="J3004" s="33"/>
      <c r="K3004" s="33"/>
      <c r="L3004" s="33"/>
      <c r="X3004" s="23"/>
      <c r="Y3004" s="23"/>
      <c r="Z3004" s="23"/>
      <c r="AA3004" s="23"/>
      <c r="AF3004" s="23"/>
      <c r="AG3004" s="23"/>
      <c r="AH3004" s="23"/>
      <c r="AI3004" s="23"/>
      <c r="AN3004" s="23"/>
      <c r="AO3004" s="23"/>
      <c r="AP3004" s="23"/>
      <c r="AQ3004" s="23"/>
      <c r="AR3004" s="35"/>
      <c r="AS3004" s="35"/>
      <c r="AT3004" s="35"/>
      <c r="AU3004" s="31"/>
      <c r="AV3004" s="36"/>
    </row>
    <row r="3005" spans="4:48">
      <c r="D3005" s="31"/>
      <c r="E3005" s="31"/>
      <c r="F3005" s="31"/>
      <c r="G3005" s="31"/>
      <c r="H3005" s="32"/>
      <c r="J3005" s="33"/>
      <c r="K3005" s="33"/>
      <c r="L3005" s="33"/>
      <c r="X3005" s="23"/>
      <c r="Y3005" s="23"/>
      <c r="Z3005" s="23"/>
      <c r="AA3005" s="23"/>
      <c r="AF3005" s="23"/>
      <c r="AG3005" s="23"/>
      <c r="AH3005" s="23"/>
      <c r="AI3005" s="23"/>
      <c r="AN3005" s="23"/>
      <c r="AO3005" s="23"/>
      <c r="AP3005" s="23"/>
      <c r="AQ3005" s="23"/>
      <c r="AR3005" s="35"/>
      <c r="AS3005" s="35"/>
      <c r="AT3005" s="35"/>
      <c r="AU3005" s="31"/>
      <c r="AV3005" s="36"/>
    </row>
    <row r="3006" spans="4:48">
      <c r="D3006" s="31"/>
      <c r="E3006" s="31"/>
      <c r="F3006" s="31"/>
      <c r="G3006" s="31"/>
      <c r="H3006" s="32"/>
      <c r="J3006" s="33"/>
      <c r="K3006" s="33"/>
      <c r="L3006" s="33"/>
      <c r="X3006" s="23"/>
      <c r="Y3006" s="23"/>
      <c r="Z3006" s="23"/>
      <c r="AA3006" s="23"/>
      <c r="AF3006" s="23"/>
      <c r="AG3006" s="23"/>
      <c r="AH3006" s="23"/>
      <c r="AI3006" s="23"/>
      <c r="AN3006" s="23"/>
      <c r="AO3006" s="23"/>
      <c r="AP3006" s="23"/>
      <c r="AQ3006" s="23"/>
      <c r="AR3006" s="35"/>
      <c r="AS3006" s="35"/>
      <c r="AT3006" s="35"/>
      <c r="AU3006" s="31"/>
      <c r="AV3006" s="36"/>
    </row>
    <row r="3007" spans="4:48">
      <c r="D3007" s="31"/>
      <c r="E3007" s="31"/>
      <c r="F3007" s="31"/>
      <c r="G3007" s="31"/>
      <c r="H3007" s="32"/>
      <c r="J3007" s="33"/>
      <c r="K3007" s="33"/>
      <c r="L3007" s="33"/>
      <c r="X3007" s="23"/>
      <c r="Y3007" s="23"/>
      <c r="Z3007" s="23"/>
      <c r="AA3007" s="23"/>
      <c r="AF3007" s="23"/>
      <c r="AG3007" s="23"/>
      <c r="AH3007" s="23"/>
      <c r="AI3007" s="23"/>
      <c r="AN3007" s="23"/>
      <c r="AO3007" s="23"/>
      <c r="AP3007" s="23"/>
      <c r="AQ3007" s="23"/>
      <c r="AR3007" s="35"/>
      <c r="AS3007" s="35"/>
      <c r="AT3007" s="35"/>
      <c r="AU3007" s="31"/>
      <c r="AV3007" s="36"/>
    </row>
    <row r="3008" spans="4:48">
      <c r="D3008" s="31"/>
      <c r="E3008" s="31"/>
      <c r="F3008" s="31"/>
      <c r="G3008" s="31"/>
      <c r="H3008" s="32"/>
      <c r="J3008" s="33"/>
      <c r="K3008" s="33"/>
      <c r="L3008" s="33"/>
      <c r="X3008" s="23"/>
      <c r="Y3008" s="23"/>
      <c r="Z3008" s="23"/>
      <c r="AA3008" s="23"/>
      <c r="AF3008" s="23"/>
      <c r="AG3008" s="23"/>
      <c r="AH3008" s="23"/>
      <c r="AI3008" s="23"/>
      <c r="AN3008" s="23"/>
      <c r="AO3008" s="23"/>
      <c r="AP3008" s="23"/>
      <c r="AQ3008" s="23"/>
      <c r="AR3008" s="35"/>
      <c r="AS3008" s="35"/>
      <c r="AT3008" s="35"/>
      <c r="AU3008" s="31"/>
      <c r="AV3008" s="36"/>
    </row>
    <row r="3009" spans="4:48">
      <c r="D3009" s="31"/>
      <c r="E3009" s="31"/>
      <c r="F3009" s="31"/>
      <c r="G3009" s="31"/>
      <c r="H3009" s="32"/>
      <c r="J3009" s="33"/>
      <c r="K3009" s="33"/>
      <c r="L3009" s="33"/>
      <c r="X3009" s="23"/>
      <c r="Y3009" s="23"/>
      <c r="Z3009" s="23"/>
      <c r="AA3009" s="23"/>
      <c r="AF3009" s="23"/>
      <c r="AG3009" s="23"/>
      <c r="AH3009" s="23"/>
      <c r="AI3009" s="23"/>
      <c r="AN3009" s="23"/>
      <c r="AO3009" s="23"/>
      <c r="AP3009" s="23"/>
      <c r="AQ3009" s="23"/>
      <c r="AR3009" s="35"/>
      <c r="AS3009" s="35"/>
      <c r="AT3009" s="35"/>
      <c r="AU3009" s="31"/>
      <c r="AV3009" s="36"/>
    </row>
    <row r="3010" spans="4:48">
      <c r="D3010" s="31"/>
      <c r="E3010" s="31"/>
      <c r="F3010" s="31"/>
      <c r="G3010" s="31"/>
      <c r="H3010" s="32"/>
      <c r="J3010" s="33"/>
      <c r="K3010" s="33"/>
      <c r="L3010" s="33"/>
      <c r="X3010" s="23"/>
      <c r="Y3010" s="23"/>
      <c r="Z3010" s="23"/>
      <c r="AA3010" s="23"/>
      <c r="AF3010" s="23"/>
      <c r="AG3010" s="23"/>
      <c r="AH3010" s="23"/>
      <c r="AI3010" s="23"/>
      <c r="AN3010" s="23"/>
      <c r="AO3010" s="23"/>
      <c r="AP3010" s="23"/>
      <c r="AQ3010" s="23"/>
      <c r="AR3010" s="35"/>
      <c r="AS3010" s="35"/>
      <c r="AT3010" s="35"/>
      <c r="AU3010" s="31"/>
      <c r="AV3010" s="36"/>
    </row>
    <row r="3011" spans="4:48">
      <c r="D3011" s="31"/>
      <c r="E3011" s="31"/>
      <c r="F3011" s="31"/>
      <c r="G3011" s="31"/>
      <c r="H3011" s="32"/>
      <c r="J3011" s="33"/>
      <c r="K3011" s="33"/>
      <c r="L3011" s="33"/>
      <c r="X3011" s="23"/>
      <c r="Y3011" s="23"/>
      <c r="Z3011" s="23"/>
      <c r="AA3011" s="23"/>
      <c r="AF3011" s="23"/>
      <c r="AG3011" s="23"/>
      <c r="AH3011" s="23"/>
      <c r="AI3011" s="23"/>
      <c r="AN3011" s="23"/>
      <c r="AO3011" s="23"/>
      <c r="AP3011" s="23"/>
      <c r="AQ3011" s="23"/>
      <c r="AR3011" s="35"/>
      <c r="AS3011" s="35"/>
      <c r="AT3011" s="35"/>
      <c r="AU3011" s="31"/>
      <c r="AV3011" s="36"/>
    </row>
    <row r="3012" spans="4:48">
      <c r="D3012" s="31"/>
      <c r="E3012" s="31"/>
      <c r="F3012" s="31"/>
      <c r="G3012" s="31"/>
      <c r="H3012" s="32"/>
      <c r="J3012" s="33"/>
      <c r="K3012" s="33"/>
      <c r="L3012" s="33"/>
      <c r="X3012" s="23"/>
      <c r="Y3012" s="23"/>
      <c r="Z3012" s="23"/>
      <c r="AA3012" s="23"/>
      <c r="AF3012" s="23"/>
      <c r="AG3012" s="23"/>
      <c r="AH3012" s="23"/>
      <c r="AI3012" s="23"/>
      <c r="AN3012" s="23"/>
      <c r="AO3012" s="23"/>
      <c r="AP3012" s="23"/>
      <c r="AQ3012" s="23"/>
      <c r="AR3012" s="35"/>
      <c r="AS3012" s="35"/>
      <c r="AT3012" s="35"/>
      <c r="AU3012" s="31"/>
      <c r="AV3012" s="36"/>
    </row>
    <row r="3013" spans="4:48">
      <c r="D3013" s="31"/>
      <c r="E3013" s="31"/>
      <c r="F3013" s="31"/>
      <c r="G3013" s="31"/>
      <c r="H3013" s="32"/>
      <c r="J3013" s="33"/>
      <c r="K3013" s="33"/>
      <c r="L3013" s="33"/>
      <c r="X3013" s="23"/>
      <c r="Y3013" s="23"/>
      <c r="Z3013" s="23"/>
      <c r="AA3013" s="23"/>
      <c r="AF3013" s="23"/>
      <c r="AG3013" s="23"/>
      <c r="AH3013" s="23"/>
      <c r="AI3013" s="23"/>
      <c r="AN3013" s="23"/>
      <c r="AO3013" s="23"/>
      <c r="AP3013" s="23"/>
      <c r="AQ3013" s="23"/>
      <c r="AR3013" s="35"/>
      <c r="AS3013" s="35"/>
      <c r="AT3013" s="35"/>
      <c r="AU3013" s="31"/>
      <c r="AV3013" s="36"/>
    </row>
    <row r="3014" spans="4:48">
      <c r="D3014" s="31"/>
      <c r="E3014" s="31"/>
      <c r="F3014" s="31"/>
      <c r="G3014" s="31"/>
      <c r="H3014" s="32"/>
      <c r="J3014" s="33"/>
      <c r="K3014" s="33"/>
      <c r="L3014" s="33"/>
      <c r="X3014" s="23"/>
      <c r="Y3014" s="23"/>
      <c r="Z3014" s="23"/>
      <c r="AA3014" s="23"/>
      <c r="AF3014" s="23"/>
      <c r="AG3014" s="23"/>
      <c r="AH3014" s="23"/>
      <c r="AI3014" s="23"/>
      <c r="AN3014" s="23"/>
      <c r="AO3014" s="23"/>
      <c r="AP3014" s="23"/>
      <c r="AQ3014" s="23"/>
      <c r="AR3014" s="35"/>
      <c r="AS3014" s="35"/>
      <c r="AT3014" s="35"/>
      <c r="AU3014" s="31"/>
      <c r="AV3014" s="36"/>
    </row>
    <row r="3015" spans="4:48">
      <c r="D3015" s="31"/>
      <c r="E3015" s="31"/>
      <c r="F3015" s="31"/>
      <c r="G3015" s="31"/>
      <c r="H3015" s="32"/>
      <c r="J3015" s="33"/>
      <c r="K3015" s="33"/>
      <c r="L3015" s="33"/>
      <c r="X3015" s="23"/>
      <c r="Y3015" s="23"/>
      <c r="Z3015" s="23"/>
      <c r="AA3015" s="23"/>
      <c r="AF3015" s="23"/>
      <c r="AG3015" s="23"/>
      <c r="AH3015" s="23"/>
      <c r="AI3015" s="23"/>
      <c r="AN3015" s="23"/>
      <c r="AO3015" s="23"/>
      <c r="AP3015" s="23"/>
      <c r="AQ3015" s="23"/>
      <c r="AR3015" s="35"/>
      <c r="AS3015" s="35"/>
      <c r="AT3015" s="35"/>
      <c r="AU3015" s="31"/>
      <c r="AV3015" s="36"/>
    </row>
    <row r="3016" spans="4:48">
      <c r="D3016" s="31"/>
      <c r="E3016" s="31"/>
      <c r="F3016" s="31"/>
      <c r="G3016" s="31"/>
      <c r="H3016" s="32"/>
      <c r="J3016" s="33"/>
      <c r="K3016" s="33"/>
      <c r="L3016" s="33"/>
      <c r="X3016" s="23"/>
      <c r="Y3016" s="23"/>
      <c r="Z3016" s="23"/>
      <c r="AA3016" s="23"/>
      <c r="AF3016" s="23"/>
      <c r="AG3016" s="23"/>
      <c r="AH3016" s="23"/>
      <c r="AI3016" s="23"/>
      <c r="AN3016" s="23"/>
      <c r="AO3016" s="23"/>
      <c r="AP3016" s="23"/>
      <c r="AQ3016" s="23"/>
      <c r="AR3016" s="35"/>
      <c r="AS3016" s="35"/>
      <c r="AT3016" s="35"/>
      <c r="AU3016" s="31"/>
      <c r="AV3016" s="36"/>
    </row>
    <row r="3017" spans="4:48">
      <c r="D3017" s="31"/>
      <c r="E3017" s="31"/>
      <c r="F3017" s="31"/>
      <c r="G3017" s="31"/>
      <c r="H3017" s="32"/>
      <c r="J3017" s="33"/>
      <c r="K3017" s="33"/>
      <c r="L3017" s="33"/>
      <c r="X3017" s="23"/>
      <c r="Y3017" s="23"/>
      <c r="Z3017" s="23"/>
      <c r="AA3017" s="23"/>
      <c r="AF3017" s="23"/>
      <c r="AG3017" s="23"/>
      <c r="AH3017" s="23"/>
      <c r="AI3017" s="23"/>
      <c r="AN3017" s="23"/>
      <c r="AO3017" s="23"/>
      <c r="AP3017" s="23"/>
      <c r="AQ3017" s="23"/>
      <c r="AR3017" s="35"/>
      <c r="AS3017" s="35"/>
      <c r="AT3017" s="35"/>
      <c r="AU3017" s="31"/>
      <c r="AV3017" s="36"/>
    </row>
    <row r="3018" spans="4:48">
      <c r="D3018" s="31"/>
      <c r="E3018" s="31"/>
      <c r="F3018" s="31"/>
      <c r="G3018" s="31"/>
      <c r="H3018" s="32"/>
      <c r="J3018" s="33"/>
      <c r="K3018" s="33"/>
      <c r="L3018" s="33"/>
      <c r="X3018" s="23"/>
      <c r="Y3018" s="23"/>
      <c r="Z3018" s="23"/>
      <c r="AA3018" s="23"/>
      <c r="AF3018" s="23"/>
      <c r="AG3018" s="23"/>
      <c r="AH3018" s="23"/>
      <c r="AI3018" s="23"/>
      <c r="AN3018" s="23"/>
      <c r="AO3018" s="23"/>
      <c r="AP3018" s="23"/>
      <c r="AQ3018" s="23"/>
      <c r="AR3018" s="35"/>
      <c r="AS3018" s="35"/>
      <c r="AT3018" s="35"/>
      <c r="AU3018" s="31"/>
      <c r="AV3018" s="36"/>
    </row>
    <row r="3019" spans="4:48">
      <c r="D3019" s="31"/>
      <c r="E3019" s="31"/>
      <c r="F3019" s="31"/>
      <c r="G3019" s="31"/>
      <c r="H3019" s="32"/>
      <c r="J3019" s="33"/>
      <c r="K3019" s="33"/>
      <c r="L3019" s="33"/>
      <c r="X3019" s="23"/>
      <c r="Y3019" s="23"/>
      <c r="Z3019" s="23"/>
      <c r="AA3019" s="23"/>
      <c r="AF3019" s="23"/>
      <c r="AG3019" s="23"/>
      <c r="AH3019" s="23"/>
      <c r="AI3019" s="23"/>
      <c r="AN3019" s="23"/>
      <c r="AO3019" s="23"/>
      <c r="AP3019" s="23"/>
      <c r="AQ3019" s="23"/>
      <c r="AR3019" s="35"/>
      <c r="AS3019" s="35"/>
      <c r="AT3019" s="35"/>
      <c r="AU3019" s="31"/>
      <c r="AV3019" s="36"/>
    </row>
    <row r="3020" spans="4:48">
      <c r="D3020" s="31"/>
      <c r="E3020" s="31"/>
      <c r="F3020" s="31"/>
      <c r="G3020" s="31"/>
      <c r="H3020" s="32"/>
      <c r="J3020" s="33"/>
      <c r="K3020" s="33"/>
      <c r="L3020" s="33"/>
      <c r="X3020" s="23"/>
      <c r="Y3020" s="23"/>
      <c r="Z3020" s="23"/>
      <c r="AA3020" s="23"/>
      <c r="AF3020" s="23"/>
      <c r="AG3020" s="23"/>
      <c r="AH3020" s="23"/>
      <c r="AI3020" s="23"/>
      <c r="AN3020" s="23"/>
      <c r="AO3020" s="23"/>
      <c r="AP3020" s="23"/>
      <c r="AQ3020" s="23"/>
      <c r="AR3020" s="35"/>
      <c r="AS3020" s="35"/>
      <c r="AT3020" s="35"/>
      <c r="AU3020" s="31"/>
      <c r="AV3020" s="36"/>
    </row>
    <row r="3021" spans="4:48">
      <c r="D3021" s="31"/>
      <c r="E3021" s="31"/>
      <c r="F3021" s="31"/>
      <c r="G3021" s="31"/>
      <c r="H3021" s="32"/>
      <c r="J3021" s="33"/>
      <c r="K3021" s="33"/>
      <c r="L3021" s="33"/>
      <c r="X3021" s="23"/>
      <c r="Y3021" s="23"/>
      <c r="Z3021" s="23"/>
      <c r="AA3021" s="23"/>
      <c r="AF3021" s="23"/>
      <c r="AG3021" s="23"/>
      <c r="AH3021" s="23"/>
      <c r="AI3021" s="23"/>
      <c r="AN3021" s="23"/>
      <c r="AO3021" s="23"/>
      <c r="AP3021" s="23"/>
      <c r="AQ3021" s="23"/>
      <c r="AR3021" s="35"/>
      <c r="AS3021" s="35"/>
      <c r="AT3021" s="35"/>
      <c r="AU3021" s="31"/>
      <c r="AV3021" s="36"/>
    </row>
    <row r="3022" spans="4:48">
      <c r="D3022" s="31"/>
      <c r="E3022" s="31"/>
      <c r="F3022" s="31"/>
      <c r="G3022" s="31"/>
      <c r="H3022" s="32"/>
      <c r="J3022" s="33"/>
      <c r="K3022" s="33"/>
      <c r="L3022" s="33"/>
      <c r="X3022" s="23"/>
      <c r="Y3022" s="23"/>
      <c r="Z3022" s="23"/>
      <c r="AA3022" s="23"/>
      <c r="AF3022" s="23"/>
      <c r="AG3022" s="23"/>
      <c r="AH3022" s="23"/>
      <c r="AI3022" s="23"/>
      <c r="AN3022" s="23"/>
      <c r="AO3022" s="23"/>
      <c r="AP3022" s="23"/>
      <c r="AQ3022" s="23"/>
      <c r="AR3022" s="35"/>
      <c r="AS3022" s="35"/>
      <c r="AT3022" s="35"/>
      <c r="AU3022" s="31"/>
      <c r="AV3022" s="36"/>
    </row>
    <row r="3023" spans="4:48">
      <c r="D3023" s="31"/>
      <c r="E3023" s="31"/>
      <c r="F3023" s="31"/>
      <c r="G3023" s="31"/>
      <c r="H3023" s="32"/>
      <c r="J3023" s="33"/>
      <c r="K3023" s="33"/>
      <c r="L3023" s="33"/>
      <c r="X3023" s="23"/>
      <c r="Y3023" s="23"/>
      <c r="Z3023" s="23"/>
      <c r="AA3023" s="23"/>
      <c r="AF3023" s="23"/>
      <c r="AG3023" s="23"/>
      <c r="AH3023" s="23"/>
      <c r="AI3023" s="23"/>
      <c r="AN3023" s="23"/>
      <c r="AO3023" s="23"/>
      <c r="AP3023" s="23"/>
      <c r="AQ3023" s="23"/>
      <c r="AR3023" s="35"/>
      <c r="AS3023" s="35"/>
      <c r="AT3023" s="35"/>
      <c r="AU3023" s="31"/>
      <c r="AV3023" s="36"/>
    </row>
    <row r="3024" spans="4:48">
      <c r="D3024" s="31"/>
      <c r="E3024" s="31"/>
      <c r="F3024" s="31"/>
      <c r="G3024" s="31"/>
      <c r="H3024" s="32"/>
      <c r="J3024" s="33"/>
      <c r="K3024" s="33"/>
      <c r="L3024" s="33"/>
      <c r="X3024" s="23"/>
      <c r="Y3024" s="23"/>
      <c r="Z3024" s="23"/>
      <c r="AA3024" s="23"/>
      <c r="AF3024" s="23"/>
      <c r="AG3024" s="23"/>
      <c r="AH3024" s="23"/>
      <c r="AI3024" s="23"/>
      <c r="AN3024" s="23"/>
      <c r="AO3024" s="23"/>
      <c r="AP3024" s="23"/>
      <c r="AQ3024" s="23"/>
      <c r="AR3024" s="35"/>
      <c r="AS3024" s="35"/>
      <c r="AT3024" s="35"/>
      <c r="AU3024" s="31"/>
      <c r="AV3024" s="36"/>
    </row>
    <row r="3025" spans="4:48">
      <c r="D3025" s="31"/>
      <c r="E3025" s="31"/>
      <c r="F3025" s="31"/>
      <c r="G3025" s="31"/>
      <c r="H3025" s="32"/>
      <c r="J3025" s="33"/>
      <c r="K3025" s="33"/>
      <c r="L3025" s="33"/>
      <c r="X3025" s="23"/>
      <c r="Y3025" s="23"/>
      <c r="Z3025" s="23"/>
      <c r="AA3025" s="23"/>
      <c r="AF3025" s="23"/>
      <c r="AG3025" s="23"/>
      <c r="AH3025" s="23"/>
      <c r="AI3025" s="23"/>
      <c r="AN3025" s="23"/>
      <c r="AO3025" s="23"/>
      <c r="AP3025" s="23"/>
      <c r="AQ3025" s="23"/>
      <c r="AR3025" s="35"/>
      <c r="AS3025" s="35"/>
      <c r="AT3025" s="35"/>
      <c r="AU3025" s="31"/>
      <c r="AV3025" s="36"/>
    </row>
    <row r="3026" spans="4:48">
      <c r="D3026" s="31"/>
      <c r="E3026" s="31"/>
      <c r="F3026" s="31"/>
      <c r="G3026" s="31"/>
      <c r="H3026" s="32"/>
      <c r="J3026" s="33"/>
      <c r="K3026" s="33"/>
      <c r="L3026" s="33"/>
      <c r="X3026" s="23"/>
      <c r="Y3026" s="23"/>
      <c r="Z3026" s="23"/>
      <c r="AA3026" s="23"/>
      <c r="AF3026" s="23"/>
      <c r="AG3026" s="23"/>
      <c r="AH3026" s="23"/>
      <c r="AI3026" s="23"/>
      <c r="AN3026" s="23"/>
      <c r="AO3026" s="23"/>
      <c r="AP3026" s="23"/>
      <c r="AQ3026" s="23"/>
      <c r="AR3026" s="35"/>
      <c r="AS3026" s="35"/>
      <c r="AT3026" s="35"/>
      <c r="AU3026" s="31"/>
      <c r="AV3026" s="36"/>
    </row>
    <row r="3027" spans="4:48">
      <c r="D3027" s="31"/>
      <c r="E3027" s="31"/>
      <c r="F3027" s="31"/>
      <c r="G3027" s="31"/>
      <c r="H3027" s="32"/>
      <c r="J3027" s="33"/>
      <c r="K3027" s="33"/>
      <c r="L3027" s="33"/>
      <c r="X3027" s="23"/>
      <c r="Y3027" s="23"/>
      <c r="Z3027" s="23"/>
      <c r="AA3027" s="23"/>
      <c r="AF3027" s="23"/>
      <c r="AG3027" s="23"/>
      <c r="AH3027" s="23"/>
      <c r="AI3027" s="23"/>
      <c r="AN3027" s="23"/>
      <c r="AO3027" s="23"/>
      <c r="AP3027" s="23"/>
      <c r="AQ3027" s="23"/>
      <c r="AR3027" s="35"/>
      <c r="AS3027" s="35"/>
      <c r="AT3027" s="35"/>
      <c r="AU3027" s="31"/>
      <c r="AV3027" s="36"/>
    </row>
    <row r="3028" spans="4:48">
      <c r="D3028" s="31"/>
      <c r="E3028" s="31"/>
      <c r="F3028" s="31"/>
      <c r="G3028" s="31"/>
      <c r="H3028" s="32"/>
      <c r="J3028" s="33"/>
      <c r="K3028" s="33"/>
      <c r="L3028" s="33"/>
      <c r="X3028" s="23"/>
      <c r="Y3028" s="23"/>
      <c r="Z3028" s="23"/>
      <c r="AA3028" s="23"/>
      <c r="AF3028" s="23"/>
      <c r="AG3028" s="23"/>
      <c r="AH3028" s="23"/>
      <c r="AI3028" s="23"/>
      <c r="AN3028" s="23"/>
      <c r="AO3028" s="23"/>
      <c r="AP3028" s="23"/>
      <c r="AQ3028" s="23"/>
      <c r="AR3028" s="35"/>
      <c r="AS3028" s="35"/>
      <c r="AT3028" s="35"/>
      <c r="AU3028" s="31"/>
      <c r="AV3028" s="36"/>
    </row>
    <row r="3029" spans="4:48">
      <c r="D3029" s="31"/>
      <c r="E3029" s="31"/>
      <c r="F3029" s="31"/>
      <c r="G3029" s="31"/>
      <c r="H3029" s="32"/>
      <c r="J3029" s="33"/>
      <c r="K3029" s="33"/>
      <c r="L3029" s="33"/>
      <c r="X3029" s="23"/>
      <c r="Y3029" s="23"/>
      <c r="Z3029" s="23"/>
      <c r="AA3029" s="23"/>
      <c r="AF3029" s="23"/>
      <c r="AG3029" s="23"/>
      <c r="AH3029" s="23"/>
      <c r="AI3029" s="23"/>
      <c r="AN3029" s="23"/>
      <c r="AO3029" s="23"/>
      <c r="AP3029" s="23"/>
      <c r="AQ3029" s="23"/>
      <c r="AR3029" s="35"/>
      <c r="AS3029" s="35"/>
      <c r="AT3029" s="35"/>
      <c r="AU3029" s="31"/>
      <c r="AV3029" s="36"/>
    </row>
    <row r="3030" spans="4:48">
      <c r="D3030" s="31"/>
      <c r="E3030" s="31"/>
      <c r="F3030" s="31"/>
      <c r="G3030" s="31"/>
      <c r="H3030" s="32"/>
      <c r="J3030" s="33"/>
      <c r="K3030" s="33"/>
      <c r="L3030" s="33"/>
      <c r="X3030" s="23"/>
      <c r="Y3030" s="23"/>
      <c r="Z3030" s="23"/>
      <c r="AA3030" s="23"/>
      <c r="AF3030" s="23"/>
      <c r="AG3030" s="23"/>
      <c r="AH3030" s="23"/>
      <c r="AI3030" s="23"/>
      <c r="AN3030" s="23"/>
      <c r="AO3030" s="23"/>
      <c r="AP3030" s="23"/>
      <c r="AQ3030" s="23"/>
      <c r="AR3030" s="35"/>
      <c r="AS3030" s="35"/>
      <c r="AT3030" s="35"/>
      <c r="AU3030" s="31"/>
      <c r="AV3030" s="36"/>
    </row>
    <row r="3031" spans="4:48">
      <c r="D3031" s="31"/>
      <c r="E3031" s="31"/>
      <c r="F3031" s="31"/>
      <c r="G3031" s="31"/>
      <c r="H3031" s="32"/>
      <c r="J3031" s="33"/>
      <c r="K3031" s="33"/>
      <c r="L3031" s="33"/>
      <c r="X3031" s="23"/>
      <c r="Y3031" s="23"/>
      <c r="Z3031" s="23"/>
      <c r="AA3031" s="23"/>
      <c r="AF3031" s="23"/>
      <c r="AG3031" s="23"/>
      <c r="AH3031" s="23"/>
      <c r="AI3031" s="23"/>
      <c r="AN3031" s="23"/>
      <c r="AO3031" s="23"/>
      <c r="AP3031" s="23"/>
      <c r="AQ3031" s="23"/>
      <c r="AR3031" s="35"/>
      <c r="AS3031" s="35"/>
      <c r="AT3031" s="35"/>
      <c r="AU3031" s="31"/>
      <c r="AV3031" s="36"/>
    </row>
    <row r="3032" spans="4:48">
      <c r="D3032" s="31"/>
      <c r="E3032" s="31"/>
      <c r="F3032" s="31"/>
      <c r="G3032" s="31"/>
      <c r="H3032" s="32"/>
      <c r="J3032" s="33"/>
      <c r="K3032" s="33"/>
      <c r="L3032" s="33"/>
      <c r="X3032" s="23"/>
      <c r="Y3032" s="23"/>
      <c r="Z3032" s="23"/>
      <c r="AA3032" s="23"/>
      <c r="AF3032" s="23"/>
      <c r="AG3032" s="23"/>
      <c r="AH3032" s="23"/>
      <c r="AI3032" s="23"/>
      <c r="AN3032" s="23"/>
      <c r="AO3032" s="23"/>
      <c r="AP3032" s="23"/>
      <c r="AQ3032" s="23"/>
      <c r="AR3032" s="35"/>
      <c r="AS3032" s="35"/>
      <c r="AT3032" s="35"/>
      <c r="AU3032" s="31"/>
      <c r="AV3032" s="36"/>
    </row>
    <row r="3033" spans="4:48">
      <c r="D3033" s="31"/>
      <c r="E3033" s="31"/>
      <c r="F3033" s="31"/>
      <c r="G3033" s="31"/>
      <c r="H3033" s="32"/>
      <c r="J3033" s="33"/>
      <c r="K3033" s="33"/>
      <c r="L3033" s="33"/>
      <c r="X3033" s="23"/>
      <c r="Y3033" s="23"/>
      <c r="Z3033" s="23"/>
      <c r="AA3033" s="23"/>
      <c r="AF3033" s="23"/>
      <c r="AG3033" s="23"/>
      <c r="AH3033" s="23"/>
      <c r="AI3033" s="23"/>
      <c r="AN3033" s="23"/>
      <c r="AO3033" s="23"/>
      <c r="AP3033" s="23"/>
      <c r="AQ3033" s="23"/>
      <c r="AR3033" s="35"/>
      <c r="AS3033" s="35"/>
      <c r="AT3033" s="35"/>
      <c r="AU3033" s="31"/>
      <c r="AV3033" s="36"/>
    </row>
    <row r="3034" spans="4:48">
      <c r="D3034" s="31"/>
      <c r="E3034" s="31"/>
      <c r="F3034" s="31"/>
      <c r="G3034" s="31"/>
      <c r="H3034" s="32"/>
      <c r="J3034" s="33"/>
      <c r="K3034" s="33"/>
      <c r="L3034" s="33"/>
      <c r="X3034" s="23"/>
      <c r="Y3034" s="23"/>
      <c r="Z3034" s="23"/>
      <c r="AA3034" s="23"/>
      <c r="AF3034" s="23"/>
      <c r="AG3034" s="23"/>
      <c r="AH3034" s="23"/>
      <c r="AI3034" s="23"/>
      <c r="AN3034" s="23"/>
      <c r="AO3034" s="23"/>
      <c r="AP3034" s="23"/>
      <c r="AQ3034" s="23"/>
      <c r="AR3034" s="35"/>
      <c r="AS3034" s="35"/>
      <c r="AT3034" s="35"/>
      <c r="AU3034" s="31"/>
      <c r="AV3034" s="36"/>
    </row>
    <row r="3035" spans="4:48">
      <c r="D3035" s="31"/>
      <c r="E3035" s="31"/>
      <c r="F3035" s="31"/>
      <c r="G3035" s="31"/>
      <c r="H3035" s="32"/>
      <c r="J3035" s="33"/>
      <c r="K3035" s="33"/>
      <c r="L3035" s="33"/>
      <c r="X3035" s="23"/>
      <c r="Y3035" s="23"/>
      <c r="Z3035" s="23"/>
      <c r="AA3035" s="23"/>
      <c r="AF3035" s="23"/>
      <c r="AG3035" s="23"/>
      <c r="AH3035" s="23"/>
      <c r="AI3035" s="23"/>
      <c r="AN3035" s="23"/>
      <c r="AO3035" s="23"/>
      <c r="AP3035" s="23"/>
      <c r="AQ3035" s="23"/>
      <c r="AR3035" s="35"/>
      <c r="AS3035" s="35"/>
      <c r="AT3035" s="35"/>
      <c r="AU3035" s="31"/>
      <c r="AV3035" s="36"/>
    </row>
    <row r="3036" spans="4:48">
      <c r="D3036" s="31"/>
      <c r="E3036" s="31"/>
      <c r="F3036" s="31"/>
      <c r="G3036" s="31"/>
      <c r="H3036" s="32"/>
      <c r="J3036" s="33"/>
      <c r="K3036" s="33"/>
      <c r="L3036" s="33"/>
      <c r="X3036" s="23"/>
      <c r="Y3036" s="23"/>
      <c r="Z3036" s="23"/>
      <c r="AA3036" s="23"/>
      <c r="AF3036" s="23"/>
      <c r="AG3036" s="23"/>
      <c r="AH3036" s="23"/>
      <c r="AI3036" s="23"/>
      <c r="AN3036" s="23"/>
      <c r="AO3036" s="23"/>
      <c r="AP3036" s="23"/>
      <c r="AQ3036" s="23"/>
      <c r="AR3036" s="35"/>
      <c r="AS3036" s="35"/>
      <c r="AT3036" s="35"/>
      <c r="AU3036" s="31"/>
      <c r="AV3036" s="36"/>
    </row>
    <row r="3037" spans="4:48">
      <c r="D3037" s="31"/>
      <c r="E3037" s="31"/>
      <c r="F3037" s="31"/>
      <c r="G3037" s="31"/>
      <c r="H3037" s="32"/>
      <c r="J3037" s="33"/>
      <c r="K3037" s="33"/>
      <c r="L3037" s="33"/>
      <c r="X3037" s="23"/>
      <c r="Y3037" s="23"/>
      <c r="Z3037" s="23"/>
      <c r="AA3037" s="23"/>
      <c r="AF3037" s="23"/>
      <c r="AG3037" s="23"/>
      <c r="AH3037" s="23"/>
      <c r="AI3037" s="23"/>
      <c r="AN3037" s="23"/>
      <c r="AO3037" s="23"/>
      <c r="AP3037" s="23"/>
      <c r="AQ3037" s="23"/>
      <c r="AR3037" s="35"/>
      <c r="AS3037" s="35"/>
      <c r="AT3037" s="35"/>
      <c r="AU3037" s="31"/>
      <c r="AV3037" s="36"/>
    </row>
    <row r="3038" spans="4:48">
      <c r="D3038" s="31"/>
      <c r="E3038" s="31"/>
      <c r="F3038" s="31"/>
      <c r="G3038" s="31"/>
      <c r="H3038" s="32"/>
      <c r="J3038" s="33"/>
      <c r="K3038" s="33"/>
      <c r="L3038" s="33"/>
      <c r="X3038" s="23"/>
      <c r="Y3038" s="23"/>
      <c r="Z3038" s="23"/>
      <c r="AA3038" s="23"/>
      <c r="AF3038" s="23"/>
      <c r="AG3038" s="23"/>
      <c r="AH3038" s="23"/>
      <c r="AI3038" s="23"/>
      <c r="AN3038" s="23"/>
      <c r="AO3038" s="23"/>
      <c r="AP3038" s="23"/>
      <c r="AQ3038" s="23"/>
      <c r="AR3038" s="35"/>
      <c r="AS3038" s="35"/>
      <c r="AT3038" s="35"/>
      <c r="AU3038" s="31"/>
      <c r="AV3038" s="36"/>
    </row>
    <row r="3039" spans="4:48">
      <c r="D3039" s="31"/>
      <c r="E3039" s="31"/>
      <c r="F3039" s="31"/>
      <c r="G3039" s="31"/>
      <c r="H3039" s="32"/>
      <c r="J3039" s="33"/>
      <c r="K3039" s="33"/>
      <c r="L3039" s="33"/>
      <c r="X3039" s="23"/>
      <c r="Y3039" s="23"/>
      <c r="Z3039" s="23"/>
      <c r="AA3039" s="23"/>
      <c r="AF3039" s="23"/>
      <c r="AG3039" s="23"/>
      <c r="AH3039" s="23"/>
      <c r="AI3039" s="23"/>
      <c r="AN3039" s="23"/>
      <c r="AO3039" s="23"/>
      <c r="AP3039" s="23"/>
      <c r="AQ3039" s="23"/>
      <c r="AR3039" s="35"/>
      <c r="AS3039" s="35"/>
      <c r="AT3039" s="35"/>
      <c r="AU3039" s="31"/>
      <c r="AV3039" s="36"/>
    </row>
    <row r="3040" spans="4:48">
      <c r="D3040" s="31"/>
      <c r="E3040" s="31"/>
      <c r="F3040" s="31"/>
      <c r="G3040" s="31"/>
      <c r="H3040" s="32"/>
      <c r="J3040" s="33"/>
      <c r="K3040" s="33"/>
      <c r="L3040" s="33"/>
      <c r="X3040" s="23"/>
      <c r="Y3040" s="23"/>
      <c r="Z3040" s="23"/>
      <c r="AA3040" s="23"/>
      <c r="AF3040" s="23"/>
      <c r="AG3040" s="23"/>
      <c r="AH3040" s="23"/>
      <c r="AI3040" s="23"/>
      <c r="AN3040" s="23"/>
      <c r="AO3040" s="23"/>
      <c r="AP3040" s="23"/>
      <c r="AQ3040" s="23"/>
      <c r="AR3040" s="35"/>
      <c r="AS3040" s="35"/>
      <c r="AT3040" s="35"/>
      <c r="AU3040" s="31"/>
      <c r="AV3040" s="36"/>
    </row>
    <row r="3041" spans="4:48">
      <c r="D3041" s="31"/>
      <c r="E3041" s="31"/>
      <c r="F3041" s="31"/>
      <c r="G3041" s="31"/>
      <c r="H3041" s="32"/>
      <c r="J3041" s="33"/>
      <c r="K3041" s="33"/>
      <c r="L3041" s="33"/>
      <c r="X3041" s="23"/>
      <c r="Y3041" s="23"/>
      <c r="Z3041" s="23"/>
      <c r="AA3041" s="23"/>
      <c r="AF3041" s="23"/>
      <c r="AG3041" s="23"/>
      <c r="AH3041" s="23"/>
      <c r="AI3041" s="23"/>
      <c r="AN3041" s="23"/>
      <c r="AO3041" s="23"/>
      <c r="AP3041" s="23"/>
      <c r="AQ3041" s="23"/>
      <c r="AR3041" s="35"/>
      <c r="AS3041" s="35"/>
      <c r="AT3041" s="35"/>
      <c r="AU3041" s="31"/>
      <c r="AV3041" s="36"/>
    </row>
    <row r="3042" spans="4:48">
      <c r="D3042" s="31"/>
      <c r="E3042" s="31"/>
      <c r="F3042" s="31"/>
      <c r="G3042" s="31"/>
      <c r="H3042" s="32"/>
      <c r="J3042" s="33"/>
      <c r="K3042" s="33"/>
      <c r="L3042" s="33"/>
      <c r="X3042" s="23"/>
      <c r="Y3042" s="23"/>
      <c r="Z3042" s="23"/>
      <c r="AA3042" s="23"/>
      <c r="AF3042" s="23"/>
      <c r="AG3042" s="23"/>
      <c r="AH3042" s="23"/>
      <c r="AI3042" s="23"/>
      <c r="AN3042" s="23"/>
      <c r="AO3042" s="23"/>
      <c r="AP3042" s="23"/>
      <c r="AQ3042" s="23"/>
      <c r="AR3042" s="35"/>
      <c r="AS3042" s="35"/>
      <c r="AT3042" s="35"/>
      <c r="AU3042" s="31"/>
      <c r="AV3042" s="36"/>
    </row>
    <row r="3043" spans="4:48">
      <c r="D3043" s="31"/>
      <c r="E3043" s="31"/>
      <c r="F3043" s="31"/>
      <c r="G3043" s="31"/>
      <c r="H3043" s="32"/>
      <c r="J3043" s="33"/>
      <c r="K3043" s="33"/>
      <c r="L3043" s="33"/>
      <c r="X3043" s="23"/>
      <c r="Y3043" s="23"/>
      <c r="Z3043" s="23"/>
      <c r="AA3043" s="23"/>
      <c r="AF3043" s="23"/>
      <c r="AG3043" s="23"/>
      <c r="AH3043" s="23"/>
      <c r="AI3043" s="23"/>
      <c r="AN3043" s="23"/>
      <c r="AO3043" s="23"/>
      <c r="AP3043" s="23"/>
      <c r="AQ3043" s="23"/>
      <c r="AR3043" s="35"/>
      <c r="AS3043" s="35"/>
      <c r="AT3043" s="35"/>
      <c r="AU3043" s="31"/>
      <c r="AV3043" s="36"/>
    </row>
    <row r="3044" spans="4:48">
      <c r="D3044" s="31"/>
      <c r="E3044" s="31"/>
      <c r="F3044" s="31"/>
      <c r="G3044" s="31"/>
      <c r="H3044" s="32"/>
      <c r="J3044" s="33"/>
      <c r="K3044" s="33"/>
      <c r="L3044" s="33"/>
      <c r="X3044" s="23"/>
      <c r="Y3044" s="23"/>
      <c r="Z3044" s="23"/>
      <c r="AA3044" s="23"/>
      <c r="AF3044" s="23"/>
      <c r="AG3044" s="23"/>
      <c r="AH3044" s="23"/>
      <c r="AI3044" s="23"/>
      <c r="AN3044" s="23"/>
      <c r="AO3044" s="23"/>
      <c r="AP3044" s="23"/>
      <c r="AQ3044" s="23"/>
      <c r="AR3044" s="35"/>
      <c r="AS3044" s="35"/>
      <c r="AT3044" s="35"/>
      <c r="AU3044" s="31"/>
      <c r="AV3044" s="36"/>
    </row>
    <row r="3045" spans="4:48">
      <c r="D3045" s="31"/>
      <c r="E3045" s="31"/>
      <c r="F3045" s="31"/>
      <c r="G3045" s="31"/>
      <c r="H3045" s="32"/>
      <c r="J3045" s="33"/>
      <c r="K3045" s="33"/>
      <c r="L3045" s="33"/>
      <c r="X3045" s="23"/>
      <c r="Y3045" s="23"/>
      <c r="Z3045" s="23"/>
      <c r="AA3045" s="23"/>
      <c r="AF3045" s="23"/>
      <c r="AG3045" s="23"/>
      <c r="AH3045" s="23"/>
      <c r="AI3045" s="23"/>
      <c r="AN3045" s="23"/>
      <c r="AO3045" s="23"/>
      <c r="AP3045" s="23"/>
      <c r="AQ3045" s="23"/>
      <c r="AR3045" s="35"/>
      <c r="AS3045" s="35"/>
      <c r="AT3045" s="35"/>
      <c r="AU3045" s="31"/>
      <c r="AV3045" s="36"/>
    </row>
    <row r="3046" spans="4:48">
      <c r="D3046" s="31"/>
      <c r="E3046" s="31"/>
      <c r="F3046" s="31"/>
      <c r="G3046" s="31"/>
      <c r="H3046" s="32"/>
      <c r="J3046" s="33"/>
      <c r="K3046" s="33"/>
      <c r="L3046" s="33"/>
      <c r="X3046" s="23"/>
      <c r="Y3046" s="23"/>
      <c r="Z3046" s="23"/>
      <c r="AA3046" s="23"/>
      <c r="AF3046" s="23"/>
      <c r="AG3046" s="23"/>
      <c r="AH3046" s="23"/>
      <c r="AI3046" s="23"/>
      <c r="AN3046" s="23"/>
      <c r="AO3046" s="23"/>
      <c r="AP3046" s="23"/>
      <c r="AQ3046" s="23"/>
      <c r="AR3046" s="35"/>
      <c r="AS3046" s="35"/>
      <c r="AT3046" s="35"/>
      <c r="AU3046" s="31"/>
      <c r="AV3046" s="36"/>
    </row>
    <row r="3047" spans="4:48">
      <c r="D3047" s="31"/>
      <c r="E3047" s="31"/>
      <c r="F3047" s="31"/>
      <c r="G3047" s="31"/>
      <c r="H3047" s="32"/>
      <c r="J3047" s="33"/>
      <c r="K3047" s="33"/>
      <c r="L3047" s="33"/>
      <c r="X3047" s="23"/>
      <c r="Y3047" s="23"/>
      <c r="Z3047" s="23"/>
      <c r="AA3047" s="23"/>
      <c r="AF3047" s="23"/>
      <c r="AG3047" s="23"/>
      <c r="AH3047" s="23"/>
      <c r="AI3047" s="23"/>
      <c r="AN3047" s="23"/>
      <c r="AO3047" s="23"/>
      <c r="AP3047" s="23"/>
      <c r="AQ3047" s="23"/>
      <c r="AR3047" s="35"/>
      <c r="AS3047" s="35"/>
      <c r="AT3047" s="35"/>
      <c r="AU3047" s="31"/>
      <c r="AV3047" s="36"/>
    </row>
    <row r="3048" spans="4:48">
      <c r="D3048" s="31"/>
      <c r="E3048" s="31"/>
      <c r="F3048" s="31"/>
      <c r="G3048" s="31"/>
      <c r="H3048" s="32"/>
      <c r="J3048" s="33"/>
      <c r="K3048" s="33"/>
      <c r="L3048" s="33"/>
      <c r="X3048" s="23"/>
      <c r="Y3048" s="23"/>
      <c r="Z3048" s="23"/>
      <c r="AA3048" s="23"/>
      <c r="AF3048" s="23"/>
      <c r="AG3048" s="23"/>
      <c r="AH3048" s="23"/>
      <c r="AI3048" s="23"/>
      <c r="AN3048" s="23"/>
      <c r="AO3048" s="23"/>
      <c r="AP3048" s="23"/>
      <c r="AQ3048" s="23"/>
      <c r="AR3048" s="35"/>
      <c r="AS3048" s="35"/>
      <c r="AT3048" s="35"/>
      <c r="AU3048" s="31"/>
      <c r="AV3048" s="36"/>
    </row>
    <row r="3049" spans="4:48">
      <c r="D3049" s="31"/>
      <c r="E3049" s="31"/>
      <c r="F3049" s="31"/>
      <c r="G3049" s="31"/>
      <c r="H3049" s="32"/>
      <c r="J3049" s="33"/>
      <c r="K3049" s="33"/>
      <c r="L3049" s="33"/>
      <c r="X3049" s="23"/>
      <c r="Y3049" s="23"/>
      <c r="Z3049" s="23"/>
      <c r="AA3049" s="23"/>
      <c r="AF3049" s="23"/>
      <c r="AG3049" s="23"/>
      <c r="AH3049" s="23"/>
      <c r="AI3049" s="23"/>
      <c r="AN3049" s="23"/>
      <c r="AO3049" s="23"/>
      <c r="AP3049" s="23"/>
      <c r="AQ3049" s="23"/>
      <c r="AR3049" s="35"/>
      <c r="AS3049" s="35"/>
      <c r="AT3049" s="35"/>
      <c r="AU3049" s="31"/>
      <c r="AV3049" s="36"/>
    </row>
    <row r="3050" spans="4:48">
      <c r="D3050" s="31"/>
      <c r="E3050" s="31"/>
      <c r="F3050" s="31"/>
      <c r="G3050" s="31"/>
      <c r="H3050" s="32"/>
      <c r="J3050" s="33"/>
      <c r="K3050" s="33"/>
      <c r="L3050" s="33"/>
      <c r="X3050" s="23"/>
      <c r="Y3050" s="23"/>
      <c r="Z3050" s="23"/>
      <c r="AA3050" s="23"/>
      <c r="AF3050" s="23"/>
      <c r="AG3050" s="23"/>
      <c r="AH3050" s="23"/>
      <c r="AI3050" s="23"/>
      <c r="AN3050" s="23"/>
      <c r="AO3050" s="23"/>
      <c r="AP3050" s="23"/>
      <c r="AQ3050" s="23"/>
      <c r="AR3050" s="35"/>
      <c r="AS3050" s="35"/>
      <c r="AT3050" s="35"/>
      <c r="AU3050" s="31"/>
      <c r="AV3050" s="36"/>
    </row>
    <row r="3051" spans="4:48">
      <c r="D3051" s="31"/>
      <c r="E3051" s="31"/>
      <c r="F3051" s="31"/>
      <c r="G3051" s="31"/>
      <c r="H3051" s="32"/>
      <c r="J3051" s="33"/>
      <c r="K3051" s="33"/>
      <c r="L3051" s="33"/>
      <c r="X3051" s="23"/>
      <c r="Y3051" s="23"/>
      <c r="Z3051" s="23"/>
      <c r="AA3051" s="23"/>
      <c r="AF3051" s="23"/>
      <c r="AG3051" s="23"/>
      <c r="AH3051" s="23"/>
      <c r="AI3051" s="23"/>
      <c r="AN3051" s="23"/>
      <c r="AO3051" s="23"/>
      <c r="AP3051" s="23"/>
      <c r="AQ3051" s="23"/>
      <c r="AR3051" s="35"/>
      <c r="AS3051" s="35"/>
      <c r="AT3051" s="35"/>
      <c r="AU3051" s="31"/>
      <c r="AV3051" s="36"/>
    </row>
    <row r="3052" spans="4:48">
      <c r="D3052" s="31"/>
      <c r="E3052" s="31"/>
      <c r="F3052" s="31"/>
      <c r="G3052" s="31"/>
      <c r="H3052" s="32"/>
      <c r="J3052" s="33"/>
      <c r="K3052" s="33"/>
      <c r="L3052" s="33"/>
      <c r="X3052" s="23"/>
      <c r="Y3052" s="23"/>
      <c r="Z3052" s="23"/>
      <c r="AA3052" s="23"/>
      <c r="AF3052" s="23"/>
      <c r="AG3052" s="23"/>
      <c r="AH3052" s="23"/>
      <c r="AI3052" s="23"/>
      <c r="AN3052" s="23"/>
      <c r="AO3052" s="23"/>
      <c r="AP3052" s="23"/>
      <c r="AQ3052" s="23"/>
      <c r="AR3052" s="35"/>
      <c r="AS3052" s="35"/>
      <c r="AT3052" s="35"/>
      <c r="AU3052" s="31"/>
      <c r="AV3052" s="36"/>
    </row>
    <row r="3053" spans="4:48">
      <c r="D3053" s="31"/>
      <c r="E3053" s="31"/>
      <c r="F3053" s="31"/>
      <c r="G3053" s="31"/>
      <c r="H3053" s="32"/>
      <c r="J3053" s="33"/>
      <c r="K3053" s="33"/>
      <c r="L3053" s="33"/>
      <c r="X3053" s="23"/>
      <c r="Y3053" s="23"/>
      <c r="Z3053" s="23"/>
      <c r="AA3053" s="23"/>
      <c r="AF3053" s="23"/>
      <c r="AG3053" s="23"/>
      <c r="AH3053" s="23"/>
      <c r="AI3053" s="23"/>
      <c r="AN3053" s="23"/>
      <c r="AO3053" s="23"/>
      <c r="AP3053" s="23"/>
      <c r="AQ3053" s="23"/>
      <c r="AR3053" s="35"/>
      <c r="AS3053" s="35"/>
      <c r="AT3053" s="35"/>
      <c r="AU3053" s="31"/>
      <c r="AV3053" s="36"/>
    </row>
    <row r="3054" spans="4:48">
      <c r="D3054" s="31"/>
      <c r="E3054" s="31"/>
      <c r="F3054" s="31"/>
      <c r="G3054" s="31"/>
      <c r="H3054" s="32"/>
      <c r="J3054" s="33"/>
      <c r="K3054" s="33"/>
      <c r="L3054" s="33"/>
      <c r="X3054" s="23"/>
      <c r="Y3054" s="23"/>
      <c r="Z3054" s="23"/>
      <c r="AA3054" s="23"/>
      <c r="AF3054" s="23"/>
      <c r="AG3054" s="23"/>
      <c r="AH3054" s="23"/>
      <c r="AI3054" s="23"/>
      <c r="AN3054" s="23"/>
      <c r="AO3054" s="23"/>
      <c r="AP3054" s="23"/>
      <c r="AQ3054" s="23"/>
      <c r="AR3054" s="35"/>
      <c r="AS3054" s="35"/>
      <c r="AT3054" s="35"/>
      <c r="AU3054" s="31"/>
      <c r="AV3054" s="36"/>
    </row>
    <row r="3055" spans="4:48">
      <c r="D3055" s="31"/>
      <c r="E3055" s="31"/>
      <c r="F3055" s="31"/>
      <c r="G3055" s="31"/>
      <c r="H3055" s="32"/>
      <c r="J3055" s="33"/>
      <c r="K3055" s="33"/>
      <c r="L3055" s="33"/>
      <c r="X3055" s="23"/>
      <c r="Y3055" s="23"/>
      <c r="Z3055" s="23"/>
      <c r="AA3055" s="23"/>
      <c r="AF3055" s="23"/>
      <c r="AG3055" s="23"/>
      <c r="AH3055" s="23"/>
      <c r="AI3055" s="23"/>
      <c r="AN3055" s="23"/>
      <c r="AO3055" s="23"/>
      <c r="AP3055" s="23"/>
      <c r="AQ3055" s="23"/>
      <c r="AR3055" s="35"/>
      <c r="AS3055" s="35"/>
      <c r="AT3055" s="35"/>
      <c r="AU3055" s="31"/>
      <c r="AV3055" s="36"/>
    </row>
    <row r="3056" spans="4:48">
      <c r="D3056" s="31"/>
      <c r="E3056" s="31"/>
      <c r="F3056" s="31"/>
      <c r="G3056" s="31"/>
      <c r="H3056" s="32"/>
      <c r="J3056" s="33"/>
      <c r="K3056" s="33"/>
      <c r="L3056" s="33"/>
      <c r="X3056" s="23"/>
      <c r="Y3056" s="23"/>
      <c r="Z3056" s="23"/>
      <c r="AA3056" s="23"/>
      <c r="AF3056" s="23"/>
      <c r="AG3056" s="23"/>
      <c r="AH3056" s="23"/>
      <c r="AI3056" s="23"/>
      <c r="AN3056" s="23"/>
      <c r="AO3056" s="23"/>
      <c r="AP3056" s="23"/>
      <c r="AQ3056" s="23"/>
      <c r="AR3056" s="35"/>
      <c r="AS3056" s="35"/>
      <c r="AT3056" s="35"/>
      <c r="AU3056" s="31"/>
      <c r="AV3056" s="36"/>
    </row>
    <row r="3057" spans="4:48">
      <c r="D3057" s="31"/>
      <c r="E3057" s="31"/>
      <c r="F3057" s="31"/>
      <c r="G3057" s="31"/>
      <c r="H3057" s="32"/>
      <c r="J3057" s="33"/>
      <c r="K3057" s="33"/>
      <c r="L3057" s="33"/>
      <c r="X3057" s="23"/>
      <c r="Y3057" s="23"/>
      <c r="Z3057" s="23"/>
      <c r="AA3057" s="23"/>
      <c r="AF3057" s="23"/>
      <c r="AG3057" s="23"/>
      <c r="AH3057" s="23"/>
      <c r="AI3057" s="23"/>
      <c r="AN3057" s="23"/>
      <c r="AO3057" s="23"/>
      <c r="AP3057" s="23"/>
      <c r="AQ3057" s="23"/>
      <c r="AR3057" s="35"/>
      <c r="AS3057" s="35"/>
      <c r="AT3057" s="35"/>
      <c r="AU3057" s="31"/>
      <c r="AV3057" s="36"/>
    </row>
    <row r="3058" spans="4:48">
      <c r="D3058" s="31"/>
      <c r="E3058" s="31"/>
      <c r="F3058" s="31"/>
      <c r="G3058" s="31"/>
      <c r="H3058" s="32"/>
      <c r="J3058" s="33"/>
      <c r="K3058" s="33"/>
      <c r="L3058" s="33"/>
      <c r="X3058" s="23"/>
      <c r="Y3058" s="23"/>
      <c r="Z3058" s="23"/>
      <c r="AA3058" s="23"/>
      <c r="AF3058" s="23"/>
      <c r="AG3058" s="23"/>
      <c r="AH3058" s="23"/>
      <c r="AI3058" s="23"/>
      <c r="AN3058" s="23"/>
      <c r="AO3058" s="23"/>
      <c r="AP3058" s="23"/>
      <c r="AQ3058" s="23"/>
      <c r="AR3058" s="35"/>
      <c r="AS3058" s="35"/>
      <c r="AT3058" s="35"/>
      <c r="AU3058" s="31"/>
      <c r="AV3058" s="36"/>
    </row>
    <row r="3059" spans="4:48">
      <c r="D3059" s="31"/>
      <c r="E3059" s="31"/>
      <c r="F3059" s="31"/>
      <c r="G3059" s="31"/>
      <c r="H3059" s="32"/>
      <c r="J3059" s="33"/>
      <c r="K3059" s="33"/>
      <c r="L3059" s="33"/>
      <c r="X3059" s="23"/>
      <c r="Y3059" s="23"/>
      <c r="Z3059" s="23"/>
      <c r="AA3059" s="23"/>
      <c r="AF3059" s="23"/>
      <c r="AG3059" s="23"/>
      <c r="AH3059" s="23"/>
      <c r="AI3059" s="23"/>
      <c r="AN3059" s="23"/>
      <c r="AO3059" s="23"/>
      <c r="AP3059" s="23"/>
      <c r="AQ3059" s="23"/>
      <c r="AR3059" s="35"/>
      <c r="AS3059" s="35"/>
      <c r="AT3059" s="35"/>
      <c r="AU3059" s="31"/>
      <c r="AV3059" s="36"/>
    </row>
    <row r="3060" spans="4:48">
      <c r="D3060" s="31"/>
      <c r="E3060" s="31"/>
      <c r="F3060" s="31"/>
      <c r="G3060" s="31"/>
      <c r="H3060" s="32"/>
      <c r="J3060" s="33"/>
      <c r="K3060" s="33"/>
      <c r="L3060" s="33"/>
      <c r="X3060" s="23"/>
      <c r="Y3060" s="23"/>
      <c r="Z3060" s="23"/>
      <c r="AA3060" s="23"/>
      <c r="AF3060" s="23"/>
      <c r="AG3060" s="23"/>
      <c r="AH3060" s="23"/>
      <c r="AI3060" s="23"/>
      <c r="AN3060" s="23"/>
      <c r="AO3060" s="23"/>
      <c r="AP3060" s="23"/>
      <c r="AQ3060" s="23"/>
      <c r="AR3060" s="35"/>
      <c r="AS3060" s="35"/>
      <c r="AT3060" s="35"/>
      <c r="AU3060" s="31"/>
      <c r="AV3060" s="36"/>
    </row>
    <row r="3061" spans="4:48">
      <c r="D3061" s="31"/>
      <c r="E3061" s="31"/>
      <c r="F3061" s="31"/>
      <c r="G3061" s="31"/>
      <c r="H3061" s="32"/>
      <c r="J3061" s="33"/>
      <c r="K3061" s="33"/>
      <c r="L3061" s="33"/>
      <c r="X3061" s="23"/>
      <c r="Y3061" s="23"/>
      <c r="Z3061" s="23"/>
      <c r="AA3061" s="23"/>
      <c r="AF3061" s="23"/>
      <c r="AG3061" s="23"/>
      <c r="AH3061" s="23"/>
      <c r="AI3061" s="23"/>
      <c r="AN3061" s="23"/>
      <c r="AO3061" s="23"/>
      <c r="AP3061" s="23"/>
      <c r="AQ3061" s="23"/>
      <c r="AR3061" s="35"/>
      <c r="AS3061" s="35"/>
      <c r="AT3061" s="35"/>
      <c r="AU3061" s="31"/>
      <c r="AV3061" s="36"/>
    </row>
    <row r="3062" spans="4:48">
      <c r="D3062" s="31"/>
      <c r="E3062" s="31"/>
      <c r="F3062" s="31"/>
      <c r="G3062" s="31"/>
      <c r="H3062" s="32"/>
      <c r="J3062" s="33"/>
      <c r="K3062" s="33"/>
      <c r="L3062" s="33"/>
      <c r="X3062" s="23"/>
      <c r="Y3062" s="23"/>
      <c r="Z3062" s="23"/>
      <c r="AA3062" s="23"/>
      <c r="AF3062" s="23"/>
      <c r="AG3062" s="23"/>
      <c r="AH3062" s="23"/>
      <c r="AI3062" s="23"/>
      <c r="AN3062" s="23"/>
      <c r="AO3062" s="23"/>
      <c r="AP3062" s="23"/>
      <c r="AQ3062" s="23"/>
      <c r="AR3062" s="35"/>
      <c r="AS3062" s="35"/>
      <c r="AT3062" s="35"/>
      <c r="AU3062" s="31"/>
      <c r="AV3062" s="36"/>
    </row>
    <row r="3063" spans="4:48">
      <c r="D3063" s="31"/>
      <c r="E3063" s="31"/>
      <c r="F3063" s="31"/>
      <c r="G3063" s="31"/>
      <c r="H3063" s="32"/>
      <c r="J3063" s="33"/>
      <c r="K3063" s="33"/>
      <c r="L3063" s="33"/>
      <c r="X3063" s="23"/>
      <c r="Y3063" s="23"/>
      <c r="Z3063" s="23"/>
      <c r="AA3063" s="23"/>
      <c r="AF3063" s="23"/>
      <c r="AG3063" s="23"/>
      <c r="AH3063" s="23"/>
      <c r="AI3063" s="23"/>
      <c r="AN3063" s="23"/>
      <c r="AO3063" s="23"/>
      <c r="AP3063" s="23"/>
      <c r="AQ3063" s="23"/>
      <c r="AR3063" s="35"/>
      <c r="AS3063" s="35"/>
      <c r="AT3063" s="35"/>
      <c r="AU3063" s="31"/>
      <c r="AV3063" s="36"/>
    </row>
    <row r="3064" spans="4:48">
      <c r="D3064" s="31"/>
      <c r="E3064" s="31"/>
      <c r="F3064" s="31"/>
      <c r="G3064" s="31"/>
      <c r="H3064" s="32"/>
      <c r="J3064" s="33"/>
      <c r="K3064" s="33"/>
      <c r="L3064" s="33"/>
      <c r="X3064" s="23"/>
      <c r="Y3064" s="23"/>
      <c r="Z3064" s="23"/>
      <c r="AA3064" s="23"/>
      <c r="AF3064" s="23"/>
      <c r="AG3064" s="23"/>
      <c r="AH3064" s="23"/>
      <c r="AI3064" s="23"/>
      <c r="AN3064" s="23"/>
      <c r="AO3064" s="23"/>
      <c r="AP3064" s="23"/>
      <c r="AQ3064" s="23"/>
      <c r="AR3064" s="35"/>
      <c r="AS3064" s="35"/>
      <c r="AT3064" s="35"/>
      <c r="AU3064" s="31"/>
      <c r="AV3064" s="36"/>
    </row>
    <row r="3065" spans="4:48">
      <c r="D3065" s="31"/>
      <c r="E3065" s="31"/>
      <c r="F3065" s="31"/>
      <c r="G3065" s="31"/>
      <c r="H3065" s="32"/>
      <c r="J3065" s="33"/>
      <c r="K3065" s="33"/>
      <c r="L3065" s="33"/>
      <c r="X3065" s="23"/>
      <c r="Y3065" s="23"/>
      <c r="Z3065" s="23"/>
      <c r="AA3065" s="23"/>
      <c r="AF3065" s="23"/>
      <c r="AG3065" s="23"/>
      <c r="AH3065" s="23"/>
      <c r="AI3065" s="23"/>
      <c r="AN3065" s="23"/>
      <c r="AO3065" s="23"/>
      <c r="AP3065" s="23"/>
      <c r="AQ3065" s="23"/>
      <c r="AR3065" s="35"/>
      <c r="AS3065" s="35"/>
      <c r="AT3065" s="35"/>
      <c r="AU3065" s="31"/>
      <c r="AV3065" s="36"/>
    </row>
    <row r="3066" spans="4:48">
      <c r="D3066" s="31"/>
      <c r="E3066" s="31"/>
      <c r="F3066" s="31"/>
      <c r="G3066" s="31"/>
      <c r="H3066" s="32"/>
      <c r="J3066" s="33"/>
      <c r="K3066" s="33"/>
      <c r="L3066" s="33"/>
      <c r="X3066" s="23"/>
      <c r="Y3066" s="23"/>
      <c r="Z3066" s="23"/>
      <c r="AA3066" s="23"/>
      <c r="AF3066" s="23"/>
      <c r="AG3066" s="23"/>
      <c r="AH3066" s="23"/>
      <c r="AI3066" s="23"/>
      <c r="AN3066" s="23"/>
      <c r="AO3066" s="23"/>
      <c r="AP3066" s="23"/>
      <c r="AQ3066" s="23"/>
      <c r="AR3066" s="35"/>
      <c r="AS3066" s="35"/>
      <c r="AT3066" s="35"/>
      <c r="AU3066" s="31"/>
      <c r="AV3066" s="36"/>
    </row>
    <row r="3067" spans="4:48">
      <c r="D3067" s="31"/>
      <c r="E3067" s="31"/>
      <c r="F3067" s="31"/>
      <c r="G3067" s="31"/>
      <c r="H3067" s="32"/>
      <c r="J3067" s="33"/>
      <c r="K3067" s="33"/>
      <c r="L3067" s="33"/>
      <c r="X3067" s="23"/>
      <c r="Y3067" s="23"/>
      <c r="Z3067" s="23"/>
      <c r="AA3067" s="23"/>
      <c r="AF3067" s="23"/>
      <c r="AG3067" s="23"/>
      <c r="AH3067" s="23"/>
      <c r="AI3067" s="23"/>
      <c r="AN3067" s="23"/>
      <c r="AO3067" s="23"/>
      <c r="AP3067" s="23"/>
      <c r="AQ3067" s="23"/>
      <c r="AR3067" s="35"/>
      <c r="AS3067" s="35"/>
      <c r="AT3067" s="35"/>
      <c r="AU3067" s="31"/>
      <c r="AV3067" s="36"/>
    </row>
    <row r="3068" spans="4:48">
      <c r="D3068" s="31"/>
      <c r="E3068" s="31"/>
      <c r="F3068" s="31"/>
      <c r="G3068" s="31"/>
      <c r="H3068" s="32"/>
      <c r="J3068" s="33"/>
      <c r="K3068" s="33"/>
      <c r="L3068" s="33"/>
      <c r="X3068" s="23"/>
      <c r="Y3068" s="23"/>
      <c r="Z3068" s="23"/>
      <c r="AA3068" s="23"/>
      <c r="AF3068" s="23"/>
      <c r="AG3068" s="23"/>
      <c r="AH3068" s="23"/>
      <c r="AI3068" s="23"/>
      <c r="AN3068" s="23"/>
      <c r="AO3068" s="23"/>
      <c r="AP3068" s="23"/>
      <c r="AQ3068" s="23"/>
      <c r="AR3068" s="35"/>
      <c r="AS3068" s="35"/>
      <c r="AT3068" s="35"/>
      <c r="AU3068" s="31"/>
      <c r="AV3068" s="36"/>
    </row>
    <row r="3069" spans="4:48">
      <c r="D3069" s="31"/>
      <c r="E3069" s="31"/>
      <c r="F3069" s="31"/>
      <c r="G3069" s="31"/>
      <c r="H3069" s="32"/>
      <c r="J3069" s="33"/>
      <c r="K3069" s="33"/>
      <c r="L3069" s="33"/>
      <c r="X3069" s="23"/>
      <c r="Y3069" s="23"/>
      <c r="Z3069" s="23"/>
      <c r="AA3069" s="23"/>
      <c r="AF3069" s="23"/>
      <c r="AG3069" s="23"/>
      <c r="AH3069" s="23"/>
      <c r="AI3069" s="23"/>
      <c r="AN3069" s="23"/>
      <c r="AO3069" s="23"/>
      <c r="AP3069" s="23"/>
      <c r="AQ3069" s="23"/>
      <c r="AR3069" s="35"/>
      <c r="AS3069" s="35"/>
      <c r="AT3069" s="35"/>
      <c r="AU3069" s="31"/>
      <c r="AV3069" s="36"/>
    </row>
    <row r="3070" spans="4:48">
      <c r="D3070" s="31"/>
      <c r="E3070" s="31"/>
      <c r="F3070" s="31"/>
      <c r="G3070" s="31"/>
      <c r="H3070" s="32"/>
      <c r="J3070" s="33"/>
      <c r="K3070" s="33"/>
      <c r="L3070" s="33"/>
      <c r="X3070" s="23"/>
      <c r="Y3070" s="23"/>
      <c r="Z3070" s="23"/>
      <c r="AA3070" s="23"/>
      <c r="AF3070" s="23"/>
      <c r="AG3070" s="23"/>
      <c r="AH3070" s="23"/>
      <c r="AI3070" s="23"/>
      <c r="AN3070" s="23"/>
      <c r="AO3070" s="23"/>
      <c r="AP3070" s="23"/>
      <c r="AQ3070" s="23"/>
      <c r="AR3070" s="35"/>
      <c r="AS3070" s="35"/>
      <c r="AT3070" s="35"/>
      <c r="AU3070" s="31"/>
      <c r="AV3070" s="36"/>
    </row>
    <row r="3071" spans="4:48">
      <c r="D3071" s="31"/>
      <c r="E3071" s="31"/>
      <c r="F3071" s="31"/>
      <c r="G3071" s="31"/>
      <c r="H3071" s="32"/>
      <c r="J3071" s="33"/>
      <c r="K3071" s="33"/>
      <c r="L3071" s="33"/>
      <c r="X3071" s="23"/>
      <c r="Y3071" s="23"/>
      <c r="Z3071" s="23"/>
      <c r="AA3071" s="23"/>
      <c r="AF3071" s="23"/>
      <c r="AG3071" s="23"/>
      <c r="AH3071" s="23"/>
      <c r="AI3071" s="23"/>
      <c r="AN3071" s="23"/>
      <c r="AO3071" s="23"/>
      <c r="AP3071" s="23"/>
      <c r="AQ3071" s="23"/>
      <c r="AR3071" s="35"/>
      <c r="AS3071" s="35"/>
      <c r="AT3071" s="35"/>
      <c r="AU3071" s="31"/>
      <c r="AV3071" s="36"/>
    </row>
    <row r="3072" spans="4:48">
      <c r="D3072" s="31"/>
      <c r="E3072" s="31"/>
      <c r="F3072" s="31"/>
      <c r="G3072" s="31"/>
      <c r="H3072" s="32"/>
      <c r="J3072" s="33"/>
      <c r="K3072" s="33"/>
      <c r="L3072" s="33"/>
      <c r="X3072" s="23"/>
      <c r="Y3072" s="23"/>
      <c r="Z3072" s="23"/>
      <c r="AA3072" s="23"/>
      <c r="AF3072" s="23"/>
      <c r="AG3072" s="23"/>
      <c r="AH3072" s="23"/>
      <c r="AI3072" s="23"/>
      <c r="AN3072" s="23"/>
      <c r="AO3072" s="23"/>
      <c r="AP3072" s="23"/>
      <c r="AQ3072" s="23"/>
      <c r="AR3072" s="35"/>
      <c r="AS3072" s="35"/>
      <c r="AT3072" s="35"/>
      <c r="AU3072" s="31"/>
      <c r="AV3072" s="36"/>
    </row>
    <row r="3073" spans="4:48">
      <c r="D3073" s="31"/>
      <c r="E3073" s="31"/>
      <c r="F3073" s="31"/>
      <c r="G3073" s="31"/>
      <c r="H3073" s="32"/>
      <c r="J3073" s="33"/>
      <c r="K3073" s="33"/>
      <c r="L3073" s="33"/>
      <c r="X3073" s="23"/>
      <c r="Y3073" s="23"/>
      <c r="Z3073" s="23"/>
      <c r="AA3073" s="23"/>
      <c r="AF3073" s="23"/>
      <c r="AG3073" s="23"/>
      <c r="AH3073" s="23"/>
      <c r="AI3073" s="23"/>
      <c r="AN3073" s="23"/>
      <c r="AO3073" s="23"/>
      <c r="AP3073" s="23"/>
      <c r="AQ3073" s="23"/>
      <c r="AR3073" s="35"/>
      <c r="AS3073" s="35"/>
      <c r="AT3073" s="35"/>
      <c r="AU3073" s="31"/>
      <c r="AV3073" s="36"/>
    </row>
    <row r="3074" spans="4:48">
      <c r="D3074" s="31"/>
      <c r="E3074" s="31"/>
      <c r="F3074" s="31"/>
      <c r="G3074" s="31"/>
      <c r="H3074" s="32"/>
      <c r="J3074" s="33"/>
      <c r="K3074" s="33"/>
      <c r="L3074" s="33"/>
      <c r="X3074" s="23"/>
      <c r="Y3074" s="23"/>
      <c r="Z3074" s="23"/>
      <c r="AA3074" s="23"/>
      <c r="AF3074" s="23"/>
      <c r="AG3074" s="23"/>
      <c r="AH3074" s="23"/>
      <c r="AI3074" s="23"/>
      <c r="AN3074" s="23"/>
      <c r="AO3074" s="23"/>
      <c r="AP3074" s="23"/>
      <c r="AQ3074" s="23"/>
      <c r="AR3074" s="35"/>
      <c r="AS3074" s="35"/>
      <c r="AT3074" s="35"/>
      <c r="AU3074" s="31"/>
      <c r="AV3074" s="36"/>
    </row>
    <row r="3075" spans="4:48">
      <c r="D3075" s="31"/>
      <c r="E3075" s="31"/>
      <c r="F3075" s="31"/>
      <c r="G3075" s="31"/>
      <c r="H3075" s="32"/>
      <c r="J3075" s="33"/>
      <c r="K3075" s="33"/>
      <c r="L3075" s="33"/>
      <c r="X3075" s="23"/>
      <c r="Y3075" s="23"/>
      <c r="Z3075" s="23"/>
      <c r="AA3075" s="23"/>
      <c r="AF3075" s="23"/>
      <c r="AG3075" s="23"/>
      <c r="AH3075" s="23"/>
      <c r="AI3075" s="23"/>
      <c r="AN3075" s="23"/>
      <c r="AO3075" s="23"/>
      <c r="AP3075" s="23"/>
      <c r="AQ3075" s="23"/>
      <c r="AR3075" s="35"/>
      <c r="AS3075" s="35"/>
      <c r="AT3075" s="35"/>
      <c r="AU3075" s="31"/>
      <c r="AV3075" s="36"/>
    </row>
    <row r="3076" spans="4:48">
      <c r="D3076" s="31"/>
      <c r="E3076" s="31"/>
      <c r="F3076" s="31"/>
      <c r="G3076" s="31"/>
      <c r="H3076" s="32"/>
      <c r="J3076" s="33"/>
      <c r="K3076" s="33"/>
      <c r="L3076" s="33"/>
      <c r="X3076" s="23"/>
      <c r="Y3076" s="23"/>
      <c r="Z3076" s="23"/>
      <c r="AA3076" s="23"/>
      <c r="AF3076" s="23"/>
      <c r="AG3076" s="23"/>
      <c r="AH3076" s="23"/>
      <c r="AI3076" s="23"/>
      <c r="AN3076" s="23"/>
      <c r="AO3076" s="23"/>
      <c r="AP3076" s="23"/>
      <c r="AQ3076" s="23"/>
      <c r="AR3076" s="35"/>
      <c r="AS3076" s="35"/>
      <c r="AT3076" s="35"/>
      <c r="AU3076" s="31"/>
      <c r="AV3076" s="36"/>
    </row>
    <row r="3077" spans="4:48">
      <c r="D3077" s="31"/>
      <c r="E3077" s="31"/>
      <c r="F3077" s="31"/>
      <c r="G3077" s="31"/>
      <c r="H3077" s="32"/>
      <c r="J3077" s="33"/>
      <c r="K3077" s="33"/>
      <c r="L3077" s="33"/>
      <c r="X3077" s="23"/>
      <c r="Y3077" s="23"/>
      <c r="Z3077" s="23"/>
      <c r="AA3077" s="23"/>
      <c r="AF3077" s="23"/>
      <c r="AG3077" s="23"/>
      <c r="AH3077" s="23"/>
      <c r="AI3077" s="23"/>
      <c r="AN3077" s="23"/>
      <c r="AO3077" s="23"/>
      <c r="AP3077" s="23"/>
      <c r="AQ3077" s="23"/>
      <c r="AR3077" s="35"/>
      <c r="AS3077" s="35"/>
      <c r="AT3077" s="35"/>
      <c r="AU3077" s="31"/>
      <c r="AV3077" s="36"/>
    </row>
    <row r="3078" spans="4:48">
      <c r="D3078" s="31"/>
      <c r="E3078" s="31"/>
      <c r="F3078" s="31"/>
      <c r="G3078" s="31"/>
      <c r="H3078" s="32"/>
      <c r="J3078" s="33"/>
      <c r="K3078" s="33"/>
      <c r="L3078" s="33"/>
      <c r="X3078" s="23"/>
      <c r="Y3078" s="23"/>
      <c r="Z3078" s="23"/>
      <c r="AA3078" s="23"/>
      <c r="AF3078" s="23"/>
      <c r="AG3078" s="23"/>
      <c r="AH3078" s="23"/>
      <c r="AI3078" s="23"/>
      <c r="AN3078" s="23"/>
      <c r="AO3078" s="23"/>
      <c r="AP3078" s="23"/>
      <c r="AQ3078" s="23"/>
      <c r="AR3078" s="35"/>
      <c r="AS3078" s="35"/>
      <c r="AT3078" s="35"/>
      <c r="AU3078" s="31"/>
      <c r="AV3078" s="36"/>
    </row>
    <row r="3079" spans="4:48">
      <c r="D3079" s="31"/>
      <c r="E3079" s="31"/>
      <c r="F3079" s="31"/>
      <c r="G3079" s="31"/>
      <c r="H3079" s="32"/>
      <c r="J3079" s="33"/>
      <c r="K3079" s="33"/>
      <c r="L3079" s="33"/>
      <c r="X3079" s="23"/>
      <c r="Y3079" s="23"/>
      <c r="Z3079" s="23"/>
      <c r="AA3079" s="23"/>
      <c r="AF3079" s="23"/>
      <c r="AG3079" s="23"/>
      <c r="AH3079" s="23"/>
      <c r="AI3079" s="23"/>
      <c r="AN3079" s="23"/>
      <c r="AO3079" s="23"/>
      <c r="AP3079" s="23"/>
      <c r="AQ3079" s="23"/>
      <c r="AR3079" s="35"/>
      <c r="AS3079" s="35"/>
      <c r="AT3079" s="35"/>
      <c r="AU3079" s="31"/>
      <c r="AV3079" s="36"/>
    </row>
    <row r="3080" spans="4:48">
      <c r="D3080" s="31"/>
      <c r="E3080" s="31"/>
      <c r="F3080" s="31"/>
      <c r="G3080" s="31"/>
      <c r="H3080" s="32"/>
      <c r="J3080" s="33"/>
      <c r="K3080" s="33"/>
      <c r="L3080" s="33"/>
      <c r="X3080" s="23"/>
      <c r="Y3080" s="23"/>
      <c r="Z3080" s="23"/>
      <c r="AA3080" s="23"/>
      <c r="AF3080" s="23"/>
      <c r="AG3080" s="23"/>
      <c r="AH3080" s="23"/>
      <c r="AI3080" s="23"/>
      <c r="AN3080" s="23"/>
      <c r="AO3080" s="23"/>
      <c r="AP3080" s="23"/>
      <c r="AQ3080" s="23"/>
      <c r="AR3080" s="35"/>
      <c r="AS3080" s="35"/>
      <c r="AT3080" s="35"/>
      <c r="AU3080" s="31"/>
      <c r="AV3080" s="36"/>
    </row>
    <row r="3081" spans="4:48">
      <c r="D3081" s="31"/>
      <c r="E3081" s="31"/>
      <c r="F3081" s="31"/>
      <c r="G3081" s="31"/>
      <c r="H3081" s="32"/>
      <c r="J3081" s="33"/>
      <c r="K3081" s="33"/>
      <c r="L3081" s="33"/>
      <c r="X3081" s="23"/>
      <c r="Y3081" s="23"/>
      <c r="Z3081" s="23"/>
      <c r="AA3081" s="23"/>
      <c r="AF3081" s="23"/>
      <c r="AG3081" s="23"/>
      <c r="AH3081" s="23"/>
      <c r="AI3081" s="23"/>
      <c r="AN3081" s="23"/>
      <c r="AO3081" s="23"/>
      <c r="AP3081" s="23"/>
      <c r="AQ3081" s="23"/>
      <c r="AR3081" s="35"/>
      <c r="AS3081" s="35"/>
      <c r="AT3081" s="35"/>
      <c r="AU3081" s="31"/>
      <c r="AV3081" s="36"/>
    </row>
    <row r="3082" spans="4:48">
      <c r="D3082" s="31"/>
      <c r="E3082" s="31"/>
      <c r="F3082" s="31"/>
      <c r="G3082" s="31"/>
      <c r="H3082" s="32"/>
      <c r="J3082" s="33"/>
      <c r="K3082" s="33"/>
      <c r="L3082" s="33"/>
      <c r="X3082" s="23"/>
      <c r="Y3082" s="23"/>
      <c r="Z3082" s="23"/>
      <c r="AA3082" s="23"/>
      <c r="AF3082" s="23"/>
      <c r="AG3082" s="23"/>
      <c r="AH3082" s="23"/>
      <c r="AI3082" s="23"/>
      <c r="AN3082" s="23"/>
      <c r="AO3082" s="23"/>
      <c r="AP3082" s="23"/>
      <c r="AQ3082" s="23"/>
      <c r="AR3082" s="35"/>
      <c r="AS3082" s="35"/>
      <c r="AT3082" s="35"/>
      <c r="AU3082" s="31"/>
      <c r="AV3082" s="36"/>
    </row>
    <row r="3083" spans="4:48">
      <c r="D3083" s="31"/>
      <c r="E3083" s="31"/>
      <c r="F3083" s="31"/>
      <c r="G3083" s="31"/>
      <c r="H3083" s="32"/>
      <c r="J3083" s="33"/>
      <c r="K3083" s="33"/>
      <c r="L3083" s="33"/>
      <c r="X3083" s="23"/>
      <c r="Y3083" s="23"/>
      <c r="Z3083" s="23"/>
      <c r="AA3083" s="23"/>
      <c r="AF3083" s="23"/>
      <c r="AG3083" s="23"/>
      <c r="AH3083" s="23"/>
      <c r="AI3083" s="23"/>
      <c r="AN3083" s="23"/>
      <c r="AO3083" s="23"/>
      <c r="AP3083" s="23"/>
      <c r="AQ3083" s="23"/>
      <c r="AR3083" s="35"/>
      <c r="AS3083" s="35"/>
      <c r="AT3083" s="35"/>
      <c r="AU3083" s="31"/>
      <c r="AV3083" s="36"/>
    </row>
    <row r="3084" spans="4:48">
      <c r="D3084" s="31"/>
      <c r="E3084" s="31"/>
      <c r="F3084" s="31"/>
      <c r="G3084" s="31"/>
      <c r="H3084" s="32"/>
      <c r="J3084" s="33"/>
      <c r="K3084" s="33"/>
      <c r="L3084" s="33"/>
      <c r="X3084" s="23"/>
      <c r="Y3084" s="23"/>
      <c r="Z3084" s="23"/>
      <c r="AA3084" s="23"/>
      <c r="AF3084" s="23"/>
      <c r="AG3084" s="23"/>
      <c r="AH3084" s="23"/>
      <c r="AI3084" s="23"/>
      <c r="AN3084" s="23"/>
      <c r="AO3084" s="23"/>
      <c r="AP3084" s="23"/>
      <c r="AQ3084" s="23"/>
      <c r="AR3084" s="35"/>
      <c r="AS3084" s="35"/>
      <c r="AT3084" s="35"/>
      <c r="AU3084" s="31"/>
      <c r="AV3084" s="36"/>
    </row>
    <row r="3085" spans="4:48">
      <c r="D3085" s="31"/>
      <c r="E3085" s="31"/>
      <c r="F3085" s="31"/>
      <c r="G3085" s="31"/>
      <c r="H3085" s="32"/>
      <c r="J3085" s="33"/>
      <c r="K3085" s="33"/>
      <c r="L3085" s="33"/>
      <c r="X3085" s="23"/>
      <c r="Y3085" s="23"/>
      <c r="Z3085" s="23"/>
      <c r="AA3085" s="23"/>
      <c r="AF3085" s="23"/>
      <c r="AG3085" s="23"/>
      <c r="AH3085" s="23"/>
      <c r="AI3085" s="23"/>
      <c r="AN3085" s="23"/>
      <c r="AO3085" s="23"/>
      <c r="AP3085" s="23"/>
      <c r="AQ3085" s="23"/>
      <c r="AR3085" s="35"/>
      <c r="AS3085" s="35"/>
      <c r="AT3085" s="35"/>
      <c r="AU3085" s="31"/>
      <c r="AV3085" s="36"/>
    </row>
    <row r="3086" spans="4:48">
      <c r="D3086" s="31"/>
      <c r="E3086" s="31"/>
      <c r="F3086" s="31"/>
      <c r="G3086" s="31"/>
      <c r="H3086" s="32"/>
      <c r="J3086" s="33"/>
      <c r="K3086" s="33"/>
      <c r="L3086" s="33"/>
      <c r="X3086" s="23"/>
      <c r="Y3086" s="23"/>
      <c r="Z3086" s="23"/>
      <c r="AA3086" s="23"/>
      <c r="AF3086" s="23"/>
      <c r="AG3086" s="23"/>
      <c r="AH3086" s="23"/>
      <c r="AI3086" s="23"/>
      <c r="AN3086" s="23"/>
      <c r="AO3086" s="23"/>
      <c r="AP3086" s="23"/>
      <c r="AQ3086" s="23"/>
      <c r="AR3086" s="35"/>
      <c r="AS3086" s="35"/>
      <c r="AT3086" s="35"/>
      <c r="AU3086" s="31"/>
      <c r="AV3086" s="36"/>
    </row>
    <row r="3087" spans="4:48">
      <c r="D3087" s="31"/>
      <c r="E3087" s="31"/>
      <c r="F3087" s="31"/>
      <c r="G3087" s="31"/>
      <c r="H3087" s="32"/>
      <c r="J3087" s="33"/>
      <c r="K3087" s="33"/>
      <c r="L3087" s="33"/>
      <c r="X3087" s="23"/>
      <c r="Y3087" s="23"/>
      <c r="Z3087" s="23"/>
      <c r="AA3087" s="23"/>
      <c r="AF3087" s="23"/>
      <c r="AG3087" s="23"/>
      <c r="AH3087" s="23"/>
      <c r="AI3087" s="23"/>
      <c r="AN3087" s="23"/>
      <c r="AO3087" s="23"/>
      <c r="AP3087" s="23"/>
      <c r="AQ3087" s="23"/>
      <c r="AR3087" s="35"/>
      <c r="AS3087" s="35"/>
      <c r="AT3087" s="35"/>
      <c r="AU3087" s="31"/>
      <c r="AV3087" s="36"/>
    </row>
    <row r="3088" spans="4:48">
      <c r="D3088" s="31"/>
      <c r="E3088" s="31"/>
      <c r="F3088" s="31"/>
      <c r="G3088" s="31"/>
      <c r="H3088" s="32"/>
      <c r="J3088" s="33"/>
      <c r="K3088" s="33"/>
      <c r="L3088" s="33"/>
      <c r="X3088" s="23"/>
      <c r="Y3088" s="23"/>
      <c r="Z3088" s="23"/>
      <c r="AA3088" s="23"/>
      <c r="AF3088" s="23"/>
      <c r="AG3088" s="23"/>
      <c r="AH3088" s="23"/>
      <c r="AI3088" s="23"/>
      <c r="AN3088" s="23"/>
      <c r="AO3088" s="23"/>
      <c r="AP3088" s="23"/>
      <c r="AQ3088" s="23"/>
      <c r="AR3088" s="35"/>
      <c r="AS3088" s="35"/>
      <c r="AT3088" s="35"/>
      <c r="AU3088" s="31"/>
      <c r="AV3088" s="36"/>
    </row>
    <row r="3089" spans="4:48">
      <c r="D3089" s="31"/>
      <c r="E3089" s="31"/>
      <c r="F3089" s="31"/>
      <c r="G3089" s="31"/>
      <c r="H3089" s="32"/>
      <c r="J3089" s="33"/>
      <c r="K3089" s="33"/>
      <c r="L3089" s="33"/>
      <c r="X3089" s="23"/>
      <c r="Y3089" s="23"/>
      <c r="Z3089" s="23"/>
      <c r="AA3089" s="23"/>
      <c r="AF3089" s="23"/>
      <c r="AG3089" s="23"/>
      <c r="AH3089" s="23"/>
      <c r="AI3089" s="23"/>
      <c r="AN3089" s="23"/>
      <c r="AO3089" s="23"/>
      <c r="AP3089" s="23"/>
      <c r="AQ3089" s="23"/>
      <c r="AR3089" s="35"/>
      <c r="AS3089" s="35"/>
      <c r="AT3089" s="35"/>
      <c r="AU3089" s="31"/>
      <c r="AV3089" s="36"/>
    </row>
    <row r="3090" spans="4:48">
      <c r="D3090" s="31"/>
      <c r="E3090" s="31"/>
      <c r="F3090" s="31"/>
      <c r="G3090" s="31"/>
      <c r="H3090" s="32"/>
      <c r="J3090" s="33"/>
      <c r="K3090" s="33"/>
      <c r="L3090" s="33"/>
      <c r="X3090" s="23"/>
      <c r="Y3090" s="23"/>
      <c r="Z3090" s="23"/>
      <c r="AA3090" s="23"/>
      <c r="AF3090" s="23"/>
      <c r="AG3090" s="23"/>
      <c r="AH3090" s="23"/>
      <c r="AI3090" s="23"/>
      <c r="AN3090" s="23"/>
      <c r="AO3090" s="23"/>
      <c r="AP3090" s="23"/>
      <c r="AQ3090" s="23"/>
      <c r="AR3090" s="35"/>
      <c r="AS3090" s="35"/>
      <c r="AT3090" s="35"/>
      <c r="AU3090" s="31"/>
      <c r="AV3090" s="36"/>
    </row>
    <row r="3091" spans="4:48">
      <c r="D3091" s="31"/>
      <c r="E3091" s="31"/>
      <c r="F3091" s="31"/>
      <c r="G3091" s="31"/>
      <c r="H3091" s="32"/>
      <c r="J3091" s="33"/>
      <c r="K3091" s="33"/>
      <c r="L3091" s="33"/>
      <c r="X3091" s="23"/>
      <c r="Y3091" s="23"/>
      <c r="Z3091" s="23"/>
      <c r="AA3091" s="23"/>
      <c r="AF3091" s="23"/>
      <c r="AG3091" s="23"/>
      <c r="AH3091" s="23"/>
      <c r="AI3091" s="23"/>
      <c r="AN3091" s="23"/>
      <c r="AO3091" s="23"/>
      <c r="AP3091" s="23"/>
      <c r="AQ3091" s="23"/>
      <c r="AR3091" s="35"/>
      <c r="AS3091" s="35"/>
      <c r="AT3091" s="35"/>
      <c r="AU3091" s="31"/>
      <c r="AV3091" s="36"/>
    </row>
    <row r="3092" spans="4:48">
      <c r="D3092" s="31"/>
      <c r="E3092" s="31"/>
      <c r="F3092" s="31"/>
      <c r="G3092" s="31"/>
      <c r="H3092" s="32"/>
      <c r="J3092" s="33"/>
      <c r="K3092" s="33"/>
      <c r="L3092" s="33"/>
      <c r="X3092" s="23"/>
      <c r="Y3092" s="23"/>
      <c r="Z3092" s="23"/>
      <c r="AA3092" s="23"/>
      <c r="AF3092" s="23"/>
      <c r="AG3092" s="23"/>
      <c r="AH3092" s="23"/>
      <c r="AI3092" s="23"/>
      <c r="AN3092" s="23"/>
      <c r="AO3092" s="23"/>
      <c r="AP3092" s="23"/>
      <c r="AQ3092" s="23"/>
      <c r="AR3092" s="35"/>
      <c r="AS3092" s="35"/>
      <c r="AT3092" s="35"/>
      <c r="AU3092" s="31"/>
      <c r="AV3092" s="36"/>
    </row>
    <row r="3093" spans="4:48">
      <c r="D3093" s="31"/>
      <c r="E3093" s="31"/>
      <c r="F3093" s="31"/>
      <c r="G3093" s="31"/>
      <c r="H3093" s="32"/>
      <c r="J3093" s="33"/>
      <c r="K3093" s="33"/>
      <c r="L3093" s="33"/>
      <c r="X3093" s="23"/>
      <c r="Y3093" s="23"/>
      <c r="Z3093" s="23"/>
      <c r="AA3093" s="23"/>
      <c r="AF3093" s="23"/>
      <c r="AG3093" s="23"/>
      <c r="AH3093" s="23"/>
      <c r="AI3093" s="23"/>
      <c r="AN3093" s="23"/>
      <c r="AO3093" s="23"/>
      <c r="AP3093" s="23"/>
      <c r="AQ3093" s="23"/>
      <c r="AR3093" s="35"/>
      <c r="AS3093" s="35"/>
      <c r="AT3093" s="35"/>
      <c r="AU3093" s="31"/>
      <c r="AV3093" s="36"/>
    </row>
    <row r="3094" spans="4:48">
      <c r="D3094" s="31"/>
      <c r="E3094" s="31"/>
      <c r="F3094" s="31"/>
      <c r="G3094" s="31"/>
      <c r="H3094" s="32"/>
      <c r="J3094" s="33"/>
      <c r="K3094" s="33"/>
      <c r="L3094" s="33"/>
      <c r="X3094" s="23"/>
      <c r="Y3094" s="23"/>
      <c r="Z3094" s="23"/>
      <c r="AA3094" s="23"/>
      <c r="AF3094" s="23"/>
      <c r="AG3094" s="23"/>
      <c r="AH3094" s="23"/>
      <c r="AI3094" s="23"/>
      <c r="AN3094" s="23"/>
      <c r="AO3094" s="23"/>
      <c r="AP3094" s="23"/>
      <c r="AQ3094" s="23"/>
      <c r="AR3094" s="35"/>
      <c r="AS3094" s="35"/>
      <c r="AT3094" s="35"/>
      <c r="AU3094" s="31"/>
      <c r="AV3094" s="36"/>
    </row>
    <row r="3095" spans="4:48">
      <c r="D3095" s="31"/>
      <c r="E3095" s="31"/>
      <c r="F3095" s="31"/>
      <c r="G3095" s="31"/>
      <c r="H3095" s="32"/>
      <c r="J3095" s="33"/>
      <c r="K3095" s="33"/>
      <c r="L3095" s="33"/>
      <c r="X3095" s="23"/>
      <c r="Y3095" s="23"/>
      <c r="Z3095" s="23"/>
      <c r="AA3095" s="23"/>
      <c r="AF3095" s="23"/>
      <c r="AG3095" s="23"/>
      <c r="AH3095" s="23"/>
      <c r="AI3095" s="23"/>
      <c r="AN3095" s="23"/>
      <c r="AO3095" s="23"/>
      <c r="AP3095" s="23"/>
      <c r="AQ3095" s="23"/>
      <c r="AR3095" s="35"/>
      <c r="AS3095" s="35"/>
      <c r="AT3095" s="35"/>
      <c r="AU3095" s="31"/>
      <c r="AV3095" s="36"/>
    </row>
    <row r="3096" spans="4:48">
      <c r="D3096" s="31"/>
      <c r="E3096" s="31"/>
      <c r="F3096" s="31"/>
      <c r="G3096" s="31"/>
      <c r="H3096" s="32"/>
      <c r="J3096" s="33"/>
      <c r="K3096" s="33"/>
      <c r="L3096" s="33"/>
      <c r="X3096" s="23"/>
      <c r="Y3096" s="23"/>
      <c r="Z3096" s="23"/>
      <c r="AA3096" s="23"/>
      <c r="AF3096" s="23"/>
      <c r="AG3096" s="23"/>
      <c r="AH3096" s="23"/>
      <c r="AI3096" s="23"/>
      <c r="AN3096" s="23"/>
      <c r="AO3096" s="23"/>
      <c r="AP3096" s="23"/>
      <c r="AQ3096" s="23"/>
      <c r="AR3096" s="35"/>
      <c r="AS3096" s="35"/>
      <c r="AT3096" s="35"/>
      <c r="AU3096" s="31"/>
      <c r="AV3096" s="36"/>
    </row>
    <row r="3097" spans="4:48">
      <c r="D3097" s="31"/>
      <c r="E3097" s="31"/>
      <c r="F3097" s="31"/>
      <c r="G3097" s="31"/>
      <c r="H3097" s="32"/>
      <c r="J3097" s="33"/>
      <c r="K3097" s="33"/>
      <c r="L3097" s="33"/>
      <c r="X3097" s="23"/>
      <c r="Y3097" s="23"/>
      <c r="Z3097" s="23"/>
      <c r="AA3097" s="23"/>
      <c r="AF3097" s="23"/>
      <c r="AG3097" s="23"/>
      <c r="AH3097" s="23"/>
      <c r="AI3097" s="23"/>
      <c r="AN3097" s="23"/>
      <c r="AO3097" s="23"/>
      <c r="AP3097" s="23"/>
      <c r="AQ3097" s="23"/>
      <c r="AR3097" s="35"/>
      <c r="AS3097" s="35"/>
      <c r="AT3097" s="35"/>
      <c r="AU3097" s="31"/>
      <c r="AV3097" s="36"/>
    </row>
    <row r="3098" spans="4:48">
      <c r="D3098" s="31"/>
      <c r="E3098" s="31"/>
      <c r="F3098" s="31"/>
      <c r="G3098" s="31"/>
      <c r="H3098" s="32"/>
      <c r="J3098" s="33"/>
      <c r="K3098" s="33"/>
      <c r="L3098" s="33"/>
      <c r="X3098" s="23"/>
      <c r="Y3098" s="23"/>
      <c r="Z3098" s="23"/>
      <c r="AA3098" s="23"/>
      <c r="AF3098" s="23"/>
      <c r="AG3098" s="23"/>
      <c r="AH3098" s="23"/>
      <c r="AI3098" s="23"/>
      <c r="AN3098" s="23"/>
      <c r="AO3098" s="23"/>
      <c r="AP3098" s="23"/>
      <c r="AQ3098" s="23"/>
      <c r="AR3098" s="35"/>
      <c r="AS3098" s="35"/>
      <c r="AT3098" s="35"/>
      <c r="AU3098" s="31"/>
      <c r="AV3098" s="36"/>
    </row>
    <row r="3099" spans="4:48">
      <c r="D3099" s="31"/>
      <c r="E3099" s="31"/>
      <c r="F3099" s="31"/>
      <c r="G3099" s="31"/>
      <c r="H3099" s="32"/>
      <c r="J3099" s="33"/>
      <c r="K3099" s="33"/>
      <c r="L3099" s="33"/>
      <c r="X3099" s="23"/>
      <c r="Y3099" s="23"/>
      <c r="Z3099" s="23"/>
      <c r="AA3099" s="23"/>
      <c r="AF3099" s="23"/>
      <c r="AG3099" s="23"/>
      <c r="AH3099" s="23"/>
      <c r="AI3099" s="23"/>
      <c r="AN3099" s="23"/>
      <c r="AO3099" s="23"/>
      <c r="AP3099" s="23"/>
      <c r="AQ3099" s="23"/>
      <c r="AR3099" s="35"/>
      <c r="AS3099" s="35"/>
      <c r="AT3099" s="35"/>
      <c r="AU3099" s="31"/>
      <c r="AV3099" s="36"/>
    </row>
    <row r="3100" spans="4:48">
      <c r="D3100" s="31"/>
      <c r="E3100" s="31"/>
      <c r="F3100" s="31"/>
      <c r="G3100" s="31"/>
      <c r="H3100" s="32"/>
      <c r="J3100" s="33"/>
      <c r="K3100" s="33"/>
      <c r="L3100" s="33"/>
      <c r="X3100" s="23"/>
      <c r="Y3100" s="23"/>
      <c r="Z3100" s="23"/>
      <c r="AA3100" s="23"/>
      <c r="AF3100" s="23"/>
      <c r="AG3100" s="23"/>
      <c r="AH3100" s="23"/>
      <c r="AI3100" s="23"/>
      <c r="AN3100" s="23"/>
      <c r="AO3100" s="23"/>
      <c r="AP3100" s="23"/>
      <c r="AQ3100" s="23"/>
      <c r="AR3100" s="35"/>
      <c r="AS3100" s="35"/>
      <c r="AT3100" s="35"/>
      <c r="AU3100" s="31"/>
      <c r="AV3100" s="36"/>
    </row>
    <row r="3101" spans="4:48">
      <c r="D3101" s="31"/>
      <c r="E3101" s="31"/>
      <c r="F3101" s="31"/>
      <c r="G3101" s="31"/>
      <c r="H3101" s="32"/>
      <c r="J3101" s="33"/>
      <c r="K3101" s="33"/>
      <c r="L3101" s="33"/>
      <c r="X3101" s="23"/>
      <c r="Y3101" s="23"/>
      <c r="Z3101" s="23"/>
      <c r="AA3101" s="23"/>
      <c r="AF3101" s="23"/>
      <c r="AG3101" s="23"/>
      <c r="AH3101" s="23"/>
      <c r="AI3101" s="23"/>
      <c r="AN3101" s="23"/>
      <c r="AO3101" s="23"/>
      <c r="AP3101" s="23"/>
      <c r="AQ3101" s="23"/>
      <c r="AR3101" s="35"/>
      <c r="AS3101" s="35"/>
      <c r="AT3101" s="35"/>
      <c r="AU3101" s="31"/>
      <c r="AV3101" s="36"/>
    </row>
    <row r="3102" spans="4:48">
      <c r="D3102" s="31"/>
      <c r="E3102" s="31"/>
      <c r="F3102" s="31"/>
      <c r="G3102" s="31"/>
      <c r="H3102" s="32"/>
      <c r="J3102" s="33"/>
      <c r="K3102" s="33"/>
      <c r="L3102" s="33"/>
      <c r="X3102" s="23"/>
      <c r="Y3102" s="23"/>
      <c r="Z3102" s="23"/>
      <c r="AA3102" s="23"/>
      <c r="AF3102" s="23"/>
      <c r="AG3102" s="23"/>
      <c r="AH3102" s="23"/>
      <c r="AI3102" s="23"/>
      <c r="AN3102" s="23"/>
      <c r="AO3102" s="23"/>
      <c r="AP3102" s="23"/>
      <c r="AQ3102" s="23"/>
      <c r="AR3102" s="35"/>
      <c r="AS3102" s="35"/>
      <c r="AT3102" s="35"/>
      <c r="AU3102" s="31"/>
      <c r="AV3102" s="36"/>
    </row>
    <row r="3103" spans="4:48">
      <c r="D3103" s="31"/>
      <c r="E3103" s="31"/>
      <c r="F3103" s="31"/>
      <c r="G3103" s="31"/>
      <c r="H3103" s="32"/>
      <c r="J3103" s="33"/>
      <c r="K3103" s="33"/>
      <c r="L3103" s="33"/>
      <c r="X3103" s="23"/>
      <c r="Y3103" s="23"/>
      <c r="Z3103" s="23"/>
      <c r="AA3103" s="23"/>
      <c r="AF3103" s="23"/>
      <c r="AG3103" s="23"/>
      <c r="AH3103" s="23"/>
      <c r="AI3103" s="23"/>
      <c r="AN3103" s="23"/>
      <c r="AO3103" s="23"/>
      <c r="AP3103" s="23"/>
      <c r="AQ3103" s="23"/>
      <c r="AR3103" s="35"/>
      <c r="AS3103" s="35"/>
      <c r="AT3103" s="35"/>
      <c r="AU3103" s="31"/>
      <c r="AV3103" s="36"/>
    </row>
    <row r="3104" spans="4:48">
      <c r="D3104" s="31"/>
      <c r="E3104" s="31"/>
      <c r="F3104" s="31"/>
      <c r="G3104" s="31"/>
      <c r="H3104" s="32"/>
      <c r="J3104" s="33"/>
      <c r="K3104" s="33"/>
      <c r="L3104" s="33"/>
      <c r="X3104" s="23"/>
      <c r="Y3104" s="23"/>
      <c r="Z3104" s="23"/>
      <c r="AA3104" s="23"/>
      <c r="AF3104" s="23"/>
      <c r="AG3104" s="23"/>
      <c r="AH3104" s="23"/>
      <c r="AI3104" s="23"/>
      <c r="AN3104" s="23"/>
      <c r="AO3104" s="23"/>
      <c r="AP3104" s="23"/>
      <c r="AQ3104" s="23"/>
      <c r="AR3104" s="35"/>
      <c r="AS3104" s="35"/>
      <c r="AT3104" s="35"/>
      <c r="AU3104" s="31"/>
      <c r="AV3104" s="36"/>
    </row>
    <row r="3105" spans="4:48">
      <c r="D3105" s="31"/>
      <c r="E3105" s="31"/>
      <c r="F3105" s="31"/>
      <c r="G3105" s="31"/>
      <c r="H3105" s="32"/>
      <c r="J3105" s="33"/>
      <c r="K3105" s="33"/>
      <c r="L3105" s="33"/>
      <c r="X3105" s="23"/>
      <c r="Y3105" s="23"/>
      <c r="Z3105" s="23"/>
      <c r="AA3105" s="23"/>
      <c r="AF3105" s="23"/>
      <c r="AG3105" s="23"/>
      <c r="AH3105" s="23"/>
      <c r="AI3105" s="23"/>
      <c r="AN3105" s="23"/>
      <c r="AO3105" s="23"/>
      <c r="AP3105" s="23"/>
      <c r="AQ3105" s="23"/>
      <c r="AR3105" s="35"/>
      <c r="AS3105" s="35"/>
      <c r="AT3105" s="35"/>
      <c r="AU3105" s="31"/>
      <c r="AV3105" s="36"/>
    </row>
    <row r="3106" spans="4:48">
      <c r="D3106" s="31"/>
      <c r="E3106" s="31"/>
      <c r="F3106" s="31"/>
      <c r="G3106" s="31"/>
      <c r="H3106" s="32"/>
      <c r="J3106" s="33"/>
      <c r="K3106" s="33"/>
      <c r="L3106" s="33"/>
      <c r="X3106" s="23"/>
      <c r="Y3106" s="23"/>
      <c r="Z3106" s="23"/>
      <c r="AA3106" s="23"/>
      <c r="AF3106" s="23"/>
      <c r="AG3106" s="23"/>
      <c r="AH3106" s="23"/>
      <c r="AI3106" s="23"/>
      <c r="AN3106" s="23"/>
      <c r="AO3106" s="23"/>
      <c r="AP3106" s="23"/>
      <c r="AQ3106" s="23"/>
      <c r="AR3106" s="35"/>
      <c r="AS3106" s="35"/>
      <c r="AT3106" s="35"/>
      <c r="AU3106" s="31"/>
      <c r="AV3106" s="36"/>
    </row>
    <row r="3107" spans="4:48">
      <c r="D3107" s="31"/>
      <c r="E3107" s="31"/>
      <c r="F3107" s="31"/>
      <c r="G3107" s="31"/>
      <c r="H3107" s="32"/>
      <c r="J3107" s="33"/>
      <c r="K3107" s="33"/>
      <c r="L3107" s="33"/>
      <c r="X3107" s="23"/>
      <c r="Y3107" s="23"/>
      <c r="Z3107" s="23"/>
      <c r="AA3107" s="23"/>
      <c r="AF3107" s="23"/>
      <c r="AG3107" s="23"/>
      <c r="AH3107" s="23"/>
      <c r="AI3107" s="23"/>
      <c r="AN3107" s="23"/>
      <c r="AO3107" s="23"/>
      <c r="AP3107" s="23"/>
      <c r="AQ3107" s="23"/>
      <c r="AR3107" s="35"/>
      <c r="AS3107" s="35"/>
      <c r="AT3107" s="35"/>
      <c r="AU3107" s="31"/>
      <c r="AV3107" s="36"/>
    </row>
    <row r="3108" spans="4:48">
      <c r="D3108" s="31"/>
      <c r="E3108" s="31"/>
      <c r="F3108" s="31"/>
      <c r="G3108" s="31"/>
      <c r="H3108" s="32"/>
      <c r="J3108" s="33"/>
      <c r="K3108" s="33"/>
      <c r="L3108" s="33"/>
      <c r="X3108" s="23"/>
      <c r="Y3108" s="23"/>
      <c r="Z3108" s="23"/>
      <c r="AA3108" s="23"/>
      <c r="AF3108" s="23"/>
      <c r="AG3108" s="23"/>
      <c r="AH3108" s="23"/>
      <c r="AI3108" s="23"/>
      <c r="AN3108" s="23"/>
      <c r="AO3108" s="23"/>
      <c r="AP3108" s="23"/>
      <c r="AQ3108" s="23"/>
      <c r="AR3108" s="35"/>
      <c r="AS3108" s="35"/>
      <c r="AT3108" s="35"/>
      <c r="AU3108" s="31"/>
      <c r="AV3108" s="36"/>
    </row>
    <row r="3109" spans="4:48">
      <c r="D3109" s="31"/>
      <c r="E3109" s="31"/>
      <c r="F3109" s="31"/>
      <c r="G3109" s="31"/>
      <c r="H3109" s="32"/>
      <c r="J3109" s="33"/>
      <c r="K3109" s="33"/>
      <c r="L3109" s="33"/>
      <c r="X3109" s="23"/>
      <c r="Y3109" s="23"/>
      <c r="Z3109" s="23"/>
      <c r="AA3109" s="23"/>
      <c r="AF3109" s="23"/>
      <c r="AG3109" s="23"/>
      <c r="AH3109" s="23"/>
      <c r="AI3109" s="23"/>
      <c r="AN3109" s="23"/>
      <c r="AO3109" s="23"/>
      <c r="AP3109" s="23"/>
      <c r="AQ3109" s="23"/>
      <c r="AR3109" s="35"/>
      <c r="AS3109" s="35"/>
      <c r="AT3109" s="35"/>
      <c r="AU3109" s="31"/>
      <c r="AV3109" s="36"/>
    </row>
    <row r="3110" spans="4:48">
      <c r="D3110" s="31"/>
      <c r="E3110" s="31"/>
      <c r="F3110" s="31"/>
      <c r="G3110" s="31"/>
      <c r="H3110" s="32"/>
      <c r="J3110" s="33"/>
      <c r="K3110" s="33"/>
      <c r="L3110" s="33"/>
      <c r="X3110" s="23"/>
      <c r="Y3110" s="23"/>
      <c r="Z3110" s="23"/>
      <c r="AA3110" s="23"/>
      <c r="AF3110" s="23"/>
      <c r="AG3110" s="23"/>
      <c r="AH3110" s="23"/>
      <c r="AI3110" s="23"/>
      <c r="AN3110" s="23"/>
      <c r="AO3110" s="23"/>
      <c r="AP3110" s="23"/>
      <c r="AQ3110" s="23"/>
      <c r="AR3110" s="35"/>
      <c r="AS3110" s="35"/>
      <c r="AT3110" s="35"/>
      <c r="AU3110" s="31"/>
      <c r="AV3110" s="36"/>
    </row>
    <row r="3111" spans="4:48">
      <c r="D3111" s="31"/>
      <c r="E3111" s="31"/>
      <c r="F3111" s="31"/>
      <c r="G3111" s="31"/>
      <c r="H3111" s="32"/>
      <c r="J3111" s="33"/>
      <c r="K3111" s="33"/>
      <c r="L3111" s="33"/>
      <c r="X3111" s="23"/>
      <c r="Y3111" s="23"/>
      <c r="Z3111" s="23"/>
      <c r="AA3111" s="23"/>
      <c r="AF3111" s="23"/>
      <c r="AG3111" s="23"/>
      <c r="AH3111" s="23"/>
      <c r="AI3111" s="23"/>
      <c r="AN3111" s="23"/>
      <c r="AO3111" s="23"/>
      <c r="AP3111" s="23"/>
      <c r="AQ3111" s="23"/>
      <c r="AR3111" s="35"/>
      <c r="AS3111" s="35"/>
      <c r="AT3111" s="35"/>
      <c r="AU3111" s="31"/>
      <c r="AV3111" s="36"/>
    </row>
    <row r="3112" spans="4:48">
      <c r="D3112" s="31"/>
      <c r="E3112" s="31"/>
      <c r="F3112" s="31"/>
      <c r="G3112" s="31"/>
      <c r="H3112" s="32"/>
      <c r="J3112" s="33"/>
      <c r="K3112" s="33"/>
      <c r="L3112" s="33"/>
      <c r="X3112" s="23"/>
      <c r="Y3112" s="23"/>
      <c r="Z3112" s="23"/>
      <c r="AA3112" s="23"/>
      <c r="AF3112" s="23"/>
      <c r="AG3112" s="23"/>
      <c r="AH3112" s="23"/>
      <c r="AI3112" s="23"/>
      <c r="AN3112" s="23"/>
      <c r="AO3112" s="23"/>
      <c r="AP3112" s="23"/>
      <c r="AQ3112" s="23"/>
      <c r="AR3112" s="35"/>
      <c r="AS3112" s="35"/>
      <c r="AT3112" s="35"/>
      <c r="AU3112" s="31"/>
      <c r="AV3112" s="36"/>
    </row>
    <row r="3113" spans="4:48">
      <c r="D3113" s="31"/>
      <c r="E3113" s="31"/>
      <c r="F3113" s="31"/>
      <c r="G3113" s="31"/>
      <c r="H3113" s="32"/>
      <c r="J3113" s="33"/>
      <c r="K3113" s="33"/>
      <c r="L3113" s="33"/>
      <c r="X3113" s="23"/>
      <c r="Y3113" s="23"/>
      <c r="Z3113" s="23"/>
      <c r="AA3113" s="23"/>
      <c r="AF3113" s="23"/>
      <c r="AG3113" s="23"/>
      <c r="AH3113" s="23"/>
      <c r="AI3113" s="23"/>
      <c r="AN3113" s="23"/>
      <c r="AO3113" s="23"/>
      <c r="AP3113" s="23"/>
      <c r="AQ3113" s="23"/>
      <c r="AR3113" s="35"/>
      <c r="AS3113" s="35"/>
      <c r="AT3113" s="35"/>
      <c r="AU3113" s="31"/>
      <c r="AV3113" s="36"/>
    </row>
    <row r="3114" spans="4:48">
      <c r="D3114" s="31"/>
      <c r="E3114" s="31"/>
      <c r="F3114" s="31"/>
      <c r="G3114" s="31"/>
      <c r="H3114" s="32"/>
      <c r="J3114" s="33"/>
      <c r="K3114" s="33"/>
      <c r="L3114" s="33"/>
      <c r="X3114" s="23"/>
      <c r="Y3114" s="23"/>
      <c r="Z3114" s="23"/>
      <c r="AA3114" s="23"/>
      <c r="AF3114" s="23"/>
      <c r="AG3114" s="23"/>
      <c r="AH3114" s="23"/>
      <c r="AI3114" s="23"/>
      <c r="AN3114" s="23"/>
      <c r="AO3114" s="23"/>
      <c r="AP3114" s="23"/>
      <c r="AQ3114" s="23"/>
      <c r="AR3114" s="35"/>
      <c r="AS3114" s="35"/>
      <c r="AT3114" s="35"/>
      <c r="AU3114" s="31"/>
      <c r="AV3114" s="36"/>
    </row>
    <row r="3115" spans="4:48">
      <c r="D3115" s="31"/>
      <c r="E3115" s="31"/>
      <c r="F3115" s="31"/>
      <c r="G3115" s="31"/>
      <c r="H3115" s="32"/>
      <c r="J3115" s="33"/>
      <c r="K3115" s="33"/>
      <c r="L3115" s="33"/>
      <c r="X3115" s="23"/>
      <c r="Y3115" s="23"/>
      <c r="Z3115" s="23"/>
      <c r="AA3115" s="23"/>
      <c r="AF3115" s="23"/>
      <c r="AG3115" s="23"/>
      <c r="AH3115" s="23"/>
      <c r="AI3115" s="23"/>
      <c r="AN3115" s="23"/>
      <c r="AO3115" s="23"/>
      <c r="AP3115" s="23"/>
      <c r="AQ3115" s="23"/>
      <c r="AR3115" s="35"/>
      <c r="AS3115" s="35"/>
      <c r="AT3115" s="35"/>
      <c r="AU3115" s="31"/>
      <c r="AV3115" s="36"/>
    </row>
    <row r="3116" spans="4:48">
      <c r="D3116" s="31"/>
      <c r="E3116" s="31"/>
      <c r="F3116" s="31"/>
      <c r="G3116" s="31"/>
      <c r="H3116" s="32"/>
      <c r="J3116" s="33"/>
      <c r="K3116" s="33"/>
      <c r="L3116" s="33"/>
      <c r="X3116" s="23"/>
      <c r="Y3116" s="23"/>
      <c r="Z3116" s="23"/>
      <c r="AA3116" s="23"/>
      <c r="AF3116" s="23"/>
      <c r="AG3116" s="23"/>
      <c r="AH3116" s="23"/>
      <c r="AI3116" s="23"/>
      <c r="AN3116" s="23"/>
      <c r="AO3116" s="23"/>
      <c r="AP3116" s="23"/>
      <c r="AQ3116" s="23"/>
      <c r="AR3116" s="35"/>
      <c r="AS3116" s="35"/>
      <c r="AT3116" s="35"/>
      <c r="AU3116" s="31"/>
      <c r="AV3116" s="36"/>
    </row>
    <row r="3117" spans="4:48">
      <c r="D3117" s="31"/>
      <c r="E3117" s="31"/>
      <c r="F3117" s="31"/>
      <c r="G3117" s="31"/>
      <c r="H3117" s="32"/>
      <c r="J3117" s="33"/>
      <c r="K3117" s="33"/>
      <c r="L3117" s="33"/>
      <c r="X3117" s="23"/>
      <c r="Y3117" s="23"/>
      <c r="Z3117" s="23"/>
      <c r="AA3117" s="23"/>
      <c r="AF3117" s="23"/>
      <c r="AG3117" s="23"/>
      <c r="AH3117" s="23"/>
      <c r="AI3117" s="23"/>
      <c r="AN3117" s="23"/>
      <c r="AO3117" s="23"/>
      <c r="AP3117" s="23"/>
      <c r="AQ3117" s="23"/>
      <c r="AR3117" s="35"/>
      <c r="AS3117" s="35"/>
      <c r="AT3117" s="35"/>
      <c r="AU3117" s="31"/>
      <c r="AV3117" s="36"/>
    </row>
    <row r="3118" spans="4:48">
      <c r="D3118" s="31"/>
      <c r="E3118" s="31"/>
      <c r="F3118" s="31"/>
      <c r="G3118" s="31"/>
      <c r="H3118" s="32"/>
      <c r="J3118" s="33"/>
      <c r="K3118" s="33"/>
      <c r="L3118" s="33"/>
      <c r="X3118" s="23"/>
      <c r="Y3118" s="23"/>
      <c r="Z3118" s="23"/>
      <c r="AA3118" s="23"/>
      <c r="AF3118" s="23"/>
      <c r="AG3118" s="23"/>
      <c r="AH3118" s="23"/>
      <c r="AI3118" s="23"/>
      <c r="AN3118" s="23"/>
      <c r="AO3118" s="23"/>
      <c r="AP3118" s="23"/>
      <c r="AQ3118" s="23"/>
      <c r="AR3118" s="35"/>
      <c r="AS3118" s="35"/>
      <c r="AT3118" s="35"/>
      <c r="AU3118" s="31"/>
      <c r="AV3118" s="36"/>
    </row>
    <row r="3119" spans="4:48">
      <c r="D3119" s="31"/>
      <c r="E3119" s="31"/>
      <c r="F3119" s="31"/>
      <c r="G3119" s="31"/>
      <c r="H3119" s="32"/>
      <c r="J3119" s="33"/>
      <c r="K3119" s="33"/>
      <c r="L3119" s="33"/>
      <c r="X3119" s="23"/>
      <c r="Y3119" s="23"/>
      <c r="Z3119" s="23"/>
      <c r="AA3119" s="23"/>
      <c r="AF3119" s="23"/>
      <c r="AG3119" s="23"/>
      <c r="AH3119" s="23"/>
      <c r="AI3119" s="23"/>
      <c r="AN3119" s="23"/>
      <c r="AO3119" s="23"/>
      <c r="AP3119" s="23"/>
      <c r="AQ3119" s="23"/>
      <c r="AR3119" s="35"/>
      <c r="AS3119" s="35"/>
      <c r="AT3119" s="35"/>
      <c r="AU3119" s="31"/>
      <c r="AV3119" s="36"/>
    </row>
    <row r="3120" spans="4:48">
      <c r="D3120" s="31"/>
      <c r="E3120" s="31"/>
      <c r="F3120" s="31"/>
      <c r="G3120" s="31"/>
      <c r="H3120" s="32"/>
      <c r="J3120" s="33"/>
      <c r="K3120" s="33"/>
      <c r="L3120" s="33"/>
      <c r="X3120" s="23"/>
      <c r="Y3120" s="23"/>
      <c r="Z3120" s="23"/>
      <c r="AA3120" s="23"/>
      <c r="AF3120" s="23"/>
      <c r="AG3120" s="23"/>
      <c r="AH3120" s="23"/>
      <c r="AI3120" s="23"/>
      <c r="AN3120" s="23"/>
      <c r="AO3120" s="23"/>
      <c r="AP3120" s="23"/>
      <c r="AQ3120" s="23"/>
      <c r="AR3120" s="35"/>
      <c r="AS3120" s="35"/>
      <c r="AT3120" s="35"/>
      <c r="AU3120" s="31"/>
      <c r="AV3120" s="36"/>
    </row>
    <row r="3121" spans="4:48">
      <c r="D3121" s="31"/>
      <c r="E3121" s="31"/>
      <c r="F3121" s="31"/>
      <c r="G3121" s="31"/>
      <c r="H3121" s="32"/>
      <c r="J3121" s="33"/>
      <c r="K3121" s="33"/>
      <c r="L3121" s="33"/>
      <c r="X3121" s="23"/>
      <c r="Y3121" s="23"/>
      <c r="Z3121" s="23"/>
      <c r="AA3121" s="23"/>
      <c r="AF3121" s="23"/>
      <c r="AG3121" s="23"/>
      <c r="AH3121" s="23"/>
      <c r="AI3121" s="23"/>
      <c r="AN3121" s="23"/>
      <c r="AO3121" s="23"/>
      <c r="AP3121" s="23"/>
      <c r="AQ3121" s="23"/>
      <c r="AR3121" s="35"/>
      <c r="AS3121" s="35"/>
      <c r="AT3121" s="35"/>
      <c r="AU3121" s="31"/>
      <c r="AV3121" s="36"/>
    </row>
    <row r="3122" spans="4:48">
      <c r="D3122" s="31"/>
      <c r="E3122" s="31"/>
      <c r="F3122" s="31"/>
      <c r="G3122" s="31"/>
      <c r="H3122" s="32"/>
      <c r="J3122" s="33"/>
      <c r="K3122" s="33"/>
      <c r="L3122" s="33"/>
      <c r="X3122" s="23"/>
      <c r="Y3122" s="23"/>
      <c r="Z3122" s="23"/>
      <c r="AA3122" s="23"/>
      <c r="AF3122" s="23"/>
      <c r="AG3122" s="23"/>
      <c r="AH3122" s="23"/>
      <c r="AI3122" s="23"/>
      <c r="AN3122" s="23"/>
      <c r="AO3122" s="23"/>
      <c r="AP3122" s="23"/>
      <c r="AQ3122" s="23"/>
      <c r="AR3122" s="35"/>
      <c r="AS3122" s="35"/>
      <c r="AT3122" s="35"/>
      <c r="AU3122" s="31"/>
      <c r="AV3122" s="36"/>
    </row>
    <row r="3123" spans="4:48">
      <c r="D3123" s="31"/>
      <c r="E3123" s="31"/>
      <c r="F3123" s="31"/>
      <c r="G3123" s="31"/>
      <c r="H3123" s="32"/>
      <c r="J3123" s="33"/>
      <c r="K3123" s="33"/>
      <c r="L3123" s="33"/>
      <c r="X3123" s="23"/>
      <c r="Y3123" s="23"/>
      <c r="Z3123" s="23"/>
      <c r="AA3123" s="23"/>
      <c r="AF3123" s="23"/>
      <c r="AG3123" s="23"/>
      <c r="AH3123" s="23"/>
      <c r="AI3123" s="23"/>
      <c r="AN3123" s="23"/>
      <c r="AO3123" s="23"/>
      <c r="AP3123" s="23"/>
      <c r="AQ3123" s="23"/>
      <c r="AR3123" s="35"/>
      <c r="AS3123" s="35"/>
      <c r="AT3123" s="35"/>
      <c r="AU3123" s="31"/>
      <c r="AV3123" s="36"/>
    </row>
    <row r="3124" spans="4:48">
      <c r="D3124" s="31"/>
      <c r="E3124" s="31"/>
      <c r="F3124" s="31"/>
      <c r="G3124" s="31"/>
      <c r="H3124" s="32"/>
      <c r="J3124" s="33"/>
      <c r="K3124" s="33"/>
      <c r="L3124" s="33"/>
      <c r="X3124" s="23"/>
      <c r="Y3124" s="23"/>
      <c r="Z3124" s="23"/>
      <c r="AA3124" s="23"/>
      <c r="AF3124" s="23"/>
      <c r="AG3124" s="23"/>
      <c r="AH3124" s="23"/>
      <c r="AI3124" s="23"/>
      <c r="AN3124" s="23"/>
      <c r="AO3124" s="23"/>
      <c r="AP3124" s="23"/>
      <c r="AQ3124" s="23"/>
      <c r="AR3124" s="35"/>
      <c r="AS3124" s="35"/>
      <c r="AT3124" s="35"/>
      <c r="AU3124" s="31"/>
      <c r="AV3124" s="36"/>
    </row>
    <row r="3125" spans="4:48">
      <c r="D3125" s="31"/>
      <c r="E3125" s="31"/>
      <c r="F3125" s="31"/>
      <c r="G3125" s="31"/>
      <c r="H3125" s="32"/>
      <c r="J3125" s="33"/>
      <c r="K3125" s="33"/>
      <c r="L3125" s="33"/>
      <c r="X3125" s="23"/>
      <c r="Y3125" s="23"/>
      <c r="Z3125" s="23"/>
      <c r="AA3125" s="23"/>
      <c r="AF3125" s="23"/>
      <c r="AG3125" s="23"/>
      <c r="AH3125" s="23"/>
      <c r="AI3125" s="23"/>
      <c r="AN3125" s="23"/>
      <c r="AO3125" s="23"/>
      <c r="AP3125" s="23"/>
      <c r="AQ3125" s="23"/>
      <c r="AR3125" s="35"/>
      <c r="AS3125" s="35"/>
      <c r="AT3125" s="35"/>
      <c r="AU3125" s="31"/>
      <c r="AV3125" s="36"/>
    </row>
    <row r="3126" spans="4:48">
      <c r="D3126" s="31"/>
      <c r="E3126" s="31"/>
      <c r="F3126" s="31"/>
      <c r="G3126" s="31"/>
      <c r="H3126" s="32"/>
      <c r="J3126" s="33"/>
      <c r="K3126" s="33"/>
      <c r="L3126" s="33"/>
      <c r="X3126" s="23"/>
      <c r="Y3126" s="23"/>
      <c r="Z3126" s="23"/>
      <c r="AA3126" s="23"/>
      <c r="AF3126" s="23"/>
      <c r="AG3126" s="23"/>
      <c r="AH3126" s="23"/>
      <c r="AI3126" s="23"/>
      <c r="AN3126" s="23"/>
      <c r="AO3126" s="23"/>
      <c r="AP3126" s="23"/>
      <c r="AQ3126" s="23"/>
      <c r="AR3126" s="35"/>
      <c r="AS3126" s="35"/>
      <c r="AT3126" s="35"/>
      <c r="AU3126" s="31"/>
      <c r="AV3126" s="36"/>
    </row>
    <row r="3127" spans="4:48">
      <c r="D3127" s="31"/>
      <c r="E3127" s="31"/>
      <c r="F3127" s="31"/>
      <c r="G3127" s="31"/>
      <c r="H3127" s="32"/>
      <c r="J3127" s="33"/>
      <c r="K3127" s="33"/>
      <c r="L3127" s="33"/>
      <c r="X3127" s="23"/>
      <c r="Y3127" s="23"/>
      <c r="Z3127" s="23"/>
      <c r="AA3127" s="23"/>
      <c r="AF3127" s="23"/>
      <c r="AG3127" s="23"/>
      <c r="AH3127" s="23"/>
      <c r="AI3127" s="23"/>
      <c r="AN3127" s="23"/>
      <c r="AO3127" s="23"/>
      <c r="AP3127" s="23"/>
      <c r="AQ3127" s="23"/>
      <c r="AR3127" s="35"/>
      <c r="AS3127" s="35"/>
      <c r="AT3127" s="35"/>
      <c r="AU3127" s="31"/>
      <c r="AV3127" s="36"/>
    </row>
    <row r="3128" spans="4:48">
      <c r="D3128" s="31"/>
      <c r="E3128" s="31"/>
      <c r="F3128" s="31"/>
      <c r="G3128" s="31"/>
      <c r="H3128" s="32"/>
      <c r="J3128" s="33"/>
      <c r="K3128" s="33"/>
      <c r="L3128" s="33"/>
      <c r="X3128" s="23"/>
      <c r="Y3128" s="23"/>
      <c r="Z3128" s="23"/>
      <c r="AA3128" s="23"/>
      <c r="AF3128" s="23"/>
      <c r="AG3128" s="23"/>
      <c r="AH3128" s="23"/>
      <c r="AI3128" s="23"/>
      <c r="AN3128" s="23"/>
      <c r="AO3128" s="23"/>
      <c r="AP3128" s="23"/>
      <c r="AQ3128" s="23"/>
      <c r="AR3128" s="35"/>
      <c r="AS3128" s="35"/>
      <c r="AT3128" s="35"/>
      <c r="AU3128" s="31"/>
      <c r="AV3128" s="36"/>
    </row>
    <row r="3129" spans="4:48">
      <c r="D3129" s="31"/>
      <c r="E3129" s="31"/>
      <c r="F3129" s="31"/>
      <c r="G3129" s="31"/>
      <c r="H3129" s="32"/>
      <c r="J3129" s="33"/>
      <c r="K3129" s="33"/>
      <c r="L3129" s="33"/>
      <c r="X3129" s="23"/>
      <c r="Y3129" s="23"/>
      <c r="Z3129" s="23"/>
      <c r="AA3129" s="23"/>
      <c r="AF3129" s="23"/>
      <c r="AG3129" s="23"/>
      <c r="AH3129" s="23"/>
      <c r="AI3129" s="23"/>
      <c r="AN3129" s="23"/>
      <c r="AO3129" s="23"/>
      <c r="AP3129" s="23"/>
      <c r="AQ3129" s="23"/>
      <c r="AR3129" s="35"/>
      <c r="AS3129" s="35"/>
      <c r="AT3129" s="35"/>
      <c r="AU3129" s="31"/>
      <c r="AV3129" s="36"/>
    </row>
    <row r="3130" spans="4:48">
      <c r="D3130" s="31"/>
      <c r="E3130" s="31"/>
      <c r="F3130" s="31"/>
      <c r="G3130" s="31"/>
      <c r="H3130" s="32"/>
      <c r="J3130" s="33"/>
      <c r="K3130" s="33"/>
      <c r="L3130" s="33"/>
      <c r="X3130" s="23"/>
      <c r="Y3130" s="23"/>
      <c r="Z3130" s="23"/>
      <c r="AA3130" s="23"/>
      <c r="AF3130" s="23"/>
      <c r="AG3130" s="23"/>
      <c r="AH3130" s="23"/>
      <c r="AI3130" s="23"/>
      <c r="AN3130" s="23"/>
      <c r="AO3130" s="23"/>
      <c r="AP3130" s="23"/>
      <c r="AQ3130" s="23"/>
      <c r="AR3130" s="35"/>
      <c r="AS3130" s="35"/>
      <c r="AT3130" s="35"/>
      <c r="AU3130" s="31"/>
      <c r="AV3130" s="36"/>
    </row>
    <row r="3131" spans="4:48">
      <c r="D3131" s="31"/>
      <c r="E3131" s="31"/>
      <c r="F3131" s="31"/>
      <c r="G3131" s="31"/>
      <c r="H3131" s="32"/>
      <c r="J3131" s="33"/>
      <c r="K3131" s="33"/>
      <c r="L3131" s="33"/>
      <c r="X3131" s="23"/>
      <c r="Y3131" s="23"/>
      <c r="Z3131" s="23"/>
      <c r="AA3131" s="23"/>
      <c r="AF3131" s="23"/>
      <c r="AG3131" s="23"/>
      <c r="AH3131" s="23"/>
      <c r="AI3131" s="23"/>
      <c r="AN3131" s="23"/>
      <c r="AO3131" s="23"/>
      <c r="AP3131" s="23"/>
      <c r="AQ3131" s="23"/>
      <c r="AR3131" s="35"/>
      <c r="AS3131" s="35"/>
      <c r="AT3131" s="35"/>
      <c r="AU3131" s="31"/>
      <c r="AV3131" s="36"/>
    </row>
    <row r="3132" spans="4:48">
      <c r="D3132" s="31"/>
      <c r="E3132" s="31"/>
      <c r="F3132" s="31"/>
      <c r="G3132" s="31"/>
      <c r="H3132" s="32"/>
      <c r="J3132" s="33"/>
      <c r="K3132" s="33"/>
      <c r="L3132" s="33"/>
      <c r="X3132" s="23"/>
      <c r="Y3132" s="23"/>
      <c r="Z3132" s="23"/>
      <c r="AA3132" s="23"/>
      <c r="AF3132" s="23"/>
      <c r="AG3132" s="23"/>
      <c r="AH3132" s="23"/>
      <c r="AI3132" s="23"/>
      <c r="AN3132" s="23"/>
      <c r="AO3132" s="23"/>
      <c r="AP3132" s="23"/>
      <c r="AQ3132" s="23"/>
      <c r="AR3132" s="35"/>
      <c r="AS3132" s="35"/>
      <c r="AT3132" s="35"/>
      <c r="AU3132" s="31"/>
      <c r="AV3132" s="36"/>
    </row>
    <row r="3133" spans="4:48">
      <c r="D3133" s="31"/>
      <c r="E3133" s="31"/>
      <c r="F3133" s="31"/>
      <c r="G3133" s="31"/>
      <c r="H3133" s="32"/>
      <c r="J3133" s="33"/>
      <c r="K3133" s="33"/>
      <c r="L3133" s="33"/>
      <c r="X3133" s="23"/>
      <c r="Y3133" s="23"/>
      <c r="Z3133" s="23"/>
      <c r="AA3133" s="23"/>
      <c r="AF3133" s="23"/>
      <c r="AG3133" s="23"/>
      <c r="AH3133" s="23"/>
      <c r="AI3133" s="23"/>
      <c r="AN3133" s="23"/>
      <c r="AO3133" s="23"/>
      <c r="AP3133" s="23"/>
      <c r="AQ3133" s="23"/>
      <c r="AR3133" s="35"/>
      <c r="AS3133" s="35"/>
      <c r="AT3133" s="35"/>
      <c r="AU3133" s="31"/>
      <c r="AV3133" s="36"/>
    </row>
    <row r="3134" spans="4:48">
      <c r="D3134" s="31"/>
      <c r="E3134" s="31"/>
      <c r="F3134" s="31"/>
      <c r="G3134" s="31"/>
      <c r="H3134" s="32"/>
      <c r="J3134" s="33"/>
      <c r="K3134" s="33"/>
      <c r="L3134" s="33"/>
      <c r="X3134" s="23"/>
      <c r="Y3134" s="23"/>
      <c r="Z3134" s="23"/>
      <c r="AA3134" s="23"/>
      <c r="AF3134" s="23"/>
      <c r="AG3134" s="23"/>
      <c r="AH3134" s="23"/>
      <c r="AI3134" s="23"/>
      <c r="AN3134" s="23"/>
      <c r="AO3134" s="23"/>
      <c r="AP3134" s="23"/>
      <c r="AQ3134" s="23"/>
      <c r="AR3134" s="35"/>
      <c r="AS3134" s="35"/>
      <c r="AT3134" s="35"/>
      <c r="AU3134" s="31"/>
      <c r="AV3134" s="36"/>
    </row>
    <row r="3135" spans="4:48">
      <c r="D3135" s="31"/>
      <c r="E3135" s="31"/>
      <c r="F3135" s="31"/>
      <c r="G3135" s="31"/>
      <c r="H3135" s="32"/>
      <c r="J3135" s="33"/>
      <c r="K3135" s="33"/>
      <c r="L3135" s="33"/>
      <c r="X3135" s="23"/>
      <c r="Y3135" s="23"/>
      <c r="Z3135" s="23"/>
      <c r="AA3135" s="23"/>
      <c r="AF3135" s="23"/>
      <c r="AG3135" s="23"/>
      <c r="AH3135" s="23"/>
      <c r="AI3135" s="23"/>
      <c r="AN3135" s="23"/>
      <c r="AO3135" s="23"/>
      <c r="AP3135" s="23"/>
      <c r="AQ3135" s="23"/>
      <c r="AR3135" s="35"/>
      <c r="AS3135" s="35"/>
      <c r="AT3135" s="35"/>
      <c r="AU3135" s="31"/>
      <c r="AV3135" s="36"/>
    </row>
    <row r="3136" spans="4:48">
      <c r="D3136" s="31"/>
      <c r="E3136" s="31"/>
      <c r="F3136" s="31"/>
      <c r="G3136" s="31"/>
      <c r="H3136" s="32"/>
      <c r="J3136" s="33"/>
      <c r="K3136" s="33"/>
      <c r="L3136" s="33"/>
      <c r="X3136" s="23"/>
      <c r="Y3136" s="23"/>
      <c r="Z3136" s="23"/>
      <c r="AA3136" s="23"/>
      <c r="AF3136" s="23"/>
      <c r="AG3136" s="23"/>
      <c r="AH3136" s="23"/>
      <c r="AI3136" s="23"/>
      <c r="AN3136" s="23"/>
      <c r="AO3136" s="23"/>
      <c r="AP3136" s="23"/>
      <c r="AQ3136" s="23"/>
      <c r="AR3136" s="35"/>
      <c r="AS3136" s="35"/>
      <c r="AT3136" s="35"/>
      <c r="AU3136" s="31"/>
      <c r="AV3136" s="36"/>
    </row>
    <row r="3137" spans="4:48">
      <c r="D3137" s="31"/>
      <c r="E3137" s="31"/>
      <c r="F3137" s="31"/>
      <c r="G3137" s="31"/>
      <c r="H3137" s="32"/>
      <c r="J3137" s="33"/>
      <c r="K3137" s="33"/>
      <c r="L3137" s="33"/>
      <c r="X3137" s="23"/>
      <c r="Y3137" s="23"/>
      <c r="Z3137" s="23"/>
      <c r="AA3137" s="23"/>
      <c r="AF3137" s="23"/>
      <c r="AG3137" s="23"/>
      <c r="AH3137" s="23"/>
      <c r="AI3137" s="23"/>
      <c r="AN3137" s="23"/>
      <c r="AO3137" s="23"/>
      <c r="AP3137" s="23"/>
      <c r="AQ3137" s="23"/>
      <c r="AR3137" s="35"/>
      <c r="AS3137" s="35"/>
      <c r="AT3137" s="35"/>
      <c r="AU3137" s="31"/>
      <c r="AV3137" s="36"/>
    </row>
    <row r="3138" spans="4:48">
      <c r="D3138" s="31"/>
      <c r="E3138" s="31"/>
      <c r="F3138" s="31"/>
      <c r="G3138" s="31"/>
      <c r="H3138" s="32"/>
      <c r="J3138" s="33"/>
      <c r="K3138" s="33"/>
      <c r="L3138" s="33"/>
      <c r="X3138" s="23"/>
      <c r="Y3138" s="23"/>
      <c r="Z3138" s="23"/>
      <c r="AA3138" s="23"/>
      <c r="AF3138" s="23"/>
      <c r="AG3138" s="23"/>
      <c r="AH3138" s="23"/>
      <c r="AI3138" s="23"/>
      <c r="AN3138" s="23"/>
      <c r="AO3138" s="23"/>
      <c r="AP3138" s="23"/>
      <c r="AQ3138" s="23"/>
      <c r="AR3138" s="35"/>
      <c r="AS3138" s="35"/>
      <c r="AT3138" s="35"/>
      <c r="AU3138" s="31"/>
      <c r="AV3138" s="36"/>
    </row>
    <row r="3139" spans="4:48">
      <c r="D3139" s="31"/>
      <c r="E3139" s="31"/>
      <c r="F3139" s="31"/>
      <c r="G3139" s="31"/>
      <c r="H3139" s="32"/>
      <c r="J3139" s="33"/>
      <c r="K3139" s="33"/>
      <c r="L3139" s="33"/>
      <c r="X3139" s="23"/>
      <c r="Y3139" s="23"/>
      <c r="Z3139" s="23"/>
      <c r="AA3139" s="23"/>
      <c r="AF3139" s="23"/>
      <c r="AG3139" s="23"/>
      <c r="AH3139" s="23"/>
      <c r="AI3139" s="23"/>
      <c r="AN3139" s="23"/>
      <c r="AO3139" s="23"/>
      <c r="AP3139" s="23"/>
      <c r="AQ3139" s="23"/>
      <c r="AR3139" s="35"/>
      <c r="AS3139" s="35"/>
      <c r="AT3139" s="35"/>
      <c r="AU3139" s="31"/>
      <c r="AV3139" s="36"/>
    </row>
    <row r="3140" spans="4:48">
      <c r="D3140" s="31"/>
      <c r="E3140" s="31"/>
      <c r="F3140" s="31"/>
      <c r="G3140" s="31"/>
      <c r="H3140" s="32"/>
      <c r="J3140" s="33"/>
      <c r="K3140" s="33"/>
      <c r="L3140" s="33"/>
      <c r="X3140" s="23"/>
      <c r="Y3140" s="23"/>
      <c r="Z3140" s="23"/>
      <c r="AA3140" s="23"/>
      <c r="AF3140" s="23"/>
      <c r="AG3140" s="23"/>
      <c r="AH3140" s="23"/>
      <c r="AI3140" s="23"/>
      <c r="AN3140" s="23"/>
      <c r="AO3140" s="23"/>
      <c r="AP3140" s="23"/>
      <c r="AQ3140" s="23"/>
      <c r="AR3140" s="35"/>
      <c r="AS3140" s="35"/>
      <c r="AT3140" s="35"/>
      <c r="AU3140" s="31"/>
      <c r="AV3140" s="36"/>
    </row>
    <row r="3141" spans="4:48">
      <c r="D3141" s="31"/>
      <c r="E3141" s="31"/>
      <c r="F3141" s="31"/>
      <c r="G3141" s="31"/>
      <c r="H3141" s="32"/>
      <c r="J3141" s="33"/>
      <c r="K3141" s="33"/>
      <c r="L3141" s="33"/>
      <c r="X3141" s="23"/>
      <c r="Y3141" s="23"/>
      <c r="Z3141" s="23"/>
      <c r="AA3141" s="23"/>
      <c r="AF3141" s="23"/>
      <c r="AG3141" s="23"/>
      <c r="AH3141" s="23"/>
      <c r="AI3141" s="23"/>
      <c r="AN3141" s="23"/>
      <c r="AO3141" s="23"/>
      <c r="AP3141" s="23"/>
      <c r="AQ3141" s="23"/>
      <c r="AR3141" s="35"/>
      <c r="AS3141" s="35"/>
      <c r="AT3141" s="35"/>
      <c r="AU3141" s="31"/>
      <c r="AV3141" s="36"/>
    </row>
    <row r="3142" spans="4:48">
      <c r="D3142" s="31"/>
      <c r="E3142" s="31"/>
      <c r="F3142" s="31"/>
      <c r="G3142" s="31"/>
      <c r="H3142" s="32"/>
      <c r="J3142" s="33"/>
      <c r="K3142" s="33"/>
      <c r="L3142" s="33"/>
      <c r="X3142" s="23"/>
      <c r="Y3142" s="23"/>
      <c r="Z3142" s="23"/>
      <c r="AA3142" s="23"/>
      <c r="AF3142" s="23"/>
      <c r="AG3142" s="23"/>
      <c r="AH3142" s="23"/>
      <c r="AI3142" s="23"/>
      <c r="AN3142" s="23"/>
      <c r="AO3142" s="23"/>
      <c r="AP3142" s="23"/>
      <c r="AQ3142" s="23"/>
      <c r="AR3142" s="35"/>
      <c r="AS3142" s="35"/>
      <c r="AT3142" s="35"/>
      <c r="AU3142" s="31"/>
      <c r="AV3142" s="36"/>
    </row>
    <row r="3143" spans="4:48">
      <c r="D3143" s="31"/>
      <c r="E3143" s="31"/>
      <c r="F3143" s="31"/>
      <c r="G3143" s="31"/>
      <c r="H3143" s="32"/>
      <c r="J3143" s="33"/>
      <c r="K3143" s="33"/>
      <c r="L3143" s="33"/>
      <c r="X3143" s="23"/>
      <c r="Y3143" s="23"/>
      <c r="Z3143" s="23"/>
      <c r="AA3143" s="23"/>
      <c r="AF3143" s="23"/>
      <c r="AG3143" s="23"/>
      <c r="AH3143" s="23"/>
      <c r="AI3143" s="23"/>
      <c r="AN3143" s="23"/>
      <c r="AO3143" s="23"/>
      <c r="AP3143" s="23"/>
      <c r="AQ3143" s="23"/>
      <c r="AR3143" s="35"/>
      <c r="AS3143" s="35"/>
      <c r="AT3143" s="35"/>
      <c r="AU3143" s="31"/>
      <c r="AV3143" s="36"/>
    </row>
    <row r="3144" spans="4:48">
      <c r="D3144" s="31"/>
      <c r="E3144" s="31"/>
      <c r="F3144" s="31"/>
      <c r="G3144" s="31"/>
      <c r="H3144" s="32"/>
      <c r="J3144" s="33"/>
      <c r="K3144" s="33"/>
      <c r="L3144" s="33"/>
      <c r="X3144" s="23"/>
      <c r="Y3144" s="23"/>
      <c r="Z3144" s="23"/>
      <c r="AA3144" s="23"/>
      <c r="AF3144" s="23"/>
      <c r="AG3144" s="23"/>
      <c r="AH3144" s="23"/>
      <c r="AI3144" s="23"/>
      <c r="AN3144" s="23"/>
      <c r="AO3144" s="23"/>
      <c r="AP3144" s="23"/>
      <c r="AQ3144" s="23"/>
      <c r="AR3144" s="35"/>
      <c r="AS3144" s="35"/>
      <c r="AT3144" s="35"/>
      <c r="AU3144" s="31"/>
      <c r="AV3144" s="36"/>
    </row>
    <row r="3145" spans="4:48">
      <c r="D3145" s="31"/>
      <c r="E3145" s="31"/>
      <c r="F3145" s="31"/>
      <c r="G3145" s="31"/>
      <c r="H3145" s="32"/>
      <c r="J3145" s="33"/>
      <c r="K3145" s="33"/>
      <c r="L3145" s="33"/>
      <c r="X3145" s="23"/>
      <c r="Y3145" s="23"/>
      <c r="Z3145" s="23"/>
      <c r="AA3145" s="23"/>
      <c r="AF3145" s="23"/>
      <c r="AG3145" s="23"/>
      <c r="AH3145" s="23"/>
      <c r="AI3145" s="23"/>
      <c r="AN3145" s="23"/>
      <c r="AO3145" s="23"/>
      <c r="AP3145" s="23"/>
      <c r="AQ3145" s="23"/>
      <c r="AR3145" s="35"/>
      <c r="AS3145" s="35"/>
      <c r="AT3145" s="35"/>
      <c r="AU3145" s="31"/>
      <c r="AV3145" s="36"/>
    </row>
    <row r="3146" spans="4:48">
      <c r="D3146" s="31"/>
      <c r="E3146" s="31"/>
      <c r="F3146" s="31"/>
      <c r="G3146" s="31"/>
      <c r="H3146" s="32"/>
      <c r="J3146" s="33"/>
      <c r="K3146" s="33"/>
      <c r="L3146" s="33"/>
      <c r="X3146" s="23"/>
      <c r="Y3146" s="23"/>
      <c r="Z3146" s="23"/>
      <c r="AA3146" s="23"/>
      <c r="AF3146" s="23"/>
      <c r="AG3146" s="23"/>
      <c r="AH3146" s="23"/>
      <c r="AI3146" s="23"/>
      <c r="AN3146" s="23"/>
      <c r="AO3146" s="23"/>
      <c r="AP3146" s="23"/>
      <c r="AQ3146" s="23"/>
      <c r="AR3146" s="35"/>
      <c r="AS3146" s="35"/>
      <c r="AT3146" s="35"/>
      <c r="AU3146" s="31"/>
      <c r="AV3146" s="36"/>
    </row>
    <row r="3147" spans="4:48">
      <c r="D3147" s="31"/>
      <c r="E3147" s="31"/>
      <c r="F3147" s="31"/>
      <c r="G3147" s="31"/>
      <c r="H3147" s="32"/>
      <c r="J3147" s="33"/>
      <c r="K3147" s="33"/>
      <c r="L3147" s="33"/>
      <c r="X3147" s="23"/>
      <c r="Y3147" s="23"/>
      <c r="Z3147" s="23"/>
      <c r="AA3147" s="23"/>
      <c r="AF3147" s="23"/>
      <c r="AG3147" s="23"/>
      <c r="AH3147" s="23"/>
      <c r="AI3147" s="23"/>
      <c r="AN3147" s="23"/>
      <c r="AO3147" s="23"/>
      <c r="AP3147" s="23"/>
      <c r="AQ3147" s="23"/>
      <c r="AR3147" s="35"/>
      <c r="AS3147" s="35"/>
      <c r="AT3147" s="35"/>
      <c r="AU3147" s="31"/>
      <c r="AV3147" s="36"/>
    </row>
    <row r="3148" spans="4:48">
      <c r="D3148" s="31"/>
      <c r="E3148" s="31"/>
      <c r="F3148" s="31"/>
      <c r="G3148" s="31"/>
      <c r="H3148" s="32"/>
      <c r="J3148" s="33"/>
      <c r="K3148" s="33"/>
      <c r="L3148" s="33"/>
      <c r="X3148" s="23"/>
      <c r="Y3148" s="23"/>
      <c r="Z3148" s="23"/>
      <c r="AA3148" s="23"/>
      <c r="AF3148" s="23"/>
      <c r="AG3148" s="23"/>
      <c r="AH3148" s="23"/>
      <c r="AI3148" s="23"/>
      <c r="AN3148" s="23"/>
      <c r="AO3148" s="23"/>
      <c r="AP3148" s="23"/>
      <c r="AQ3148" s="23"/>
      <c r="AR3148" s="35"/>
      <c r="AS3148" s="35"/>
      <c r="AT3148" s="35"/>
      <c r="AU3148" s="31"/>
      <c r="AV3148" s="36"/>
    </row>
    <row r="3149" spans="4:48">
      <c r="D3149" s="31"/>
      <c r="E3149" s="31"/>
      <c r="F3149" s="31"/>
      <c r="G3149" s="31"/>
      <c r="H3149" s="32"/>
      <c r="J3149" s="33"/>
      <c r="K3149" s="33"/>
      <c r="L3149" s="33"/>
      <c r="X3149" s="23"/>
      <c r="Y3149" s="23"/>
      <c r="Z3149" s="23"/>
      <c r="AA3149" s="23"/>
      <c r="AF3149" s="23"/>
      <c r="AG3149" s="23"/>
      <c r="AH3149" s="23"/>
      <c r="AI3149" s="23"/>
      <c r="AN3149" s="23"/>
      <c r="AO3149" s="23"/>
      <c r="AP3149" s="23"/>
      <c r="AQ3149" s="23"/>
      <c r="AR3149" s="35"/>
      <c r="AS3149" s="35"/>
      <c r="AT3149" s="35"/>
      <c r="AU3149" s="31"/>
      <c r="AV3149" s="36"/>
    </row>
    <row r="3150" spans="4:48">
      <c r="D3150" s="31"/>
      <c r="E3150" s="31"/>
      <c r="F3150" s="31"/>
      <c r="G3150" s="31"/>
      <c r="H3150" s="32"/>
      <c r="J3150" s="33"/>
      <c r="K3150" s="33"/>
      <c r="L3150" s="33"/>
      <c r="X3150" s="23"/>
      <c r="Y3150" s="23"/>
      <c r="Z3150" s="23"/>
      <c r="AA3150" s="23"/>
      <c r="AF3150" s="23"/>
      <c r="AG3150" s="23"/>
      <c r="AH3150" s="23"/>
      <c r="AI3150" s="23"/>
      <c r="AN3150" s="23"/>
      <c r="AO3150" s="23"/>
      <c r="AP3150" s="23"/>
      <c r="AQ3150" s="23"/>
      <c r="AR3150" s="35"/>
      <c r="AS3150" s="35"/>
      <c r="AT3150" s="35"/>
      <c r="AU3150" s="31"/>
      <c r="AV3150" s="36"/>
    </row>
    <row r="3151" spans="4:48">
      <c r="D3151" s="31"/>
      <c r="E3151" s="31"/>
      <c r="F3151" s="31"/>
      <c r="G3151" s="31"/>
      <c r="H3151" s="32"/>
      <c r="J3151" s="33"/>
      <c r="K3151" s="33"/>
      <c r="L3151" s="33"/>
      <c r="X3151" s="23"/>
      <c r="Y3151" s="23"/>
      <c r="Z3151" s="23"/>
      <c r="AA3151" s="23"/>
      <c r="AF3151" s="23"/>
      <c r="AG3151" s="23"/>
      <c r="AH3151" s="23"/>
      <c r="AI3151" s="23"/>
      <c r="AN3151" s="23"/>
      <c r="AO3151" s="23"/>
      <c r="AP3151" s="23"/>
      <c r="AQ3151" s="23"/>
      <c r="AR3151" s="35"/>
      <c r="AS3151" s="35"/>
      <c r="AT3151" s="35"/>
      <c r="AU3151" s="31"/>
      <c r="AV3151" s="36"/>
    </row>
    <row r="3152" spans="4:48">
      <c r="D3152" s="31"/>
      <c r="E3152" s="31"/>
      <c r="F3152" s="31"/>
      <c r="G3152" s="31"/>
      <c r="H3152" s="32"/>
      <c r="J3152" s="33"/>
      <c r="K3152" s="33"/>
      <c r="L3152" s="33"/>
      <c r="X3152" s="23"/>
      <c r="Y3152" s="23"/>
      <c r="Z3152" s="23"/>
      <c r="AA3152" s="23"/>
      <c r="AF3152" s="23"/>
      <c r="AG3152" s="23"/>
      <c r="AH3152" s="23"/>
      <c r="AI3152" s="23"/>
      <c r="AN3152" s="23"/>
      <c r="AO3152" s="23"/>
      <c r="AP3152" s="23"/>
      <c r="AQ3152" s="23"/>
      <c r="AR3152" s="35"/>
      <c r="AS3152" s="35"/>
      <c r="AT3152" s="35"/>
      <c r="AU3152" s="31"/>
      <c r="AV3152" s="36"/>
    </row>
    <row r="3153" spans="4:48">
      <c r="D3153" s="31"/>
      <c r="E3153" s="31"/>
      <c r="F3153" s="31"/>
      <c r="G3153" s="31"/>
      <c r="H3153" s="32"/>
      <c r="J3153" s="33"/>
      <c r="K3153" s="33"/>
      <c r="L3153" s="33"/>
      <c r="X3153" s="23"/>
      <c r="Y3153" s="23"/>
      <c r="Z3153" s="23"/>
      <c r="AA3153" s="23"/>
      <c r="AF3153" s="23"/>
      <c r="AG3153" s="23"/>
      <c r="AH3153" s="23"/>
      <c r="AI3153" s="23"/>
      <c r="AN3153" s="23"/>
      <c r="AO3153" s="23"/>
      <c r="AP3153" s="23"/>
      <c r="AQ3153" s="23"/>
      <c r="AR3153" s="35"/>
      <c r="AS3153" s="35"/>
      <c r="AT3153" s="35"/>
      <c r="AU3153" s="31"/>
      <c r="AV3153" s="36"/>
    </row>
    <row r="3154" spans="4:48">
      <c r="D3154" s="31"/>
      <c r="E3154" s="31"/>
      <c r="F3154" s="31"/>
      <c r="G3154" s="31"/>
      <c r="H3154" s="32"/>
      <c r="J3154" s="33"/>
      <c r="K3154" s="33"/>
      <c r="L3154" s="33"/>
      <c r="X3154" s="23"/>
      <c r="Y3154" s="23"/>
      <c r="Z3154" s="23"/>
      <c r="AA3154" s="23"/>
      <c r="AF3154" s="23"/>
      <c r="AG3154" s="23"/>
      <c r="AH3154" s="23"/>
      <c r="AI3154" s="23"/>
      <c r="AN3154" s="23"/>
      <c r="AO3154" s="23"/>
      <c r="AP3154" s="23"/>
      <c r="AQ3154" s="23"/>
      <c r="AR3154" s="35"/>
      <c r="AS3154" s="35"/>
      <c r="AT3154" s="35"/>
      <c r="AU3154" s="31"/>
      <c r="AV3154" s="36"/>
    </row>
    <row r="3155" spans="4:48">
      <c r="D3155" s="31"/>
      <c r="E3155" s="31"/>
      <c r="F3155" s="31"/>
      <c r="G3155" s="31"/>
      <c r="H3155" s="32"/>
      <c r="J3155" s="33"/>
      <c r="K3155" s="33"/>
      <c r="L3155" s="33"/>
      <c r="X3155" s="23"/>
      <c r="Y3155" s="23"/>
      <c r="Z3155" s="23"/>
      <c r="AA3155" s="23"/>
      <c r="AF3155" s="23"/>
      <c r="AG3155" s="23"/>
      <c r="AH3155" s="23"/>
      <c r="AI3155" s="23"/>
      <c r="AN3155" s="23"/>
      <c r="AO3155" s="23"/>
      <c r="AP3155" s="23"/>
      <c r="AQ3155" s="23"/>
      <c r="AR3155" s="35"/>
      <c r="AS3155" s="35"/>
      <c r="AT3155" s="35"/>
      <c r="AU3155" s="31"/>
      <c r="AV3155" s="36"/>
    </row>
    <row r="3156" spans="4:48">
      <c r="D3156" s="31"/>
      <c r="E3156" s="31"/>
      <c r="F3156" s="31"/>
      <c r="G3156" s="31"/>
      <c r="H3156" s="32"/>
      <c r="J3156" s="33"/>
      <c r="K3156" s="33"/>
      <c r="L3156" s="33"/>
      <c r="X3156" s="23"/>
      <c r="Y3156" s="23"/>
      <c r="Z3156" s="23"/>
      <c r="AA3156" s="23"/>
      <c r="AF3156" s="23"/>
      <c r="AG3156" s="23"/>
      <c r="AH3156" s="23"/>
      <c r="AI3156" s="23"/>
      <c r="AN3156" s="23"/>
      <c r="AO3156" s="23"/>
      <c r="AP3156" s="23"/>
      <c r="AQ3156" s="23"/>
      <c r="AR3156" s="35"/>
      <c r="AS3156" s="35"/>
      <c r="AT3156" s="35"/>
      <c r="AU3156" s="31"/>
      <c r="AV3156" s="36"/>
    </row>
    <row r="3157" spans="4:48">
      <c r="D3157" s="31"/>
      <c r="E3157" s="31"/>
      <c r="F3157" s="31"/>
      <c r="G3157" s="31"/>
      <c r="H3157" s="32"/>
      <c r="J3157" s="33"/>
      <c r="K3157" s="33"/>
      <c r="L3157" s="33"/>
      <c r="X3157" s="23"/>
      <c r="Y3157" s="23"/>
      <c r="Z3157" s="23"/>
      <c r="AA3157" s="23"/>
      <c r="AF3157" s="23"/>
      <c r="AG3157" s="23"/>
      <c r="AH3157" s="23"/>
      <c r="AI3157" s="23"/>
      <c r="AN3157" s="23"/>
      <c r="AO3157" s="23"/>
      <c r="AP3157" s="23"/>
      <c r="AQ3157" s="23"/>
      <c r="AR3157" s="35"/>
      <c r="AS3157" s="35"/>
      <c r="AT3157" s="35"/>
      <c r="AU3157" s="31"/>
      <c r="AV3157" s="36"/>
    </row>
    <row r="3158" spans="4:48">
      <c r="D3158" s="31"/>
      <c r="E3158" s="31"/>
      <c r="F3158" s="31"/>
      <c r="G3158" s="31"/>
      <c r="H3158" s="32"/>
      <c r="J3158" s="33"/>
      <c r="K3158" s="33"/>
      <c r="L3158" s="33"/>
      <c r="X3158" s="23"/>
      <c r="Y3158" s="23"/>
      <c r="Z3158" s="23"/>
      <c r="AA3158" s="23"/>
      <c r="AF3158" s="23"/>
      <c r="AG3158" s="23"/>
      <c r="AH3158" s="23"/>
      <c r="AI3158" s="23"/>
      <c r="AN3158" s="23"/>
      <c r="AO3158" s="23"/>
      <c r="AP3158" s="23"/>
      <c r="AQ3158" s="23"/>
      <c r="AR3158" s="35"/>
      <c r="AS3158" s="35"/>
      <c r="AT3158" s="35"/>
      <c r="AU3158" s="31"/>
      <c r="AV3158" s="36"/>
    </row>
    <row r="3159" spans="4:48">
      <c r="D3159" s="31"/>
      <c r="E3159" s="31"/>
      <c r="F3159" s="31"/>
      <c r="G3159" s="31"/>
      <c r="H3159" s="32"/>
      <c r="J3159" s="33"/>
      <c r="K3159" s="33"/>
      <c r="L3159" s="33"/>
      <c r="X3159" s="23"/>
      <c r="Y3159" s="23"/>
      <c r="Z3159" s="23"/>
      <c r="AA3159" s="23"/>
      <c r="AF3159" s="23"/>
      <c r="AG3159" s="23"/>
      <c r="AH3159" s="23"/>
      <c r="AI3159" s="23"/>
      <c r="AN3159" s="23"/>
      <c r="AO3159" s="23"/>
      <c r="AP3159" s="23"/>
      <c r="AQ3159" s="23"/>
      <c r="AR3159" s="35"/>
      <c r="AS3159" s="35"/>
      <c r="AT3159" s="35"/>
      <c r="AU3159" s="31"/>
      <c r="AV3159" s="36"/>
    </row>
    <row r="3160" spans="4:48">
      <c r="D3160" s="31"/>
      <c r="E3160" s="31"/>
      <c r="F3160" s="31"/>
      <c r="G3160" s="31"/>
      <c r="H3160" s="32"/>
      <c r="J3160" s="33"/>
      <c r="K3160" s="33"/>
      <c r="L3160" s="33"/>
      <c r="X3160" s="23"/>
      <c r="Y3160" s="23"/>
      <c r="Z3160" s="23"/>
      <c r="AA3160" s="23"/>
      <c r="AF3160" s="23"/>
      <c r="AG3160" s="23"/>
      <c r="AH3160" s="23"/>
      <c r="AI3160" s="23"/>
      <c r="AN3160" s="23"/>
      <c r="AO3160" s="23"/>
      <c r="AP3160" s="23"/>
      <c r="AQ3160" s="23"/>
      <c r="AR3160" s="35"/>
      <c r="AS3160" s="35"/>
      <c r="AT3160" s="35"/>
      <c r="AU3160" s="31"/>
      <c r="AV3160" s="36"/>
    </row>
    <row r="3161" spans="4:48">
      <c r="D3161" s="31"/>
      <c r="E3161" s="31"/>
      <c r="F3161" s="31"/>
      <c r="G3161" s="31"/>
      <c r="H3161" s="32"/>
      <c r="J3161" s="33"/>
      <c r="K3161" s="33"/>
      <c r="L3161" s="33"/>
      <c r="X3161" s="23"/>
      <c r="Y3161" s="23"/>
      <c r="Z3161" s="23"/>
      <c r="AA3161" s="23"/>
      <c r="AF3161" s="23"/>
      <c r="AG3161" s="23"/>
      <c r="AH3161" s="23"/>
      <c r="AI3161" s="23"/>
      <c r="AN3161" s="23"/>
      <c r="AO3161" s="23"/>
      <c r="AP3161" s="23"/>
      <c r="AQ3161" s="23"/>
      <c r="AR3161" s="35"/>
      <c r="AS3161" s="35"/>
      <c r="AT3161" s="35"/>
      <c r="AU3161" s="31"/>
      <c r="AV3161" s="36"/>
    </row>
    <row r="3162" spans="4:48">
      <c r="D3162" s="31"/>
      <c r="E3162" s="31"/>
      <c r="F3162" s="31"/>
      <c r="G3162" s="31"/>
      <c r="H3162" s="32"/>
      <c r="J3162" s="33"/>
      <c r="K3162" s="33"/>
      <c r="L3162" s="33"/>
      <c r="X3162" s="23"/>
      <c r="Y3162" s="23"/>
      <c r="Z3162" s="23"/>
      <c r="AA3162" s="23"/>
      <c r="AF3162" s="23"/>
      <c r="AG3162" s="23"/>
      <c r="AH3162" s="23"/>
      <c r="AI3162" s="23"/>
      <c r="AN3162" s="23"/>
      <c r="AO3162" s="23"/>
      <c r="AP3162" s="23"/>
      <c r="AQ3162" s="23"/>
      <c r="AR3162" s="35"/>
      <c r="AS3162" s="35"/>
      <c r="AT3162" s="35"/>
      <c r="AU3162" s="31"/>
      <c r="AV3162" s="36"/>
    </row>
    <row r="3163" spans="4:48">
      <c r="D3163" s="31"/>
      <c r="E3163" s="31"/>
      <c r="F3163" s="31"/>
      <c r="G3163" s="31"/>
      <c r="H3163" s="32"/>
      <c r="J3163" s="33"/>
      <c r="K3163" s="33"/>
      <c r="L3163" s="33"/>
      <c r="X3163" s="23"/>
      <c r="Y3163" s="23"/>
      <c r="Z3163" s="23"/>
      <c r="AA3163" s="23"/>
      <c r="AF3163" s="23"/>
      <c r="AG3163" s="23"/>
      <c r="AH3163" s="23"/>
      <c r="AI3163" s="23"/>
      <c r="AN3163" s="23"/>
      <c r="AO3163" s="23"/>
      <c r="AP3163" s="23"/>
      <c r="AQ3163" s="23"/>
      <c r="AR3163" s="35"/>
      <c r="AS3163" s="35"/>
      <c r="AT3163" s="35"/>
      <c r="AU3163" s="31"/>
      <c r="AV3163" s="36"/>
    </row>
    <row r="3164" spans="4:48">
      <c r="D3164" s="31"/>
      <c r="E3164" s="31"/>
      <c r="F3164" s="31"/>
      <c r="G3164" s="31"/>
      <c r="H3164" s="32"/>
      <c r="J3164" s="33"/>
      <c r="K3164" s="33"/>
      <c r="L3164" s="33"/>
      <c r="X3164" s="23"/>
      <c r="Y3164" s="23"/>
      <c r="Z3164" s="23"/>
      <c r="AA3164" s="23"/>
      <c r="AF3164" s="23"/>
      <c r="AG3164" s="23"/>
      <c r="AH3164" s="23"/>
      <c r="AI3164" s="23"/>
      <c r="AN3164" s="23"/>
      <c r="AO3164" s="23"/>
      <c r="AP3164" s="23"/>
      <c r="AQ3164" s="23"/>
      <c r="AR3164" s="35"/>
      <c r="AS3164" s="35"/>
      <c r="AT3164" s="35"/>
      <c r="AU3164" s="31"/>
      <c r="AV3164" s="36"/>
    </row>
    <row r="3165" spans="4:48">
      <c r="D3165" s="31"/>
      <c r="E3165" s="31"/>
      <c r="F3165" s="31"/>
      <c r="G3165" s="31"/>
      <c r="H3165" s="32"/>
      <c r="J3165" s="33"/>
      <c r="K3165" s="33"/>
      <c r="L3165" s="33"/>
      <c r="X3165" s="23"/>
      <c r="Y3165" s="23"/>
      <c r="Z3165" s="23"/>
      <c r="AA3165" s="23"/>
      <c r="AF3165" s="23"/>
      <c r="AG3165" s="23"/>
      <c r="AH3165" s="23"/>
      <c r="AI3165" s="23"/>
      <c r="AN3165" s="23"/>
      <c r="AO3165" s="23"/>
      <c r="AP3165" s="23"/>
      <c r="AQ3165" s="23"/>
      <c r="AR3165" s="35"/>
      <c r="AS3165" s="35"/>
      <c r="AT3165" s="35"/>
      <c r="AU3165" s="31"/>
      <c r="AV3165" s="36"/>
    </row>
    <row r="3166" spans="4:48">
      <c r="D3166" s="31"/>
      <c r="E3166" s="31"/>
      <c r="F3166" s="31"/>
      <c r="G3166" s="31"/>
      <c r="H3166" s="32"/>
      <c r="J3166" s="33"/>
      <c r="K3166" s="33"/>
      <c r="L3166" s="33"/>
      <c r="X3166" s="23"/>
      <c r="Y3166" s="23"/>
      <c r="Z3166" s="23"/>
      <c r="AA3166" s="23"/>
      <c r="AF3166" s="23"/>
      <c r="AG3166" s="23"/>
      <c r="AH3166" s="23"/>
      <c r="AI3166" s="23"/>
      <c r="AN3166" s="23"/>
      <c r="AO3166" s="23"/>
      <c r="AP3166" s="23"/>
      <c r="AQ3166" s="23"/>
      <c r="AR3166" s="35"/>
      <c r="AS3166" s="35"/>
      <c r="AT3166" s="35"/>
      <c r="AU3166" s="31"/>
      <c r="AV3166" s="36"/>
    </row>
    <row r="3167" spans="4:48">
      <c r="D3167" s="31"/>
      <c r="E3167" s="31"/>
      <c r="F3167" s="31"/>
      <c r="G3167" s="31"/>
      <c r="H3167" s="32"/>
      <c r="J3167" s="33"/>
      <c r="K3167" s="33"/>
      <c r="L3167" s="33"/>
      <c r="X3167" s="23"/>
      <c r="Y3167" s="23"/>
      <c r="Z3167" s="23"/>
      <c r="AA3167" s="23"/>
      <c r="AF3167" s="23"/>
      <c r="AG3167" s="23"/>
      <c r="AH3167" s="23"/>
      <c r="AI3167" s="23"/>
      <c r="AN3167" s="23"/>
      <c r="AO3167" s="23"/>
      <c r="AP3167" s="23"/>
      <c r="AQ3167" s="23"/>
      <c r="AR3167" s="35"/>
      <c r="AS3167" s="35"/>
      <c r="AT3167" s="35"/>
      <c r="AU3167" s="31"/>
      <c r="AV3167" s="36"/>
    </row>
    <row r="3168" spans="4:48">
      <c r="D3168" s="31"/>
      <c r="E3168" s="31"/>
      <c r="F3168" s="31"/>
      <c r="G3168" s="31"/>
      <c r="H3168" s="32"/>
      <c r="J3168" s="33"/>
      <c r="K3168" s="33"/>
      <c r="L3168" s="33"/>
      <c r="X3168" s="23"/>
      <c r="Y3168" s="23"/>
      <c r="Z3168" s="23"/>
      <c r="AA3168" s="23"/>
      <c r="AF3168" s="23"/>
      <c r="AG3168" s="23"/>
      <c r="AH3168" s="23"/>
      <c r="AI3168" s="23"/>
      <c r="AN3168" s="23"/>
      <c r="AO3168" s="23"/>
      <c r="AP3168" s="23"/>
      <c r="AQ3168" s="23"/>
      <c r="AR3168" s="35"/>
      <c r="AS3168" s="35"/>
      <c r="AT3168" s="35"/>
      <c r="AU3168" s="31"/>
      <c r="AV3168" s="36"/>
    </row>
    <row r="3169" spans="4:48">
      <c r="D3169" s="31"/>
      <c r="E3169" s="31"/>
      <c r="F3169" s="31"/>
      <c r="G3169" s="31"/>
      <c r="H3169" s="32"/>
      <c r="J3169" s="33"/>
      <c r="K3169" s="33"/>
      <c r="L3169" s="33"/>
      <c r="X3169" s="23"/>
      <c r="Y3169" s="23"/>
      <c r="Z3169" s="23"/>
      <c r="AA3169" s="23"/>
      <c r="AF3169" s="23"/>
      <c r="AG3169" s="23"/>
      <c r="AH3169" s="23"/>
      <c r="AI3169" s="23"/>
      <c r="AN3169" s="23"/>
      <c r="AO3169" s="23"/>
      <c r="AP3169" s="23"/>
      <c r="AQ3169" s="23"/>
      <c r="AR3169" s="35"/>
      <c r="AS3169" s="35"/>
      <c r="AT3169" s="35"/>
      <c r="AU3169" s="31"/>
      <c r="AV3169" s="36"/>
    </row>
    <row r="3170" spans="4:48">
      <c r="D3170" s="31"/>
      <c r="E3170" s="31"/>
      <c r="F3170" s="31"/>
      <c r="G3170" s="31"/>
      <c r="H3170" s="32"/>
      <c r="J3170" s="33"/>
      <c r="K3170" s="33"/>
      <c r="L3170" s="33"/>
      <c r="X3170" s="23"/>
      <c r="Y3170" s="23"/>
      <c r="Z3170" s="23"/>
      <c r="AA3170" s="23"/>
      <c r="AF3170" s="23"/>
      <c r="AG3170" s="23"/>
      <c r="AH3170" s="23"/>
      <c r="AI3170" s="23"/>
      <c r="AN3170" s="23"/>
      <c r="AO3170" s="23"/>
      <c r="AP3170" s="23"/>
      <c r="AQ3170" s="23"/>
      <c r="AR3170" s="35"/>
      <c r="AS3170" s="35"/>
      <c r="AT3170" s="35"/>
      <c r="AU3170" s="31"/>
      <c r="AV3170" s="36"/>
    </row>
    <row r="3171" spans="4:48">
      <c r="D3171" s="31"/>
      <c r="E3171" s="31"/>
      <c r="F3171" s="31"/>
      <c r="G3171" s="31"/>
      <c r="H3171" s="32"/>
      <c r="J3171" s="33"/>
      <c r="K3171" s="33"/>
      <c r="L3171" s="33"/>
      <c r="X3171" s="23"/>
      <c r="Y3171" s="23"/>
      <c r="Z3171" s="23"/>
      <c r="AA3171" s="23"/>
      <c r="AF3171" s="23"/>
      <c r="AG3171" s="23"/>
      <c r="AH3171" s="23"/>
      <c r="AI3171" s="23"/>
      <c r="AN3171" s="23"/>
      <c r="AO3171" s="23"/>
      <c r="AP3171" s="23"/>
      <c r="AQ3171" s="23"/>
      <c r="AR3171" s="35"/>
      <c r="AS3171" s="35"/>
      <c r="AT3171" s="35"/>
      <c r="AU3171" s="31"/>
      <c r="AV3171" s="36"/>
    </row>
    <row r="3172" spans="4:48">
      <c r="D3172" s="31"/>
      <c r="E3172" s="31"/>
      <c r="F3172" s="31"/>
      <c r="G3172" s="31"/>
      <c r="H3172" s="32"/>
      <c r="J3172" s="33"/>
      <c r="K3172" s="33"/>
      <c r="L3172" s="33"/>
      <c r="X3172" s="23"/>
      <c r="Y3172" s="23"/>
      <c r="Z3172" s="23"/>
      <c r="AA3172" s="23"/>
      <c r="AF3172" s="23"/>
      <c r="AG3172" s="23"/>
      <c r="AH3172" s="23"/>
      <c r="AI3172" s="23"/>
      <c r="AN3172" s="23"/>
      <c r="AO3172" s="23"/>
      <c r="AP3172" s="23"/>
      <c r="AQ3172" s="23"/>
      <c r="AR3172" s="35"/>
      <c r="AS3172" s="35"/>
      <c r="AT3172" s="35"/>
      <c r="AU3172" s="31"/>
      <c r="AV3172" s="36"/>
    </row>
    <row r="3173" spans="4:48">
      <c r="D3173" s="31"/>
      <c r="E3173" s="31"/>
      <c r="F3173" s="31"/>
      <c r="G3173" s="31"/>
      <c r="H3173" s="32"/>
      <c r="J3173" s="33"/>
      <c r="K3173" s="33"/>
      <c r="L3173" s="33"/>
      <c r="X3173" s="23"/>
      <c r="Y3173" s="23"/>
      <c r="Z3173" s="23"/>
      <c r="AA3173" s="23"/>
      <c r="AF3173" s="23"/>
      <c r="AG3173" s="23"/>
      <c r="AH3173" s="23"/>
      <c r="AI3173" s="23"/>
      <c r="AN3173" s="23"/>
      <c r="AO3173" s="23"/>
      <c r="AP3173" s="23"/>
      <c r="AQ3173" s="23"/>
      <c r="AR3173" s="35"/>
      <c r="AS3173" s="35"/>
      <c r="AT3173" s="35"/>
      <c r="AU3173" s="31"/>
      <c r="AV3173" s="36"/>
    </row>
    <row r="3174" spans="4:48">
      <c r="D3174" s="31"/>
      <c r="E3174" s="31"/>
      <c r="F3174" s="31"/>
      <c r="G3174" s="31"/>
      <c r="H3174" s="32"/>
      <c r="J3174" s="33"/>
      <c r="K3174" s="33"/>
      <c r="L3174" s="33"/>
      <c r="X3174" s="23"/>
      <c r="Y3174" s="23"/>
      <c r="Z3174" s="23"/>
      <c r="AA3174" s="23"/>
      <c r="AF3174" s="23"/>
      <c r="AG3174" s="23"/>
      <c r="AH3174" s="23"/>
      <c r="AI3174" s="23"/>
      <c r="AN3174" s="23"/>
      <c r="AO3174" s="23"/>
      <c r="AP3174" s="23"/>
      <c r="AQ3174" s="23"/>
      <c r="AR3174" s="35"/>
      <c r="AS3174" s="35"/>
      <c r="AT3174" s="35"/>
      <c r="AU3174" s="31"/>
      <c r="AV3174" s="36"/>
    </row>
    <row r="3175" spans="4:48">
      <c r="D3175" s="31"/>
      <c r="E3175" s="31"/>
      <c r="F3175" s="31"/>
      <c r="G3175" s="31"/>
      <c r="H3175" s="32"/>
      <c r="J3175" s="33"/>
      <c r="K3175" s="33"/>
      <c r="L3175" s="33"/>
      <c r="X3175" s="23"/>
      <c r="Y3175" s="23"/>
      <c r="Z3175" s="23"/>
      <c r="AA3175" s="23"/>
      <c r="AF3175" s="23"/>
      <c r="AG3175" s="23"/>
      <c r="AH3175" s="23"/>
      <c r="AI3175" s="23"/>
      <c r="AN3175" s="23"/>
      <c r="AO3175" s="23"/>
      <c r="AP3175" s="23"/>
      <c r="AQ3175" s="23"/>
      <c r="AR3175" s="35"/>
      <c r="AS3175" s="35"/>
      <c r="AT3175" s="35"/>
      <c r="AU3175" s="31"/>
      <c r="AV3175" s="36"/>
    </row>
    <row r="3176" spans="4:48">
      <c r="D3176" s="31"/>
      <c r="E3176" s="31"/>
      <c r="F3176" s="31"/>
      <c r="G3176" s="31"/>
      <c r="H3176" s="32"/>
      <c r="J3176" s="33"/>
      <c r="K3176" s="33"/>
      <c r="L3176" s="33"/>
      <c r="X3176" s="23"/>
      <c r="Y3176" s="23"/>
      <c r="Z3176" s="23"/>
      <c r="AA3176" s="23"/>
      <c r="AF3176" s="23"/>
      <c r="AG3176" s="23"/>
      <c r="AH3176" s="23"/>
      <c r="AI3176" s="23"/>
      <c r="AN3176" s="23"/>
      <c r="AO3176" s="23"/>
      <c r="AP3176" s="23"/>
      <c r="AQ3176" s="23"/>
      <c r="AR3176" s="35"/>
      <c r="AS3176" s="35"/>
      <c r="AT3176" s="35"/>
      <c r="AU3176" s="31"/>
      <c r="AV3176" s="36"/>
    </row>
    <row r="3177" spans="4:48">
      <c r="D3177" s="31"/>
      <c r="E3177" s="31"/>
      <c r="F3177" s="31"/>
      <c r="G3177" s="31"/>
      <c r="H3177" s="32"/>
      <c r="J3177" s="33"/>
      <c r="K3177" s="33"/>
      <c r="L3177" s="33"/>
      <c r="X3177" s="23"/>
      <c r="Y3177" s="23"/>
      <c r="Z3177" s="23"/>
      <c r="AA3177" s="23"/>
      <c r="AF3177" s="23"/>
      <c r="AG3177" s="23"/>
      <c r="AH3177" s="23"/>
      <c r="AI3177" s="23"/>
      <c r="AN3177" s="23"/>
      <c r="AO3177" s="23"/>
      <c r="AP3177" s="23"/>
      <c r="AQ3177" s="23"/>
      <c r="AR3177" s="35"/>
      <c r="AS3177" s="35"/>
      <c r="AT3177" s="35"/>
      <c r="AU3177" s="31"/>
      <c r="AV3177" s="36"/>
    </row>
    <row r="3178" spans="4:48">
      <c r="D3178" s="31"/>
      <c r="E3178" s="31"/>
      <c r="F3178" s="31"/>
      <c r="G3178" s="31"/>
      <c r="H3178" s="32"/>
      <c r="J3178" s="33"/>
      <c r="K3178" s="33"/>
      <c r="L3178" s="33"/>
      <c r="X3178" s="23"/>
      <c r="Y3178" s="23"/>
      <c r="Z3178" s="23"/>
      <c r="AA3178" s="23"/>
      <c r="AF3178" s="23"/>
      <c r="AG3178" s="23"/>
      <c r="AH3178" s="23"/>
      <c r="AI3178" s="23"/>
      <c r="AN3178" s="23"/>
      <c r="AO3178" s="23"/>
      <c r="AP3178" s="23"/>
      <c r="AQ3178" s="23"/>
      <c r="AR3178" s="35"/>
      <c r="AS3178" s="35"/>
      <c r="AT3178" s="35"/>
      <c r="AU3178" s="31"/>
      <c r="AV3178" s="36"/>
    </row>
    <row r="3179" spans="4:48">
      <c r="D3179" s="31"/>
      <c r="E3179" s="31"/>
      <c r="F3179" s="31"/>
      <c r="G3179" s="31"/>
      <c r="H3179" s="32"/>
      <c r="J3179" s="33"/>
      <c r="K3179" s="33"/>
      <c r="L3179" s="33"/>
      <c r="X3179" s="23"/>
      <c r="Y3179" s="23"/>
      <c r="Z3179" s="23"/>
      <c r="AA3179" s="23"/>
      <c r="AF3179" s="23"/>
      <c r="AG3179" s="23"/>
      <c r="AH3179" s="23"/>
      <c r="AI3179" s="23"/>
      <c r="AN3179" s="23"/>
      <c r="AO3179" s="23"/>
      <c r="AP3179" s="23"/>
      <c r="AQ3179" s="23"/>
      <c r="AR3179" s="35"/>
      <c r="AS3179" s="35"/>
      <c r="AT3179" s="35"/>
      <c r="AU3179" s="31"/>
      <c r="AV3179" s="36"/>
    </row>
    <row r="3180" spans="4:48">
      <c r="D3180" s="31"/>
      <c r="E3180" s="31"/>
      <c r="F3180" s="31"/>
      <c r="G3180" s="31"/>
      <c r="H3180" s="32"/>
      <c r="J3180" s="33"/>
      <c r="K3180" s="33"/>
      <c r="L3180" s="33"/>
      <c r="X3180" s="23"/>
      <c r="Y3180" s="23"/>
      <c r="Z3180" s="23"/>
      <c r="AA3180" s="23"/>
      <c r="AF3180" s="23"/>
      <c r="AG3180" s="23"/>
      <c r="AH3180" s="23"/>
      <c r="AI3180" s="23"/>
      <c r="AN3180" s="23"/>
      <c r="AO3180" s="23"/>
      <c r="AP3180" s="23"/>
      <c r="AQ3180" s="23"/>
      <c r="AR3180" s="35"/>
      <c r="AS3180" s="35"/>
      <c r="AT3180" s="35"/>
      <c r="AU3180" s="31"/>
      <c r="AV3180" s="36"/>
    </row>
    <row r="3181" spans="4:48">
      <c r="D3181" s="31"/>
      <c r="E3181" s="31"/>
      <c r="F3181" s="31"/>
      <c r="G3181" s="31"/>
      <c r="H3181" s="32"/>
      <c r="J3181" s="33"/>
      <c r="K3181" s="33"/>
      <c r="L3181" s="33"/>
      <c r="X3181" s="23"/>
      <c r="Y3181" s="23"/>
      <c r="Z3181" s="23"/>
      <c r="AA3181" s="23"/>
      <c r="AF3181" s="23"/>
      <c r="AG3181" s="23"/>
      <c r="AH3181" s="23"/>
      <c r="AI3181" s="23"/>
      <c r="AN3181" s="23"/>
      <c r="AO3181" s="23"/>
      <c r="AP3181" s="23"/>
      <c r="AQ3181" s="23"/>
      <c r="AR3181" s="35"/>
      <c r="AS3181" s="35"/>
      <c r="AT3181" s="35"/>
      <c r="AU3181" s="31"/>
      <c r="AV3181" s="36"/>
    </row>
    <row r="3182" spans="4:48">
      <c r="D3182" s="31"/>
      <c r="E3182" s="31"/>
      <c r="F3182" s="31"/>
      <c r="G3182" s="31"/>
      <c r="H3182" s="32"/>
      <c r="J3182" s="33"/>
      <c r="K3182" s="33"/>
      <c r="L3182" s="33"/>
      <c r="X3182" s="23"/>
      <c r="Y3182" s="23"/>
      <c r="Z3182" s="23"/>
      <c r="AA3182" s="23"/>
      <c r="AF3182" s="23"/>
      <c r="AG3182" s="23"/>
      <c r="AH3182" s="23"/>
      <c r="AI3182" s="23"/>
      <c r="AN3182" s="23"/>
      <c r="AO3182" s="23"/>
      <c r="AP3182" s="23"/>
      <c r="AQ3182" s="23"/>
      <c r="AR3182" s="35"/>
      <c r="AS3182" s="35"/>
      <c r="AT3182" s="35"/>
      <c r="AU3182" s="31"/>
      <c r="AV3182" s="36"/>
    </row>
    <row r="3183" spans="4:48">
      <c r="D3183" s="31"/>
      <c r="E3183" s="31"/>
      <c r="F3183" s="31"/>
      <c r="G3183" s="31"/>
      <c r="H3183" s="32"/>
      <c r="J3183" s="33"/>
      <c r="K3183" s="33"/>
      <c r="L3183" s="33"/>
      <c r="X3183" s="23"/>
      <c r="Y3183" s="23"/>
      <c r="Z3183" s="23"/>
      <c r="AA3183" s="23"/>
      <c r="AF3183" s="23"/>
      <c r="AG3183" s="23"/>
      <c r="AH3183" s="23"/>
      <c r="AI3183" s="23"/>
      <c r="AN3183" s="23"/>
      <c r="AO3183" s="23"/>
      <c r="AP3183" s="23"/>
      <c r="AQ3183" s="23"/>
      <c r="AR3183" s="35"/>
      <c r="AS3183" s="35"/>
      <c r="AT3183" s="35"/>
      <c r="AU3183" s="31"/>
      <c r="AV3183" s="36"/>
    </row>
    <row r="3184" spans="4:48">
      <c r="D3184" s="31"/>
      <c r="E3184" s="31"/>
      <c r="F3184" s="31"/>
      <c r="G3184" s="31"/>
      <c r="H3184" s="32"/>
      <c r="J3184" s="33"/>
      <c r="K3184" s="33"/>
      <c r="L3184" s="33"/>
      <c r="X3184" s="23"/>
      <c r="Y3184" s="23"/>
      <c r="Z3184" s="23"/>
      <c r="AA3184" s="23"/>
      <c r="AF3184" s="23"/>
      <c r="AG3184" s="23"/>
      <c r="AH3184" s="23"/>
      <c r="AI3184" s="23"/>
      <c r="AN3184" s="23"/>
      <c r="AO3184" s="23"/>
      <c r="AP3184" s="23"/>
      <c r="AQ3184" s="23"/>
      <c r="AR3184" s="35"/>
      <c r="AS3184" s="35"/>
      <c r="AT3184" s="35"/>
      <c r="AU3184" s="31"/>
      <c r="AV3184" s="36"/>
    </row>
    <row r="3185" spans="4:48">
      <c r="D3185" s="31"/>
      <c r="E3185" s="31"/>
      <c r="F3185" s="31"/>
      <c r="G3185" s="31"/>
      <c r="H3185" s="32"/>
      <c r="J3185" s="33"/>
      <c r="K3185" s="33"/>
      <c r="L3185" s="33"/>
      <c r="X3185" s="23"/>
      <c r="Y3185" s="23"/>
      <c r="Z3185" s="23"/>
      <c r="AA3185" s="23"/>
      <c r="AF3185" s="23"/>
      <c r="AG3185" s="23"/>
      <c r="AH3185" s="23"/>
      <c r="AI3185" s="23"/>
      <c r="AN3185" s="23"/>
      <c r="AO3185" s="23"/>
      <c r="AP3185" s="23"/>
      <c r="AQ3185" s="23"/>
      <c r="AR3185" s="35"/>
      <c r="AS3185" s="35"/>
      <c r="AT3185" s="35"/>
      <c r="AU3185" s="31"/>
      <c r="AV3185" s="36"/>
    </row>
    <row r="3186" spans="4:48">
      <c r="D3186" s="31"/>
      <c r="E3186" s="31"/>
      <c r="F3186" s="31"/>
      <c r="G3186" s="31"/>
      <c r="H3186" s="32"/>
      <c r="J3186" s="33"/>
      <c r="K3186" s="33"/>
      <c r="L3186" s="33"/>
      <c r="X3186" s="23"/>
      <c r="Y3186" s="23"/>
      <c r="Z3186" s="23"/>
      <c r="AA3186" s="23"/>
      <c r="AF3186" s="23"/>
      <c r="AG3186" s="23"/>
      <c r="AH3186" s="23"/>
      <c r="AI3186" s="23"/>
      <c r="AN3186" s="23"/>
      <c r="AO3186" s="23"/>
      <c r="AP3186" s="23"/>
      <c r="AQ3186" s="23"/>
      <c r="AR3186" s="35"/>
      <c r="AS3186" s="35"/>
      <c r="AT3186" s="35"/>
      <c r="AU3186" s="31"/>
      <c r="AV3186" s="36"/>
    </row>
    <row r="3187" spans="4:48">
      <c r="D3187" s="31"/>
      <c r="E3187" s="31"/>
      <c r="F3187" s="31"/>
      <c r="G3187" s="31"/>
      <c r="H3187" s="32"/>
      <c r="J3187" s="33"/>
      <c r="K3187" s="33"/>
      <c r="L3187" s="33"/>
      <c r="X3187" s="23"/>
      <c r="Y3187" s="23"/>
      <c r="Z3187" s="23"/>
      <c r="AA3187" s="23"/>
      <c r="AF3187" s="23"/>
      <c r="AG3187" s="23"/>
      <c r="AH3187" s="23"/>
      <c r="AI3187" s="23"/>
      <c r="AN3187" s="23"/>
      <c r="AO3187" s="23"/>
      <c r="AP3187" s="23"/>
      <c r="AQ3187" s="23"/>
      <c r="AR3187" s="35"/>
      <c r="AS3187" s="35"/>
      <c r="AT3187" s="35"/>
      <c r="AU3187" s="31"/>
      <c r="AV3187" s="36"/>
    </row>
    <row r="3188" spans="4:48">
      <c r="D3188" s="31"/>
      <c r="E3188" s="31"/>
      <c r="F3188" s="31"/>
      <c r="G3188" s="31"/>
      <c r="H3188" s="32"/>
      <c r="J3188" s="33"/>
      <c r="K3188" s="33"/>
      <c r="L3188" s="33"/>
      <c r="X3188" s="23"/>
      <c r="Y3188" s="23"/>
      <c r="Z3188" s="23"/>
      <c r="AA3188" s="23"/>
      <c r="AF3188" s="23"/>
      <c r="AG3188" s="23"/>
      <c r="AH3188" s="23"/>
      <c r="AI3188" s="23"/>
      <c r="AN3188" s="23"/>
      <c r="AO3188" s="23"/>
      <c r="AP3188" s="23"/>
      <c r="AQ3188" s="23"/>
      <c r="AR3188" s="35"/>
      <c r="AS3188" s="35"/>
      <c r="AT3188" s="35"/>
      <c r="AU3188" s="31"/>
      <c r="AV3188" s="36"/>
    </row>
    <row r="3189" spans="4:48">
      <c r="D3189" s="31"/>
      <c r="E3189" s="31"/>
      <c r="F3189" s="31"/>
      <c r="G3189" s="31"/>
      <c r="H3189" s="32"/>
      <c r="J3189" s="33"/>
      <c r="K3189" s="33"/>
      <c r="L3189" s="33"/>
      <c r="X3189" s="23"/>
      <c r="Y3189" s="23"/>
      <c r="Z3189" s="23"/>
      <c r="AA3189" s="23"/>
      <c r="AF3189" s="23"/>
      <c r="AG3189" s="23"/>
      <c r="AH3189" s="23"/>
      <c r="AI3189" s="23"/>
      <c r="AN3189" s="23"/>
      <c r="AO3189" s="23"/>
      <c r="AP3189" s="23"/>
      <c r="AQ3189" s="23"/>
      <c r="AR3189" s="35"/>
      <c r="AS3189" s="35"/>
      <c r="AT3189" s="35"/>
      <c r="AU3189" s="31"/>
      <c r="AV3189" s="36"/>
    </row>
    <row r="3190" spans="4:48">
      <c r="D3190" s="31"/>
      <c r="E3190" s="31"/>
      <c r="F3190" s="31"/>
      <c r="G3190" s="31"/>
      <c r="H3190" s="32"/>
      <c r="J3190" s="33"/>
      <c r="K3190" s="33"/>
      <c r="L3190" s="33"/>
      <c r="X3190" s="23"/>
      <c r="Y3190" s="23"/>
      <c r="Z3190" s="23"/>
      <c r="AA3190" s="23"/>
      <c r="AF3190" s="23"/>
      <c r="AG3190" s="23"/>
      <c r="AH3190" s="23"/>
      <c r="AI3190" s="23"/>
      <c r="AN3190" s="23"/>
      <c r="AO3190" s="23"/>
      <c r="AP3190" s="23"/>
      <c r="AQ3190" s="23"/>
      <c r="AR3190" s="35"/>
      <c r="AS3190" s="35"/>
      <c r="AT3190" s="35"/>
      <c r="AU3190" s="31"/>
      <c r="AV3190" s="36"/>
    </row>
    <row r="3191" spans="4:48">
      <c r="D3191" s="31"/>
      <c r="E3191" s="31"/>
      <c r="F3191" s="31"/>
      <c r="G3191" s="31"/>
      <c r="H3191" s="32"/>
      <c r="J3191" s="33"/>
      <c r="K3191" s="33"/>
      <c r="L3191" s="33"/>
      <c r="X3191" s="23"/>
      <c r="Y3191" s="23"/>
      <c r="Z3191" s="23"/>
      <c r="AA3191" s="23"/>
      <c r="AF3191" s="23"/>
      <c r="AG3191" s="23"/>
      <c r="AH3191" s="23"/>
      <c r="AI3191" s="23"/>
      <c r="AN3191" s="23"/>
      <c r="AO3191" s="23"/>
      <c r="AP3191" s="23"/>
      <c r="AQ3191" s="23"/>
      <c r="AR3191" s="35"/>
      <c r="AS3191" s="35"/>
      <c r="AT3191" s="35"/>
      <c r="AU3191" s="31"/>
      <c r="AV3191" s="36"/>
    </row>
    <row r="3192" spans="4:48">
      <c r="D3192" s="31"/>
      <c r="E3192" s="31"/>
      <c r="F3192" s="31"/>
      <c r="G3192" s="31"/>
      <c r="H3192" s="32"/>
      <c r="J3192" s="33"/>
      <c r="K3192" s="33"/>
      <c r="L3192" s="33"/>
      <c r="X3192" s="23"/>
      <c r="Y3192" s="23"/>
      <c r="Z3192" s="23"/>
      <c r="AA3192" s="23"/>
      <c r="AF3192" s="23"/>
      <c r="AG3192" s="23"/>
      <c r="AH3192" s="23"/>
      <c r="AI3192" s="23"/>
      <c r="AN3192" s="23"/>
      <c r="AO3192" s="23"/>
      <c r="AP3192" s="23"/>
      <c r="AQ3192" s="23"/>
      <c r="AR3192" s="35"/>
      <c r="AS3192" s="35"/>
      <c r="AT3192" s="35"/>
      <c r="AU3192" s="31"/>
      <c r="AV3192" s="36"/>
    </row>
    <row r="3193" spans="4:48">
      <c r="D3193" s="31"/>
      <c r="E3193" s="31"/>
      <c r="F3193" s="31"/>
      <c r="G3193" s="31"/>
      <c r="H3193" s="32"/>
      <c r="J3193" s="33"/>
      <c r="K3193" s="33"/>
      <c r="L3193" s="33"/>
      <c r="X3193" s="23"/>
      <c r="Y3193" s="23"/>
      <c r="Z3193" s="23"/>
      <c r="AA3193" s="23"/>
      <c r="AF3193" s="23"/>
      <c r="AG3193" s="23"/>
      <c r="AH3193" s="23"/>
      <c r="AI3193" s="23"/>
      <c r="AN3193" s="23"/>
      <c r="AO3193" s="23"/>
      <c r="AP3193" s="23"/>
      <c r="AQ3193" s="23"/>
      <c r="AR3193" s="35"/>
      <c r="AS3193" s="35"/>
      <c r="AT3193" s="35"/>
      <c r="AU3193" s="31"/>
      <c r="AV3193" s="36"/>
    </row>
    <row r="3194" spans="4:48">
      <c r="D3194" s="31"/>
      <c r="E3194" s="31"/>
      <c r="F3194" s="31"/>
      <c r="G3194" s="31"/>
      <c r="H3194" s="32"/>
      <c r="J3194" s="33"/>
      <c r="K3194" s="33"/>
      <c r="L3194" s="33"/>
      <c r="X3194" s="23"/>
      <c r="Y3194" s="23"/>
      <c r="Z3194" s="23"/>
      <c r="AA3194" s="23"/>
      <c r="AF3194" s="23"/>
      <c r="AG3194" s="23"/>
      <c r="AH3194" s="23"/>
      <c r="AI3194" s="23"/>
      <c r="AN3194" s="23"/>
      <c r="AO3194" s="23"/>
      <c r="AP3194" s="23"/>
      <c r="AQ3194" s="23"/>
      <c r="AR3194" s="35"/>
      <c r="AS3194" s="35"/>
      <c r="AT3194" s="35"/>
      <c r="AU3194" s="31"/>
      <c r="AV3194" s="36"/>
    </row>
    <row r="3195" spans="4:48">
      <c r="D3195" s="31"/>
      <c r="E3195" s="31"/>
      <c r="F3195" s="31"/>
      <c r="G3195" s="31"/>
      <c r="H3195" s="32"/>
      <c r="J3195" s="33"/>
      <c r="K3195" s="33"/>
      <c r="L3195" s="33"/>
      <c r="X3195" s="23"/>
      <c r="Y3195" s="23"/>
      <c r="Z3195" s="23"/>
      <c r="AA3195" s="23"/>
      <c r="AF3195" s="23"/>
      <c r="AG3195" s="23"/>
      <c r="AH3195" s="23"/>
      <c r="AI3195" s="23"/>
      <c r="AN3195" s="23"/>
      <c r="AO3195" s="23"/>
      <c r="AP3195" s="23"/>
      <c r="AQ3195" s="23"/>
      <c r="AR3195" s="35"/>
      <c r="AS3195" s="35"/>
      <c r="AT3195" s="35"/>
      <c r="AU3195" s="31"/>
      <c r="AV3195" s="36"/>
    </row>
    <row r="3196" spans="4:48">
      <c r="D3196" s="31"/>
      <c r="E3196" s="31"/>
      <c r="F3196" s="31"/>
      <c r="G3196" s="31"/>
      <c r="H3196" s="32"/>
      <c r="J3196" s="33"/>
      <c r="K3196" s="33"/>
      <c r="L3196" s="33"/>
      <c r="X3196" s="23"/>
      <c r="Y3196" s="23"/>
      <c r="Z3196" s="23"/>
      <c r="AA3196" s="23"/>
      <c r="AF3196" s="23"/>
      <c r="AG3196" s="23"/>
      <c r="AH3196" s="23"/>
      <c r="AI3196" s="23"/>
      <c r="AN3196" s="23"/>
      <c r="AO3196" s="23"/>
      <c r="AP3196" s="23"/>
      <c r="AQ3196" s="23"/>
      <c r="AR3196" s="35"/>
      <c r="AS3196" s="35"/>
      <c r="AT3196" s="35"/>
      <c r="AU3196" s="31"/>
      <c r="AV3196" s="36"/>
    </row>
    <row r="3197" spans="4:48">
      <c r="D3197" s="31"/>
      <c r="E3197" s="31"/>
      <c r="F3197" s="31"/>
      <c r="G3197" s="31"/>
      <c r="H3197" s="32"/>
      <c r="J3197" s="33"/>
      <c r="K3197" s="33"/>
      <c r="L3197" s="33"/>
      <c r="X3197" s="23"/>
      <c r="Y3197" s="23"/>
      <c r="Z3197" s="23"/>
      <c r="AA3197" s="23"/>
      <c r="AF3197" s="23"/>
      <c r="AG3197" s="23"/>
      <c r="AH3197" s="23"/>
      <c r="AI3197" s="23"/>
      <c r="AN3197" s="23"/>
      <c r="AO3197" s="23"/>
      <c r="AP3197" s="23"/>
      <c r="AQ3197" s="23"/>
      <c r="AR3197" s="35"/>
      <c r="AS3197" s="35"/>
      <c r="AT3197" s="35"/>
      <c r="AU3197" s="31"/>
      <c r="AV3197" s="36"/>
    </row>
    <row r="3198" spans="4:48">
      <c r="D3198" s="31"/>
      <c r="E3198" s="31"/>
      <c r="F3198" s="31"/>
      <c r="G3198" s="31"/>
      <c r="H3198" s="32"/>
      <c r="J3198" s="33"/>
      <c r="K3198" s="33"/>
      <c r="L3198" s="33"/>
      <c r="X3198" s="23"/>
      <c r="Y3198" s="23"/>
      <c r="Z3198" s="23"/>
      <c r="AA3198" s="23"/>
      <c r="AF3198" s="23"/>
      <c r="AG3198" s="23"/>
      <c r="AH3198" s="23"/>
      <c r="AI3198" s="23"/>
      <c r="AN3198" s="23"/>
      <c r="AO3198" s="23"/>
      <c r="AP3198" s="23"/>
      <c r="AQ3198" s="23"/>
      <c r="AR3198" s="35"/>
      <c r="AS3198" s="35"/>
      <c r="AT3198" s="35"/>
      <c r="AU3198" s="31"/>
      <c r="AV3198" s="36"/>
    </row>
    <row r="3199" spans="4:48">
      <c r="D3199" s="31"/>
      <c r="E3199" s="31"/>
      <c r="F3199" s="31"/>
      <c r="G3199" s="31"/>
      <c r="H3199" s="32"/>
      <c r="J3199" s="33"/>
      <c r="K3199" s="33"/>
      <c r="L3199" s="33"/>
      <c r="X3199" s="23"/>
      <c r="Y3199" s="23"/>
      <c r="Z3199" s="23"/>
      <c r="AA3199" s="23"/>
      <c r="AF3199" s="23"/>
      <c r="AG3199" s="23"/>
      <c r="AH3199" s="23"/>
      <c r="AI3199" s="23"/>
      <c r="AN3199" s="23"/>
      <c r="AO3199" s="23"/>
      <c r="AP3199" s="23"/>
      <c r="AQ3199" s="23"/>
      <c r="AR3199" s="35"/>
      <c r="AS3199" s="35"/>
      <c r="AT3199" s="35"/>
      <c r="AU3199" s="31"/>
      <c r="AV3199" s="36"/>
    </row>
    <row r="3200" spans="4:48">
      <c r="D3200" s="31"/>
      <c r="E3200" s="31"/>
      <c r="F3200" s="31"/>
      <c r="G3200" s="31"/>
      <c r="H3200" s="32"/>
      <c r="J3200" s="33"/>
      <c r="K3200" s="33"/>
      <c r="L3200" s="33"/>
      <c r="X3200" s="23"/>
      <c r="Y3200" s="23"/>
      <c r="Z3200" s="23"/>
      <c r="AA3200" s="23"/>
      <c r="AF3200" s="23"/>
      <c r="AG3200" s="23"/>
      <c r="AH3200" s="23"/>
      <c r="AI3200" s="23"/>
      <c r="AN3200" s="23"/>
      <c r="AO3200" s="23"/>
      <c r="AP3200" s="23"/>
      <c r="AQ3200" s="23"/>
      <c r="AR3200" s="35"/>
      <c r="AS3200" s="35"/>
      <c r="AT3200" s="35"/>
      <c r="AU3200" s="31"/>
      <c r="AV3200" s="36"/>
    </row>
    <row r="3201" spans="4:48">
      <c r="D3201" s="31"/>
      <c r="E3201" s="31"/>
      <c r="F3201" s="31"/>
      <c r="G3201" s="31"/>
      <c r="H3201" s="32"/>
      <c r="J3201" s="33"/>
      <c r="K3201" s="33"/>
      <c r="L3201" s="33"/>
      <c r="X3201" s="23"/>
      <c r="Y3201" s="23"/>
      <c r="Z3201" s="23"/>
      <c r="AA3201" s="23"/>
      <c r="AF3201" s="23"/>
      <c r="AG3201" s="23"/>
      <c r="AH3201" s="23"/>
      <c r="AI3201" s="23"/>
      <c r="AN3201" s="23"/>
      <c r="AO3201" s="23"/>
      <c r="AP3201" s="23"/>
      <c r="AQ3201" s="23"/>
      <c r="AR3201" s="35"/>
      <c r="AS3201" s="35"/>
      <c r="AT3201" s="35"/>
      <c r="AU3201" s="31"/>
      <c r="AV3201" s="36"/>
    </row>
    <row r="3202" spans="4:48">
      <c r="D3202" s="31"/>
      <c r="E3202" s="31"/>
      <c r="F3202" s="31"/>
      <c r="G3202" s="31"/>
      <c r="H3202" s="32"/>
      <c r="J3202" s="33"/>
      <c r="K3202" s="33"/>
      <c r="L3202" s="33"/>
      <c r="X3202" s="23"/>
      <c r="Y3202" s="23"/>
      <c r="Z3202" s="23"/>
      <c r="AA3202" s="23"/>
      <c r="AF3202" s="23"/>
      <c r="AG3202" s="23"/>
      <c r="AH3202" s="23"/>
      <c r="AI3202" s="23"/>
      <c r="AN3202" s="23"/>
      <c r="AO3202" s="23"/>
      <c r="AP3202" s="23"/>
      <c r="AQ3202" s="23"/>
      <c r="AR3202" s="35"/>
      <c r="AS3202" s="35"/>
      <c r="AT3202" s="35"/>
      <c r="AU3202" s="31"/>
      <c r="AV3202" s="36"/>
    </row>
    <row r="3203" spans="4:48">
      <c r="D3203" s="31"/>
      <c r="E3203" s="31"/>
      <c r="F3203" s="31"/>
      <c r="G3203" s="31"/>
      <c r="H3203" s="32"/>
      <c r="J3203" s="33"/>
      <c r="K3203" s="33"/>
      <c r="L3203" s="33"/>
      <c r="X3203" s="23"/>
      <c r="Y3203" s="23"/>
      <c r="Z3203" s="23"/>
      <c r="AA3203" s="23"/>
      <c r="AF3203" s="23"/>
      <c r="AG3203" s="23"/>
      <c r="AH3203" s="23"/>
      <c r="AI3203" s="23"/>
      <c r="AN3203" s="23"/>
      <c r="AO3203" s="23"/>
      <c r="AP3203" s="23"/>
      <c r="AQ3203" s="23"/>
      <c r="AR3203" s="35"/>
      <c r="AS3203" s="35"/>
      <c r="AT3203" s="35"/>
      <c r="AU3203" s="31"/>
      <c r="AV3203" s="36"/>
    </row>
    <row r="3204" spans="4:48">
      <c r="D3204" s="31"/>
      <c r="E3204" s="31"/>
      <c r="F3204" s="31"/>
      <c r="G3204" s="31"/>
      <c r="H3204" s="32"/>
      <c r="J3204" s="33"/>
      <c r="K3204" s="33"/>
      <c r="L3204" s="33"/>
      <c r="X3204" s="23"/>
      <c r="Y3204" s="23"/>
      <c r="Z3204" s="23"/>
      <c r="AA3204" s="23"/>
      <c r="AF3204" s="23"/>
      <c r="AG3204" s="23"/>
      <c r="AH3204" s="23"/>
      <c r="AI3204" s="23"/>
      <c r="AN3204" s="23"/>
      <c r="AO3204" s="23"/>
      <c r="AP3204" s="23"/>
      <c r="AQ3204" s="23"/>
      <c r="AR3204" s="35"/>
      <c r="AS3204" s="35"/>
      <c r="AT3204" s="35"/>
      <c r="AU3204" s="31"/>
      <c r="AV3204" s="36"/>
    </row>
    <row r="3205" spans="4:48">
      <c r="D3205" s="31"/>
      <c r="E3205" s="31"/>
      <c r="F3205" s="31"/>
      <c r="G3205" s="31"/>
      <c r="H3205" s="32"/>
      <c r="J3205" s="33"/>
      <c r="K3205" s="33"/>
      <c r="L3205" s="33"/>
      <c r="X3205" s="23"/>
      <c r="Y3205" s="23"/>
      <c r="Z3205" s="23"/>
      <c r="AA3205" s="23"/>
      <c r="AF3205" s="23"/>
      <c r="AG3205" s="23"/>
      <c r="AH3205" s="23"/>
      <c r="AI3205" s="23"/>
      <c r="AN3205" s="23"/>
      <c r="AO3205" s="23"/>
      <c r="AP3205" s="23"/>
      <c r="AQ3205" s="23"/>
      <c r="AR3205" s="35"/>
      <c r="AS3205" s="35"/>
      <c r="AT3205" s="35"/>
      <c r="AU3205" s="31"/>
      <c r="AV3205" s="36"/>
    </row>
    <row r="3206" spans="4:48">
      <c r="D3206" s="31"/>
      <c r="E3206" s="31"/>
      <c r="F3206" s="31"/>
      <c r="G3206" s="31"/>
      <c r="H3206" s="32"/>
      <c r="J3206" s="33"/>
      <c r="K3206" s="33"/>
      <c r="L3206" s="33"/>
      <c r="X3206" s="23"/>
      <c r="Y3206" s="23"/>
      <c r="Z3206" s="23"/>
      <c r="AA3206" s="23"/>
      <c r="AF3206" s="23"/>
      <c r="AG3206" s="23"/>
      <c r="AH3206" s="23"/>
      <c r="AI3206" s="23"/>
      <c r="AN3206" s="23"/>
      <c r="AO3206" s="23"/>
      <c r="AP3206" s="23"/>
      <c r="AQ3206" s="23"/>
      <c r="AR3206" s="35"/>
      <c r="AS3206" s="35"/>
      <c r="AT3206" s="35"/>
      <c r="AU3206" s="31"/>
      <c r="AV3206" s="36"/>
    </row>
    <row r="3207" spans="4:48">
      <c r="D3207" s="31"/>
      <c r="E3207" s="31"/>
      <c r="F3207" s="31"/>
      <c r="G3207" s="31"/>
      <c r="H3207" s="32"/>
      <c r="J3207" s="33"/>
      <c r="K3207" s="33"/>
      <c r="L3207" s="33"/>
      <c r="X3207" s="23"/>
      <c r="Y3207" s="23"/>
      <c r="Z3207" s="23"/>
      <c r="AA3207" s="23"/>
      <c r="AF3207" s="23"/>
      <c r="AG3207" s="23"/>
      <c r="AH3207" s="23"/>
      <c r="AI3207" s="23"/>
      <c r="AN3207" s="23"/>
      <c r="AO3207" s="23"/>
      <c r="AP3207" s="23"/>
      <c r="AQ3207" s="23"/>
      <c r="AR3207" s="35"/>
      <c r="AS3207" s="35"/>
      <c r="AT3207" s="35"/>
      <c r="AU3207" s="31"/>
      <c r="AV3207" s="36"/>
    </row>
    <row r="3208" spans="4:48">
      <c r="D3208" s="31"/>
      <c r="E3208" s="31"/>
      <c r="F3208" s="31"/>
      <c r="G3208" s="31"/>
      <c r="H3208" s="32"/>
      <c r="J3208" s="33"/>
      <c r="K3208" s="33"/>
      <c r="L3208" s="33"/>
      <c r="X3208" s="23"/>
      <c r="Y3208" s="23"/>
      <c r="Z3208" s="23"/>
      <c r="AA3208" s="23"/>
      <c r="AF3208" s="23"/>
      <c r="AG3208" s="23"/>
      <c r="AH3208" s="23"/>
      <c r="AI3208" s="23"/>
      <c r="AN3208" s="23"/>
      <c r="AO3208" s="23"/>
      <c r="AP3208" s="23"/>
      <c r="AQ3208" s="23"/>
      <c r="AR3208" s="35"/>
      <c r="AS3208" s="35"/>
      <c r="AT3208" s="35"/>
      <c r="AU3208" s="31"/>
      <c r="AV3208" s="36"/>
    </row>
    <row r="3209" spans="4:48">
      <c r="D3209" s="31"/>
      <c r="E3209" s="31"/>
      <c r="F3209" s="31"/>
      <c r="G3209" s="31"/>
      <c r="H3209" s="32"/>
      <c r="J3209" s="33"/>
      <c r="K3209" s="33"/>
      <c r="L3209" s="33"/>
      <c r="X3209" s="23"/>
      <c r="Y3209" s="23"/>
      <c r="Z3209" s="23"/>
      <c r="AA3209" s="23"/>
      <c r="AF3209" s="23"/>
      <c r="AG3209" s="23"/>
      <c r="AH3209" s="23"/>
      <c r="AI3209" s="23"/>
      <c r="AN3209" s="23"/>
      <c r="AO3209" s="23"/>
      <c r="AP3209" s="23"/>
      <c r="AQ3209" s="23"/>
      <c r="AR3209" s="35"/>
      <c r="AS3209" s="35"/>
      <c r="AT3209" s="35"/>
      <c r="AU3209" s="31"/>
      <c r="AV3209" s="36"/>
    </row>
    <row r="3210" spans="4:48">
      <c r="D3210" s="31"/>
      <c r="E3210" s="31"/>
      <c r="F3210" s="31"/>
      <c r="G3210" s="31"/>
      <c r="H3210" s="32"/>
      <c r="J3210" s="33"/>
      <c r="K3210" s="33"/>
      <c r="L3210" s="33"/>
      <c r="X3210" s="23"/>
      <c r="Y3210" s="23"/>
      <c r="Z3210" s="23"/>
      <c r="AA3210" s="23"/>
      <c r="AF3210" s="23"/>
      <c r="AG3210" s="23"/>
      <c r="AH3210" s="23"/>
      <c r="AI3210" s="23"/>
      <c r="AN3210" s="23"/>
      <c r="AO3210" s="23"/>
      <c r="AP3210" s="23"/>
      <c r="AQ3210" s="23"/>
      <c r="AR3210" s="35"/>
      <c r="AS3210" s="35"/>
      <c r="AT3210" s="35"/>
      <c r="AU3210" s="31"/>
      <c r="AV3210" s="36"/>
    </row>
    <row r="3211" spans="4:48">
      <c r="D3211" s="31"/>
      <c r="E3211" s="31"/>
      <c r="F3211" s="31"/>
      <c r="G3211" s="31"/>
      <c r="H3211" s="32"/>
      <c r="J3211" s="33"/>
      <c r="K3211" s="33"/>
      <c r="L3211" s="33"/>
      <c r="X3211" s="23"/>
      <c r="Y3211" s="23"/>
      <c r="Z3211" s="23"/>
      <c r="AA3211" s="23"/>
      <c r="AF3211" s="23"/>
      <c r="AG3211" s="23"/>
      <c r="AH3211" s="23"/>
      <c r="AI3211" s="23"/>
      <c r="AN3211" s="23"/>
      <c r="AO3211" s="23"/>
      <c r="AP3211" s="23"/>
      <c r="AQ3211" s="23"/>
      <c r="AR3211" s="35"/>
      <c r="AS3211" s="35"/>
      <c r="AT3211" s="35"/>
      <c r="AU3211" s="31"/>
      <c r="AV3211" s="36"/>
    </row>
    <row r="3212" spans="4:48">
      <c r="D3212" s="31"/>
      <c r="E3212" s="31"/>
      <c r="F3212" s="31"/>
      <c r="G3212" s="31"/>
      <c r="H3212" s="32"/>
      <c r="J3212" s="33"/>
      <c r="K3212" s="33"/>
      <c r="L3212" s="33"/>
      <c r="X3212" s="23"/>
      <c r="Y3212" s="23"/>
      <c r="Z3212" s="23"/>
      <c r="AA3212" s="23"/>
      <c r="AF3212" s="23"/>
      <c r="AG3212" s="23"/>
      <c r="AH3212" s="23"/>
      <c r="AI3212" s="23"/>
      <c r="AN3212" s="23"/>
      <c r="AO3212" s="23"/>
      <c r="AP3212" s="23"/>
      <c r="AQ3212" s="23"/>
      <c r="AR3212" s="35"/>
      <c r="AS3212" s="35"/>
      <c r="AT3212" s="35"/>
      <c r="AU3212" s="31"/>
      <c r="AV3212" s="36"/>
    </row>
    <row r="3213" spans="4:48">
      <c r="D3213" s="31"/>
      <c r="E3213" s="31"/>
      <c r="F3213" s="31"/>
      <c r="G3213" s="31"/>
      <c r="H3213" s="32"/>
      <c r="J3213" s="33"/>
      <c r="K3213" s="33"/>
      <c r="L3213" s="33"/>
      <c r="X3213" s="23"/>
      <c r="Y3213" s="23"/>
      <c r="Z3213" s="23"/>
      <c r="AA3213" s="23"/>
      <c r="AF3213" s="23"/>
      <c r="AG3213" s="23"/>
      <c r="AH3213" s="23"/>
      <c r="AI3213" s="23"/>
      <c r="AN3213" s="23"/>
      <c r="AO3213" s="23"/>
      <c r="AP3213" s="23"/>
      <c r="AQ3213" s="23"/>
      <c r="AR3213" s="35"/>
      <c r="AS3213" s="35"/>
      <c r="AT3213" s="35"/>
      <c r="AU3213" s="31"/>
      <c r="AV3213" s="36"/>
    </row>
    <row r="3214" spans="4:48">
      <c r="D3214" s="31"/>
      <c r="E3214" s="31"/>
      <c r="F3214" s="31"/>
      <c r="G3214" s="31"/>
      <c r="H3214" s="32"/>
      <c r="J3214" s="33"/>
      <c r="K3214" s="33"/>
      <c r="L3214" s="33"/>
      <c r="X3214" s="23"/>
      <c r="Y3214" s="23"/>
      <c r="Z3214" s="23"/>
      <c r="AA3214" s="23"/>
      <c r="AF3214" s="23"/>
      <c r="AG3214" s="23"/>
      <c r="AH3214" s="23"/>
      <c r="AI3214" s="23"/>
      <c r="AN3214" s="23"/>
      <c r="AO3214" s="23"/>
      <c r="AP3214" s="23"/>
      <c r="AQ3214" s="23"/>
      <c r="AR3214" s="35"/>
      <c r="AS3214" s="35"/>
      <c r="AT3214" s="35"/>
      <c r="AU3214" s="31"/>
      <c r="AV3214" s="36"/>
    </row>
    <row r="3215" spans="4:48">
      <c r="D3215" s="31"/>
      <c r="E3215" s="31"/>
      <c r="F3215" s="31"/>
      <c r="G3215" s="31"/>
      <c r="H3215" s="32"/>
      <c r="J3215" s="33"/>
      <c r="K3215" s="33"/>
      <c r="L3215" s="33"/>
      <c r="X3215" s="23"/>
      <c r="Y3215" s="23"/>
      <c r="Z3215" s="23"/>
      <c r="AA3215" s="23"/>
      <c r="AF3215" s="23"/>
      <c r="AG3215" s="23"/>
      <c r="AH3215" s="23"/>
      <c r="AI3215" s="23"/>
      <c r="AN3215" s="23"/>
      <c r="AO3215" s="23"/>
      <c r="AP3215" s="23"/>
      <c r="AQ3215" s="23"/>
      <c r="AR3215" s="35"/>
      <c r="AS3215" s="35"/>
      <c r="AT3215" s="35"/>
      <c r="AU3215" s="31"/>
      <c r="AV3215" s="36"/>
    </row>
    <row r="3216" spans="4:48">
      <c r="D3216" s="31"/>
      <c r="E3216" s="31"/>
      <c r="F3216" s="31"/>
      <c r="G3216" s="31"/>
      <c r="H3216" s="32"/>
      <c r="J3216" s="33"/>
      <c r="K3216" s="33"/>
      <c r="L3216" s="33"/>
      <c r="X3216" s="23"/>
      <c r="Y3216" s="23"/>
      <c r="Z3216" s="23"/>
      <c r="AA3216" s="23"/>
      <c r="AF3216" s="23"/>
      <c r="AG3216" s="23"/>
      <c r="AH3216" s="23"/>
      <c r="AI3216" s="23"/>
      <c r="AN3216" s="23"/>
      <c r="AO3216" s="23"/>
      <c r="AP3216" s="23"/>
      <c r="AQ3216" s="23"/>
      <c r="AR3216" s="35"/>
      <c r="AS3216" s="35"/>
      <c r="AT3216" s="35"/>
      <c r="AU3216" s="31"/>
      <c r="AV3216" s="36"/>
    </row>
    <row r="3217" spans="4:48">
      <c r="D3217" s="31"/>
      <c r="E3217" s="31"/>
      <c r="F3217" s="31"/>
      <c r="G3217" s="31"/>
      <c r="H3217" s="32"/>
      <c r="J3217" s="33"/>
      <c r="K3217" s="33"/>
      <c r="L3217" s="33"/>
      <c r="X3217" s="23"/>
      <c r="Y3217" s="23"/>
      <c r="Z3217" s="23"/>
      <c r="AA3217" s="23"/>
      <c r="AF3217" s="23"/>
      <c r="AG3217" s="23"/>
      <c r="AH3217" s="23"/>
      <c r="AI3217" s="23"/>
      <c r="AN3217" s="23"/>
      <c r="AO3217" s="23"/>
      <c r="AP3217" s="23"/>
      <c r="AQ3217" s="23"/>
      <c r="AR3217" s="35"/>
      <c r="AS3217" s="35"/>
      <c r="AT3217" s="35"/>
      <c r="AU3217" s="31"/>
      <c r="AV3217" s="36"/>
    </row>
    <row r="3218" spans="4:48">
      <c r="D3218" s="31"/>
      <c r="E3218" s="31"/>
      <c r="F3218" s="31"/>
      <c r="G3218" s="31"/>
      <c r="H3218" s="32"/>
      <c r="J3218" s="33"/>
      <c r="K3218" s="33"/>
      <c r="L3218" s="33"/>
      <c r="X3218" s="23"/>
      <c r="Y3218" s="23"/>
      <c r="Z3218" s="23"/>
      <c r="AA3218" s="23"/>
      <c r="AF3218" s="23"/>
      <c r="AG3218" s="23"/>
      <c r="AH3218" s="23"/>
      <c r="AI3218" s="23"/>
      <c r="AN3218" s="23"/>
      <c r="AO3218" s="23"/>
      <c r="AP3218" s="23"/>
      <c r="AQ3218" s="23"/>
      <c r="AR3218" s="35"/>
      <c r="AS3218" s="35"/>
      <c r="AT3218" s="35"/>
      <c r="AU3218" s="31"/>
      <c r="AV3218" s="36"/>
    </row>
    <row r="3219" spans="4:48">
      <c r="D3219" s="31"/>
      <c r="E3219" s="31"/>
      <c r="F3219" s="31"/>
      <c r="G3219" s="31"/>
      <c r="H3219" s="32"/>
      <c r="J3219" s="33"/>
      <c r="K3219" s="33"/>
      <c r="L3219" s="33"/>
      <c r="X3219" s="23"/>
      <c r="Y3219" s="23"/>
      <c r="Z3219" s="23"/>
      <c r="AA3219" s="23"/>
      <c r="AF3219" s="23"/>
      <c r="AG3219" s="23"/>
      <c r="AH3219" s="23"/>
      <c r="AI3219" s="23"/>
      <c r="AN3219" s="23"/>
      <c r="AO3219" s="23"/>
      <c r="AP3219" s="23"/>
      <c r="AQ3219" s="23"/>
      <c r="AR3219" s="35"/>
      <c r="AS3219" s="35"/>
      <c r="AT3219" s="35"/>
      <c r="AU3219" s="31"/>
      <c r="AV3219" s="36"/>
    </row>
    <row r="3220" spans="4:48">
      <c r="D3220" s="31"/>
      <c r="E3220" s="31"/>
      <c r="F3220" s="31"/>
      <c r="G3220" s="31"/>
      <c r="H3220" s="32"/>
      <c r="J3220" s="33"/>
      <c r="K3220" s="33"/>
      <c r="L3220" s="33"/>
      <c r="X3220" s="23"/>
      <c r="Y3220" s="23"/>
      <c r="Z3220" s="23"/>
      <c r="AA3220" s="23"/>
      <c r="AF3220" s="23"/>
      <c r="AG3220" s="23"/>
      <c r="AH3220" s="23"/>
      <c r="AI3220" s="23"/>
      <c r="AN3220" s="23"/>
      <c r="AO3220" s="23"/>
      <c r="AP3220" s="23"/>
      <c r="AQ3220" s="23"/>
      <c r="AR3220" s="35"/>
      <c r="AS3220" s="35"/>
      <c r="AT3220" s="35"/>
      <c r="AU3220" s="31"/>
      <c r="AV3220" s="36"/>
    </row>
    <row r="3221" spans="4:48">
      <c r="D3221" s="31"/>
      <c r="E3221" s="31"/>
      <c r="F3221" s="31"/>
      <c r="G3221" s="31"/>
      <c r="H3221" s="32"/>
      <c r="J3221" s="33"/>
      <c r="K3221" s="33"/>
      <c r="L3221" s="33"/>
      <c r="X3221" s="23"/>
      <c r="Y3221" s="23"/>
      <c r="Z3221" s="23"/>
      <c r="AA3221" s="23"/>
      <c r="AF3221" s="23"/>
      <c r="AG3221" s="23"/>
      <c r="AH3221" s="23"/>
      <c r="AI3221" s="23"/>
      <c r="AN3221" s="23"/>
      <c r="AO3221" s="23"/>
      <c r="AP3221" s="23"/>
      <c r="AQ3221" s="23"/>
      <c r="AR3221" s="35"/>
      <c r="AS3221" s="35"/>
      <c r="AT3221" s="35"/>
      <c r="AU3221" s="31"/>
      <c r="AV3221" s="36"/>
    </row>
    <row r="3222" spans="4:48">
      <c r="D3222" s="31"/>
      <c r="E3222" s="31"/>
      <c r="F3222" s="31"/>
      <c r="G3222" s="31"/>
      <c r="H3222" s="32"/>
      <c r="J3222" s="33"/>
      <c r="K3222" s="33"/>
      <c r="L3222" s="33"/>
      <c r="X3222" s="23"/>
      <c r="Y3222" s="23"/>
      <c r="Z3222" s="23"/>
      <c r="AA3222" s="23"/>
      <c r="AF3222" s="23"/>
      <c r="AG3222" s="23"/>
      <c r="AH3222" s="23"/>
      <c r="AI3222" s="23"/>
      <c r="AN3222" s="23"/>
      <c r="AO3222" s="23"/>
      <c r="AP3222" s="23"/>
      <c r="AQ3222" s="23"/>
      <c r="AR3222" s="35"/>
      <c r="AS3222" s="35"/>
      <c r="AT3222" s="35"/>
      <c r="AU3222" s="31"/>
      <c r="AV3222" s="36"/>
    </row>
    <row r="3223" spans="4:48">
      <c r="D3223" s="31"/>
      <c r="E3223" s="31"/>
      <c r="F3223" s="31"/>
      <c r="G3223" s="31"/>
      <c r="H3223" s="32"/>
      <c r="J3223" s="33"/>
      <c r="K3223" s="33"/>
      <c r="L3223" s="33"/>
      <c r="X3223" s="23"/>
      <c r="Y3223" s="23"/>
      <c r="Z3223" s="23"/>
      <c r="AA3223" s="23"/>
      <c r="AF3223" s="23"/>
      <c r="AG3223" s="23"/>
      <c r="AH3223" s="23"/>
      <c r="AI3223" s="23"/>
      <c r="AN3223" s="23"/>
      <c r="AO3223" s="23"/>
      <c r="AP3223" s="23"/>
      <c r="AQ3223" s="23"/>
      <c r="AR3223" s="35"/>
      <c r="AS3223" s="35"/>
      <c r="AT3223" s="35"/>
      <c r="AU3223" s="31"/>
      <c r="AV3223" s="36"/>
    </row>
    <row r="3224" spans="4:48">
      <c r="D3224" s="31"/>
      <c r="E3224" s="31"/>
      <c r="F3224" s="31"/>
      <c r="G3224" s="31"/>
      <c r="H3224" s="32"/>
      <c r="J3224" s="33"/>
      <c r="K3224" s="33"/>
      <c r="L3224" s="33"/>
      <c r="X3224" s="23"/>
      <c r="Y3224" s="23"/>
      <c r="Z3224" s="23"/>
      <c r="AA3224" s="23"/>
      <c r="AF3224" s="23"/>
      <c r="AG3224" s="23"/>
      <c r="AH3224" s="23"/>
      <c r="AI3224" s="23"/>
      <c r="AN3224" s="23"/>
      <c r="AO3224" s="23"/>
      <c r="AP3224" s="23"/>
      <c r="AQ3224" s="23"/>
      <c r="AR3224" s="35"/>
      <c r="AS3224" s="35"/>
      <c r="AT3224" s="35"/>
      <c r="AU3224" s="31"/>
      <c r="AV3224" s="36"/>
    </row>
    <row r="3225" spans="4:48">
      <c r="D3225" s="31"/>
      <c r="E3225" s="31"/>
      <c r="F3225" s="31"/>
      <c r="G3225" s="31"/>
      <c r="H3225" s="32"/>
      <c r="J3225" s="33"/>
      <c r="K3225" s="33"/>
      <c r="L3225" s="33"/>
      <c r="X3225" s="23"/>
      <c r="Y3225" s="23"/>
      <c r="Z3225" s="23"/>
      <c r="AA3225" s="23"/>
      <c r="AF3225" s="23"/>
      <c r="AG3225" s="23"/>
      <c r="AH3225" s="23"/>
      <c r="AI3225" s="23"/>
      <c r="AN3225" s="23"/>
      <c r="AO3225" s="23"/>
      <c r="AP3225" s="23"/>
      <c r="AQ3225" s="23"/>
      <c r="AR3225" s="35"/>
      <c r="AS3225" s="35"/>
      <c r="AT3225" s="35"/>
      <c r="AU3225" s="31"/>
      <c r="AV3225" s="36"/>
    </row>
    <row r="3226" spans="4:48">
      <c r="D3226" s="31"/>
      <c r="E3226" s="31"/>
      <c r="F3226" s="31"/>
      <c r="G3226" s="31"/>
      <c r="H3226" s="32"/>
      <c r="J3226" s="33"/>
      <c r="K3226" s="33"/>
      <c r="L3226" s="33"/>
      <c r="X3226" s="23"/>
      <c r="Y3226" s="23"/>
      <c r="Z3226" s="23"/>
      <c r="AA3226" s="23"/>
      <c r="AF3226" s="23"/>
      <c r="AG3226" s="23"/>
      <c r="AH3226" s="23"/>
      <c r="AI3226" s="23"/>
      <c r="AN3226" s="23"/>
      <c r="AO3226" s="23"/>
      <c r="AP3226" s="23"/>
      <c r="AQ3226" s="23"/>
      <c r="AR3226" s="35"/>
      <c r="AS3226" s="35"/>
      <c r="AT3226" s="35"/>
      <c r="AU3226" s="31"/>
      <c r="AV3226" s="36"/>
    </row>
    <row r="3227" spans="4:48">
      <c r="D3227" s="31"/>
      <c r="E3227" s="31"/>
      <c r="F3227" s="31"/>
      <c r="G3227" s="31"/>
      <c r="H3227" s="32"/>
      <c r="J3227" s="33"/>
      <c r="K3227" s="33"/>
      <c r="L3227" s="33"/>
      <c r="X3227" s="23"/>
      <c r="Y3227" s="23"/>
      <c r="Z3227" s="23"/>
      <c r="AA3227" s="23"/>
      <c r="AF3227" s="23"/>
      <c r="AG3227" s="23"/>
      <c r="AH3227" s="23"/>
      <c r="AI3227" s="23"/>
      <c r="AN3227" s="23"/>
      <c r="AO3227" s="23"/>
      <c r="AP3227" s="23"/>
      <c r="AQ3227" s="23"/>
      <c r="AR3227" s="35"/>
      <c r="AS3227" s="35"/>
      <c r="AT3227" s="35"/>
      <c r="AU3227" s="31"/>
      <c r="AV3227" s="36"/>
    </row>
    <row r="3228" spans="4:48">
      <c r="D3228" s="31"/>
      <c r="E3228" s="31"/>
      <c r="F3228" s="31"/>
      <c r="G3228" s="31"/>
      <c r="H3228" s="32"/>
      <c r="J3228" s="33"/>
      <c r="K3228" s="33"/>
      <c r="L3228" s="33"/>
      <c r="X3228" s="23"/>
      <c r="Y3228" s="23"/>
      <c r="Z3228" s="23"/>
      <c r="AA3228" s="23"/>
      <c r="AF3228" s="23"/>
      <c r="AG3228" s="23"/>
      <c r="AH3228" s="23"/>
      <c r="AI3228" s="23"/>
      <c r="AN3228" s="23"/>
      <c r="AO3228" s="23"/>
      <c r="AP3228" s="23"/>
      <c r="AQ3228" s="23"/>
      <c r="AR3228" s="35"/>
      <c r="AS3228" s="35"/>
      <c r="AT3228" s="35"/>
      <c r="AU3228" s="31"/>
      <c r="AV3228" s="36"/>
    </row>
    <row r="3229" spans="4:48">
      <c r="D3229" s="31"/>
      <c r="E3229" s="31"/>
      <c r="F3229" s="31"/>
      <c r="G3229" s="31"/>
      <c r="H3229" s="32"/>
      <c r="J3229" s="33"/>
      <c r="K3229" s="33"/>
      <c r="L3229" s="33"/>
      <c r="X3229" s="23"/>
      <c r="Y3229" s="23"/>
      <c r="Z3229" s="23"/>
      <c r="AA3229" s="23"/>
      <c r="AF3229" s="23"/>
      <c r="AG3229" s="23"/>
      <c r="AH3229" s="23"/>
      <c r="AI3229" s="23"/>
      <c r="AN3229" s="23"/>
      <c r="AO3229" s="23"/>
      <c r="AP3229" s="23"/>
      <c r="AQ3229" s="23"/>
      <c r="AR3229" s="35"/>
      <c r="AS3229" s="35"/>
      <c r="AT3229" s="35"/>
      <c r="AU3229" s="31"/>
      <c r="AV3229" s="36"/>
    </row>
  </sheetData>
  <autoFilter ref="C6:C899">
    <extLst/>
  </autoFilter>
  <mergeCells count="10">
    <mergeCell ref="D1:H1"/>
    <mergeCell ref="I1:O1"/>
    <mergeCell ref="P1:S1"/>
    <mergeCell ref="T1:W1"/>
    <mergeCell ref="X1:AA1"/>
    <mergeCell ref="AB1:AE1"/>
    <mergeCell ref="AF1:AI1"/>
    <mergeCell ref="AJ1:AM1"/>
    <mergeCell ref="AN1:AQ1"/>
    <mergeCell ref="AR1:AV1"/>
  </mergeCells>
  <conditionalFormatting sqref="AU2">
    <cfRule type="cellIs" dxfId="0" priority="40377" operator="lessThan">
      <formula>20</formula>
    </cfRule>
    <cfRule type="cellIs" dxfId="1" priority="40376" operator="greaterThan">
      <formula>120</formula>
    </cfRule>
    <cfRule type="containsText" dxfId="2" priority="40375" operator="between" text="库存为">
      <formula>NOT(ISERROR(SEARCH("库存为",AU2)))</formula>
    </cfRule>
  </conditionalFormatting>
  <conditionalFormatting sqref="AU6">
    <cfRule type="cellIs" dxfId="0" priority="2112" operator="lessThan">
      <formula>20</formula>
    </cfRule>
    <cfRule type="cellIs" dxfId="1" priority="1408" operator="greaterThan">
      <formula>120</formula>
    </cfRule>
    <cfRule type="containsText" dxfId="2" priority="704" operator="between" text="库存为">
      <formula>NOT(ISERROR(SEARCH("库存为",AU6)))</formula>
    </cfRule>
  </conditionalFormatting>
  <conditionalFormatting sqref="AU7">
    <cfRule type="cellIs" dxfId="0" priority="2111" operator="lessThan">
      <formula>20</formula>
    </cfRule>
    <cfRule type="cellIs" dxfId="1" priority="1407" operator="greaterThan">
      <formula>120</formula>
    </cfRule>
    <cfRule type="containsText" dxfId="2" priority="703" operator="between" text="库存为">
      <formula>NOT(ISERROR(SEARCH("库存为",AU7)))</formula>
    </cfRule>
  </conditionalFormatting>
  <conditionalFormatting sqref="AU8">
    <cfRule type="cellIs" dxfId="0" priority="2110" operator="lessThan">
      <formula>20</formula>
    </cfRule>
    <cfRule type="cellIs" dxfId="1" priority="1406" operator="greaterThan">
      <formula>120</formula>
    </cfRule>
    <cfRule type="containsText" dxfId="2" priority="702" operator="between" text="库存为">
      <formula>NOT(ISERROR(SEARCH("库存为",AU8)))</formula>
    </cfRule>
  </conditionalFormatting>
  <conditionalFormatting sqref="AU9">
    <cfRule type="cellIs" dxfId="0" priority="2109" operator="lessThan">
      <formula>20</formula>
    </cfRule>
    <cfRule type="cellIs" dxfId="1" priority="1405" operator="greaterThan">
      <formula>120</formula>
    </cfRule>
    <cfRule type="containsText" dxfId="2" priority="701" operator="between" text="库存为">
      <formula>NOT(ISERROR(SEARCH("库存为",AU9)))</formula>
    </cfRule>
  </conditionalFormatting>
  <conditionalFormatting sqref="AU10">
    <cfRule type="cellIs" dxfId="0" priority="2108" operator="lessThan">
      <formula>20</formula>
    </cfRule>
    <cfRule type="cellIs" dxfId="1" priority="1404" operator="greaterThan">
      <formula>120</formula>
    </cfRule>
    <cfRule type="containsText" dxfId="2" priority="700" operator="between" text="库存为">
      <formula>NOT(ISERROR(SEARCH("库存为",AU10)))</formula>
    </cfRule>
  </conditionalFormatting>
  <conditionalFormatting sqref="AU11">
    <cfRule type="cellIs" dxfId="0" priority="2107" operator="lessThan">
      <formula>20</formula>
    </cfRule>
    <cfRule type="cellIs" dxfId="1" priority="1403" operator="greaterThan">
      <formula>120</formula>
    </cfRule>
    <cfRule type="containsText" dxfId="2" priority="699" operator="between" text="库存为">
      <formula>NOT(ISERROR(SEARCH("库存为",AU11)))</formula>
    </cfRule>
  </conditionalFormatting>
  <conditionalFormatting sqref="AU12">
    <cfRule type="cellIs" dxfId="0" priority="2106" operator="lessThan">
      <formula>20</formula>
    </cfRule>
    <cfRule type="cellIs" dxfId="1" priority="1402" operator="greaterThan">
      <formula>120</formula>
    </cfRule>
    <cfRule type="containsText" dxfId="2" priority="698" operator="between" text="库存为">
      <formula>NOT(ISERROR(SEARCH("库存为",AU12)))</formula>
    </cfRule>
  </conditionalFormatting>
  <conditionalFormatting sqref="AU13">
    <cfRule type="cellIs" dxfId="0" priority="2105" operator="lessThan">
      <formula>20</formula>
    </cfRule>
    <cfRule type="cellIs" dxfId="1" priority="1401" operator="greaterThan">
      <formula>120</formula>
    </cfRule>
    <cfRule type="containsText" dxfId="2" priority="697" operator="between" text="库存为">
      <formula>NOT(ISERROR(SEARCH("库存为",AU13)))</formula>
    </cfRule>
  </conditionalFormatting>
  <conditionalFormatting sqref="AU14">
    <cfRule type="cellIs" dxfId="0" priority="2104" operator="lessThan">
      <formula>20</formula>
    </cfRule>
    <cfRule type="cellIs" dxfId="1" priority="1400" operator="greaterThan">
      <formula>120</formula>
    </cfRule>
    <cfRule type="containsText" dxfId="2" priority="696" operator="between" text="库存为">
      <formula>NOT(ISERROR(SEARCH("库存为",AU14)))</formula>
    </cfRule>
  </conditionalFormatting>
  <conditionalFormatting sqref="AU15">
    <cfRule type="cellIs" dxfId="0" priority="2103" operator="lessThan">
      <formula>20</formula>
    </cfRule>
    <cfRule type="cellIs" dxfId="1" priority="1399" operator="greaterThan">
      <formula>120</formula>
    </cfRule>
    <cfRule type="containsText" dxfId="2" priority="695" operator="between" text="库存为">
      <formula>NOT(ISERROR(SEARCH("库存为",AU15)))</formula>
    </cfRule>
  </conditionalFormatting>
  <conditionalFormatting sqref="AU16">
    <cfRule type="cellIs" dxfId="0" priority="2102" operator="lessThan">
      <formula>20</formula>
    </cfRule>
    <cfRule type="cellIs" dxfId="1" priority="1398" operator="greaterThan">
      <formula>120</formula>
    </cfRule>
    <cfRule type="containsText" dxfId="2" priority="694" operator="between" text="库存为">
      <formula>NOT(ISERROR(SEARCH("库存为",AU16)))</formula>
    </cfRule>
  </conditionalFormatting>
  <conditionalFormatting sqref="AU17">
    <cfRule type="cellIs" dxfId="0" priority="2101" operator="lessThan">
      <formula>20</formula>
    </cfRule>
    <cfRule type="cellIs" dxfId="1" priority="1397" operator="greaterThan">
      <formula>120</formula>
    </cfRule>
    <cfRule type="containsText" dxfId="2" priority="693" operator="between" text="库存为">
      <formula>NOT(ISERROR(SEARCH("库存为",AU17)))</formula>
    </cfRule>
  </conditionalFormatting>
  <conditionalFormatting sqref="AU18">
    <cfRule type="cellIs" dxfId="0" priority="2100" operator="lessThan">
      <formula>20</formula>
    </cfRule>
    <cfRule type="cellIs" dxfId="1" priority="1396" operator="greaterThan">
      <formula>120</formula>
    </cfRule>
    <cfRule type="containsText" dxfId="2" priority="692" operator="between" text="库存为">
      <formula>NOT(ISERROR(SEARCH("库存为",AU18)))</formula>
    </cfRule>
  </conditionalFormatting>
  <conditionalFormatting sqref="AU19">
    <cfRule type="cellIs" dxfId="0" priority="2099" operator="lessThan">
      <formula>20</formula>
    </cfRule>
    <cfRule type="cellIs" dxfId="1" priority="1395" operator="greaterThan">
      <formula>120</formula>
    </cfRule>
    <cfRule type="containsText" dxfId="2" priority="691" operator="between" text="库存为">
      <formula>NOT(ISERROR(SEARCH("库存为",AU19)))</formula>
    </cfRule>
  </conditionalFormatting>
  <conditionalFormatting sqref="AU20">
    <cfRule type="cellIs" dxfId="0" priority="2098" operator="lessThan">
      <formula>20</formula>
    </cfRule>
    <cfRule type="cellIs" dxfId="1" priority="1394" operator="greaterThan">
      <formula>120</formula>
    </cfRule>
    <cfRule type="containsText" dxfId="2" priority="690" operator="between" text="库存为">
      <formula>NOT(ISERROR(SEARCH("库存为",AU20)))</formula>
    </cfRule>
  </conditionalFormatting>
  <conditionalFormatting sqref="AU21">
    <cfRule type="cellIs" dxfId="0" priority="2097" operator="lessThan">
      <formula>20</formula>
    </cfRule>
    <cfRule type="cellIs" dxfId="1" priority="1393" operator="greaterThan">
      <formula>120</formula>
    </cfRule>
    <cfRule type="containsText" dxfId="2" priority="689" operator="between" text="库存为">
      <formula>NOT(ISERROR(SEARCH("库存为",AU21)))</formula>
    </cfRule>
  </conditionalFormatting>
  <conditionalFormatting sqref="AU22">
    <cfRule type="cellIs" dxfId="0" priority="2096" operator="lessThan">
      <formula>20</formula>
    </cfRule>
    <cfRule type="cellIs" dxfId="1" priority="1392" operator="greaterThan">
      <formula>120</formula>
    </cfRule>
    <cfRule type="containsText" dxfId="2" priority="688" operator="between" text="库存为">
      <formula>NOT(ISERROR(SEARCH("库存为",AU22)))</formula>
    </cfRule>
  </conditionalFormatting>
  <conditionalFormatting sqref="AU23">
    <cfRule type="cellIs" dxfId="0" priority="2095" operator="lessThan">
      <formula>20</formula>
    </cfRule>
    <cfRule type="cellIs" dxfId="1" priority="1391" operator="greaterThan">
      <formula>120</formula>
    </cfRule>
    <cfRule type="containsText" dxfId="2" priority="687" operator="between" text="库存为">
      <formula>NOT(ISERROR(SEARCH("库存为",AU23)))</formula>
    </cfRule>
  </conditionalFormatting>
  <conditionalFormatting sqref="AU24">
    <cfRule type="cellIs" dxfId="0" priority="2094" operator="lessThan">
      <formula>20</formula>
    </cfRule>
    <cfRule type="cellIs" dxfId="1" priority="1390" operator="greaterThan">
      <formula>120</formula>
    </cfRule>
    <cfRule type="containsText" dxfId="2" priority="686" operator="between" text="库存为">
      <formula>NOT(ISERROR(SEARCH("库存为",AU24)))</formula>
    </cfRule>
  </conditionalFormatting>
  <conditionalFormatting sqref="AU25">
    <cfRule type="cellIs" dxfId="0" priority="2093" operator="lessThan">
      <formula>20</formula>
    </cfRule>
    <cfRule type="cellIs" dxfId="1" priority="1389" operator="greaterThan">
      <formula>120</formula>
    </cfRule>
    <cfRule type="containsText" dxfId="2" priority="685" operator="between" text="库存为">
      <formula>NOT(ISERROR(SEARCH("库存为",AU25)))</formula>
    </cfRule>
  </conditionalFormatting>
  <conditionalFormatting sqref="AU26">
    <cfRule type="cellIs" dxfId="0" priority="2092" operator="lessThan">
      <formula>20</formula>
    </cfRule>
    <cfRule type="cellIs" dxfId="1" priority="1388" operator="greaterThan">
      <formula>120</formula>
    </cfRule>
    <cfRule type="containsText" dxfId="2" priority="684" operator="between" text="库存为">
      <formula>NOT(ISERROR(SEARCH("库存为",AU26)))</formula>
    </cfRule>
  </conditionalFormatting>
  <conditionalFormatting sqref="AU27">
    <cfRule type="cellIs" dxfId="0" priority="2091" operator="lessThan">
      <formula>20</formula>
    </cfRule>
    <cfRule type="cellIs" dxfId="1" priority="1387" operator="greaterThan">
      <formula>120</formula>
    </cfRule>
    <cfRule type="containsText" dxfId="2" priority="683" operator="between" text="库存为">
      <formula>NOT(ISERROR(SEARCH("库存为",AU27)))</formula>
    </cfRule>
  </conditionalFormatting>
  <conditionalFormatting sqref="AU28">
    <cfRule type="cellIs" dxfId="0" priority="2090" operator="lessThan">
      <formula>20</formula>
    </cfRule>
    <cfRule type="cellIs" dxfId="1" priority="1386" operator="greaterThan">
      <formula>120</formula>
    </cfRule>
    <cfRule type="containsText" dxfId="2" priority="682" operator="between" text="库存为">
      <formula>NOT(ISERROR(SEARCH("库存为",AU28)))</formula>
    </cfRule>
  </conditionalFormatting>
  <conditionalFormatting sqref="AU29">
    <cfRule type="cellIs" dxfId="0" priority="2089" operator="lessThan">
      <formula>20</formula>
    </cfRule>
    <cfRule type="cellIs" dxfId="1" priority="1385" operator="greaterThan">
      <formula>120</formula>
    </cfRule>
    <cfRule type="containsText" dxfId="2" priority="681" operator="between" text="库存为">
      <formula>NOT(ISERROR(SEARCH("库存为",AU29)))</formula>
    </cfRule>
  </conditionalFormatting>
  <conditionalFormatting sqref="AU30">
    <cfRule type="cellIs" dxfId="0" priority="2088" operator="lessThan">
      <formula>20</formula>
    </cfRule>
    <cfRule type="cellIs" dxfId="1" priority="1384" operator="greaterThan">
      <formula>120</formula>
    </cfRule>
    <cfRule type="containsText" dxfId="2" priority="680" operator="between" text="库存为">
      <formula>NOT(ISERROR(SEARCH("库存为",AU30)))</formula>
    </cfRule>
  </conditionalFormatting>
  <conditionalFormatting sqref="AU31">
    <cfRule type="cellIs" dxfId="0" priority="2087" operator="lessThan">
      <formula>20</formula>
    </cfRule>
    <cfRule type="cellIs" dxfId="1" priority="1383" operator="greaterThan">
      <formula>120</formula>
    </cfRule>
    <cfRule type="containsText" dxfId="2" priority="679" operator="between" text="库存为">
      <formula>NOT(ISERROR(SEARCH("库存为",AU31)))</formula>
    </cfRule>
  </conditionalFormatting>
  <conditionalFormatting sqref="AU32">
    <cfRule type="cellIs" dxfId="0" priority="2086" operator="lessThan">
      <formula>20</formula>
    </cfRule>
    <cfRule type="cellIs" dxfId="1" priority="1382" operator="greaterThan">
      <formula>120</formula>
    </cfRule>
    <cfRule type="containsText" dxfId="2" priority="678" operator="between" text="库存为">
      <formula>NOT(ISERROR(SEARCH("库存为",AU32)))</formula>
    </cfRule>
  </conditionalFormatting>
  <conditionalFormatting sqref="AU33">
    <cfRule type="cellIs" dxfId="0" priority="2085" operator="lessThan">
      <formula>20</formula>
    </cfRule>
    <cfRule type="cellIs" dxfId="1" priority="1381" operator="greaterThan">
      <formula>120</formula>
    </cfRule>
    <cfRule type="containsText" dxfId="2" priority="677" operator="between" text="库存为">
      <formula>NOT(ISERROR(SEARCH("库存为",AU33)))</formula>
    </cfRule>
  </conditionalFormatting>
  <conditionalFormatting sqref="AU34">
    <cfRule type="cellIs" dxfId="0" priority="2084" operator="lessThan">
      <formula>20</formula>
    </cfRule>
    <cfRule type="cellIs" dxfId="1" priority="1380" operator="greaterThan">
      <formula>120</formula>
    </cfRule>
    <cfRule type="containsText" dxfId="2" priority="676" operator="between" text="库存为">
      <formula>NOT(ISERROR(SEARCH("库存为",AU34)))</formula>
    </cfRule>
  </conditionalFormatting>
  <conditionalFormatting sqref="AU35">
    <cfRule type="cellIs" dxfId="0" priority="2083" operator="lessThan">
      <formula>20</formula>
    </cfRule>
    <cfRule type="cellIs" dxfId="1" priority="1379" operator="greaterThan">
      <formula>120</formula>
    </cfRule>
    <cfRule type="containsText" dxfId="2" priority="675" operator="between" text="库存为">
      <formula>NOT(ISERROR(SEARCH("库存为",AU35)))</formula>
    </cfRule>
  </conditionalFormatting>
  <conditionalFormatting sqref="AU36">
    <cfRule type="cellIs" dxfId="0" priority="2082" operator="lessThan">
      <formula>20</formula>
    </cfRule>
    <cfRule type="cellIs" dxfId="1" priority="1378" operator="greaterThan">
      <formula>120</formula>
    </cfRule>
    <cfRule type="containsText" dxfId="2" priority="674" operator="between" text="库存为">
      <formula>NOT(ISERROR(SEARCH("库存为",AU36)))</formula>
    </cfRule>
  </conditionalFormatting>
  <conditionalFormatting sqref="AU37">
    <cfRule type="cellIs" dxfId="0" priority="2081" operator="lessThan">
      <formula>20</formula>
    </cfRule>
    <cfRule type="cellIs" dxfId="1" priority="1377" operator="greaterThan">
      <formula>120</formula>
    </cfRule>
    <cfRule type="containsText" dxfId="2" priority="673" operator="between" text="库存为">
      <formula>NOT(ISERROR(SEARCH("库存为",AU37)))</formula>
    </cfRule>
  </conditionalFormatting>
  <conditionalFormatting sqref="AU38">
    <cfRule type="cellIs" dxfId="0" priority="2080" operator="lessThan">
      <formula>20</formula>
    </cfRule>
    <cfRule type="cellIs" dxfId="1" priority="1376" operator="greaterThan">
      <formula>120</formula>
    </cfRule>
    <cfRule type="containsText" dxfId="2" priority="672" operator="between" text="库存为">
      <formula>NOT(ISERROR(SEARCH("库存为",AU38)))</formula>
    </cfRule>
  </conditionalFormatting>
  <conditionalFormatting sqref="AU39">
    <cfRule type="cellIs" dxfId="0" priority="2079" operator="lessThan">
      <formula>20</formula>
    </cfRule>
    <cfRule type="cellIs" dxfId="1" priority="1375" operator="greaterThan">
      <formula>120</formula>
    </cfRule>
    <cfRule type="containsText" dxfId="2" priority="671" operator="between" text="库存为">
      <formula>NOT(ISERROR(SEARCH("库存为",AU39)))</formula>
    </cfRule>
  </conditionalFormatting>
  <conditionalFormatting sqref="AU40">
    <cfRule type="cellIs" dxfId="0" priority="2078" operator="lessThan">
      <formula>20</formula>
    </cfRule>
    <cfRule type="cellIs" dxfId="1" priority="1374" operator="greaterThan">
      <formula>120</formula>
    </cfRule>
    <cfRule type="containsText" dxfId="2" priority="670" operator="between" text="库存为">
      <formula>NOT(ISERROR(SEARCH("库存为",AU40)))</formula>
    </cfRule>
  </conditionalFormatting>
  <conditionalFormatting sqref="AU41">
    <cfRule type="cellIs" dxfId="0" priority="2077" operator="lessThan">
      <formula>20</formula>
    </cfRule>
    <cfRule type="cellIs" dxfId="1" priority="1373" operator="greaterThan">
      <formula>120</formula>
    </cfRule>
    <cfRule type="containsText" dxfId="2" priority="669" operator="between" text="库存为">
      <formula>NOT(ISERROR(SEARCH("库存为",AU41)))</formula>
    </cfRule>
  </conditionalFormatting>
  <conditionalFormatting sqref="AU42">
    <cfRule type="cellIs" dxfId="0" priority="2076" operator="lessThan">
      <formula>20</formula>
    </cfRule>
    <cfRule type="cellIs" dxfId="1" priority="1372" operator="greaterThan">
      <formula>120</formula>
    </cfRule>
    <cfRule type="containsText" dxfId="2" priority="668" operator="between" text="库存为">
      <formula>NOT(ISERROR(SEARCH("库存为",AU42)))</formula>
    </cfRule>
  </conditionalFormatting>
  <conditionalFormatting sqref="AU43">
    <cfRule type="cellIs" dxfId="0" priority="2075" operator="lessThan">
      <formula>20</formula>
    </cfRule>
    <cfRule type="cellIs" dxfId="1" priority="1371" operator="greaterThan">
      <formula>120</formula>
    </cfRule>
    <cfRule type="containsText" dxfId="2" priority="667" operator="between" text="库存为">
      <formula>NOT(ISERROR(SEARCH("库存为",AU43)))</formula>
    </cfRule>
  </conditionalFormatting>
  <conditionalFormatting sqref="AU44">
    <cfRule type="cellIs" dxfId="0" priority="2074" operator="lessThan">
      <formula>20</formula>
    </cfRule>
    <cfRule type="cellIs" dxfId="1" priority="1370" operator="greaterThan">
      <formula>120</formula>
    </cfRule>
    <cfRule type="containsText" dxfId="2" priority="666" operator="between" text="库存为">
      <formula>NOT(ISERROR(SEARCH("库存为",AU44)))</formula>
    </cfRule>
  </conditionalFormatting>
  <conditionalFormatting sqref="AU45">
    <cfRule type="cellIs" dxfId="0" priority="2073" operator="lessThan">
      <formula>20</formula>
    </cfRule>
    <cfRule type="cellIs" dxfId="1" priority="1369" operator="greaterThan">
      <formula>120</formula>
    </cfRule>
    <cfRule type="containsText" dxfId="2" priority="665" operator="between" text="库存为">
      <formula>NOT(ISERROR(SEARCH("库存为",AU45)))</formula>
    </cfRule>
  </conditionalFormatting>
  <conditionalFormatting sqref="AU46">
    <cfRule type="cellIs" dxfId="0" priority="2072" operator="lessThan">
      <formula>20</formula>
    </cfRule>
    <cfRule type="cellIs" dxfId="1" priority="1368" operator="greaterThan">
      <formula>120</formula>
    </cfRule>
    <cfRule type="containsText" dxfId="2" priority="664" operator="between" text="库存为">
      <formula>NOT(ISERROR(SEARCH("库存为",AU46)))</formula>
    </cfRule>
  </conditionalFormatting>
  <conditionalFormatting sqref="AU47">
    <cfRule type="cellIs" dxfId="0" priority="2071" operator="lessThan">
      <formula>20</formula>
    </cfRule>
    <cfRule type="cellIs" dxfId="1" priority="1367" operator="greaterThan">
      <formula>120</formula>
    </cfRule>
    <cfRule type="containsText" dxfId="2" priority="663" operator="between" text="库存为">
      <formula>NOT(ISERROR(SEARCH("库存为",AU47)))</formula>
    </cfRule>
  </conditionalFormatting>
  <conditionalFormatting sqref="AU48">
    <cfRule type="cellIs" dxfId="0" priority="2070" operator="lessThan">
      <formula>20</formula>
    </cfRule>
    <cfRule type="cellIs" dxfId="1" priority="1366" operator="greaterThan">
      <formula>120</formula>
    </cfRule>
    <cfRule type="containsText" dxfId="2" priority="662" operator="between" text="库存为">
      <formula>NOT(ISERROR(SEARCH("库存为",AU48)))</formula>
    </cfRule>
  </conditionalFormatting>
  <conditionalFormatting sqref="AU49">
    <cfRule type="cellIs" dxfId="0" priority="2069" operator="lessThan">
      <formula>20</formula>
    </cfRule>
    <cfRule type="cellIs" dxfId="1" priority="1365" operator="greaterThan">
      <formula>120</formula>
    </cfRule>
    <cfRule type="containsText" dxfId="2" priority="661" operator="between" text="库存为">
      <formula>NOT(ISERROR(SEARCH("库存为",AU49)))</formula>
    </cfRule>
  </conditionalFormatting>
  <conditionalFormatting sqref="AU50">
    <cfRule type="cellIs" dxfId="0" priority="2068" operator="lessThan">
      <formula>20</formula>
    </cfRule>
    <cfRule type="cellIs" dxfId="1" priority="1364" operator="greaterThan">
      <formula>120</formula>
    </cfRule>
    <cfRule type="containsText" dxfId="2" priority="660" operator="between" text="库存为">
      <formula>NOT(ISERROR(SEARCH("库存为",AU50)))</formula>
    </cfRule>
  </conditionalFormatting>
  <conditionalFormatting sqref="AU51">
    <cfRule type="cellIs" dxfId="0" priority="2067" operator="lessThan">
      <formula>20</formula>
    </cfRule>
    <cfRule type="cellIs" dxfId="1" priority="1363" operator="greaterThan">
      <formula>120</formula>
    </cfRule>
    <cfRule type="containsText" dxfId="2" priority="659" operator="between" text="库存为">
      <formula>NOT(ISERROR(SEARCH("库存为",AU51)))</formula>
    </cfRule>
  </conditionalFormatting>
  <conditionalFormatting sqref="AU52">
    <cfRule type="cellIs" dxfId="0" priority="2066" operator="lessThan">
      <formula>20</formula>
    </cfRule>
    <cfRule type="cellIs" dxfId="1" priority="1362" operator="greaterThan">
      <formula>120</formula>
    </cfRule>
    <cfRule type="containsText" dxfId="2" priority="658" operator="between" text="库存为">
      <formula>NOT(ISERROR(SEARCH("库存为",AU52)))</formula>
    </cfRule>
  </conditionalFormatting>
  <conditionalFormatting sqref="AU53">
    <cfRule type="cellIs" dxfId="0" priority="2065" operator="lessThan">
      <formula>20</formula>
    </cfRule>
    <cfRule type="cellIs" dxfId="1" priority="1361" operator="greaterThan">
      <formula>120</formula>
    </cfRule>
    <cfRule type="containsText" dxfId="2" priority="657" operator="between" text="库存为">
      <formula>NOT(ISERROR(SEARCH("库存为",AU53)))</formula>
    </cfRule>
  </conditionalFormatting>
  <conditionalFormatting sqref="AU54">
    <cfRule type="cellIs" dxfId="0" priority="2064" operator="lessThan">
      <formula>20</formula>
    </cfRule>
    <cfRule type="cellIs" dxfId="1" priority="1360" operator="greaterThan">
      <formula>120</formula>
    </cfRule>
    <cfRule type="containsText" dxfId="2" priority="656" operator="between" text="库存为">
      <formula>NOT(ISERROR(SEARCH("库存为",AU54)))</formula>
    </cfRule>
  </conditionalFormatting>
  <conditionalFormatting sqref="AU55">
    <cfRule type="cellIs" dxfId="0" priority="2063" operator="lessThan">
      <formula>20</formula>
    </cfRule>
    <cfRule type="cellIs" dxfId="1" priority="1359" operator="greaterThan">
      <formula>120</formula>
    </cfRule>
    <cfRule type="containsText" dxfId="2" priority="655" operator="between" text="库存为">
      <formula>NOT(ISERROR(SEARCH("库存为",AU55)))</formula>
    </cfRule>
  </conditionalFormatting>
  <conditionalFormatting sqref="AU56">
    <cfRule type="cellIs" dxfId="0" priority="2062" operator="lessThan">
      <formula>20</formula>
    </cfRule>
    <cfRule type="cellIs" dxfId="1" priority="1358" operator="greaterThan">
      <formula>120</formula>
    </cfRule>
    <cfRule type="containsText" dxfId="2" priority="654" operator="between" text="库存为">
      <formula>NOT(ISERROR(SEARCH("库存为",AU56)))</formula>
    </cfRule>
  </conditionalFormatting>
  <conditionalFormatting sqref="AU57">
    <cfRule type="cellIs" dxfId="0" priority="2061" operator="lessThan">
      <formula>20</formula>
    </cfRule>
    <cfRule type="cellIs" dxfId="1" priority="1357" operator="greaterThan">
      <formula>120</formula>
    </cfRule>
    <cfRule type="containsText" dxfId="2" priority="653" operator="between" text="库存为">
      <formula>NOT(ISERROR(SEARCH("库存为",AU57)))</formula>
    </cfRule>
  </conditionalFormatting>
  <conditionalFormatting sqref="AU58">
    <cfRule type="cellIs" dxfId="0" priority="2060" operator="lessThan">
      <formula>20</formula>
    </cfRule>
    <cfRule type="cellIs" dxfId="1" priority="1356" operator="greaterThan">
      <formula>120</formula>
    </cfRule>
    <cfRule type="containsText" dxfId="2" priority="652" operator="between" text="库存为">
      <formula>NOT(ISERROR(SEARCH("库存为",AU58)))</formula>
    </cfRule>
  </conditionalFormatting>
  <conditionalFormatting sqref="AU59">
    <cfRule type="cellIs" dxfId="0" priority="2059" operator="lessThan">
      <formula>20</formula>
    </cfRule>
    <cfRule type="cellIs" dxfId="1" priority="1355" operator="greaterThan">
      <formula>120</formula>
    </cfRule>
    <cfRule type="containsText" dxfId="2" priority="651" operator="between" text="库存为">
      <formula>NOT(ISERROR(SEARCH("库存为",AU59)))</formula>
    </cfRule>
  </conditionalFormatting>
  <conditionalFormatting sqref="AU60">
    <cfRule type="cellIs" dxfId="0" priority="2058" operator="lessThan">
      <formula>20</formula>
    </cfRule>
    <cfRule type="cellIs" dxfId="1" priority="1354" operator="greaterThan">
      <formula>120</formula>
    </cfRule>
    <cfRule type="containsText" dxfId="2" priority="650" operator="between" text="库存为">
      <formula>NOT(ISERROR(SEARCH("库存为",AU60)))</formula>
    </cfRule>
  </conditionalFormatting>
  <conditionalFormatting sqref="AU61">
    <cfRule type="cellIs" dxfId="0" priority="2057" operator="lessThan">
      <formula>20</formula>
    </cfRule>
    <cfRule type="cellIs" dxfId="1" priority="1353" operator="greaterThan">
      <formula>120</formula>
    </cfRule>
    <cfRule type="containsText" dxfId="2" priority="649" operator="between" text="库存为">
      <formula>NOT(ISERROR(SEARCH("库存为",AU61)))</formula>
    </cfRule>
  </conditionalFormatting>
  <conditionalFormatting sqref="AU62">
    <cfRule type="cellIs" dxfId="0" priority="2056" operator="lessThan">
      <formula>20</formula>
    </cfRule>
    <cfRule type="cellIs" dxfId="1" priority="1352" operator="greaterThan">
      <formula>120</formula>
    </cfRule>
    <cfRule type="containsText" dxfId="2" priority="648" operator="between" text="库存为">
      <formula>NOT(ISERROR(SEARCH("库存为",AU62)))</formula>
    </cfRule>
  </conditionalFormatting>
  <conditionalFormatting sqref="AU63">
    <cfRule type="cellIs" dxfId="0" priority="2055" operator="lessThan">
      <formula>20</formula>
    </cfRule>
    <cfRule type="cellIs" dxfId="1" priority="1351" operator="greaterThan">
      <formula>120</formula>
    </cfRule>
    <cfRule type="containsText" dxfId="2" priority="647" operator="between" text="库存为">
      <formula>NOT(ISERROR(SEARCH("库存为",AU63)))</formula>
    </cfRule>
  </conditionalFormatting>
  <conditionalFormatting sqref="AU64">
    <cfRule type="cellIs" dxfId="0" priority="2054" operator="lessThan">
      <formula>20</formula>
    </cfRule>
    <cfRule type="cellIs" dxfId="1" priority="1350" operator="greaterThan">
      <formula>120</formula>
    </cfRule>
    <cfRule type="containsText" dxfId="2" priority="646" operator="between" text="库存为">
      <formula>NOT(ISERROR(SEARCH("库存为",AU64)))</formula>
    </cfRule>
  </conditionalFormatting>
  <conditionalFormatting sqref="AU65">
    <cfRule type="cellIs" dxfId="0" priority="2053" operator="lessThan">
      <formula>20</formula>
    </cfRule>
    <cfRule type="cellIs" dxfId="1" priority="1349" operator="greaterThan">
      <formula>120</formula>
    </cfRule>
    <cfRule type="containsText" dxfId="2" priority="645" operator="between" text="库存为">
      <formula>NOT(ISERROR(SEARCH("库存为",AU65)))</formula>
    </cfRule>
  </conditionalFormatting>
  <conditionalFormatting sqref="AU66">
    <cfRule type="cellIs" dxfId="0" priority="2052" operator="lessThan">
      <formula>20</formula>
    </cfRule>
    <cfRule type="cellIs" dxfId="1" priority="1348" operator="greaterThan">
      <formula>120</formula>
    </cfRule>
    <cfRule type="containsText" dxfId="2" priority="644" operator="between" text="库存为">
      <formula>NOT(ISERROR(SEARCH("库存为",AU66)))</formula>
    </cfRule>
  </conditionalFormatting>
  <conditionalFormatting sqref="AU67">
    <cfRule type="cellIs" dxfId="0" priority="2051" operator="lessThan">
      <formula>20</formula>
    </cfRule>
    <cfRule type="cellIs" dxfId="1" priority="1347" operator="greaterThan">
      <formula>120</formula>
    </cfRule>
    <cfRule type="containsText" dxfId="2" priority="643" operator="between" text="库存为">
      <formula>NOT(ISERROR(SEARCH("库存为",AU67)))</formula>
    </cfRule>
  </conditionalFormatting>
  <conditionalFormatting sqref="AU68">
    <cfRule type="cellIs" dxfId="0" priority="2050" operator="lessThan">
      <formula>20</formula>
    </cfRule>
    <cfRule type="cellIs" dxfId="1" priority="1346" operator="greaterThan">
      <formula>120</formula>
    </cfRule>
    <cfRule type="containsText" dxfId="2" priority="642" operator="between" text="库存为">
      <formula>NOT(ISERROR(SEARCH("库存为",AU68)))</formula>
    </cfRule>
  </conditionalFormatting>
  <conditionalFormatting sqref="AU69">
    <cfRule type="cellIs" dxfId="0" priority="2049" operator="lessThan">
      <formula>20</formula>
    </cfRule>
    <cfRule type="cellIs" dxfId="1" priority="1345" operator="greaterThan">
      <formula>120</formula>
    </cfRule>
    <cfRule type="containsText" dxfId="2" priority="641" operator="between" text="库存为">
      <formula>NOT(ISERROR(SEARCH("库存为",AU69)))</formula>
    </cfRule>
  </conditionalFormatting>
  <conditionalFormatting sqref="AU70">
    <cfRule type="cellIs" dxfId="0" priority="2048" operator="lessThan">
      <formula>20</formula>
    </cfRule>
    <cfRule type="cellIs" dxfId="1" priority="1344" operator="greaterThan">
      <formula>120</formula>
    </cfRule>
    <cfRule type="containsText" dxfId="2" priority="640" operator="between" text="库存为">
      <formula>NOT(ISERROR(SEARCH("库存为",AU70)))</formula>
    </cfRule>
  </conditionalFormatting>
  <conditionalFormatting sqref="AU71">
    <cfRule type="cellIs" dxfId="0" priority="2047" operator="lessThan">
      <formula>20</formula>
    </cfRule>
    <cfRule type="cellIs" dxfId="1" priority="1343" operator="greaterThan">
      <formula>120</formula>
    </cfRule>
    <cfRule type="containsText" dxfId="2" priority="639" operator="between" text="库存为">
      <formula>NOT(ISERROR(SEARCH("库存为",AU71)))</formula>
    </cfRule>
  </conditionalFormatting>
  <conditionalFormatting sqref="AU72">
    <cfRule type="cellIs" dxfId="0" priority="2046" operator="lessThan">
      <formula>20</formula>
    </cfRule>
    <cfRule type="cellIs" dxfId="1" priority="1342" operator="greaterThan">
      <formula>120</formula>
    </cfRule>
    <cfRule type="containsText" dxfId="2" priority="638" operator="between" text="库存为">
      <formula>NOT(ISERROR(SEARCH("库存为",AU72)))</formula>
    </cfRule>
  </conditionalFormatting>
  <conditionalFormatting sqref="AU73">
    <cfRule type="cellIs" dxfId="0" priority="2045" operator="lessThan">
      <formula>20</formula>
    </cfRule>
    <cfRule type="cellIs" dxfId="1" priority="1341" operator="greaterThan">
      <formula>120</formula>
    </cfRule>
    <cfRule type="containsText" dxfId="2" priority="637" operator="between" text="库存为">
      <formula>NOT(ISERROR(SEARCH("库存为",AU73)))</formula>
    </cfRule>
  </conditionalFormatting>
  <conditionalFormatting sqref="AU74">
    <cfRule type="cellIs" dxfId="0" priority="2044" operator="lessThan">
      <formula>20</formula>
    </cfRule>
    <cfRule type="cellIs" dxfId="1" priority="1340" operator="greaterThan">
      <formula>120</formula>
    </cfRule>
    <cfRule type="containsText" dxfId="2" priority="636" operator="between" text="库存为">
      <formula>NOT(ISERROR(SEARCH("库存为",AU74)))</formula>
    </cfRule>
  </conditionalFormatting>
  <conditionalFormatting sqref="AU75">
    <cfRule type="cellIs" dxfId="0" priority="2043" operator="lessThan">
      <formula>20</formula>
    </cfRule>
    <cfRule type="cellIs" dxfId="1" priority="1339" operator="greaterThan">
      <formula>120</formula>
    </cfRule>
    <cfRule type="containsText" dxfId="2" priority="635" operator="between" text="库存为">
      <formula>NOT(ISERROR(SEARCH("库存为",AU75)))</formula>
    </cfRule>
  </conditionalFormatting>
  <conditionalFormatting sqref="AU76">
    <cfRule type="cellIs" dxfId="0" priority="2042" operator="lessThan">
      <formula>20</formula>
    </cfRule>
    <cfRule type="cellIs" dxfId="1" priority="1338" operator="greaterThan">
      <formula>120</formula>
    </cfRule>
    <cfRule type="containsText" dxfId="2" priority="634" operator="between" text="库存为">
      <formula>NOT(ISERROR(SEARCH("库存为",AU76)))</formula>
    </cfRule>
  </conditionalFormatting>
  <conditionalFormatting sqref="AU77">
    <cfRule type="cellIs" dxfId="0" priority="2041" operator="lessThan">
      <formula>20</formula>
    </cfRule>
    <cfRule type="cellIs" dxfId="1" priority="1337" operator="greaterThan">
      <formula>120</formula>
    </cfRule>
    <cfRule type="containsText" dxfId="2" priority="633" operator="between" text="库存为">
      <formula>NOT(ISERROR(SEARCH("库存为",AU77)))</formula>
    </cfRule>
  </conditionalFormatting>
  <conditionalFormatting sqref="AU78">
    <cfRule type="cellIs" dxfId="0" priority="2040" operator="lessThan">
      <formula>20</formula>
    </cfRule>
    <cfRule type="cellIs" dxfId="1" priority="1336" operator="greaterThan">
      <formula>120</formula>
    </cfRule>
    <cfRule type="containsText" dxfId="2" priority="632" operator="between" text="库存为">
      <formula>NOT(ISERROR(SEARCH("库存为",AU78)))</formula>
    </cfRule>
  </conditionalFormatting>
  <conditionalFormatting sqref="AU79">
    <cfRule type="cellIs" dxfId="0" priority="2039" operator="lessThan">
      <formula>20</formula>
    </cfRule>
    <cfRule type="cellIs" dxfId="1" priority="1335" operator="greaterThan">
      <formula>120</formula>
    </cfRule>
    <cfRule type="containsText" dxfId="2" priority="631" operator="between" text="库存为">
      <formula>NOT(ISERROR(SEARCH("库存为",AU79)))</formula>
    </cfRule>
  </conditionalFormatting>
  <conditionalFormatting sqref="AU80">
    <cfRule type="cellIs" dxfId="0" priority="2038" operator="lessThan">
      <formula>20</formula>
    </cfRule>
    <cfRule type="cellIs" dxfId="1" priority="1334" operator="greaterThan">
      <formula>120</formula>
    </cfRule>
    <cfRule type="containsText" dxfId="2" priority="630" operator="between" text="库存为">
      <formula>NOT(ISERROR(SEARCH("库存为",AU80)))</formula>
    </cfRule>
  </conditionalFormatting>
  <conditionalFormatting sqref="AU81">
    <cfRule type="cellIs" dxfId="0" priority="2037" operator="lessThan">
      <formula>20</formula>
    </cfRule>
    <cfRule type="cellIs" dxfId="1" priority="1333" operator="greaterThan">
      <formula>120</formula>
    </cfRule>
    <cfRule type="containsText" dxfId="2" priority="629" operator="between" text="库存为">
      <formula>NOT(ISERROR(SEARCH("库存为",AU81)))</formula>
    </cfRule>
  </conditionalFormatting>
  <conditionalFormatting sqref="AU82">
    <cfRule type="cellIs" dxfId="0" priority="2036" operator="lessThan">
      <formula>20</formula>
    </cfRule>
    <cfRule type="cellIs" dxfId="1" priority="1332" operator="greaterThan">
      <formula>120</formula>
    </cfRule>
    <cfRule type="containsText" dxfId="2" priority="628" operator="between" text="库存为">
      <formula>NOT(ISERROR(SEARCH("库存为",AU82)))</formula>
    </cfRule>
  </conditionalFormatting>
  <conditionalFormatting sqref="AU83">
    <cfRule type="cellIs" dxfId="0" priority="2035" operator="lessThan">
      <formula>20</formula>
    </cfRule>
    <cfRule type="cellIs" dxfId="1" priority="1331" operator="greaterThan">
      <formula>120</formula>
    </cfRule>
    <cfRule type="containsText" dxfId="2" priority="627" operator="between" text="库存为">
      <formula>NOT(ISERROR(SEARCH("库存为",AU83)))</formula>
    </cfRule>
  </conditionalFormatting>
  <conditionalFormatting sqref="AU84">
    <cfRule type="cellIs" dxfId="0" priority="2034" operator="lessThan">
      <formula>20</formula>
    </cfRule>
    <cfRule type="cellIs" dxfId="1" priority="1330" operator="greaterThan">
      <formula>120</formula>
    </cfRule>
    <cfRule type="containsText" dxfId="2" priority="626" operator="between" text="库存为">
      <formula>NOT(ISERROR(SEARCH("库存为",AU84)))</formula>
    </cfRule>
  </conditionalFormatting>
  <conditionalFormatting sqref="AU85">
    <cfRule type="cellIs" dxfId="0" priority="2033" operator="lessThan">
      <formula>20</formula>
    </cfRule>
    <cfRule type="cellIs" dxfId="1" priority="1329" operator="greaterThan">
      <formula>120</formula>
    </cfRule>
    <cfRule type="containsText" dxfId="2" priority="625" operator="between" text="库存为">
      <formula>NOT(ISERROR(SEARCH("库存为",AU85)))</formula>
    </cfRule>
  </conditionalFormatting>
  <conditionalFormatting sqref="AU86">
    <cfRule type="cellIs" dxfId="0" priority="2032" operator="lessThan">
      <formula>20</formula>
    </cfRule>
    <cfRule type="cellIs" dxfId="1" priority="1328" operator="greaterThan">
      <formula>120</formula>
    </cfRule>
    <cfRule type="containsText" dxfId="2" priority="624" operator="between" text="库存为">
      <formula>NOT(ISERROR(SEARCH("库存为",AU86)))</formula>
    </cfRule>
  </conditionalFormatting>
  <conditionalFormatting sqref="AU87">
    <cfRule type="cellIs" dxfId="0" priority="2031" operator="lessThan">
      <formula>20</formula>
    </cfRule>
    <cfRule type="cellIs" dxfId="1" priority="1327" operator="greaterThan">
      <formula>120</formula>
    </cfRule>
    <cfRule type="containsText" dxfId="2" priority="623" operator="between" text="库存为">
      <formula>NOT(ISERROR(SEARCH("库存为",AU87)))</formula>
    </cfRule>
  </conditionalFormatting>
  <conditionalFormatting sqref="AU88">
    <cfRule type="cellIs" dxfId="0" priority="2030" operator="lessThan">
      <formula>20</formula>
    </cfRule>
    <cfRule type="cellIs" dxfId="1" priority="1326" operator="greaterThan">
      <formula>120</formula>
    </cfRule>
    <cfRule type="containsText" dxfId="2" priority="622" operator="between" text="库存为">
      <formula>NOT(ISERROR(SEARCH("库存为",AU88)))</formula>
    </cfRule>
  </conditionalFormatting>
  <conditionalFormatting sqref="AU89">
    <cfRule type="cellIs" dxfId="0" priority="2029" operator="lessThan">
      <formula>20</formula>
    </cfRule>
    <cfRule type="cellIs" dxfId="1" priority="1325" operator="greaterThan">
      <formula>120</formula>
    </cfRule>
    <cfRule type="containsText" dxfId="2" priority="621" operator="between" text="库存为">
      <formula>NOT(ISERROR(SEARCH("库存为",AU89)))</formula>
    </cfRule>
  </conditionalFormatting>
  <conditionalFormatting sqref="AU90">
    <cfRule type="cellIs" dxfId="0" priority="2028" operator="lessThan">
      <formula>20</formula>
    </cfRule>
    <cfRule type="cellIs" dxfId="1" priority="1324" operator="greaterThan">
      <formula>120</formula>
    </cfRule>
    <cfRule type="containsText" dxfId="2" priority="620" operator="between" text="库存为">
      <formula>NOT(ISERROR(SEARCH("库存为",AU90)))</formula>
    </cfRule>
  </conditionalFormatting>
  <conditionalFormatting sqref="AU91">
    <cfRule type="cellIs" dxfId="0" priority="2027" operator="lessThan">
      <formula>20</formula>
    </cfRule>
    <cfRule type="cellIs" dxfId="1" priority="1323" operator="greaterThan">
      <formula>120</formula>
    </cfRule>
    <cfRule type="containsText" dxfId="2" priority="619" operator="between" text="库存为">
      <formula>NOT(ISERROR(SEARCH("库存为",AU91)))</formula>
    </cfRule>
  </conditionalFormatting>
  <conditionalFormatting sqref="AU92">
    <cfRule type="cellIs" dxfId="0" priority="2026" operator="lessThan">
      <formula>20</formula>
    </cfRule>
    <cfRule type="cellIs" dxfId="1" priority="1322" operator="greaterThan">
      <formula>120</formula>
    </cfRule>
    <cfRule type="containsText" dxfId="2" priority="618" operator="between" text="库存为">
      <formula>NOT(ISERROR(SEARCH("库存为",AU92)))</formula>
    </cfRule>
  </conditionalFormatting>
  <conditionalFormatting sqref="AU93">
    <cfRule type="cellIs" dxfId="0" priority="2025" operator="lessThan">
      <formula>20</formula>
    </cfRule>
    <cfRule type="cellIs" dxfId="1" priority="1321" operator="greaterThan">
      <formula>120</formula>
    </cfRule>
    <cfRule type="containsText" dxfId="2" priority="617" operator="between" text="库存为">
      <formula>NOT(ISERROR(SEARCH("库存为",AU93)))</formula>
    </cfRule>
  </conditionalFormatting>
  <conditionalFormatting sqref="AU94">
    <cfRule type="cellIs" dxfId="0" priority="2024" operator="lessThan">
      <formula>20</formula>
    </cfRule>
    <cfRule type="cellIs" dxfId="1" priority="1320" operator="greaterThan">
      <formula>120</formula>
    </cfRule>
    <cfRule type="containsText" dxfId="2" priority="616" operator="between" text="库存为">
      <formula>NOT(ISERROR(SEARCH("库存为",AU94)))</formula>
    </cfRule>
  </conditionalFormatting>
  <conditionalFormatting sqref="AU95">
    <cfRule type="cellIs" dxfId="0" priority="2023" operator="lessThan">
      <formula>20</formula>
    </cfRule>
    <cfRule type="cellIs" dxfId="1" priority="1319" operator="greaterThan">
      <formula>120</formula>
    </cfRule>
    <cfRule type="containsText" dxfId="2" priority="615" operator="between" text="库存为">
      <formula>NOT(ISERROR(SEARCH("库存为",AU95)))</formula>
    </cfRule>
  </conditionalFormatting>
  <conditionalFormatting sqref="AU96">
    <cfRule type="cellIs" dxfId="0" priority="2022" operator="lessThan">
      <formula>20</formula>
    </cfRule>
    <cfRule type="cellIs" dxfId="1" priority="1318" operator="greaterThan">
      <formula>120</formula>
    </cfRule>
    <cfRule type="containsText" dxfId="2" priority="614" operator="between" text="库存为">
      <formula>NOT(ISERROR(SEARCH("库存为",AU96)))</formula>
    </cfRule>
  </conditionalFormatting>
  <conditionalFormatting sqref="AU97">
    <cfRule type="cellIs" dxfId="0" priority="2021" operator="lessThan">
      <formula>20</formula>
    </cfRule>
    <cfRule type="cellIs" dxfId="1" priority="1317" operator="greaterThan">
      <formula>120</formula>
    </cfRule>
    <cfRule type="containsText" dxfId="2" priority="613" operator="between" text="库存为">
      <formula>NOT(ISERROR(SEARCH("库存为",AU97)))</formula>
    </cfRule>
  </conditionalFormatting>
  <conditionalFormatting sqref="AU98">
    <cfRule type="cellIs" dxfId="0" priority="2020" operator="lessThan">
      <formula>20</formula>
    </cfRule>
    <cfRule type="cellIs" dxfId="1" priority="1316" operator="greaterThan">
      <formula>120</formula>
    </cfRule>
    <cfRule type="containsText" dxfId="2" priority="612" operator="between" text="库存为">
      <formula>NOT(ISERROR(SEARCH("库存为",AU98)))</formula>
    </cfRule>
  </conditionalFormatting>
  <conditionalFormatting sqref="AU99">
    <cfRule type="cellIs" dxfId="0" priority="2019" operator="lessThan">
      <formula>20</formula>
    </cfRule>
    <cfRule type="cellIs" dxfId="1" priority="1315" operator="greaterThan">
      <formula>120</formula>
    </cfRule>
    <cfRule type="containsText" dxfId="2" priority="611" operator="between" text="库存为">
      <formula>NOT(ISERROR(SEARCH("库存为",AU99)))</formula>
    </cfRule>
  </conditionalFormatting>
  <conditionalFormatting sqref="AU100">
    <cfRule type="cellIs" dxfId="0" priority="2018" operator="lessThan">
      <formula>20</formula>
    </cfRule>
    <cfRule type="cellIs" dxfId="1" priority="1314" operator="greaterThan">
      <formula>120</formula>
    </cfRule>
    <cfRule type="containsText" dxfId="2" priority="610" operator="between" text="库存为">
      <formula>NOT(ISERROR(SEARCH("库存为",AU100)))</formula>
    </cfRule>
  </conditionalFormatting>
  <conditionalFormatting sqref="AU101">
    <cfRule type="cellIs" dxfId="0" priority="2017" operator="lessThan">
      <formula>20</formula>
    </cfRule>
    <cfRule type="cellIs" dxfId="1" priority="1313" operator="greaterThan">
      <formula>120</formula>
    </cfRule>
    <cfRule type="containsText" dxfId="2" priority="609" operator="between" text="库存为">
      <formula>NOT(ISERROR(SEARCH("库存为",AU101)))</formula>
    </cfRule>
  </conditionalFormatting>
  <conditionalFormatting sqref="AU102">
    <cfRule type="cellIs" dxfId="0" priority="2016" operator="lessThan">
      <formula>20</formula>
    </cfRule>
    <cfRule type="cellIs" dxfId="1" priority="1312" operator="greaterThan">
      <formula>120</formula>
    </cfRule>
    <cfRule type="containsText" dxfId="2" priority="608" operator="between" text="库存为">
      <formula>NOT(ISERROR(SEARCH("库存为",AU102)))</formula>
    </cfRule>
  </conditionalFormatting>
  <conditionalFormatting sqref="AU103">
    <cfRule type="cellIs" dxfId="0" priority="2015" operator="lessThan">
      <formula>20</formula>
    </cfRule>
    <cfRule type="cellIs" dxfId="1" priority="1311" operator="greaterThan">
      <formula>120</formula>
    </cfRule>
    <cfRule type="containsText" dxfId="2" priority="607" operator="between" text="库存为">
      <formula>NOT(ISERROR(SEARCH("库存为",AU103)))</formula>
    </cfRule>
  </conditionalFormatting>
  <conditionalFormatting sqref="AU104">
    <cfRule type="cellIs" dxfId="0" priority="2014" operator="lessThan">
      <formula>20</formula>
    </cfRule>
    <cfRule type="cellIs" dxfId="1" priority="1310" operator="greaterThan">
      <formula>120</formula>
    </cfRule>
    <cfRule type="containsText" dxfId="2" priority="606" operator="between" text="库存为">
      <formula>NOT(ISERROR(SEARCH("库存为",AU104)))</formula>
    </cfRule>
  </conditionalFormatting>
  <conditionalFormatting sqref="AU105">
    <cfRule type="cellIs" dxfId="0" priority="2013" operator="lessThan">
      <formula>20</formula>
    </cfRule>
    <cfRule type="cellIs" dxfId="1" priority="1309" operator="greaterThan">
      <formula>120</formula>
    </cfRule>
    <cfRule type="containsText" dxfId="2" priority="605" operator="between" text="库存为">
      <formula>NOT(ISERROR(SEARCH("库存为",AU105)))</formula>
    </cfRule>
  </conditionalFormatting>
  <conditionalFormatting sqref="AU106">
    <cfRule type="cellIs" dxfId="0" priority="2012" operator="lessThan">
      <formula>20</formula>
    </cfRule>
    <cfRule type="cellIs" dxfId="1" priority="1308" operator="greaterThan">
      <formula>120</formula>
    </cfRule>
    <cfRule type="containsText" dxfId="2" priority="604" operator="between" text="库存为">
      <formula>NOT(ISERROR(SEARCH("库存为",AU106)))</formula>
    </cfRule>
  </conditionalFormatting>
  <conditionalFormatting sqref="AU107">
    <cfRule type="cellIs" dxfId="0" priority="2011" operator="lessThan">
      <formula>20</formula>
    </cfRule>
    <cfRule type="cellIs" dxfId="1" priority="1307" operator="greaterThan">
      <formula>120</formula>
    </cfRule>
    <cfRule type="containsText" dxfId="2" priority="603" operator="between" text="库存为">
      <formula>NOT(ISERROR(SEARCH("库存为",AU107)))</formula>
    </cfRule>
  </conditionalFormatting>
  <conditionalFormatting sqref="AU108">
    <cfRule type="cellIs" dxfId="0" priority="2010" operator="lessThan">
      <formula>20</formula>
    </cfRule>
    <cfRule type="cellIs" dxfId="1" priority="1306" operator="greaterThan">
      <formula>120</formula>
    </cfRule>
    <cfRule type="containsText" dxfId="2" priority="602" operator="between" text="库存为">
      <formula>NOT(ISERROR(SEARCH("库存为",AU108)))</formula>
    </cfRule>
  </conditionalFormatting>
  <conditionalFormatting sqref="AU109">
    <cfRule type="cellIs" dxfId="0" priority="2009" operator="lessThan">
      <formula>20</formula>
    </cfRule>
    <cfRule type="cellIs" dxfId="1" priority="1305" operator="greaterThan">
      <formula>120</formula>
    </cfRule>
    <cfRule type="containsText" dxfId="2" priority="601" operator="between" text="库存为">
      <formula>NOT(ISERROR(SEARCH("库存为",AU109)))</formula>
    </cfRule>
  </conditionalFormatting>
  <conditionalFormatting sqref="AU110">
    <cfRule type="cellIs" dxfId="0" priority="2008" operator="lessThan">
      <formula>20</formula>
    </cfRule>
    <cfRule type="cellIs" dxfId="1" priority="1304" operator="greaterThan">
      <formula>120</formula>
    </cfRule>
    <cfRule type="containsText" dxfId="2" priority="600" operator="between" text="库存为">
      <formula>NOT(ISERROR(SEARCH("库存为",AU110)))</formula>
    </cfRule>
  </conditionalFormatting>
  <conditionalFormatting sqref="AU111">
    <cfRule type="cellIs" dxfId="0" priority="2007" operator="lessThan">
      <formula>20</formula>
    </cfRule>
    <cfRule type="cellIs" dxfId="1" priority="1303" operator="greaterThan">
      <formula>120</formula>
    </cfRule>
    <cfRule type="containsText" dxfId="2" priority="599" operator="between" text="库存为">
      <formula>NOT(ISERROR(SEARCH("库存为",AU111)))</formula>
    </cfRule>
  </conditionalFormatting>
  <conditionalFormatting sqref="AU112">
    <cfRule type="cellIs" dxfId="0" priority="2006" operator="lessThan">
      <formula>20</formula>
    </cfRule>
    <cfRule type="cellIs" dxfId="1" priority="1302" operator="greaterThan">
      <formula>120</formula>
    </cfRule>
    <cfRule type="containsText" dxfId="2" priority="598" operator="between" text="库存为">
      <formula>NOT(ISERROR(SEARCH("库存为",AU112)))</formula>
    </cfRule>
  </conditionalFormatting>
  <conditionalFormatting sqref="AU113">
    <cfRule type="cellIs" dxfId="0" priority="2005" operator="lessThan">
      <formula>20</formula>
    </cfRule>
    <cfRule type="cellIs" dxfId="1" priority="1301" operator="greaterThan">
      <formula>120</formula>
    </cfRule>
    <cfRule type="containsText" dxfId="2" priority="597" operator="between" text="库存为">
      <formula>NOT(ISERROR(SEARCH("库存为",AU113)))</formula>
    </cfRule>
  </conditionalFormatting>
  <conditionalFormatting sqref="AU114">
    <cfRule type="cellIs" dxfId="0" priority="2004" operator="lessThan">
      <formula>20</formula>
    </cfRule>
    <cfRule type="cellIs" dxfId="1" priority="1300" operator="greaterThan">
      <formula>120</formula>
    </cfRule>
    <cfRule type="containsText" dxfId="2" priority="596" operator="between" text="库存为">
      <formula>NOT(ISERROR(SEARCH("库存为",AU114)))</formula>
    </cfRule>
  </conditionalFormatting>
  <conditionalFormatting sqref="AU115">
    <cfRule type="cellIs" dxfId="0" priority="2003" operator="lessThan">
      <formula>20</formula>
    </cfRule>
    <cfRule type="cellIs" dxfId="1" priority="1299" operator="greaterThan">
      <formula>120</formula>
    </cfRule>
    <cfRule type="containsText" dxfId="2" priority="595" operator="between" text="库存为">
      <formula>NOT(ISERROR(SEARCH("库存为",AU115)))</formula>
    </cfRule>
  </conditionalFormatting>
  <conditionalFormatting sqref="AU116">
    <cfRule type="cellIs" dxfId="0" priority="2002" operator="lessThan">
      <formula>20</formula>
    </cfRule>
    <cfRule type="cellIs" dxfId="1" priority="1298" operator="greaterThan">
      <formula>120</formula>
    </cfRule>
    <cfRule type="containsText" dxfId="2" priority="594" operator="between" text="库存为">
      <formula>NOT(ISERROR(SEARCH("库存为",AU116)))</formula>
    </cfRule>
  </conditionalFormatting>
  <conditionalFormatting sqref="AU117">
    <cfRule type="cellIs" dxfId="0" priority="2001" operator="lessThan">
      <formula>20</formula>
    </cfRule>
    <cfRule type="cellIs" dxfId="1" priority="1297" operator="greaterThan">
      <formula>120</formula>
    </cfRule>
    <cfRule type="containsText" dxfId="2" priority="593" operator="between" text="库存为">
      <formula>NOT(ISERROR(SEARCH("库存为",AU117)))</formula>
    </cfRule>
  </conditionalFormatting>
  <conditionalFormatting sqref="AU118">
    <cfRule type="cellIs" dxfId="0" priority="2000" operator="lessThan">
      <formula>20</formula>
    </cfRule>
    <cfRule type="cellIs" dxfId="1" priority="1296" operator="greaterThan">
      <formula>120</formula>
    </cfRule>
    <cfRule type="containsText" dxfId="2" priority="592" operator="between" text="库存为">
      <formula>NOT(ISERROR(SEARCH("库存为",AU118)))</formula>
    </cfRule>
  </conditionalFormatting>
  <conditionalFormatting sqref="AU119">
    <cfRule type="cellIs" dxfId="0" priority="1999" operator="lessThan">
      <formula>20</formula>
    </cfRule>
    <cfRule type="cellIs" dxfId="1" priority="1295" operator="greaterThan">
      <formula>120</formula>
    </cfRule>
    <cfRule type="containsText" dxfId="2" priority="591" operator="between" text="库存为">
      <formula>NOT(ISERROR(SEARCH("库存为",AU119)))</formula>
    </cfRule>
  </conditionalFormatting>
  <conditionalFormatting sqref="AU120">
    <cfRule type="cellIs" dxfId="0" priority="1998" operator="lessThan">
      <formula>20</formula>
    </cfRule>
    <cfRule type="cellIs" dxfId="1" priority="1294" operator="greaterThan">
      <formula>120</formula>
    </cfRule>
    <cfRule type="containsText" dxfId="2" priority="590" operator="between" text="库存为">
      <formula>NOT(ISERROR(SEARCH("库存为",AU120)))</formula>
    </cfRule>
  </conditionalFormatting>
  <conditionalFormatting sqref="AU121">
    <cfRule type="cellIs" dxfId="0" priority="1997" operator="lessThan">
      <formula>20</formula>
    </cfRule>
    <cfRule type="cellIs" dxfId="1" priority="1293" operator="greaterThan">
      <formula>120</formula>
    </cfRule>
    <cfRule type="containsText" dxfId="2" priority="589" operator="between" text="库存为">
      <formula>NOT(ISERROR(SEARCH("库存为",AU121)))</formula>
    </cfRule>
  </conditionalFormatting>
  <conditionalFormatting sqref="AU122">
    <cfRule type="cellIs" dxfId="0" priority="1996" operator="lessThan">
      <formula>20</formula>
    </cfRule>
    <cfRule type="cellIs" dxfId="1" priority="1292" operator="greaterThan">
      <formula>120</formula>
    </cfRule>
    <cfRule type="containsText" dxfId="2" priority="588" operator="between" text="库存为">
      <formula>NOT(ISERROR(SEARCH("库存为",AU122)))</formula>
    </cfRule>
  </conditionalFormatting>
  <conditionalFormatting sqref="AU123">
    <cfRule type="cellIs" dxfId="0" priority="1995" operator="lessThan">
      <formula>20</formula>
    </cfRule>
    <cfRule type="cellIs" dxfId="1" priority="1291" operator="greaterThan">
      <formula>120</formula>
    </cfRule>
    <cfRule type="containsText" dxfId="2" priority="587" operator="between" text="库存为">
      <formula>NOT(ISERROR(SEARCH("库存为",AU123)))</formula>
    </cfRule>
  </conditionalFormatting>
  <conditionalFormatting sqref="AU124">
    <cfRule type="cellIs" dxfId="0" priority="1994" operator="lessThan">
      <formula>20</formula>
    </cfRule>
    <cfRule type="cellIs" dxfId="1" priority="1290" operator="greaterThan">
      <formula>120</formula>
    </cfRule>
    <cfRule type="containsText" dxfId="2" priority="586" operator="between" text="库存为">
      <formula>NOT(ISERROR(SEARCH("库存为",AU124)))</formula>
    </cfRule>
  </conditionalFormatting>
  <conditionalFormatting sqref="AU125">
    <cfRule type="cellIs" dxfId="0" priority="1993" operator="lessThan">
      <formula>20</formula>
    </cfRule>
    <cfRule type="cellIs" dxfId="1" priority="1289" operator="greaterThan">
      <formula>120</formula>
    </cfRule>
    <cfRule type="containsText" dxfId="2" priority="585" operator="between" text="库存为">
      <formula>NOT(ISERROR(SEARCH("库存为",AU125)))</formula>
    </cfRule>
  </conditionalFormatting>
  <conditionalFormatting sqref="AU126">
    <cfRule type="cellIs" dxfId="0" priority="1992" operator="lessThan">
      <formula>20</formula>
    </cfRule>
    <cfRule type="cellIs" dxfId="1" priority="1288" operator="greaterThan">
      <formula>120</formula>
    </cfRule>
    <cfRule type="containsText" dxfId="2" priority="584" operator="between" text="库存为">
      <formula>NOT(ISERROR(SEARCH("库存为",AU126)))</formula>
    </cfRule>
  </conditionalFormatting>
  <conditionalFormatting sqref="AU127">
    <cfRule type="cellIs" dxfId="0" priority="1991" operator="lessThan">
      <formula>20</formula>
    </cfRule>
    <cfRule type="cellIs" dxfId="1" priority="1287" operator="greaterThan">
      <formula>120</formula>
    </cfRule>
    <cfRule type="containsText" dxfId="2" priority="583" operator="between" text="库存为">
      <formula>NOT(ISERROR(SEARCH("库存为",AU127)))</formula>
    </cfRule>
  </conditionalFormatting>
  <conditionalFormatting sqref="AU128">
    <cfRule type="cellIs" dxfId="0" priority="1990" operator="lessThan">
      <formula>20</formula>
    </cfRule>
    <cfRule type="cellIs" dxfId="1" priority="1286" operator="greaterThan">
      <formula>120</formula>
    </cfRule>
    <cfRule type="containsText" dxfId="2" priority="582" operator="between" text="库存为">
      <formula>NOT(ISERROR(SEARCH("库存为",AU128)))</formula>
    </cfRule>
  </conditionalFormatting>
  <conditionalFormatting sqref="AU129">
    <cfRule type="cellIs" dxfId="0" priority="1989" operator="lessThan">
      <formula>20</formula>
    </cfRule>
    <cfRule type="cellIs" dxfId="1" priority="1285" operator="greaterThan">
      <formula>120</formula>
    </cfRule>
    <cfRule type="containsText" dxfId="2" priority="581" operator="between" text="库存为">
      <formula>NOT(ISERROR(SEARCH("库存为",AU129)))</formula>
    </cfRule>
  </conditionalFormatting>
  <conditionalFormatting sqref="AU130">
    <cfRule type="cellIs" dxfId="0" priority="1988" operator="lessThan">
      <formula>20</formula>
    </cfRule>
    <cfRule type="cellIs" dxfId="1" priority="1284" operator="greaterThan">
      <formula>120</formula>
    </cfRule>
    <cfRule type="containsText" dxfId="2" priority="580" operator="between" text="库存为">
      <formula>NOT(ISERROR(SEARCH("库存为",AU130)))</formula>
    </cfRule>
  </conditionalFormatting>
  <conditionalFormatting sqref="AU131">
    <cfRule type="cellIs" dxfId="0" priority="1987" operator="lessThan">
      <formula>20</formula>
    </cfRule>
    <cfRule type="cellIs" dxfId="1" priority="1283" operator="greaterThan">
      <formula>120</formula>
    </cfRule>
    <cfRule type="containsText" dxfId="2" priority="579" operator="between" text="库存为">
      <formula>NOT(ISERROR(SEARCH("库存为",AU131)))</formula>
    </cfRule>
  </conditionalFormatting>
  <conditionalFormatting sqref="AU132">
    <cfRule type="cellIs" dxfId="0" priority="1986" operator="lessThan">
      <formula>20</formula>
    </cfRule>
    <cfRule type="cellIs" dxfId="1" priority="1282" operator="greaterThan">
      <formula>120</formula>
    </cfRule>
    <cfRule type="containsText" dxfId="2" priority="578" operator="between" text="库存为">
      <formula>NOT(ISERROR(SEARCH("库存为",AU132)))</formula>
    </cfRule>
  </conditionalFormatting>
  <conditionalFormatting sqref="AU133">
    <cfRule type="cellIs" dxfId="0" priority="1985" operator="lessThan">
      <formula>20</formula>
    </cfRule>
    <cfRule type="cellIs" dxfId="1" priority="1281" operator="greaterThan">
      <formula>120</formula>
    </cfRule>
    <cfRule type="containsText" dxfId="2" priority="577" operator="between" text="库存为">
      <formula>NOT(ISERROR(SEARCH("库存为",AU133)))</formula>
    </cfRule>
  </conditionalFormatting>
  <conditionalFormatting sqref="AU134">
    <cfRule type="cellIs" dxfId="0" priority="1984" operator="lessThan">
      <formula>20</formula>
    </cfRule>
    <cfRule type="cellIs" dxfId="1" priority="1280" operator="greaterThan">
      <formula>120</formula>
    </cfRule>
    <cfRule type="containsText" dxfId="2" priority="576" operator="between" text="库存为">
      <formula>NOT(ISERROR(SEARCH("库存为",AU134)))</formula>
    </cfRule>
  </conditionalFormatting>
  <conditionalFormatting sqref="AU135">
    <cfRule type="cellIs" dxfId="0" priority="1983" operator="lessThan">
      <formula>20</formula>
    </cfRule>
    <cfRule type="cellIs" dxfId="1" priority="1279" operator="greaterThan">
      <formula>120</formula>
    </cfRule>
    <cfRule type="containsText" dxfId="2" priority="575" operator="between" text="库存为">
      <formula>NOT(ISERROR(SEARCH("库存为",AU135)))</formula>
    </cfRule>
  </conditionalFormatting>
  <conditionalFormatting sqref="AU136">
    <cfRule type="cellIs" dxfId="0" priority="1982" operator="lessThan">
      <formula>20</formula>
    </cfRule>
    <cfRule type="cellIs" dxfId="1" priority="1278" operator="greaterThan">
      <formula>120</formula>
    </cfRule>
    <cfRule type="containsText" dxfId="2" priority="574" operator="between" text="库存为">
      <formula>NOT(ISERROR(SEARCH("库存为",AU136)))</formula>
    </cfRule>
  </conditionalFormatting>
  <conditionalFormatting sqref="AU137">
    <cfRule type="cellIs" dxfId="0" priority="1981" operator="lessThan">
      <formula>20</formula>
    </cfRule>
    <cfRule type="cellIs" dxfId="1" priority="1277" operator="greaterThan">
      <formula>120</formula>
    </cfRule>
    <cfRule type="containsText" dxfId="2" priority="573" operator="between" text="库存为">
      <formula>NOT(ISERROR(SEARCH("库存为",AU137)))</formula>
    </cfRule>
  </conditionalFormatting>
  <conditionalFormatting sqref="AU138">
    <cfRule type="cellIs" dxfId="0" priority="1980" operator="lessThan">
      <formula>20</formula>
    </cfRule>
    <cfRule type="cellIs" dxfId="1" priority="1276" operator="greaterThan">
      <formula>120</formula>
    </cfRule>
    <cfRule type="containsText" dxfId="2" priority="572" operator="between" text="库存为">
      <formula>NOT(ISERROR(SEARCH("库存为",AU138)))</formula>
    </cfRule>
  </conditionalFormatting>
  <conditionalFormatting sqref="AU139">
    <cfRule type="cellIs" dxfId="0" priority="1979" operator="lessThan">
      <formula>20</formula>
    </cfRule>
    <cfRule type="cellIs" dxfId="1" priority="1275" operator="greaterThan">
      <formula>120</formula>
    </cfRule>
    <cfRule type="containsText" dxfId="2" priority="571" operator="between" text="库存为">
      <formula>NOT(ISERROR(SEARCH("库存为",AU139)))</formula>
    </cfRule>
  </conditionalFormatting>
  <conditionalFormatting sqref="AU140">
    <cfRule type="cellIs" dxfId="0" priority="1978" operator="lessThan">
      <formula>20</formula>
    </cfRule>
    <cfRule type="cellIs" dxfId="1" priority="1274" operator="greaterThan">
      <formula>120</formula>
    </cfRule>
    <cfRule type="containsText" dxfId="2" priority="570" operator="between" text="库存为">
      <formula>NOT(ISERROR(SEARCH("库存为",AU140)))</formula>
    </cfRule>
  </conditionalFormatting>
  <conditionalFormatting sqref="AU141">
    <cfRule type="cellIs" dxfId="0" priority="1977" operator="lessThan">
      <formula>20</formula>
    </cfRule>
    <cfRule type="cellIs" dxfId="1" priority="1273" operator="greaterThan">
      <formula>120</formula>
    </cfRule>
    <cfRule type="containsText" dxfId="2" priority="569" operator="between" text="库存为">
      <formula>NOT(ISERROR(SEARCH("库存为",AU141)))</formula>
    </cfRule>
  </conditionalFormatting>
  <conditionalFormatting sqref="AU142">
    <cfRule type="cellIs" dxfId="0" priority="1976" operator="lessThan">
      <formula>20</formula>
    </cfRule>
    <cfRule type="cellIs" dxfId="1" priority="1272" operator="greaterThan">
      <formula>120</formula>
    </cfRule>
    <cfRule type="containsText" dxfId="2" priority="568" operator="between" text="库存为">
      <formula>NOT(ISERROR(SEARCH("库存为",AU142)))</formula>
    </cfRule>
  </conditionalFormatting>
  <conditionalFormatting sqref="AU143">
    <cfRule type="cellIs" dxfId="0" priority="1975" operator="lessThan">
      <formula>20</formula>
    </cfRule>
    <cfRule type="cellIs" dxfId="1" priority="1271" operator="greaterThan">
      <formula>120</formula>
    </cfRule>
    <cfRule type="containsText" dxfId="2" priority="567" operator="between" text="库存为">
      <formula>NOT(ISERROR(SEARCH("库存为",AU143)))</formula>
    </cfRule>
  </conditionalFormatting>
  <conditionalFormatting sqref="AU144">
    <cfRule type="cellIs" dxfId="0" priority="1974" operator="lessThan">
      <formula>20</formula>
    </cfRule>
    <cfRule type="cellIs" dxfId="1" priority="1270" operator="greaterThan">
      <formula>120</formula>
    </cfRule>
    <cfRule type="containsText" dxfId="2" priority="566" operator="between" text="库存为">
      <formula>NOT(ISERROR(SEARCH("库存为",AU144)))</formula>
    </cfRule>
  </conditionalFormatting>
  <conditionalFormatting sqref="AU145">
    <cfRule type="cellIs" dxfId="0" priority="1973" operator="lessThan">
      <formula>20</formula>
    </cfRule>
    <cfRule type="cellIs" dxfId="1" priority="1269" operator="greaterThan">
      <formula>120</formula>
    </cfRule>
    <cfRule type="containsText" dxfId="2" priority="565" operator="between" text="库存为">
      <formula>NOT(ISERROR(SEARCH("库存为",AU145)))</formula>
    </cfRule>
  </conditionalFormatting>
  <conditionalFormatting sqref="AU146">
    <cfRule type="cellIs" dxfId="0" priority="1972" operator="lessThan">
      <formula>20</formula>
    </cfRule>
    <cfRule type="cellIs" dxfId="1" priority="1268" operator="greaterThan">
      <formula>120</formula>
    </cfRule>
    <cfRule type="containsText" dxfId="2" priority="564" operator="between" text="库存为">
      <formula>NOT(ISERROR(SEARCH("库存为",AU146)))</formula>
    </cfRule>
  </conditionalFormatting>
  <conditionalFormatting sqref="AU147">
    <cfRule type="cellIs" dxfId="0" priority="1971" operator="lessThan">
      <formula>20</formula>
    </cfRule>
    <cfRule type="cellIs" dxfId="1" priority="1267" operator="greaterThan">
      <formula>120</formula>
    </cfRule>
    <cfRule type="containsText" dxfId="2" priority="563" operator="between" text="库存为">
      <formula>NOT(ISERROR(SEARCH("库存为",AU147)))</formula>
    </cfRule>
  </conditionalFormatting>
  <conditionalFormatting sqref="AU148">
    <cfRule type="cellIs" dxfId="0" priority="1970" operator="lessThan">
      <formula>20</formula>
    </cfRule>
    <cfRule type="cellIs" dxfId="1" priority="1266" operator="greaterThan">
      <formula>120</formula>
    </cfRule>
    <cfRule type="containsText" dxfId="2" priority="562" operator="between" text="库存为">
      <formula>NOT(ISERROR(SEARCH("库存为",AU148)))</formula>
    </cfRule>
  </conditionalFormatting>
  <conditionalFormatting sqref="AU149">
    <cfRule type="cellIs" dxfId="0" priority="1969" operator="lessThan">
      <formula>20</formula>
    </cfRule>
    <cfRule type="cellIs" dxfId="1" priority="1265" operator="greaterThan">
      <formula>120</formula>
    </cfRule>
    <cfRule type="containsText" dxfId="2" priority="561" operator="between" text="库存为">
      <formula>NOT(ISERROR(SEARCH("库存为",AU149)))</formula>
    </cfRule>
  </conditionalFormatting>
  <conditionalFormatting sqref="AU150">
    <cfRule type="cellIs" dxfId="0" priority="1968" operator="lessThan">
      <formula>20</formula>
    </cfRule>
    <cfRule type="cellIs" dxfId="1" priority="1264" operator="greaterThan">
      <formula>120</formula>
    </cfRule>
    <cfRule type="containsText" dxfId="2" priority="560" operator="between" text="库存为">
      <formula>NOT(ISERROR(SEARCH("库存为",AU150)))</formula>
    </cfRule>
  </conditionalFormatting>
  <conditionalFormatting sqref="AU151">
    <cfRule type="cellIs" dxfId="0" priority="1967" operator="lessThan">
      <formula>20</formula>
    </cfRule>
    <cfRule type="cellIs" dxfId="1" priority="1263" operator="greaterThan">
      <formula>120</formula>
    </cfRule>
    <cfRule type="containsText" dxfId="2" priority="559" operator="between" text="库存为">
      <formula>NOT(ISERROR(SEARCH("库存为",AU151)))</formula>
    </cfRule>
  </conditionalFormatting>
  <conditionalFormatting sqref="AU152">
    <cfRule type="cellIs" dxfId="0" priority="1966" operator="lessThan">
      <formula>20</formula>
    </cfRule>
    <cfRule type="cellIs" dxfId="1" priority="1262" operator="greaterThan">
      <formula>120</formula>
    </cfRule>
    <cfRule type="containsText" dxfId="2" priority="558" operator="between" text="库存为">
      <formula>NOT(ISERROR(SEARCH("库存为",AU152)))</formula>
    </cfRule>
  </conditionalFormatting>
  <conditionalFormatting sqref="AU153">
    <cfRule type="cellIs" dxfId="0" priority="1965" operator="lessThan">
      <formula>20</formula>
    </cfRule>
    <cfRule type="cellIs" dxfId="1" priority="1261" operator="greaterThan">
      <formula>120</formula>
    </cfRule>
    <cfRule type="containsText" dxfId="2" priority="557" operator="between" text="库存为">
      <formula>NOT(ISERROR(SEARCH("库存为",AU153)))</formula>
    </cfRule>
  </conditionalFormatting>
  <conditionalFormatting sqref="AU154">
    <cfRule type="cellIs" dxfId="0" priority="1964" operator="lessThan">
      <formula>20</formula>
    </cfRule>
    <cfRule type="cellIs" dxfId="1" priority="1260" operator="greaterThan">
      <formula>120</formula>
    </cfRule>
    <cfRule type="containsText" dxfId="2" priority="556" operator="between" text="库存为">
      <formula>NOT(ISERROR(SEARCH("库存为",AU154)))</formula>
    </cfRule>
  </conditionalFormatting>
  <conditionalFormatting sqref="AU155">
    <cfRule type="cellIs" dxfId="0" priority="1963" operator="lessThan">
      <formula>20</formula>
    </cfRule>
    <cfRule type="cellIs" dxfId="1" priority="1259" operator="greaterThan">
      <formula>120</formula>
    </cfRule>
    <cfRule type="containsText" dxfId="2" priority="555" operator="between" text="库存为">
      <formula>NOT(ISERROR(SEARCH("库存为",AU155)))</formula>
    </cfRule>
  </conditionalFormatting>
  <conditionalFormatting sqref="AU156">
    <cfRule type="cellIs" dxfId="0" priority="1962" operator="lessThan">
      <formula>20</formula>
    </cfRule>
    <cfRule type="cellIs" dxfId="1" priority="1258" operator="greaterThan">
      <formula>120</formula>
    </cfRule>
    <cfRule type="containsText" dxfId="2" priority="554" operator="between" text="库存为">
      <formula>NOT(ISERROR(SEARCH("库存为",AU156)))</formula>
    </cfRule>
  </conditionalFormatting>
  <conditionalFormatting sqref="AU157">
    <cfRule type="cellIs" dxfId="0" priority="1961" operator="lessThan">
      <formula>20</formula>
    </cfRule>
    <cfRule type="cellIs" dxfId="1" priority="1257" operator="greaterThan">
      <formula>120</formula>
    </cfRule>
    <cfRule type="containsText" dxfId="2" priority="553" operator="between" text="库存为">
      <formula>NOT(ISERROR(SEARCH("库存为",AU157)))</formula>
    </cfRule>
  </conditionalFormatting>
  <conditionalFormatting sqref="AU158">
    <cfRule type="cellIs" dxfId="0" priority="1960" operator="lessThan">
      <formula>20</formula>
    </cfRule>
    <cfRule type="cellIs" dxfId="1" priority="1256" operator="greaterThan">
      <formula>120</formula>
    </cfRule>
    <cfRule type="containsText" dxfId="2" priority="552" operator="between" text="库存为">
      <formula>NOT(ISERROR(SEARCH("库存为",AU158)))</formula>
    </cfRule>
  </conditionalFormatting>
  <conditionalFormatting sqref="AU159">
    <cfRule type="cellIs" dxfId="0" priority="1959" operator="lessThan">
      <formula>20</formula>
    </cfRule>
    <cfRule type="cellIs" dxfId="1" priority="1255" operator="greaterThan">
      <formula>120</formula>
    </cfRule>
    <cfRule type="containsText" dxfId="2" priority="551" operator="between" text="库存为">
      <formula>NOT(ISERROR(SEARCH("库存为",AU159)))</formula>
    </cfRule>
  </conditionalFormatting>
  <conditionalFormatting sqref="AU160">
    <cfRule type="cellIs" dxfId="0" priority="1958" operator="lessThan">
      <formula>20</formula>
    </cfRule>
    <cfRule type="cellIs" dxfId="1" priority="1254" operator="greaterThan">
      <formula>120</formula>
    </cfRule>
    <cfRule type="containsText" dxfId="2" priority="550" operator="between" text="库存为">
      <formula>NOT(ISERROR(SEARCH("库存为",AU160)))</formula>
    </cfRule>
  </conditionalFormatting>
  <conditionalFormatting sqref="AU161">
    <cfRule type="cellIs" dxfId="0" priority="1957" operator="lessThan">
      <formula>20</formula>
    </cfRule>
    <cfRule type="cellIs" dxfId="1" priority="1253" operator="greaterThan">
      <formula>120</formula>
    </cfRule>
    <cfRule type="containsText" dxfId="2" priority="549" operator="between" text="库存为">
      <formula>NOT(ISERROR(SEARCH("库存为",AU161)))</formula>
    </cfRule>
  </conditionalFormatting>
  <conditionalFormatting sqref="AU162">
    <cfRule type="cellIs" dxfId="0" priority="1956" operator="lessThan">
      <formula>20</formula>
    </cfRule>
    <cfRule type="cellIs" dxfId="1" priority="1252" operator="greaterThan">
      <formula>120</formula>
    </cfRule>
    <cfRule type="containsText" dxfId="2" priority="548" operator="between" text="库存为">
      <formula>NOT(ISERROR(SEARCH("库存为",AU162)))</formula>
    </cfRule>
  </conditionalFormatting>
  <conditionalFormatting sqref="AU163">
    <cfRule type="cellIs" dxfId="0" priority="1955" operator="lessThan">
      <formula>20</formula>
    </cfRule>
    <cfRule type="cellIs" dxfId="1" priority="1251" operator="greaterThan">
      <formula>120</formula>
    </cfRule>
    <cfRule type="containsText" dxfId="2" priority="547" operator="between" text="库存为">
      <formula>NOT(ISERROR(SEARCH("库存为",AU163)))</formula>
    </cfRule>
  </conditionalFormatting>
  <conditionalFormatting sqref="AU164">
    <cfRule type="cellIs" dxfId="0" priority="1954" operator="lessThan">
      <formula>20</formula>
    </cfRule>
    <cfRule type="cellIs" dxfId="1" priority="1250" operator="greaterThan">
      <formula>120</formula>
    </cfRule>
    <cfRule type="containsText" dxfId="2" priority="546" operator="between" text="库存为">
      <formula>NOT(ISERROR(SEARCH("库存为",AU164)))</formula>
    </cfRule>
  </conditionalFormatting>
  <conditionalFormatting sqref="AU165">
    <cfRule type="cellIs" dxfId="0" priority="1953" operator="lessThan">
      <formula>20</formula>
    </cfRule>
    <cfRule type="cellIs" dxfId="1" priority="1249" operator="greaterThan">
      <formula>120</formula>
    </cfRule>
    <cfRule type="containsText" dxfId="2" priority="545" operator="between" text="库存为">
      <formula>NOT(ISERROR(SEARCH("库存为",AU165)))</formula>
    </cfRule>
  </conditionalFormatting>
  <conditionalFormatting sqref="AU166">
    <cfRule type="cellIs" dxfId="0" priority="1952" operator="lessThan">
      <formula>20</formula>
    </cfRule>
    <cfRule type="cellIs" dxfId="1" priority="1248" operator="greaterThan">
      <formula>120</formula>
    </cfRule>
    <cfRule type="containsText" dxfId="2" priority="544" operator="between" text="库存为">
      <formula>NOT(ISERROR(SEARCH("库存为",AU166)))</formula>
    </cfRule>
  </conditionalFormatting>
  <conditionalFormatting sqref="AU167">
    <cfRule type="cellIs" dxfId="0" priority="1951" operator="lessThan">
      <formula>20</formula>
    </cfRule>
    <cfRule type="cellIs" dxfId="1" priority="1247" operator="greaterThan">
      <formula>120</formula>
    </cfRule>
    <cfRule type="containsText" dxfId="2" priority="543" operator="between" text="库存为">
      <formula>NOT(ISERROR(SEARCH("库存为",AU167)))</formula>
    </cfRule>
  </conditionalFormatting>
  <conditionalFormatting sqref="AU168">
    <cfRule type="cellIs" dxfId="0" priority="1950" operator="lessThan">
      <formula>20</formula>
    </cfRule>
    <cfRule type="cellIs" dxfId="1" priority="1246" operator="greaterThan">
      <formula>120</formula>
    </cfRule>
    <cfRule type="containsText" dxfId="2" priority="542" operator="between" text="库存为">
      <formula>NOT(ISERROR(SEARCH("库存为",AU168)))</formula>
    </cfRule>
  </conditionalFormatting>
  <conditionalFormatting sqref="AU169">
    <cfRule type="cellIs" dxfId="0" priority="1949" operator="lessThan">
      <formula>20</formula>
    </cfRule>
    <cfRule type="cellIs" dxfId="1" priority="1245" operator="greaterThan">
      <formula>120</formula>
    </cfRule>
    <cfRule type="containsText" dxfId="2" priority="541" operator="between" text="库存为">
      <formula>NOT(ISERROR(SEARCH("库存为",AU169)))</formula>
    </cfRule>
  </conditionalFormatting>
  <conditionalFormatting sqref="AU170">
    <cfRule type="cellIs" dxfId="0" priority="1948" operator="lessThan">
      <formula>20</formula>
    </cfRule>
    <cfRule type="cellIs" dxfId="1" priority="1244" operator="greaterThan">
      <formula>120</formula>
    </cfRule>
    <cfRule type="containsText" dxfId="2" priority="540" operator="between" text="库存为">
      <formula>NOT(ISERROR(SEARCH("库存为",AU170)))</formula>
    </cfRule>
  </conditionalFormatting>
  <conditionalFormatting sqref="AU171">
    <cfRule type="cellIs" dxfId="0" priority="1947" operator="lessThan">
      <formula>20</formula>
    </cfRule>
    <cfRule type="cellIs" dxfId="1" priority="1243" operator="greaterThan">
      <formula>120</formula>
    </cfRule>
    <cfRule type="containsText" dxfId="2" priority="539" operator="between" text="库存为">
      <formula>NOT(ISERROR(SEARCH("库存为",AU171)))</formula>
    </cfRule>
  </conditionalFormatting>
  <conditionalFormatting sqref="AU172">
    <cfRule type="cellIs" dxfId="0" priority="1946" operator="lessThan">
      <formula>20</formula>
    </cfRule>
    <cfRule type="cellIs" dxfId="1" priority="1242" operator="greaterThan">
      <formula>120</formula>
    </cfRule>
    <cfRule type="containsText" dxfId="2" priority="538" operator="between" text="库存为">
      <formula>NOT(ISERROR(SEARCH("库存为",AU172)))</formula>
    </cfRule>
  </conditionalFormatting>
  <conditionalFormatting sqref="AU173">
    <cfRule type="cellIs" dxfId="0" priority="1945" operator="lessThan">
      <formula>20</formula>
    </cfRule>
    <cfRule type="cellIs" dxfId="1" priority="1241" operator="greaterThan">
      <formula>120</formula>
    </cfRule>
    <cfRule type="containsText" dxfId="2" priority="537" operator="between" text="库存为">
      <formula>NOT(ISERROR(SEARCH("库存为",AU173)))</formula>
    </cfRule>
  </conditionalFormatting>
  <conditionalFormatting sqref="AU174">
    <cfRule type="cellIs" dxfId="0" priority="1944" operator="lessThan">
      <formula>20</formula>
    </cfRule>
    <cfRule type="cellIs" dxfId="1" priority="1240" operator="greaterThan">
      <formula>120</formula>
    </cfRule>
    <cfRule type="containsText" dxfId="2" priority="536" operator="between" text="库存为">
      <formula>NOT(ISERROR(SEARCH("库存为",AU174)))</formula>
    </cfRule>
  </conditionalFormatting>
  <conditionalFormatting sqref="AU175">
    <cfRule type="cellIs" dxfId="0" priority="1943" operator="lessThan">
      <formula>20</formula>
    </cfRule>
    <cfRule type="cellIs" dxfId="1" priority="1239" operator="greaterThan">
      <formula>120</formula>
    </cfRule>
    <cfRule type="containsText" dxfId="2" priority="535" operator="between" text="库存为">
      <formula>NOT(ISERROR(SEARCH("库存为",AU175)))</formula>
    </cfRule>
  </conditionalFormatting>
  <conditionalFormatting sqref="AU176">
    <cfRule type="cellIs" dxfId="0" priority="1942" operator="lessThan">
      <formula>20</formula>
    </cfRule>
    <cfRule type="cellIs" dxfId="1" priority="1238" operator="greaterThan">
      <formula>120</formula>
    </cfRule>
    <cfRule type="containsText" dxfId="2" priority="534" operator="between" text="库存为">
      <formula>NOT(ISERROR(SEARCH("库存为",AU176)))</formula>
    </cfRule>
  </conditionalFormatting>
  <conditionalFormatting sqref="AU177">
    <cfRule type="cellIs" dxfId="0" priority="1941" operator="lessThan">
      <formula>20</formula>
    </cfRule>
    <cfRule type="cellIs" dxfId="1" priority="1237" operator="greaterThan">
      <formula>120</formula>
    </cfRule>
    <cfRule type="containsText" dxfId="2" priority="533" operator="between" text="库存为">
      <formula>NOT(ISERROR(SEARCH("库存为",AU177)))</formula>
    </cfRule>
  </conditionalFormatting>
  <conditionalFormatting sqref="AU178">
    <cfRule type="cellIs" dxfId="0" priority="1940" operator="lessThan">
      <formula>20</formula>
    </cfRule>
    <cfRule type="cellIs" dxfId="1" priority="1236" operator="greaterThan">
      <formula>120</formula>
    </cfRule>
    <cfRule type="containsText" dxfId="2" priority="532" operator="between" text="库存为">
      <formula>NOT(ISERROR(SEARCH("库存为",AU178)))</formula>
    </cfRule>
  </conditionalFormatting>
  <conditionalFormatting sqref="AU179">
    <cfRule type="cellIs" dxfId="0" priority="1939" operator="lessThan">
      <formula>20</formula>
    </cfRule>
    <cfRule type="cellIs" dxfId="1" priority="1235" operator="greaterThan">
      <formula>120</formula>
    </cfRule>
    <cfRule type="containsText" dxfId="2" priority="531" operator="between" text="库存为">
      <formula>NOT(ISERROR(SEARCH("库存为",AU179)))</formula>
    </cfRule>
  </conditionalFormatting>
  <conditionalFormatting sqref="AU180">
    <cfRule type="cellIs" dxfId="0" priority="1938" operator="lessThan">
      <formula>20</formula>
    </cfRule>
    <cfRule type="cellIs" dxfId="1" priority="1234" operator="greaterThan">
      <formula>120</formula>
    </cfRule>
    <cfRule type="containsText" dxfId="2" priority="530" operator="between" text="库存为">
      <formula>NOT(ISERROR(SEARCH("库存为",AU180)))</formula>
    </cfRule>
  </conditionalFormatting>
  <conditionalFormatting sqref="AU181">
    <cfRule type="cellIs" dxfId="0" priority="1937" operator="lessThan">
      <formula>20</formula>
    </cfRule>
    <cfRule type="cellIs" dxfId="1" priority="1233" operator="greaterThan">
      <formula>120</formula>
    </cfRule>
    <cfRule type="containsText" dxfId="2" priority="529" operator="between" text="库存为">
      <formula>NOT(ISERROR(SEARCH("库存为",AU181)))</formula>
    </cfRule>
  </conditionalFormatting>
  <conditionalFormatting sqref="AU182">
    <cfRule type="cellIs" dxfId="0" priority="1936" operator="lessThan">
      <formula>20</formula>
    </cfRule>
    <cfRule type="cellIs" dxfId="1" priority="1232" operator="greaterThan">
      <formula>120</formula>
    </cfRule>
    <cfRule type="containsText" dxfId="2" priority="528" operator="between" text="库存为">
      <formula>NOT(ISERROR(SEARCH("库存为",AU182)))</formula>
    </cfRule>
  </conditionalFormatting>
  <conditionalFormatting sqref="AU183">
    <cfRule type="cellIs" dxfId="0" priority="1935" operator="lessThan">
      <formula>20</formula>
    </cfRule>
    <cfRule type="cellIs" dxfId="1" priority="1231" operator="greaterThan">
      <formula>120</formula>
    </cfRule>
    <cfRule type="containsText" dxfId="2" priority="527" operator="between" text="库存为">
      <formula>NOT(ISERROR(SEARCH("库存为",AU183)))</formula>
    </cfRule>
  </conditionalFormatting>
  <conditionalFormatting sqref="AU184">
    <cfRule type="cellIs" dxfId="0" priority="1934" operator="lessThan">
      <formula>20</formula>
    </cfRule>
    <cfRule type="cellIs" dxfId="1" priority="1230" operator="greaterThan">
      <formula>120</formula>
    </cfRule>
    <cfRule type="containsText" dxfId="2" priority="526" operator="between" text="库存为">
      <formula>NOT(ISERROR(SEARCH("库存为",AU184)))</formula>
    </cfRule>
  </conditionalFormatting>
  <conditionalFormatting sqref="AU185">
    <cfRule type="cellIs" dxfId="0" priority="1933" operator="lessThan">
      <formula>20</formula>
    </cfRule>
    <cfRule type="cellIs" dxfId="1" priority="1229" operator="greaterThan">
      <formula>120</formula>
    </cfRule>
    <cfRule type="containsText" dxfId="2" priority="525" operator="between" text="库存为">
      <formula>NOT(ISERROR(SEARCH("库存为",AU185)))</formula>
    </cfRule>
  </conditionalFormatting>
  <conditionalFormatting sqref="AU186">
    <cfRule type="cellIs" dxfId="0" priority="1932" operator="lessThan">
      <formula>20</formula>
    </cfRule>
    <cfRule type="cellIs" dxfId="1" priority="1228" operator="greaterThan">
      <formula>120</formula>
    </cfRule>
    <cfRule type="containsText" dxfId="2" priority="524" operator="between" text="库存为">
      <formula>NOT(ISERROR(SEARCH("库存为",AU186)))</formula>
    </cfRule>
  </conditionalFormatting>
  <conditionalFormatting sqref="AU187">
    <cfRule type="cellIs" dxfId="0" priority="1931" operator="lessThan">
      <formula>20</formula>
    </cfRule>
    <cfRule type="cellIs" dxfId="1" priority="1227" operator="greaterThan">
      <formula>120</formula>
    </cfRule>
    <cfRule type="containsText" dxfId="2" priority="523" operator="between" text="库存为">
      <formula>NOT(ISERROR(SEARCH("库存为",AU187)))</formula>
    </cfRule>
  </conditionalFormatting>
  <conditionalFormatting sqref="AU188">
    <cfRule type="cellIs" dxfId="0" priority="1930" operator="lessThan">
      <formula>20</formula>
    </cfRule>
    <cfRule type="cellIs" dxfId="1" priority="1226" operator="greaterThan">
      <formula>120</formula>
    </cfRule>
    <cfRule type="containsText" dxfId="2" priority="522" operator="between" text="库存为">
      <formula>NOT(ISERROR(SEARCH("库存为",AU188)))</formula>
    </cfRule>
  </conditionalFormatting>
  <conditionalFormatting sqref="AU189">
    <cfRule type="cellIs" dxfId="0" priority="1929" operator="lessThan">
      <formula>20</formula>
    </cfRule>
    <cfRule type="cellIs" dxfId="1" priority="1225" operator="greaterThan">
      <formula>120</formula>
    </cfRule>
    <cfRule type="containsText" dxfId="2" priority="521" operator="between" text="库存为">
      <formula>NOT(ISERROR(SEARCH("库存为",AU189)))</formula>
    </cfRule>
  </conditionalFormatting>
  <conditionalFormatting sqref="AU190">
    <cfRule type="cellIs" dxfId="0" priority="1928" operator="lessThan">
      <formula>20</formula>
    </cfRule>
    <cfRule type="cellIs" dxfId="1" priority="1224" operator="greaterThan">
      <formula>120</formula>
    </cfRule>
    <cfRule type="containsText" dxfId="2" priority="520" operator="between" text="库存为">
      <formula>NOT(ISERROR(SEARCH("库存为",AU190)))</formula>
    </cfRule>
  </conditionalFormatting>
  <conditionalFormatting sqref="AU191">
    <cfRule type="cellIs" dxfId="0" priority="1927" operator="lessThan">
      <formula>20</formula>
    </cfRule>
    <cfRule type="cellIs" dxfId="1" priority="1223" operator="greaterThan">
      <formula>120</formula>
    </cfRule>
    <cfRule type="containsText" dxfId="2" priority="519" operator="between" text="库存为">
      <formula>NOT(ISERROR(SEARCH("库存为",AU191)))</formula>
    </cfRule>
  </conditionalFormatting>
  <conditionalFormatting sqref="AU192">
    <cfRule type="cellIs" dxfId="0" priority="1926" operator="lessThan">
      <formula>20</formula>
    </cfRule>
    <cfRule type="cellIs" dxfId="1" priority="1222" operator="greaterThan">
      <formula>120</formula>
    </cfRule>
    <cfRule type="containsText" dxfId="2" priority="518" operator="between" text="库存为">
      <formula>NOT(ISERROR(SEARCH("库存为",AU192)))</formula>
    </cfRule>
  </conditionalFormatting>
  <conditionalFormatting sqref="AU193">
    <cfRule type="cellIs" dxfId="0" priority="1925" operator="lessThan">
      <formula>20</formula>
    </cfRule>
    <cfRule type="cellIs" dxfId="1" priority="1221" operator="greaterThan">
      <formula>120</formula>
    </cfRule>
    <cfRule type="containsText" dxfId="2" priority="517" operator="between" text="库存为">
      <formula>NOT(ISERROR(SEARCH("库存为",AU193)))</formula>
    </cfRule>
  </conditionalFormatting>
  <conditionalFormatting sqref="AU194">
    <cfRule type="cellIs" dxfId="0" priority="1924" operator="lessThan">
      <formula>20</formula>
    </cfRule>
    <cfRule type="cellIs" dxfId="1" priority="1220" operator="greaterThan">
      <formula>120</formula>
    </cfRule>
    <cfRule type="containsText" dxfId="2" priority="516" operator="between" text="库存为">
      <formula>NOT(ISERROR(SEARCH("库存为",AU194)))</formula>
    </cfRule>
  </conditionalFormatting>
  <conditionalFormatting sqref="AU195">
    <cfRule type="cellIs" dxfId="0" priority="1923" operator="lessThan">
      <formula>20</formula>
    </cfRule>
    <cfRule type="cellIs" dxfId="1" priority="1219" operator="greaterThan">
      <formula>120</formula>
    </cfRule>
    <cfRule type="containsText" dxfId="2" priority="515" operator="between" text="库存为">
      <formula>NOT(ISERROR(SEARCH("库存为",AU195)))</formula>
    </cfRule>
  </conditionalFormatting>
  <conditionalFormatting sqref="AU196">
    <cfRule type="cellIs" dxfId="0" priority="1922" operator="lessThan">
      <formula>20</formula>
    </cfRule>
    <cfRule type="cellIs" dxfId="1" priority="1218" operator="greaterThan">
      <formula>120</formula>
    </cfRule>
    <cfRule type="containsText" dxfId="2" priority="514" operator="between" text="库存为">
      <formula>NOT(ISERROR(SEARCH("库存为",AU196)))</formula>
    </cfRule>
  </conditionalFormatting>
  <conditionalFormatting sqref="AU197">
    <cfRule type="cellIs" dxfId="0" priority="1921" operator="lessThan">
      <formula>20</formula>
    </cfRule>
    <cfRule type="cellIs" dxfId="1" priority="1217" operator="greaterThan">
      <formula>120</formula>
    </cfRule>
    <cfRule type="containsText" dxfId="2" priority="513" operator="between" text="库存为">
      <formula>NOT(ISERROR(SEARCH("库存为",AU197)))</formula>
    </cfRule>
  </conditionalFormatting>
  <conditionalFormatting sqref="AU198">
    <cfRule type="cellIs" dxfId="0" priority="1920" operator="lessThan">
      <formula>20</formula>
    </cfRule>
    <cfRule type="cellIs" dxfId="1" priority="1216" operator="greaterThan">
      <formula>120</formula>
    </cfRule>
    <cfRule type="containsText" dxfId="2" priority="512" operator="between" text="库存为">
      <formula>NOT(ISERROR(SEARCH("库存为",AU198)))</formula>
    </cfRule>
  </conditionalFormatting>
  <conditionalFormatting sqref="AU199">
    <cfRule type="cellIs" dxfId="0" priority="1919" operator="lessThan">
      <formula>20</formula>
    </cfRule>
    <cfRule type="cellIs" dxfId="1" priority="1215" operator="greaterThan">
      <formula>120</formula>
    </cfRule>
    <cfRule type="containsText" dxfId="2" priority="511" operator="between" text="库存为">
      <formula>NOT(ISERROR(SEARCH("库存为",AU199)))</formula>
    </cfRule>
  </conditionalFormatting>
  <conditionalFormatting sqref="AU200">
    <cfRule type="cellIs" dxfId="0" priority="1918" operator="lessThan">
      <formula>20</formula>
    </cfRule>
    <cfRule type="cellIs" dxfId="1" priority="1214" operator="greaterThan">
      <formula>120</formula>
    </cfRule>
    <cfRule type="containsText" dxfId="2" priority="510" operator="between" text="库存为">
      <formula>NOT(ISERROR(SEARCH("库存为",AU200)))</formula>
    </cfRule>
  </conditionalFormatting>
  <conditionalFormatting sqref="AU201">
    <cfRule type="cellIs" dxfId="0" priority="1917" operator="lessThan">
      <formula>20</formula>
    </cfRule>
    <cfRule type="cellIs" dxfId="1" priority="1213" operator="greaterThan">
      <formula>120</formula>
    </cfRule>
    <cfRule type="containsText" dxfId="2" priority="509" operator="between" text="库存为">
      <formula>NOT(ISERROR(SEARCH("库存为",AU201)))</formula>
    </cfRule>
  </conditionalFormatting>
  <conditionalFormatting sqref="AU202">
    <cfRule type="cellIs" dxfId="0" priority="1916" operator="lessThan">
      <formula>20</formula>
    </cfRule>
    <cfRule type="cellIs" dxfId="1" priority="1212" operator="greaterThan">
      <formula>120</formula>
    </cfRule>
    <cfRule type="containsText" dxfId="2" priority="508" operator="between" text="库存为">
      <formula>NOT(ISERROR(SEARCH("库存为",AU202)))</formula>
    </cfRule>
  </conditionalFormatting>
  <conditionalFormatting sqref="AU203">
    <cfRule type="cellIs" dxfId="0" priority="1915" operator="lessThan">
      <formula>20</formula>
    </cfRule>
    <cfRule type="cellIs" dxfId="1" priority="1211" operator="greaterThan">
      <formula>120</formula>
    </cfRule>
    <cfRule type="containsText" dxfId="2" priority="507" operator="between" text="库存为">
      <formula>NOT(ISERROR(SEARCH("库存为",AU203)))</formula>
    </cfRule>
  </conditionalFormatting>
  <conditionalFormatting sqref="AU204">
    <cfRule type="cellIs" dxfId="0" priority="1914" operator="lessThan">
      <formula>20</formula>
    </cfRule>
    <cfRule type="cellIs" dxfId="1" priority="1210" operator="greaterThan">
      <formula>120</formula>
    </cfRule>
    <cfRule type="containsText" dxfId="2" priority="506" operator="between" text="库存为">
      <formula>NOT(ISERROR(SEARCH("库存为",AU204)))</formula>
    </cfRule>
  </conditionalFormatting>
  <conditionalFormatting sqref="AU205">
    <cfRule type="cellIs" dxfId="0" priority="1913" operator="lessThan">
      <formula>20</formula>
    </cfRule>
    <cfRule type="cellIs" dxfId="1" priority="1209" operator="greaterThan">
      <formula>120</formula>
    </cfRule>
    <cfRule type="containsText" dxfId="2" priority="505" operator="between" text="库存为">
      <formula>NOT(ISERROR(SEARCH("库存为",AU205)))</formula>
    </cfRule>
  </conditionalFormatting>
  <conditionalFormatting sqref="AU206">
    <cfRule type="cellIs" dxfId="0" priority="1912" operator="lessThan">
      <formula>20</formula>
    </cfRule>
    <cfRule type="cellIs" dxfId="1" priority="1208" operator="greaterThan">
      <formula>120</formula>
    </cfRule>
    <cfRule type="containsText" dxfId="2" priority="504" operator="between" text="库存为">
      <formula>NOT(ISERROR(SEARCH("库存为",AU206)))</formula>
    </cfRule>
  </conditionalFormatting>
  <conditionalFormatting sqref="AU207">
    <cfRule type="cellIs" dxfId="0" priority="1911" operator="lessThan">
      <formula>20</formula>
    </cfRule>
    <cfRule type="cellIs" dxfId="1" priority="1207" operator="greaterThan">
      <formula>120</formula>
    </cfRule>
    <cfRule type="containsText" dxfId="2" priority="503" operator="between" text="库存为">
      <formula>NOT(ISERROR(SEARCH("库存为",AU207)))</formula>
    </cfRule>
  </conditionalFormatting>
  <conditionalFormatting sqref="AU208">
    <cfRule type="cellIs" dxfId="0" priority="1910" operator="lessThan">
      <formula>20</formula>
    </cfRule>
    <cfRule type="cellIs" dxfId="1" priority="1206" operator="greaterThan">
      <formula>120</formula>
    </cfRule>
    <cfRule type="containsText" dxfId="2" priority="502" operator="between" text="库存为">
      <formula>NOT(ISERROR(SEARCH("库存为",AU208)))</formula>
    </cfRule>
  </conditionalFormatting>
  <conditionalFormatting sqref="AU209">
    <cfRule type="cellIs" dxfId="0" priority="1909" operator="lessThan">
      <formula>20</formula>
    </cfRule>
    <cfRule type="cellIs" dxfId="1" priority="1205" operator="greaterThan">
      <formula>120</formula>
    </cfRule>
    <cfRule type="containsText" dxfId="2" priority="501" operator="between" text="库存为">
      <formula>NOT(ISERROR(SEARCH("库存为",AU209)))</formula>
    </cfRule>
  </conditionalFormatting>
  <conditionalFormatting sqref="AU210">
    <cfRule type="cellIs" dxfId="0" priority="1908" operator="lessThan">
      <formula>20</formula>
    </cfRule>
    <cfRule type="cellIs" dxfId="1" priority="1204" operator="greaterThan">
      <formula>120</formula>
    </cfRule>
    <cfRule type="containsText" dxfId="2" priority="500" operator="between" text="库存为">
      <formula>NOT(ISERROR(SEARCH("库存为",AU210)))</formula>
    </cfRule>
  </conditionalFormatting>
  <conditionalFormatting sqref="AU211">
    <cfRule type="cellIs" dxfId="0" priority="1907" operator="lessThan">
      <formula>20</formula>
    </cfRule>
    <cfRule type="cellIs" dxfId="1" priority="1203" operator="greaterThan">
      <formula>120</formula>
    </cfRule>
    <cfRule type="containsText" dxfId="2" priority="499" operator="between" text="库存为">
      <formula>NOT(ISERROR(SEARCH("库存为",AU211)))</formula>
    </cfRule>
  </conditionalFormatting>
  <conditionalFormatting sqref="AU212">
    <cfRule type="cellIs" dxfId="0" priority="1906" operator="lessThan">
      <formula>20</formula>
    </cfRule>
    <cfRule type="cellIs" dxfId="1" priority="1202" operator="greaterThan">
      <formula>120</formula>
    </cfRule>
    <cfRule type="containsText" dxfId="2" priority="498" operator="between" text="库存为">
      <formula>NOT(ISERROR(SEARCH("库存为",AU212)))</formula>
    </cfRule>
  </conditionalFormatting>
  <conditionalFormatting sqref="AU213">
    <cfRule type="cellIs" dxfId="0" priority="1905" operator="lessThan">
      <formula>20</formula>
    </cfRule>
    <cfRule type="cellIs" dxfId="1" priority="1201" operator="greaterThan">
      <formula>120</formula>
    </cfRule>
    <cfRule type="containsText" dxfId="2" priority="497" operator="between" text="库存为">
      <formula>NOT(ISERROR(SEARCH("库存为",AU213)))</formula>
    </cfRule>
  </conditionalFormatting>
  <conditionalFormatting sqref="AU214">
    <cfRule type="cellIs" dxfId="0" priority="1904" operator="lessThan">
      <formula>20</formula>
    </cfRule>
    <cfRule type="cellIs" dxfId="1" priority="1200" operator="greaterThan">
      <formula>120</formula>
    </cfRule>
    <cfRule type="containsText" dxfId="2" priority="496" operator="between" text="库存为">
      <formula>NOT(ISERROR(SEARCH("库存为",AU214)))</formula>
    </cfRule>
  </conditionalFormatting>
  <conditionalFormatting sqref="AU215">
    <cfRule type="cellIs" dxfId="0" priority="1903" operator="lessThan">
      <formula>20</formula>
    </cfRule>
    <cfRule type="cellIs" dxfId="1" priority="1199" operator="greaterThan">
      <formula>120</formula>
    </cfRule>
    <cfRule type="containsText" dxfId="2" priority="495" operator="between" text="库存为">
      <formula>NOT(ISERROR(SEARCH("库存为",AU215)))</formula>
    </cfRule>
  </conditionalFormatting>
  <conditionalFormatting sqref="AU216">
    <cfRule type="cellIs" dxfId="0" priority="1902" operator="lessThan">
      <formula>20</formula>
    </cfRule>
    <cfRule type="cellIs" dxfId="1" priority="1198" operator="greaterThan">
      <formula>120</formula>
    </cfRule>
    <cfRule type="containsText" dxfId="2" priority="494" operator="between" text="库存为">
      <formula>NOT(ISERROR(SEARCH("库存为",AU216)))</formula>
    </cfRule>
  </conditionalFormatting>
  <conditionalFormatting sqref="AU217">
    <cfRule type="cellIs" dxfId="0" priority="1901" operator="lessThan">
      <formula>20</formula>
    </cfRule>
    <cfRule type="cellIs" dxfId="1" priority="1197" operator="greaterThan">
      <formula>120</formula>
    </cfRule>
    <cfRule type="containsText" dxfId="2" priority="493" operator="between" text="库存为">
      <formula>NOT(ISERROR(SEARCH("库存为",AU217)))</formula>
    </cfRule>
  </conditionalFormatting>
  <conditionalFormatting sqref="AU218">
    <cfRule type="cellIs" dxfId="0" priority="1900" operator="lessThan">
      <formula>20</formula>
    </cfRule>
    <cfRule type="cellIs" dxfId="1" priority="1196" operator="greaterThan">
      <formula>120</formula>
    </cfRule>
    <cfRule type="containsText" dxfId="2" priority="492" operator="between" text="库存为">
      <formula>NOT(ISERROR(SEARCH("库存为",AU218)))</formula>
    </cfRule>
  </conditionalFormatting>
  <conditionalFormatting sqref="AU219">
    <cfRule type="cellIs" dxfId="0" priority="1899" operator="lessThan">
      <formula>20</formula>
    </cfRule>
    <cfRule type="cellIs" dxfId="1" priority="1195" operator="greaterThan">
      <formula>120</formula>
    </cfRule>
    <cfRule type="containsText" dxfId="2" priority="491" operator="between" text="库存为">
      <formula>NOT(ISERROR(SEARCH("库存为",AU219)))</formula>
    </cfRule>
  </conditionalFormatting>
  <conditionalFormatting sqref="AU220">
    <cfRule type="cellIs" dxfId="0" priority="1898" operator="lessThan">
      <formula>20</formula>
    </cfRule>
    <cfRule type="cellIs" dxfId="1" priority="1194" operator="greaterThan">
      <formula>120</formula>
    </cfRule>
    <cfRule type="containsText" dxfId="2" priority="490" operator="between" text="库存为">
      <formula>NOT(ISERROR(SEARCH("库存为",AU220)))</formula>
    </cfRule>
  </conditionalFormatting>
  <conditionalFormatting sqref="AU221">
    <cfRule type="cellIs" dxfId="0" priority="1897" operator="lessThan">
      <formula>20</formula>
    </cfRule>
    <cfRule type="cellIs" dxfId="1" priority="1193" operator="greaterThan">
      <formula>120</formula>
    </cfRule>
    <cfRule type="containsText" dxfId="2" priority="489" operator="between" text="库存为">
      <formula>NOT(ISERROR(SEARCH("库存为",AU221)))</formula>
    </cfRule>
  </conditionalFormatting>
  <conditionalFormatting sqref="AU222">
    <cfRule type="cellIs" dxfId="0" priority="1896" operator="lessThan">
      <formula>20</formula>
    </cfRule>
    <cfRule type="cellIs" dxfId="1" priority="1192" operator="greaterThan">
      <formula>120</formula>
    </cfRule>
    <cfRule type="containsText" dxfId="2" priority="488" operator="between" text="库存为">
      <formula>NOT(ISERROR(SEARCH("库存为",AU222)))</formula>
    </cfRule>
  </conditionalFormatting>
  <conditionalFormatting sqref="AU223">
    <cfRule type="cellIs" dxfId="0" priority="1895" operator="lessThan">
      <formula>20</formula>
    </cfRule>
    <cfRule type="cellIs" dxfId="1" priority="1191" operator="greaterThan">
      <formula>120</formula>
    </cfRule>
    <cfRule type="containsText" dxfId="2" priority="487" operator="between" text="库存为">
      <formula>NOT(ISERROR(SEARCH("库存为",AU223)))</formula>
    </cfRule>
  </conditionalFormatting>
  <conditionalFormatting sqref="AU224">
    <cfRule type="cellIs" dxfId="0" priority="1894" operator="lessThan">
      <formula>20</formula>
    </cfRule>
    <cfRule type="cellIs" dxfId="1" priority="1190" operator="greaterThan">
      <formula>120</formula>
    </cfRule>
    <cfRule type="containsText" dxfId="2" priority="486" operator="between" text="库存为">
      <formula>NOT(ISERROR(SEARCH("库存为",AU224)))</formula>
    </cfRule>
  </conditionalFormatting>
  <conditionalFormatting sqref="AU225">
    <cfRule type="cellIs" dxfId="0" priority="1893" operator="lessThan">
      <formula>20</formula>
    </cfRule>
    <cfRule type="cellIs" dxfId="1" priority="1189" operator="greaterThan">
      <formula>120</formula>
    </cfRule>
    <cfRule type="containsText" dxfId="2" priority="485" operator="between" text="库存为">
      <formula>NOT(ISERROR(SEARCH("库存为",AU225)))</formula>
    </cfRule>
  </conditionalFormatting>
  <conditionalFormatting sqref="AU226">
    <cfRule type="cellIs" dxfId="0" priority="1892" operator="lessThan">
      <formula>20</formula>
    </cfRule>
    <cfRule type="cellIs" dxfId="1" priority="1188" operator="greaterThan">
      <formula>120</formula>
    </cfRule>
    <cfRule type="containsText" dxfId="2" priority="484" operator="between" text="库存为">
      <formula>NOT(ISERROR(SEARCH("库存为",AU226)))</formula>
    </cfRule>
  </conditionalFormatting>
  <conditionalFormatting sqref="AU227">
    <cfRule type="cellIs" dxfId="0" priority="1891" operator="lessThan">
      <formula>20</formula>
    </cfRule>
    <cfRule type="cellIs" dxfId="1" priority="1187" operator="greaterThan">
      <formula>120</formula>
    </cfRule>
    <cfRule type="containsText" dxfId="2" priority="483" operator="between" text="库存为">
      <formula>NOT(ISERROR(SEARCH("库存为",AU227)))</formula>
    </cfRule>
  </conditionalFormatting>
  <conditionalFormatting sqref="AU228">
    <cfRule type="cellIs" dxfId="0" priority="1890" operator="lessThan">
      <formula>20</formula>
    </cfRule>
    <cfRule type="cellIs" dxfId="1" priority="1186" operator="greaterThan">
      <formula>120</formula>
    </cfRule>
    <cfRule type="containsText" dxfId="2" priority="482" operator="between" text="库存为">
      <formula>NOT(ISERROR(SEARCH("库存为",AU228)))</formula>
    </cfRule>
  </conditionalFormatting>
  <conditionalFormatting sqref="AU229">
    <cfRule type="cellIs" dxfId="0" priority="1889" operator="lessThan">
      <formula>20</formula>
    </cfRule>
    <cfRule type="cellIs" dxfId="1" priority="1185" operator="greaterThan">
      <formula>120</formula>
    </cfRule>
    <cfRule type="containsText" dxfId="2" priority="481" operator="between" text="库存为">
      <formula>NOT(ISERROR(SEARCH("库存为",AU229)))</formula>
    </cfRule>
  </conditionalFormatting>
  <conditionalFormatting sqref="AU230">
    <cfRule type="cellIs" dxfId="0" priority="1888" operator="lessThan">
      <formula>20</formula>
    </cfRule>
    <cfRule type="cellIs" dxfId="1" priority="1184" operator="greaterThan">
      <formula>120</formula>
    </cfRule>
    <cfRule type="containsText" dxfId="2" priority="480" operator="between" text="库存为">
      <formula>NOT(ISERROR(SEARCH("库存为",AU230)))</formula>
    </cfRule>
  </conditionalFormatting>
  <conditionalFormatting sqref="AU231">
    <cfRule type="cellIs" dxfId="0" priority="1887" operator="lessThan">
      <formula>20</formula>
    </cfRule>
    <cfRule type="cellIs" dxfId="1" priority="1183" operator="greaterThan">
      <formula>120</formula>
    </cfRule>
    <cfRule type="containsText" dxfId="2" priority="479" operator="between" text="库存为">
      <formula>NOT(ISERROR(SEARCH("库存为",AU231)))</formula>
    </cfRule>
  </conditionalFormatting>
  <conditionalFormatting sqref="AU232">
    <cfRule type="cellIs" dxfId="0" priority="1886" operator="lessThan">
      <formula>20</formula>
    </cfRule>
    <cfRule type="cellIs" dxfId="1" priority="1182" operator="greaterThan">
      <formula>120</formula>
    </cfRule>
    <cfRule type="containsText" dxfId="2" priority="478" operator="between" text="库存为">
      <formula>NOT(ISERROR(SEARCH("库存为",AU232)))</formula>
    </cfRule>
  </conditionalFormatting>
  <conditionalFormatting sqref="AU233">
    <cfRule type="cellIs" dxfId="0" priority="1885" operator="lessThan">
      <formula>20</formula>
    </cfRule>
    <cfRule type="cellIs" dxfId="1" priority="1181" operator="greaterThan">
      <formula>120</formula>
    </cfRule>
    <cfRule type="containsText" dxfId="2" priority="477" operator="between" text="库存为">
      <formula>NOT(ISERROR(SEARCH("库存为",AU233)))</formula>
    </cfRule>
  </conditionalFormatting>
  <conditionalFormatting sqref="AU234">
    <cfRule type="cellIs" dxfId="0" priority="1884" operator="lessThan">
      <formula>20</formula>
    </cfRule>
    <cfRule type="cellIs" dxfId="1" priority="1180" operator="greaterThan">
      <formula>120</formula>
    </cfRule>
    <cfRule type="containsText" dxfId="2" priority="476" operator="between" text="库存为">
      <formula>NOT(ISERROR(SEARCH("库存为",AU234)))</formula>
    </cfRule>
  </conditionalFormatting>
  <conditionalFormatting sqref="AU235">
    <cfRule type="cellIs" dxfId="0" priority="1883" operator="lessThan">
      <formula>20</formula>
    </cfRule>
    <cfRule type="cellIs" dxfId="1" priority="1179" operator="greaterThan">
      <formula>120</formula>
    </cfRule>
    <cfRule type="containsText" dxfId="2" priority="475" operator="between" text="库存为">
      <formula>NOT(ISERROR(SEARCH("库存为",AU235)))</formula>
    </cfRule>
  </conditionalFormatting>
  <conditionalFormatting sqref="AU236">
    <cfRule type="cellIs" dxfId="0" priority="1882" operator="lessThan">
      <formula>20</formula>
    </cfRule>
    <cfRule type="cellIs" dxfId="1" priority="1178" operator="greaterThan">
      <formula>120</formula>
    </cfRule>
    <cfRule type="containsText" dxfId="2" priority="474" operator="between" text="库存为">
      <formula>NOT(ISERROR(SEARCH("库存为",AU236)))</formula>
    </cfRule>
  </conditionalFormatting>
  <conditionalFormatting sqref="AU237">
    <cfRule type="cellIs" dxfId="0" priority="1881" operator="lessThan">
      <formula>20</formula>
    </cfRule>
    <cfRule type="cellIs" dxfId="1" priority="1177" operator="greaterThan">
      <formula>120</formula>
    </cfRule>
    <cfRule type="containsText" dxfId="2" priority="473" operator="between" text="库存为">
      <formula>NOT(ISERROR(SEARCH("库存为",AU237)))</formula>
    </cfRule>
  </conditionalFormatting>
  <conditionalFormatting sqref="AU238">
    <cfRule type="cellIs" dxfId="0" priority="1880" operator="lessThan">
      <formula>20</formula>
    </cfRule>
    <cfRule type="cellIs" dxfId="1" priority="1176" operator="greaterThan">
      <formula>120</formula>
    </cfRule>
    <cfRule type="containsText" dxfId="2" priority="472" operator="between" text="库存为">
      <formula>NOT(ISERROR(SEARCH("库存为",AU238)))</formula>
    </cfRule>
  </conditionalFormatting>
  <conditionalFormatting sqref="AU239">
    <cfRule type="cellIs" dxfId="0" priority="1879" operator="lessThan">
      <formula>20</formula>
    </cfRule>
    <cfRule type="cellIs" dxfId="1" priority="1175" operator="greaterThan">
      <formula>120</formula>
    </cfRule>
    <cfRule type="containsText" dxfId="2" priority="471" operator="between" text="库存为">
      <formula>NOT(ISERROR(SEARCH("库存为",AU239)))</formula>
    </cfRule>
  </conditionalFormatting>
  <conditionalFormatting sqref="AU240">
    <cfRule type="cellIs" dxfId="0" priority="1878" operator="lessThan">
      <formula>20</formula>
    </cfRule>
    <cfRule type="cellIs" dxfId="1" priority="1174" operator="greaterThan">
      <formula>120</formula>
    </cfRule>
    <cfRule type="containsText" dxfId="2" priority="470" operator="between" text="库存为">
      <formula>NOT(ISERROR(SEARCH("库存为",AU240)))</formula>
    </cfRule>
  </conditionalFormatting>
  <conditionalFormatting sqref="AU241">
    <cfRule type="cellIs" dxfId="0" priority="1877" operator="lessThan">
      <formula>20</formula>
    </cfRule>
    <cfRule type="cellIs" dxfId="1" priority="1173" operator="greaterThan">
      <formula>120</formula>
    </cfRule>
    <cfRule type="containsText" dxfId="2" priority="469" operator="between" text="库存为">
      <formula>NOT(ISERROR(SEARCH("库存为",AU241)))</formula>
    </cfRule>
  </conditionalFormatting>
  <conditionalFormatting sqref="AU242">
    <cfRule type="cellIs" dxfId="0" priority="1876" operator="lessThan">
      <formula>20</formula>
    </cfRule>
    <cfRule type="cellIs" dxfId="1" priority="1172" operator="greaterThan">
      <formula>120</formula>
    </cfRule>
    <cfRule type="containsText" dxfId="2" priority="468" operator="between" text="库存为">
      <formula>NOT(ISERROR(SEARCH("库存为",AU242)))</formula>
    </cfRule>
  </conditionalFormatting>
  <conditionalFormatting sqref="AU243">
    <cfRule type="cellIs" dxfId="0" priority="1875" operator="lessThan">
      <formula>20</formula>
    </cfRule>
    <cfRule type="cellIs" dxfId="1" priority="1171" operator="greaterThan">
      <formula>120</formula>
    </cfRule>
    <cfRule type="containsText" dxfId="2" priority="467" operator="between" text="库存为">
      <formula>NOT(ISERROR(SEARCH("库存为",AU243)))</formula>
    </cfRule>
  </conditionalFormatting>
  <conditionalFormatting sqref="AU244">
    <cfRule type="cellIs" dxfId="0" priority="1874" operator="lessThan">
      <formula>20</formula>
    </cfRule>
    <cfRule type="cellIs" dxfId="1" priority="1170" operator="greaterThan">
      <formula>120</formula>
    </cfRule>
    <cfRule type="containsText" dxfId="2" priority="466" operator="between" text="库存为">
      <formula>NOT(ISERROR(SEARCH("库存为",AU244)))</formula>
    </cfRule>
  </conditionalFormatting>
  <conditionalFormatting sqref="AU245">
    <cfRule type="cellIs" dxfId="0" priority="1873" operator="lessThan">
      <formula>20</formula>
    </cfRule>
    <cfRule type="cellIs" dxfId="1" priority="1169" operator="greaterThan">
      <formula>120</formula>
    </cfRule>
    <cfRule type="containsText" dxfId="2" priority="465" operator="between" text="库存为">
      <formula>NOT(ISERROR(SEARCH("库存为",AU245)))</formula>
    </cfRule>
  </conditionalFormatting>
  <conditionalFormatting sqref="AU246">
    <cfRule type="cellIs" dxfId="0" priority="1872" operator="lessThan">
      <formula>20</formula>
    </cfRule>
    <cfRule type="cellIs" dxfId="1" priority="1168" operator="greaterThan">
      <formula>120</formula>
    </cfRule>
    <cfRule type="containsText" dxfId="2" priority="464" operator="between" text="库存为">
      <formula>NOT(ISERROR(SEARCH("库存为",AU246)))</formula>
    </cfRule>
  </conditionalFormatting>
  <conditionalFormatting sqref="AU247">
    <cfRule type="cellIs" dxfId="0" priority="1871" operator="lessThan">
      <formula>20</formula>
    </cfRule>
    <cfRule type="cellIs" dxfId="1" priority="1167" operator="greaterThan">
      <formula>120</formula>
    </cfRule>
    <cfRule type="containsText" dxfId="2" priority="463" operator="between" text="库存为">
      <formula>NOT(ISERROR(SEARCH("库存为",AU247)))</formula>
    </cfRule>
  </conditionalFormatting>
  <conditionalFormatting sqref="AU248">
    <cfRule type="cellIs" dxfId="0" priority="1870" operator="lessThan">
      <formula>20</formula>
    </cfRule>
    <cfRule type="cellIs" dxfId="1" priority="1166" operator="greaterThan">
      <formula>120</formula>
    </cfRule>
    <cfRule type="containsText" dxfId="2" priority="462" operator="between" text="库存为">
      <formula>NOT(ISERROR(SEARCH("库存为",AU248)))</formula>
    </cfRule>
  </conditionalFormatting>
  <conditionalFormatting sqref="AU249">
    <cfRule type="cellIs" dxfId="0" priority="1869" operator="lessThan">
      <formula>20</formula>
    </cfRule>
    <cfRule type="cellIs" dxfId="1" priority="1165" operator="greaterThan">
      <formula>120</formula>
    </cfRule>
    <cfRule type="containsText" dxfId="2" priority="461" operator="between" text="库存为">
      <formula>NOT(ISERROR(SEARCH("库存为",AU249)))</formula>
    </cfRule>
  </conditionalFormatting>
  <conditionalFormatting sqref="AU250">
    <cfRule type="cellIs" dxfId="0" priority="1868" operator="lessThan">
      <formula>20</formula>
    </cfRule>
    <cfRule type="cellIs" dxfId="1" priority="1164" operator="greaterThan">
      <formula>120</formula>
    </cfRule>
    <cfRule type="containsText" dxfId="2" priority="460" operator="between" text="库存为">
      <formula>NOT(ISERROR(SEARCH("库存为",AU250)))</formula>
    </cfRule>
  </conditionalFormatting>
  <conditionalFormatting sqref="AU251">
    <cfRule type="cellIs" dxfId="0" priority="1867" operator="lessThan">
      <formula>20</formula>
    </cfRule>
    <cfRule type="cellIs" dxfId="1" priority="1163" operator="greaterThan">
      <formula>120</formula>
    </cfRule>
    <cfRule type="containsText" dxfId="2" priority="459" operator="between" text="库存为">
      <formula>NOT(ISERROR(SEARCH("库存为",AU251)))</formula>
    </cfRule>
  </conditionalFormatting>
  <conditionalFormatting sqref="AU252">
    <cfRule type="cellIs" dxfId="0" priority="1866" operator="lessThan">
      <formula>20</formula>
    </cfRule>
    <cfRule type="cellIs" dxfId="1" priority="1162" operator="greaterThan">
      <formula>120</formula>
    </cfRule>
    <cfRule type="containsText" dxfId="2" priority="458" operator="between" text="库存为">
      <formula>NOT(ISERROR(SEARCH("库存为",AU252)))</formula>
    </cfRule>
  </conditionalFormatting>
  <conditionalFormatting sqref="AU253">
    <cfRule type="cellIs" dxfId="0" priority="1865" operator="lessThan">
      <formula>20</formula>
    </cfRule>
    <cfRule type="cellIs" dxfId="1" priority="1161" operator="greaterThan">
      <formula>120</formula>
    </cfRule>
    <cfRule type="containsText" dxfId="2" priority="457" operator="between" text="库存为">
      <formula>NOT(ISERROR(SEARCH("库存为",AU253)))</formula>
    </cfRule>
  </conditionalFormatting>
  <conditionalFormatting sqref="AU254">
    <cfRule type="cellIs" dxfId="0" priority="1864" operator="lessThan">
      <formula>20</formula>
    </cfRule>
    <cfRule type="cellIs" dxfId="1" priority="1160" operator="greaterThan">
      <formula>120</formula>
    </cfRule>
    <cfRule type="containsText" dxfId="2" priority="456" operator="between" text="库存为">
      <formula>NOT(ISERROR(SEARCH("库存为",AU254)))</formula>
    </cfRule>
  </conditionalFormatting>
  <conditionalFormatting sqref="AU255">
    <cfRule type="cellIs" dxfId="0" priority="1863" operator="lessThan">
      <formula>20</formula>
    </cfRule>
    <cfRule type="cellIs" dxfId="1" priority="1159" operator="greaterThan">
      <formula>120</formula>
    </cfRule>
    <cfRule type="containsText" dxfId="2" priority="455" operator="between" text="库存为">
      <formula>NOT(ISERROR(SEARCH("库存为",AU255)))</formula>
    </cfRule>
  </conditionalFormatting>
  <conditionalFormatting sqref="AU256">
    <cfRule type="cellIs" dxfId="0" priority="1862" operator="lessThan">
      <formula>20</formula>
    </cfRule>
    <cfRule type="cellIs" dxfId="1" priority="1158" operator="greaterThan">
      <formula>120</formula>
    </cfRule>
    <cfRule type="containsText" dxfId="2" priority="454" operator="between" text="库存为">
      <formula>NOT(ISERROR(SEARCH("库存为",AU256)))</formula>
    </cfRule>
  </conditionalFormatting>
  <conditionalFormatting sqref="AU257">
    <cfRule type="cellIs" dxfId="0" priority="1861" operator="lessThan">
      <formula>20</formula>
    </cfRule>
    <cfRule type="cellIs" dxfId="1" priority="1157" operator="greaterThan">
      <formula>120</formula>
    </cfRule>
    <cfRule type="containsText" dxfId="2" priority="453" operator="between" text="库存为">
      <formula>NOT(ISERROR(SEARCH("库存为",AU257)))</formula>
    </cfRule>
  </conditionalFormatting>
  <conditionalFormatting sqref="AU258">
    <cfRule type="cellIs" dxfId="0" priority="1860" operator="lessThan">
      <formula>20</formula>
    </cfRule>
    <cfRule type="cellIs" dxfId="1" priority="1156" operator="greaterThan">
      <formula>120</formula>
    </cfRule>
    <cfRule type="containsText" dxfId="2" priority="452" operator="between" text="库存为">
      <formula>NOT(ISERROR(SEARCH("库存为",AU258)))</formula>
    </cfRule>
  </conditionalFormatting>
  <conditionalFormatting sqref="AU259">
    <cfRule type="cellIs" dxfId="0" priority="1859" operator="lessThan">
      <formula>20</formula>
    </cfRule>
    <cfRule type="cellIs" dxfId="1" priority="1155" operator="greaterThan">
      <formula>120</formula>
    </cfRule>
    <cfRule type="containsText" dxfId="2" priority="451" operator="between" text="库存为">
      <formula>NOT(ISERROR(SEARCH("库存为",AU259)))</formula>
    </cfRule>
  </conditionalFormatting>
  <conditionalFormatting sqref="AU260">
    <cfRule type="cellIs" dxfId="0" priority="1858" operator="lessThan">
      <formula>20</formula>
    </cfRule>
    <cfRule type="cellIs" dxfId="1" priority="1154" operator="greaterThan">
      <formula>120</formula>
    </cfRule>
    <cfRule type="containsText" dxfId="2" priority="450" operator="between" text="库存为">
      <formula>NOT(ISERROR(SEARCH("库存为",AU260)))</formula>
    </cfRule>
  </conditionalFormatting>
  <conditionalFormatting sqref="AU261">
    <cfRule type="cellIs" dxfId="0" priority="1857" operator="lessThan">
      <formula>20</formula>
    </cfRule>
    <cfRule type="cellIs" dxfId="1" priority="1153" operator="greaterThan">
      <formula>120</formula>
    </cfRule>
    <cfRule type="containsText" dxfId="2" priority="449" operator="between" text="库存为">
      <formula>NOT(ISERROR(SEARCH("库存为",AU261)))</formula>
    </cfRule>
  </conditionalFormatting>
  <conditionalFormatting sqref="AU262">
    <cfRule type="cellIs" dxfId="0" priority="1856" operator="lessThan">
      <formula>20</formula>
    </cfRule>
    <cfRule type="cellIs" dxfId="1" priority="1152" operator="greaterThan">
      <formula>120</formula>
    </cfRule>
    <cfRule type="containsText" dxfId="2" priority="448" operator="between" text="库存为">
      <formula>NOT(ISERROR(SEARCH("库存为",AU262)))</formula>
    </cfRule>
  </conditionalFormatting>
  <conditionalFormatting sqref="AU263">
    <cfRule type="cellIs" dxfId="0" priority="1855" operator="lessThan">
      <formula>20</formula>
    </cfRule>
    <cfRule type="cellIs" dxfId="1" priority="1151" operator="greaterThan">
      <formula>120</formula>
    </cfRule>
    <cfRule type="containsText" dxfId="2" priority="447" operator="between" text="库存为">
      <formula>NOT(ISERROR(SEARCH("库存为",AU263)))</formula>
    </cfRule>
  </conditionalFormatting>
  <conditionalFormatting sqref="AU264">
    <cfRule type="cellIs" dxfId="0" priority="1854" operator="lessThan">
      <formula>20</formula>
    </cfRule>
    <cfRule type="cellIs" dxfId="1" priority="1150" operator="greaterThan">
      <formula>120</formula>
    </cfRule>
    <cfRule type="containsText" dxfId="2" priority="446" operator="between" text="库存为">
      <formula>NOT(ISERROR(SEARCH("库存为",AU264)))</formula>
    </cfRule>
  </conditionalFormatting>
  <conditionalFormatting sqref="AU265">
    <cfRule type="cellIs" dxfId="0" priority="1853" operator="lessThan">
      <formula>20</formula>
    </cfRule>
    <cfRule type="cellIs" dxfId="1" priority="1149" operator="greaterThan">
      <formula>120</formula>
    </cfRule>
    <cfRule type="containsText" dxfId="2" priority="445" operator="between" text="库存为">
      <formula>NOT(ISERROR(SEARCH("库存为",AU265)))</formula>
    </cfRule>
  </conditionalFormatting>
  <conditionalFormatting sqref="AU266">
    <cfRule type="cellIs" dxfId="0" priority="1852" operator="lessThan">
      <formula>20</formula>
    </cfRule>
    <cfRule type="cellIs" dxfId="1" priority="1148" operator="greaterThan">
      <formula>120</formula>
    </cfRule>
    <cfRule type="containsText" dxfId="2" priority="444" operator="between" text="库存为">
      <formula>NOT(ISERROR(SEARCH("库存为",AU266)))</formula>
    </cfRule>
  </conditionalFormatting>
  <conditionalFormatting sqref="AU267">
    <cfRule type="cellIs" dxfId="0" priority="1851" operator="lessThan">
      <formula>20</formula>
    </cfRule>
    <cfRule type="cellIs" dxfId="1" priority="1147" operator="greaterThan">
      <formula>120</formula>
    </cfRule>
    <cfRule type="containsText" dxfId="2" priority="443" operator="between" text="库存为">
      <formula>NOT(ISERROR(SEARCH("库存为",AU267)))</formula>
    </cfRule>
  </conditionalFormatting>
  <conditionalFormatting sqref="AU268">
    <cfRule type="cellIs" dxfId="0" priority="1850" operator="lessThan">
      <formula>20</formula>
    </cfRule>
    <cfRule type="cellIs" dxfId="1" priority="1146" operator="greaterThan">
      <formula>120</formula>
    </cfRule>
    <cfRule type="containsText" dxfId="2" priority="442" operator="between" text="库存为">
      <formula>NOT(ISERROR(SEARCH("库存为",AU268)))</formula>
    </cfRule>
  </conditionalFormatting>
  <conditionalFormatting sqref="AU269">
    <cfRule type="cellIs" dxfId="0" priority="1849" operator="lessThan">
      <formula>20</formula>
    </cfRule>
    <cfRule type="cellIs" dxfId="1" priority="1145" operator="greaterThan">
      <formula>120</formula>
    </cfRule>
    <cfRule type="containsText" dxfId="2" priority="441" operator="between" text="库存为">
      <formula>NOT(ISERROR(SEARCH("库存为",AU269)))</formula>
    </cfRule>
  </conditionalFormatting>
  <conditionalFormatting sqref="AU270">
    <cfRule type="cellIs" dxfId="0" priority="1848" operator="lessThan">
      <formula>20</formula>
    </cfRule>
    <cfRule type="cellIs" dxfId="1" priority="1144" operator="greaterThan">
      <formula>120</formula>
    </cfRule>
    <cfRule type="containsText" dxfId="2" priority="440" operator="between" text="库存为">
      <formula>NOT(ISERROR(SEARCH("库存为",AU270)))</formula>
    </cfRule>
  </conditionalFormatting>
  <conditionalFormatting sqref="AU271">
    <cfRule type="cellIs" dxfId="0" priority="1847" operator="lessThan">
      <formula>20</formula>
    </cfRule>
    <cfRule type="cellIs" dxfId="1" priority="1143" operator="greaterThan">
      <formula>120</formula>
    </cfRule>
    <cfRule type="containsText" dxfId="2" priority="439" operator="between" text="库存为">
      <formula>NOT(ISERROR(SEARCH("库存为",AU271)))</formula>
    </cfRule>
  </conditionalFormatting>
  <conditionalFormatting sqref="AU272">
    <cfRule type="cellIs" dxfId="0" priority="1846" operator="lessThan">
      <formula>20</formula>
    </cfRule>
    <cfRule type="cellIs" dxfId="1" priority="1142" operator="greaterThan">
      <formula>120</formula>
    </cfRule>
    <cfRule type="containsText" dxfId="2" priority="438" operator="between" text="库存为">
      <formula>NOT(ISERROR(SEARCH("库存为",AU272)))</formula>
    </cfRule>
  </conditionalFormatting>
  <conditionalFormatting sqref="AU273">
    <cfRule type="cellIs" dxfId="0" priority="1845" operator="lessThan">
      <formula>20</formula>
    </cfRule>
    <cfRule type="cellIs" dxfId="1" priority="1141" operator="greaterThan">
      <formula>120</formula>
    </cfRule>
    <cfRule type="containsText" dxfId="2" priority="437" operator="between" text="库存为">
      <formula>NOT(ISERROR(SEARCH("库存为",AU273)))</formula>
    </cfRule>
  </conditionalFormatting>
  <conditionalFormatting sqref="AU274">
    <cfRule type="cellIs" dxfId="0" priority="1844" operator="lessThan">
      <formula>20</formula>
    </cfRule>
    <cfRule type="cellIs" dxfId="1" priority="1140" operator="greaterThan">
      <formula>120</formula>
    </cfRule>
    <cfRule type="containsText" dxfId="2" priority="436" operator="between" text="库存为">
      <formula>NOT(ISERROR(SEARCH("库存为",AU274)))</formula>
    </cfRule>
  </conditionalFormatting>
  <conditionalFormatting sqref="AU275">
    <cfRule type="cellIs" dxfId="0" priority="1843" operator="lessThan">
      <formula>20</formula>
    </cfRule>
    <cfRule type="cellIs" dxfId="1" priority="1139" operator="greaterThan">
      <formula>120</formula>
    </cfRule>
    <cfRule type="containsText" dxfId="2" priority="435" operator="between" text="库存为">
      <formula>NOT(ISERROR(SEARCH("库存为",AU275)))</formula>
    </cfRule>
  </conditionalFormatting>
  <conditionalFormatting sqref="AU276">
    <cfRule type="cellIs" dxfId="0" priority="1842" operator="lessThan">
      <formula>20</formula>
    </cfRule>
    <cfRule type="cellIs" dxfId="1" priority="1138" operator="greaterThan">
      <formula>120</formula>
    </cfRule>
    <cfRule type="containsText" dxfId="2" priority="434" operator="between" text="库存为">
      <formula>NOT(ISERROR(SEARCH("库存为",AU276)))</formula>
    </cfRule>
  </conditionalFormatting>
  <conditionalFormatting sqref="AU277">
    <cfRule type="cellIs" dxfId="0" priority="1841" operator="lessThan">
      <formula>20</formula>
    </cfRule>
    <cfRule type="cellIs" dxfId="1" priority="1137" operator="greaterThan">
      <formula>120</formula>
    </cfRule>
    <cfRule type="containsText" dxfId="2" priority="433" operator="between" text="库存为">
      <formula>NOT(ISERROR(SEARCH("库存为",AU277)))</formula>
    </cfRule>
  </conditionalFormatting>
  <conditionalFormatting sqref="AU278">
    <cfRule type="cellIs" dxfId="0" priority="1840" operator="lessThan">
      <formula>20</formula>
    </cfRule>
    <cfRule type="cellIs" dxfId="1" priority="1136" operator="greaterThan">
      <formula>120</formula>
    </cfRule>
    <cfRule type="containsText" dxfId="2" priority="432" operator="between" text="库存为">
      <formula>NOT(ISERROR(SEARCH("库存为",AU278)))</formula>
    </cfRule>
  </conditionalFormatting>
  <conditionalFormatting sqref="AU279">
    <cfRule type="cellIs" dxfId="0" priority="1839" operator="lessThan">
      <formula>20</formula>
    </cfRule>
    <cfRule type="cellIs" dxfId="1" priority="1135" operator="greaterThan">
      <formula>120</formula>
    </cfRule>
    <cfRule type="containsText" dxfId="2" priority="431" operator="between" text="库存为">
      <formula>NOT(ISERROR(SEARCH("库存为",AU279)))</formula>
    </cfRule>
  </conditionalFormatting>
  <conditionalFormatting sqref="AU280">
    <cfRule type="cellIs" dxfId="0" priority="1838" operator="lessThan">
      <formula>20</formula>
    </cfRule>
    <cfRule type="cellIs" dxfId="1" priority="1134" operator="greaterThan">
      <formula>120</formula>
    </cfRule>
    <cfRule type="containsText" dxfId="2" priority="430" operator="between" text="库存为">
      <formula>NOT(ISERROR(SEARCH("库存为",AU280)))</formula>
    </cfRule>
  </conditionalFormatting>
  <conditionalFormatting sqref="AU281">
    <cfRule type="cellIs" dxfId="0" priority="1837" operator="lessThan">
      <formula>20</formula>
    </cfRule>
    <cfRule type="cellIs" dxfId="1" priority="1133" operator="greaterThan">
      <formula>120</formula>
    </cfRule>
    <cfRule type="containsText" dxfId="2" priority="429" operator="between" text="库存为">
      <formula>NOT(ISERROR(SEARCH("库存为",AU281)))</formula>
    </cfRule>
  </conditionalFormatting>
  <conditionalFormatting sqref="AU282">
    <cfRule type="cellIs" dxfId="0" priority="1836" operator="lessThan">
      <formula>20</formula>
    </cfRule>
    <cfRule type="cellIs" dxfId="1" priority="1132" operator="greaterThan">
      <formula>120</formula>
    </cfRule>
    <cfRule type="containsText" dxfId="2" priority="428" operator="between" text="库存为">
      <formula>NOT(ISERROR(SEARCH("库存为",AU282)))</formula>
    </cfRule>
  </conditionalFormatting>
  <conditionalFormatting sqref="AU283">
    <cfRule type="cellIs" dxfId="0" priority="1835" operator="lessThan">
      <formula>20</formula>
    </cfRule>
    <cfRule type="cellIs" dxfId="1" priority="1131" operator="greaterThan">
      <formula>120</formula>
    </cfRule>
    <cfRule type="containsText" dxfId="2" priority="427" operator="between" text="库存为">
      <formula>NOT(ISERROR(SEARCH("库存为",AU283)))</formula>
    </cfRule>
  </conditionalFormatting>
  <conditionalFormatting sqref="AU284">
    <cfRule type="cellIs" dxfId="0" priority="1834" operator="lessThan">
      <formula>20</formula>
    </cfRule>
    <cfRule type="cellIs" dxfId="1" priority="1130" operator="greaterThan">
      <formula>120</formula>
    </cfRule>
    <cfRule type="containsText" dxfId="2" priority="426" operator="between" text="库存为">
      <formula>NOT(ISERROR(SEARCH("库存为",AU284)))</formula>
    </cfRule>
  </conditionalFormatting>
  <conditionalFormatting sqref="AU285">
    <cfRule type="cellIs" dxfId="0" priority="1833" operator="lessThan">
      <formula>20</formula>
    </cfRule>
    <cfRule type="cellIs" dxfId="1" priority="1129" operator="greaterThan">
      <formula>120</formula>
    </cfRule>
    <cfRule type="containsText" dxfId="2" priority="425" operator="between" text="库存为">
      <formula>NOT(ISERROR(SEARCH("库存为",AU285)))</formula>
    </cfRule>
  </conditionalFormatting>
  <conditionalFormatting sqref="AU286">
    <cfRule type="cellIs" dxfId="0" priority="1832" operator="lessThan">
      <formula>20</formula>
    </cfRule>
    <cfRule type="cellIs" dxfId="1" priority="1128" operator="greaterThan">
      <formula>120</formula>
    </cfRule>
    <cfRule type="containsText" dxfId="2" priority="424" operator="between" text="库存为">
      <formula>NOT(ISERROR(SEARCH("库存为",AU286)))</formula>
    </cfRule>
  </conditionalFormatting>
  <conditionalFormatting sqref="AU287">
    <cfRule type="cellIs" dxfId="0" priority="1831" operator="lessThan">
      <formula>20</formula>
    </cfRule>
    <cfRule type="cellIs" dxfId="1" priority="1127" operator="greaterThan">
      <formula>120</formula>
    </cfRule>
    <cfRule type="containsText" dxfId="2" priority="423" operator="between" text="库存为">
      <formula>NOT(ISERROR(SEARCH("库存为",AU287)))</formula>
    </cfRule>
  </conditionalFormatting>
  <conditionalFormatting sqref="AU288">
    <cfRule type="cellIs" dxfId="0" priority="1830" operator="lessThan">
      <formula>20</formula>
    </cfRule>
    <cfRule type="cellIs" dxfId="1" priority="1126" operator="greaterThan">
      <formula>120</formula>
    </cfRule>
    <cfRule type="containsText" dxfId="2" priority="422" operator="between" text="库存为">
      <formula>NOT(ISERROR(SEARCH("库存为",AU288)))</formula>
    </cfRule>
  </conditionalFormatting>
  <conditionalFormatting sqref="AU289">
    <cfRule type="cellIs" dxfId="0" priority="1829" operator="lessThan">
      <formula>20</formula>
    </cfRule>
    <cfRule type="cellIs" dxfId="1" priority="1125" operator="greaterThan">
      <formula>120</formula>
    </cfRule>
    <cfRule type="containsText" dxfId="2" priority="421" operator="between" text="库存为">
      <formula>NOT(ISERROR(SEARCH("库存为",AU289)))</formula>
    </cfRule>
  </conditionalFormatting>
  <conditionalFormatting sqref="AU290">
    <cfRule type="cellIs" dxfId="0" priority="1828" operator="lessThan">
      <formula>20</formula>
    </cfRule>
    <cfRule type="cellIs" dxfId="1" priority="1124" operator="greaterThan">
      <formula>120</formula>
    </cfRule>
    <cfRule type="containsText" dxfId="2" priority="420" operator="between" text="库存为">
      <formula>NOT(ISERROR(SEARCH("库存为",AU290)))</formula>
    </cfRule>
  </conditionalFormatting>
  <conditionalFormatting sqref="AU291">
    <cfRule type="cellIs" dxfId="0" priority="1827" operator="lessThan">
      <formula>20</formula>
    </cfRule>
    <cfRule type="cellIs" dxfId="1" priority="1123" operator="greaterThan">
      <formula>120</formula>
    </cfRule>
    <cfRule type="containsText" dxfId="2" priority="419" operator="between" text="库存为">
      <formula>NOT(ISERROR(SEARCH("库存为",AU291)))</formula>
    </cfRule>
  </conditionalFormatting>
  <conditionalFormatting sqref="AU292">
    <cfRule type="cellIs" dxfId="0" priority="1826" operator="lessThan">
      <formula>20</formula>
    </cfRule>
    <cfRule type="cellIs" dxfId="1" priority="1122" operator="greaterThan">
      <formula>120</formula>
    </cfRule>
    <cfRule type="containsText" dxfId="2" priority="418" operator="between" text="库存为">
      <formula>NOT(ISERROR(SEARCH("库存为",AU292)))</formula>
    </cfRule>
  </conditionalFormatting>
  <conditionalFormatting sqref="AU293">
    <cfRule type="cellIs" dxfId="0" priority="1825" operator="lessThan">
      <formula>20</formula>
    </cfRule>
    <cfRule type="cellIs" dxfId="1" priority="1121" operator="greaterThan">
      <formula>120</formula>
    </cfRule>
    <cfRule type="containsText" dxfId="2" priority="417" operator="between" text="库存为">
      <formula>NOT(ISERROR(SEARCH("库存为",AU293)))</formula>
    </cfRule>
  </conditionalFormatting>
  <conditionalFormatting sqref="AU294">
    <cfRule type="cellIs" dxfId="0" priority="1824" operator="lessThan">
      <formula>20</formula>
    </cfRule>
    <cfRule type="cellIs" dxfId="1" priority="1120" operator="greaterThan">
      <formula>120</formula>
    </cfRule>
    <cfRule type="containsText" dxfId="2" priority="416" operator="between" text="库存为">
      <formula>NOT(ISERROR(SEARCH("库存为",AU294)))</formula>
    </cfRule>
  </conditionalFormatting>
  <conditionalFormatting sqref="AU295">
    <cfRule type="cellIs" dxfId="0" priority="1823" operator="lessThan">
      <formula>20</formula>
    </cfRule>
    <cfRule type="cellIs" dxfId="1" priority="1119" operator="greaterThan">
      <formula>120</formula>
    </cfRule>
    <cfRule type="containsText" dxfId="2" priority="415" operator="between" text="库存为">
      <formula>NOT(ISERROR(SEARCH("库存为",AU295)))</formula>
    </cfRule>
  </conditionalFormatting>
  <conditionalFormatting sqref="AU296">
    <cfRule type="cellIs" dxfId="0" priority="1822" operator="lessThan">
      <formula>20</formula>
    </cfRule>
    <cfRule type="cellIs" dxfId="1" priority="1118" operator="greaterThan">
      <formula>120</formula>
    </cfRule>
    <cfRule type="containsText" dxfId="2" priority="414" operator="between" text="库存为">
      <formula>NOT(ISERROR(SEARCH("库存为",AU296)))</formula>
    </cfRule>
  </conditionalFormatting>
  <conditionalFormatting sqref="AU297">
    <cfRule type="cellIs" dxfId="0" priority="1821" operator="lessThan">
      <formula>20</formula>
    </cfRule>
    <cfRule type="cellIs" dxfId="1" priority="1117" operator="greaterThan">
      <formula>120</formula>
    </cfRule>
    <cfRule type="containsText" dxfId="2" priority="413" operator="between" text="库存为">
      <formula>NOT(ISERROR(SEARCH("库存为",AU297)))</formula>
    </cfRule>
  </conditionalFormatting>
  <conditionalFormatting sqref="AU298">
    <cfRule type="cellIs" dxfId="0" priority="1820" operator="lessThan">
      <formula>20</formula>
    </cfRule>
    <cfRule type="cellIs" dxfId="1" priority="1116" operator="greaterThan">
      <formula>120</formula>
    </cfRule>
    <cfRule type="containsText" dxfId="2" priority="412" operator="between" text="库存为">
      <formula>NOT(ISERROR(SEARCH("库存为",AU298)))</formula>
    </cfRule>
  </conditionalFormatting>
  <conditionalFormatting sqref="AU299">
    <cfRule type="cellIs" dxfId="0" priority="1819" operator="lessThan">
      <formula>20</formula>
    </cfRule>
    <cfRule type="cellIs" dxfId="1" priority="1115" operator="greaterThan">
      <formula>120</formula>
    </cfRule>
    <cfRule type="containsText" dxfId="2" priority="411" operator="between" text="库存为">
      <formula>NOT(ISERROR(SEARCH("库存为",AU299)))</formula>
    </cfRule>
  </conditionalFormatting>
  <conditionalFormatting sqref="AU300">
    <cfRule type="cellIs" dxfId="0" priority="1818" operator="lessThan">
      <formula>20</formula>
    </cfRule>
    <cfRule type="cellIs" dxfId="1" priority="1114" operator="greaterThan">
      <formula>120</formula>
    </cfRule>
    <cfRule type="containsText" dxfId="2" priority="410" operator="between" text="库存为">
      <formula>NOT(ISERROR(SEARCH("库存为",AU300)))</formula>
    </cfRule>
  </conditionalFormatting>
  <conditionalFormatting sqref="AU301">
    <cfRule type="cellIs" dxfId="0" priority="1817" operator="lessThan">
      <formula>20</formula>
    </cfRule>
    <cfRule type="cellIs" dxfId="1" priority="1113" operator="greaterThan">
      <formula>120</formula>
    </cfRule>
    <cfRule type="containsText" dxfId="2" priority="409" operator="between" text="库存为">
      <formula>NOT(ISERROR(SEARCH("库存为",AU301)))</formula>
    </cfRule>
  </conditionalFormatting>
  <conditionalFormatting sqref="AU302">
    <cfRule type="cellIs" dxfId="0" priority="1816" operator="lessThan">
      <formula>20</formula>
    </cfRule>
    <cfRule type="cellIs" dxfId="1" priority="1112" operator="greaterThan">
      <formula>120</formula>
    </cfRule>
    <cfRule type="containsText" dxfId="2" priority="408" operator="between" text="库存为">
      <formula>NOT(ISERROR(SEARCH("库存为",AU302)))</formula>
    </cfRule>
  </conditionalFormatting>
  <conditionalFormatting sqref="AU303">
    <cfRule type="cellIs" dxfId="0" priority="1815" operator="lessThan">
      <formula>20</formula>
    </cfRule>
    <cfRule type="cellIs" dxfId="1" priority="1111" operator="greaterThan">
      <formula>120</formula>
    </cfRule>
    <cfRule type="containsText" dxfId="2" priority="407" operator="between" text="库存为">
      <formula>NOT(ISERROR(SEARCH("库存为",AU303)))</formula>
    </cfRule>
  </conditionalFormatting>
  <conditionalFormatting sqref="AU304">
    <cfRule type="cellIs" dxfId="0" priority="1814" operator="lessThan">
      <formula>20</formula>
    </cfRule>
    <cfRule type="cellIs" dxfId="1" priority="1110" operator="greaterThan">
      <formula>120</formula>
    </cfRule>
    <cfRule type="containsText" dxfId="2" priority="406" operator="between" text="库存为">
      <formula>NOT(ISERROR(SEARCH("库存为",AU304)))</formula>
    </cfRule>
  </conditionalFormatting>
  <conditionalFormatting sqref="AU305">
    <cfRule type="cellIs" dxfId="0" priority="1813" operator="lessThan">
      <formula>20</formula>
    </cfRule>
    <cfRule type="cellIs" dxfId="1" priority="1109" operator="greaterThan">
      <formula>120</formula>
    </cfRule>
    <cfRule type="containsText" dxfId="2" priority="405" operator="between" text="库存为">
      <formula>NOT(ISERROR(SEARCH("库存为",AU305)))</formula>
    </cfRule>
  </conditionalFormatting>
  <conditionalFormatting sqref="AU306">
    <cfRule type="cellIs" dxfId="0" priority="1812" operator="lessThan">
      <formula>20</formula>
    </cfRule>
    <cfRule type="cellIs" dxfId="1" priority="1108" operator="greaterThan">
      <formula>120</formula>
    </cfRule>
    <cfRule type="containsText" dxfId="2" priority="404" operator="between" text="库存为">
      <formula>NOT(ISERROR(SEARCH("库存为",AU306)))</formula>
    </cfRule>
  </conditionalFormatting>
  <conditionalFormatting sqref="AU307">
    <cfRule type="cellIs" dxfId="0" priority="1811" operator="lessThan">
      <formula>20</formula>
    </cfRule>
    <cfRule type="cellIs" dxfId="1" priority="1107" operator="greaterThan">
      <formula>120</formula>
    </cfRule>
    <cfRule type="containsText" dxfId="2" priority="403" operator="between" text="库存为">
      <formula>NOT(ISERROR(SEARCH("库存为",AU307)))</formula>
    </cfRule>
  </conditionalFormatting>
  <conditionalFormatting sqref="AU308">
    <cfRule type="cellIs" dxfId="0" priority="1810" operator="lessThan">
      <formula>20</formula>
    </cfRule>
    <cfRule type="cellIs" dxfId="1" priority="1106" operator="greaterThan">
      <formula>120</formula>
    </cfRule>
    <cfRule type="containsText" dxfId="2" priority="402" operator="between" text="库存为">
      <formula>NOT(ISERROR(SEARCH("库存为",AU308)))</formula>
    </cfRule>
  </conditionalFormatting>
  <conditionalFormatting sqref="AU309">
    <cfRule type="cellIs" dxfId="0" priority="1809" operator="lessThan">
      <formula>20</formula>
    </cfRule>
    <cfRule type="cellIs" dxfId="1" priority="1105" operator="greaterThan">
      <formula>120</formula>
    </cfRule>
    <cfRule type="containsText" dxfId="2" priority="401" operator="between" text="库存为">
      <formula>NOT(ISERROR(SEARCH("库存为",AU309)))</formula>
    </cfRule>
  </conditionalFormatting>
  <conditionalFormatting sqref="AU310">
    <cfRule type="cellIs" dxfId="0" priority="1808" operator="lessThan">
      <formula>20</formula>
    </cfRule>
    <cfRule type="cellIs" dxfId="1" priority="1104" operator="greaterThan">
      <formula>120</formula>
    </cfRule>
    <cfRule type="containsText" dxfId="2" priority="400" operator="between" text="库存为">
      <formula>NOT(ISERROR(SEARCH("库存为",AU310)))</formula>
    </cfRule>
  </conditionalFormatting>
  <conditionalFormatting sqref="AU311">
    <cfRule type="cellIs" dxfId="0" priority="1807" operator="lessThan">
      <formula>20</formula>
    </cfRule>
    <cfRule type="cellIs" dxfId="1" priority="1103" operator="greaterThan">
      <formula>120</formula>
    </cfRule>
    <cfRule type="containsText" dxfId="2" priority="399" operator="between" text="库存为">
      <formula>NOT(ISERROR(SEARCH("库存为",AU311)))</formula>
    </cfRule>
  </conditionalFormatting>
  <conditionalFormatting sqref="AU312">
    <cfRule type="cellIs" dxfId="0" priority="1806" operator="lessThan">
      <formula>20</formula>
    </cfRule>
    <cfRule type="cellIs" dxfId="1" priority="1102" operator="greaterThan">
      <formula>120</formula>
    </cfRule>
    <cfRule type="containsText" dxfId="2" priority="398" operator="between" text="库存为">
      <formula>NOT(ISERROR(SEARCH("库存为",AU312)))</formula>
    </cfRule>
  </conditionalFormatting>
  <conditionalFormatting sqref="AU313">
    <cfRule type="cellIs" dxfId="0" priority="1805" operator="lessThan">
      <formula>20</formula>
    </cfRule>
    <cfRule type="cellIs" dxfId="1" priority="1101" operator="greaterThan">
      <formula>120</formula>
    </cfRule>
    <cfRule type="containsText" dxfId="2" priority="397" operator="between" text="库存为">
      <formula>NOT(ISERROR(SEARCH("库存为",AU313)))</formula>
    </cfRule>
  </conditionalFormatting>
  <conditionalFormatting sqref="AU314">
    <cfRule type="cellIs" dxfId="0" priority="1804" operator="lessThan">
      <formula>20</formula>
    </cfRule>
    <cfRule type="cellIs" dxfId="1" priority="1100" operator="greaterThan">
      <formula>120</formula>
    </cfRule>
    <cfRule type="containsText" dxfId="2" priority="396" operator="between" text="库存为">
      <formula>NOT(ISERROR(SEARCH("库存为",AU314)))</formula>
    </cfRule>
  </conditionalFormatting>
  <conditionalFormatting sqref="AU315">
    <cfRule type="cellIs" dxfId="0" priority="1803" operator="lessThan">
      <formula>20</formula>
    </cfRule>
    <cfRule type="cellIs" dxfId="1" priority="1099" operator="greaterThan">
      <formula>120</formula>
    </cfRule>
    <cfRule type="containsText" dxfId="2" priority="395" operator="between" text="库存为">
      <formula>NOT(ISERROR(SEARCH("库存为",AU315)))</formula>
    </cfRule>
  </conditionalFormatting>
  <conditionalFormatting sqref="AU316">
    <cfRule type="cellIs" dxfId="0" priority="1802" operator="lessThan">
      <formula>20</formula>
    </cfRule>
    <cfRule type="cellIs" dxfId="1" priority="1098" operator="greaterThan">
      <formula>120</formula>
    </cfRule>
    <cfRule type="containsText" dxfId="2" priority="394" operator="between" text="库存为">
      <formula>NOT(ISERROR(SEARCH("库存为",AU316)))</formula>
    </cfRule>
  </conditionalFormatting>
  <conditionalFormatting sqref="AU317">
    <cfRule type="cellIs" dxfId="0" priority="1801" operator="lessThan">
      <formula>20</formula>
    </cfRule>
    <cfRule type="cellIs" dxfId="1" priority="1097" operator="greaterThan">
      <formula>120</formula>
    </cfRule>
    <cfRule type="containsText" dxfId="2" priority="393" operator="between" text="库存为">
      <formula>NOT(ISERROR(SEARCH("库存为",AU317)))</formula>
    </cfRule>
  </conditionalFormatting>
  <conditionalFormatting sqref="AU318">
    <cfRule type="cellIs" dxfId="0" priority="1800" operator="lessThan">
      <formula>20</formula>
    </cfRule>
    <cfRule type="cellIs" dxfId="1" priority="1096" operator="greaterThan">
      <formula>120</formula>
    </cfRule>
    <cfRule type="containsText" dxfId="2" priority="392" operator="between" text="库存为">
      <formula>NOT(ISERROR(SEARCH("库存为",AU318)))</formula>
    </cfRule>
  </conditionalFormatting>
  <conditionalFormatting sqref="AU319">
    <cfRule type="cellIs" dxfId="0" priority="1799" operator="lessThan">
      <formula>20</formula>
    </cfRule>
    <cfRule type="cellIs" dxfId="1" priority="1095" operator="greaterThan">
      <formula>120</formula>
    </cfRule>
    <cfRule type="containsText" dxfId="2" priority="391" operator="between" text="库存为">
      <formula>NOT(ISERROR(SEARCH("库存为",AU319)))</formula>
    </cfRule>
  </conditionalFormatting>
  <conditionalFormatting sqref="AU320">
    <cfRule type="cellIs" dxfId="0" priority="1798" operator="lessThan">
      <formula>20</formula>
    </cfRule>
    <cfRule type="cellIs" dxfId="1" priority="1094" operator="greaterThan">
      <formula>120</formula>
    </cfRule>
    <cfRule type="containsText" dxfId="2" priority="390" operator="between" text="库存为">
      <formula>NOT(ISERROR(SEARCH("库存为",AU320)))</formula>
    </cfRule>
  </conditionalFormatting>
  <conditionalFormatting sqref="AU321">
    <cfRule type="cellIs" dxfId="0" priority="1797" operator="lessThan">
      <formula>20</formula>
    </cfRule>
    <cfRule type="cellIs" dxfId="1" priority="1093" operator="greaterThan">
      <formula>120</formula>
    </cfRule>
    <cfRule type="containsText" dxfId="2" priority="389" operator="between" text="库存为">
      <formula>NOT(ISERROR(SEARCH("库存为",AU321)))</formula>
    </cfRule>
  </conditionalFormatting>
  <conditionalFormatting sqref="AU322">
    <cfRule type="cellIs" dxfId="0" priority="1796" operator="lessThan">
      <formula>20</formula>
    </cfRule>
    <cfRule type="cellIs" dxfId="1" priority="1092" operator="greaterThan">
      <formula>120</formula>
    </cfRule>
    <cfRule type="containsText" dxfId="2" priority="388" operator="between" text="库存为">
      <formula>NOT(ISERROR(SEARCH("库存为",AU322)))</formula>
    </cfRule>
  </conditionalFormatting>
  <conditionalFormatting sqref="AU323">
    <cfRule type="cellIs" dxfId="0" priority="1795" operator="lessThan">
      <formula>20</formula>
    </cfRule>
    <cfRule type="cellIs" dxfId="1" priority="1091" operator="greaterThan">
      <formula>120</formula>
    </cfRule>
    <cfRule type="containsText" dxfId="2" priority="387" operator="between" text="库存为">
      <formula>NOT(ISERROR(SEARCH("库存为",AU323)))</formula>
    </cfRule>
  </conditionalFormatting>
  <conditionalFormatting sqref="AU324">
    <cfRule type="cellIs" dxfId="0" priority="1794" operator="lessThan">
      <formula>20</formula>
    </cfRule>
    <cfRule type="cellIs" dxfId="1" priority="1090" operator="greaterThan">
      <formula>120</formula>
    </cfRule>
    <cfRule type="containsText" dxfId="2" priority="386" operator="between" text="库存为">
      <formula>NOT(ISERROR(SEARCH("库存为",AU324)))</formula>
    </cfRule>
  </conditionalFormatting>
  <conditionalFormatting sqref="AU325">
    <cfRule type="cellIs" dxfId="0" priority="1793" operator="lessThan">
      <formula>20</formula>
    </cfRule>
    <cfRule type="cellIs" dxfId="1" priority="1089" operator="greaterThan">
      <formula>120</formula>
    </cfRule>
    <cfRule type="containsText" dxfId="2" priority="385" operator="between" text="库存为">
      <formula>NOT(ISERROR(SEARCH("库存为",AU325)))</formula>
    </cfRule>
  </conditionalFormatting>
  <conditionalFormatting sqref="AU326">
    <cfRule type="cellIs" dxfId="0" priority="1792" operator="lessThan">
      <formula>20</formula>
    </cfRule>
    <cfRule type="cellIs" dxfId="1" priority="1088" operator="greaterThan">
      <formula>120</formula>
    </cfRule>
    <cfRule type="containsText" dxfId="2" priority="384" operator="between" text="库存为">
      <formula>NOT(ISERROR(SEARCH("库存为",AU326)))</formula>
    </cfRule>
  </conditionalFormatting>
  <conditionalFormatting sqref="AU327">
    <cfRule type="cellIs" dxfId="0" priority="1791" operator="lessThan">
      <formula>20</formula>
    </cfRule>
    <cfRule type="cellIs" dxfId="1" priority="1087" operator="greaterThan">
      <formula>120</formula>
    </cfRule>
    <cfRule type="containsText" dxfId="2" priority="383" operator="between" text="库存为">
      <formula>NOT(ISERROR(SEARCH("库存为",AU327)))</formula>
    </cfRule>
  </conditionalFormatting>
  <conditionalFormatting sqref="AU328">
    <cfRule type="cellIs" dxfId="0" priority="1790" operator="lessThan">
      <formula>20</formula>
    </cfRule>
    <cfRule type="cellIs" dxfId="1" priority="1086" operator="greaterThan">
      <formula>120</formula>
    </cfRule>
    <cfRule type="containsText" dxfId="2" priority="382" operator="between" text="库存为">
      <formula>NOT(ISERROR(SEARCH("库存为",AU328)))</formula>
    </cfRule>
  </conditionalFormatting>
  <conditionalFormatting sqref="AU329">
    <cfRule type="cellIs" dxfId="0" priority="1789" operator="lessThan">
      <formula>20</formula>
    </cfRule>
    <cfRule type="cellIs" dxfId="1" priority="1085" operator="greaterThan">
      <formula>120</formula>
    </cfRule>
    <cfRule type="containsText" dxfId="2" priority="381" operator="between" text="库存为">
      <formula>NOT(ISERROR(SEARCH("库存为",AU329)))</formula>
    </cfRule>
  </conditionalFormatting>
  <conditionalFormatting sqref="AU330">
    <cfRule type="cellIs" dxfId="0" priority="1788" operator="lessThan">
      <formula>20</formula>
    </cfRule>
    <cfRule type="cellIs" dxfId="1" priority="1084" operator="greaterThan">
      <formula>120</formula>
    </cfRule>
    <cfRule type="containsText" dxfId="2" priority="380" operator="between" text="库存为">
      <formula>NOT(ISERROR(SEARCH("库存为",AU330)))</formula>
    </cfRule>
  </conditionalFormatting>
  <conditionalFormatting sqref="AU331">
    <cfRule type="cellIs" dxfId="0" priority="1787" operator="lessThan">
      <formula>20</formula>
    </cfRule>
    <cfRule type="cellIs" dxfId="1" priority="1083" operator="greaterThan">
      <formula>120</formula>
    </cfRule>
    <cfRule type="containsText" dxfId="2" priority="379" operator="between" text="库存为">
      <formula>NOT(ISERROR(SEARCH("库存为",AU331)))</formula>
    </cfRule>
  </conditionalFormatting>
  <conditionalFormatting sqref="AU332">
    <cfRule type="cellIs" dxfId="0" priority="1786" operator="lessThan">
      <formula>20</formula>
    </cfRule>
    <cfRule type="cellIs" dxfId="1" priority="1082" operator="greaterThan">
      <formula>120</formula>
    </cfRule>
    <cfRule type="containsText" dxfId="2" priority="378" operator="between" text="库存为">
      <formula>NOT(ISERROR(SEARCH("库存为",AU332)))</formula>
    </cfRule>
  </conditionalFormatting>
  <conditionalFormatting sqref="AU333">
    <cfRule type="cellIs" dxfId="0" priority="1785" operator="lessThan">
      <formula>20</formula>
    </cfRule>
    <cfRule type="cellIs" dxfId="1" priority="1081" operator="greaterThan">
      <formula>120</formula>
    </cfRule>
    <cfRule type="containsText" dxfId="2" priority="377" operator="between" text="库存为">
      <formula>NOT(ISERROR(SEARCH("库存为",AU333)))</formula>
    </cfRule>
  </conditionalFormatting>
  <conditionalFormatting sqref="AU334">
    <cfRule type="cellIs" dxfId="0" priority="1784" operator="lessThan">
      <formula>20</formula>
    </cfRule>
    <cfRule type="cellIs" dxfId="1" priority="1080" operator="greaterThan">
      <formula>120</formula>
    </cfRule>
    <cfRule type="containsText" dxfId="2" priority="376" operator="between" text="库存为">
      <formula>NOT(ISERROR(SEARCH("库存为",AU334)))</formula>
    </cfRule>
  </conditionalFormatting>
  <conditionalFormatting sqref="AU335">
    <cfRule type="cellIs" dxfId="0" priority="1783" operator="lessThan">
      <formula>20</formula>
    </cfRule>
    <cfRule type="cellIs" dxfId="1" priority="1079" operator="greaterThan">
      <formula>120</formula>
    </cfRule>
    <cfRule type="containsText" dxfId="2" priority="375" operator="between" text="库存为">
      <formula>NOT(ISERROR(SEARCH("库存为",AU335)))</formula>
    </cfRule>
  </conditionalFormatting>
  <conditionalFormatting sqref="AU336">
    <cfRule type="cellIs" dxfId="0" priority="1782" operator="lessThan">
      <formula>20</formula>
    </cfRule>
    <cfRule type="cellIs" dxfId="1" priority="1078" operator="greaterThan">
      <formula>120</formula>
    </cfRule>
    <cfRule type="containsText" dxfId="2" priority="374" operator="between" text="库存为">
      <formula>NOT(ISERROR(SEARCH("库存为",AU336)))</formula>
    </cfRule>
  </conditionalFormatting>
  <conditionalFormatting sqref="AU337">
    <cfRule type="cellIs" dxfId="0" priority="1781" operator="lessThan">
      <formula>20</formula>
    </cfRule>
    <cfRule type="cellIs" dxfId="1" priority="1077" operator="greaterThan">
      <formula>120</formula>
    </cfRule>
    <cfRule type="containsText" dxfId="2" priority="373" operator="between" text="库存为">
      <formula>NOT(ISERROR(SEARCH("库存为",AU337)))</formula>
    </cfRule>
  </conditionalFormatting>
  <conditionalFormatting sqref="AU338">
    <cfRule type="cellIs" dxfId="0" priority="1780" operator="lessThan">
      <formula>20</formula>
    </cfRule>
    <cfRule type="cellIs" dxfId="1" priority="1076" operator="greaterThan">
      <formula>120</formula>
    </cfRule>
    <cfRule type="containsText" dxfId="2" priority="372" operator="between" text="库存为">
      <formula>NOT(ISERROR(SEARCH("库存为",AU338)))</formula>
    </cfRule>
  </conditionalFormatting>
  <conditionalFormatting sqref="AU339">
    <cfRule type="cellIs" dxfId="0" priority="1779" operator="lessThan">
      <formula>20</formula>
    </cfRule>
    <cfRule type="cellIs" dxfId="1" priority="1075" operator="greaterThan">
      <formula>120</formula>
    </cfRule>
    <cfRule type="containsText" dxfId="2" priority="371" operator="between" text="库存为">
      <formula>NOT(ISERROR(SEARCH("库存为",AU339)))</formula>
    </cfRule>
  </conditionalFormatting>
  <conditionalFormatting sqref="AU340">
    <cfRule type="cellIs" dxfId="0" priority="1778" operator="lessThan">
      <formula>20</formula>
    </cfRule>
    <cfRule type="cellIs" dxfId="1" priority="1074" operator="greaterThan">
      <formula>120</formula>
    </cfRule>
    <cfRule type="containsText" dxfId="2" priority="370" operator="between" text="库存为">
      <formula>NOT(ISERROR(SEARCH("库存为",AU340)))</formula>
    </cfRule>
  </conditionalFormatting>
  <conditionalFormatting sqref="AU341">
    <cfRule type="cellIs" dxfId="0" priority="1777" operator="lessThan">
      <formula>20</formula>
    </cfRule>
    <cfRule type="cellIs" dxfId="1" priority="1073" operator="greaterThan">
      <formula>120</formula>
    </cfRule>
    <cfRule type="containsText" dxfId="2" priority="369" operator="between" text="库存为">
      <formula>NOT(ISERROR(SEARCH("库存为",AU341)))</formula>
    </cfRule>
  </conditionalFormatting>
  <conditionalFormatting sqref="AU342">
    <cfRule type="cellIs" dxfId="0" priority="1776" operator="lessThan">
      <formula>20</formula>
    </cfRule>
    <cfRule type="cellIs" dxfId="1" priority="1072" operator="greaterThan">
      <formula>120</formula>
    </cfRule>
    <cfRule type="containsText" dxfId="2" priority="368" operator="between" text="库存为">
      <formula>NOT(ISERROR(SEARCH("库存为",AU342)))</formula>
    </cfRule>
  </conditionalFormatting>
  <conditionalFormatting sqref="AU343">
    <cfRule type="cellIs" dxfId="0" priority="1775" operator="lessThan">
      <formula>20</formula>
    </cfRule>
    <cfRule type="cellIs" dxfId="1" priority="1071" operator="greaterThan">
      <formula>120</formula>
    </cfRule>
    <cfRule type="containsText" dxfId="2" priority="367" operator="between" text="库存为">
      <formula>NOT(ISERROR(SEARCH("库存为",AU343)))</formula>
    </cfRule>
  </conditionalFormatting>
  <conditionalFormatting sqref="AU344">
    <cfRule type="cellIs" dxfId="0" priority="1774" operator="lessThan">
      <formula>20</formula>
    </cfRule>
    <cfRule type="cellIs" dxfId="1" priority="1070" operator="greaterThan">
      <formula>120</formula>
    </cfRule>
    <cfRule type="containsText" dxfId="2" priority="366" operator="between" text="库存为">
      <formula>NOT(ISERROR(SEARCH("库存为",AU344)))</formula>
    </cfRule>
  </conditionalFormatting>
  <conditionalFormatting sqref="AU345">
    <cfRule type="cellIs" dxfId="0" priority="1773" operator="lessThan">
      <formula>20</formula>
    </cfRule>
    <cfRule type="cellIs" dxfId="1" priority="1069" operator="greaterThan">
      <formula>120</formula>
    </cfRule>
    <cfRule type="containsText" dxfId="2" priority="365" operator="between" text="库存为">
      <formula>NOT(ISERROR(SEARCH("库存为",AU345)))</formula>
    </cfRule>
  </conditionalFormatting>
  <conditionalFormatting sqref="AU346">
    <cfRule type="cellIs" dxfId="0" priority="1772" operator="lessThan">
      <formula>20</formula>
    </cfRule>
    <cfRule type="cellIs" dxfId="1" priority="1068" operator="greaterThan">
      <formula>120</formula>
    </cfRule>
    <cfRule type="containsText" dxfId="2" priority="364" operator="between" text="库存为">
      <formula>NOT(ISERROR(SEARCH("库存为",AU346)))</formula>
    </cfRule>
  </conditionalFormatting>
  <conditionalFormatting sqref="AU347">
    <cfRule type="cellIs" dxfId="0" priority="1771" operator="lessThan">
      <formula>20</formula>
    </cfRule>
    <cfRule type="cellIs" dxfId="1" priority="1067" operator="greaterThan">
      <formula>120</formula>
    </cfRule>
    <cfRule type="containsText" dxfId="2" priority="363" operator="between" text="库存为">
      <formula>NOT(ISERROR(SEARCH("库存为",AU347)))</formula>
    </cfRule>
  </conditionalFormatting>
  <conditionalFormatting sqref="AU348">
    <cfRule type="cellIs" dxfId="0" priority="1770" operator="lessThan">
      <formula>20</formula>
    </cfRule>
    <cfRule type="cellIs" dxfId="1" priority="1066" operator="greaterThan">
      <formula>120</formula>
    </cfRule>
    <cfRule type="containsText" dxfId="2" priority="362" operator="between" text="库存为">
      <formula>NOT(ISERROR(SEARCH("库存为",AU348)))</formula>
    </cfRule>
  </conditionalFormatting>
  <conditionalFormatting sqref="AU349">
    <cfRule type="cellIs" dxfId="0" priority="1769" operator="lessThan">
      <formula>20</formula>
    </cfRule>
    <cfRule type="cellIs" dxfId="1" priority="1065" operator="greaterThan">
      <formula>120</formula>
    </cfRule>
    <cfRule type="containsText" dxfId="2" priority="361" operator="between" text="库存为">
      <formula>NOT(ISERROR(SEARCH("库存为",AU349)))</formula>
    </cfRule>
  </conditionalFormatting>
  <conditionalFormatting sqref="AU350">
    <cfRule type="cellIs" dxfId="0" priority="1768" operator="lessThan">
      <formula>20</formula>
    </cfRule>
    <cfRule type="cellIs" dxfId="1" priority="1064" operator="greaterThan">
      <formula>120</formula>
    </cfRule>
    <cfRule type="containsText" dxfId="2" priority="360" operator="between" text="库存为">
      <formula>NOT(ISERROR(SEARCH("库存为",AU350)))</formula>
    </cfRule>
  </conditionalFormatting>
  <conditionalFormatting sqref="AU351">
    <cfRule type="cellIs" dxfId="0" priority="1767" operator="lessThan">
      <formula>20</formula>
    </cfRule>
    <cfRule type="cellIs" dxfId="1" priority="1063" operator="greaterThan">
      <formula>120</formula>
    </cfRule>
    <cfRule type="containsText" dxfId="2" priority="359" operator="between" text="库存为">
      <formula>NOT(ISERROR(SEARCH("库存为",AU351)))</formula>
    </cfRule>
  </conditionalFormatting>
  <conditionalFormatting sqref="AU352">
    <cfRule type="cellIs" dxfId="0" priority="1766" operator="lessThan">
      <formula>20</formula>
    </cfRule>
    <cfRule type="cellIs" dxfId="1" priority="1062" operator="greaterThan">
      <formula>120</formula>
    </cfRule>
    <cfRule type="containsText" dxfId="2" priority="358" operator="between" text="库存为">
      <formula>NOT(ISERROR(SEARCH("库存为",AU352)))</formula>
    </cfRule>
  </conditionalFormatting>
  <conditionalFormatting sqref="AU353">
    <cfRule type="cellIs" dxfId="0" priority="1765" operator="lessThan">
      <formula>20</formula>
    </cfRule>
    <cfRule type="cellIs" dxfId="1" priority="1061" operator="greaterThan">
      <formula>120</formula>
    </cfRule>
    <cfRule type="containsText" dxfId="2" priority="357" operator="between" text="库存为">
      <formula>NOT(ISERROR(SEARCH("库存为",AU353)))</formula>
    </cfRule>
  </conditionalFormatting>
  <conditionalFormatting sqref="AU354">
    <cfRule type="cellIs" dxfId="0" priority="1764" operator="lessThan">
      <formula>20</formula>
    </cfRule>
    <cfRule type="cellIs" dxfId="1" priority="1060" operator="greaterThan">
      <formula>120</formula>
    </cfRule>
    <cfRule type="containsText" dxfId="2" priority="356" operator="between" text="库存为">
      <formula>NOT(ISERROR(SEARCH("库存为",AU354)))</formula>
    </cfRule>
  </conditionalFormatting>
  <conditionalFormatting sqref="AU355">
    <cfRule type="cellIs" dxfId="0" priority="1763" operator="lessThan">
      <formula>20</formula>
    </cfRule>
    <cfRule type="cellIs" dxfId="1" priority="1059" operator="greaterThan">
      <formula>120</formula>
    </cfRule>
    <cfRule type="containsText" dxfId="2" priority="355" operator="between" text="库存为">
      <formula>NOT(ISERROR(SEARCH("库存为",AU355)))</formula>
    </cfRule>
  </conditionalFormatting>
  <conditionalFormatting sqref="AU356">
    <cfRule type="cellIs" dxfId="0" priority="1762" operator="lessThan">
      <formula>20</formula>
    </cfRule>
    <cfRule type="cellIs" dxfId="1" priority="1058" operator="greaterThan">
      <formula>120</formula>
    </cfRule>
    <cfRule type="containsText" dxfId="2" priority="354" operator="between" text="库存为">
      <formula>NOT(ISERROR(SEARCH("库存为",AU356)))</formula>
    </cfRule>
  </conditionalFormatting>
  <conditionalFormatting sqref="AU357">
    <cfRule type="cellIs" dxfId="0" priority="1761" operator="lessThan">
      <formula>20</formula>
    </cfRule>
    <cfRule type="cellIs" dxfId="1" priority="1057" operator="greaterThan">
      <formula>120</formula>
    </cfRule>
    <cfRule type="containsText" dxfId="2" priority="353" operator="between" text="库存为">
      <formula>NOT(ISERROR(SEARCH("库存为",AU357)))</formula>
    </cfRule>
  </conditionalFormatting>
  <conditionalFormatting sqref="AU358">
    <cfRule type="cellIs" dxfId="0" priority="1760" operator="lessThan">
      <formula>20</formula>
    </cfRule>
    <cfRule type="cellIs" dxfId="1" priority="1056" operator="greaterThan">
      <formula>120</formula>
    </cfRule>
    <cfRule type="containsText" dxfId="2" priority="352" operator="between" text="库存为">
      <formula>NOT(ISERROR(SEARCH("库存为",AU358)))</formula>
    </cfRule>
  </conditionalFormatting>
  <conditionalFormatting sqref="AU359">
    <cfRule type="cellIs" dxfId="0" priority="1759" operator="lessThan">
      <formula>20</formula>
    </cfRule>
    <cfRule type="cellIs" dxfId="1" priority="1055" operator="greaterThan">
      <formula>120</formula>
    </cfRule>
    <cfRule type="containsText" dxfId="2" priority="351" operator="between" text="库存为">
      <formula>NOT(ISERROR(SEARCH("库存为",AU359)))</formula>
    </cfRule>
  </conditionalFormatting>
  <conditionalFormatting sqref="AU360">
    <cfRule type="cellIs" dxfId="0" priority="1758" operator="lessThan">
      <formula>20</formula>
    </cfRule>
    <cfRule type="cellIs" dxfId="1" priority="1054" operator="greaterThan">
      <formula>120</formula>
    </cfRule>
    <cfRule type="containsText" dxfId="2" priority="350" operator="between" text="库存为">
      <formula>NOT(ISERROR(SEARCH("库存为",AU360)))</formula>
    </cfRule>
  </conditionalFormatting>
  <conditionalFormatting sqref="AU361">
    <cfRule type="cellIs" dxfId="0" priority="1757" operator="lessThan">
      <formula>20</formula>
    </cfRule>
    <cfRule type="cellIs" dxfId="1" priority="1053" operator="greaterThan">
      <formula>120</formula>
    </cfRule>
    <cfRule type="containsText" dxfId="2" priority="349" operator="between" text="库存为">
      <formula>NOT(ISERROR(SEARCH("库存为",AU361)))</formula>
    </cfRule>
  </conditionalFormatting>
  <conditionalFormatting sqref="AU362">
    <cfRule type="cellIs" dxfId="0" priority="1756" operator="lessThan">
      <formula>20</formula>
    </cfRule>
    <cfRule type="cellIs" dxfId="1" priority="1052" operator="greaterThan">
      <formula>120</formula>
    </cfRule>
    <cfRule type="containsText" dxfId="2" priority="348" operator="between" text="库存为">
      <formula>NOT(ISERROR(SEARCH("库存为",AU362)))</formula>
    </cfRule>
  </conditionalFormatting>
  <conditionalFormatting sqref="AU363">
    <cfRule type="cellIs" dxfId="0" priority="1755" operator="lessThan">
      <formula>20</formula>
    </cfRule>
    <cfRule type="cellIs" dxfId="1" priority="1051" operator="greaterThan">
      <formula>120</formula>
    </cfRule>
    <cfRule type="containsText" dxfId="2" priority="347" operator="between" text="库存为">
      <formula>NOT(ISERROR(SEARCH("库存为",AU363)))</formula>
    </cfRule>
  </conditionalFormatting>
  <conditionalFormatting sqref="AU364">
    <cfRule type="cellIs" dxfId="0" priority="1754" operator="lessThan">
      <formula>20</formula>
    </cfRule>
    <cfRule type="cellIs" dxfId="1" priority="1050" operator="greaterThan">
      <formula>120</formula>
    </cfRule>
    <cfRule type="containsText" dxfId="2" priority="346" operator="between" text="库存为">
      <formula>NOT(ISERROR(SEARCH("库存为",AU364)))</formula>
    </cfRule>
  </conditionalFormatting>
  <conditionalFormatting sqref="AU365">
    <cfRule type="cellIs" dxfId="0" priority="1753" operator="lessThan">
      <formula>20</formula>
    </cfRule>
    <cfRule type="cellIs" dxfId="1" priority="1049" operator="greaterThan">
      <formula>120</formula>
    </cfRule>
    <cfRule type="containsText" dxfId="2" priority="345" operator="between" text="库存为">
      <formula>NOT(ISERROR(SEARCH("库存为",AU365)))</formula>
    </cfRule>
  </conditionalFormatting>
  <conditionalFormatting sqref="AU366">
    <cfRule type="cellIs" dxfId="0" priority="1752" operator="lessThan">
      <formula>20</formula>
    </cfRule>
    <cfRule type="cellIs" dxfId="1" priority="1048" operator="greaterThan">
      <formula>120</formula>
    </cfRule>
    <cfRule type="containsText" dxfId="2" priority="344" operator="between" text="库存为">
      <formula>NOT(ISERROR(SEARCH("库存为",AU366)))</formula>
    </cfRule>
  </conditionalFormatting>
  <conditionalFormatting sqref="AU367">
    <cfRule type="cellIs" dxfId="0" priority="1751" operator="lessThan">
      <formula>20</formula>
    </cfRule>
    <cfRule type="cellIs" dxfId="1" priority="1047" operator="greaterThan">
      <formula>120</formula>
    </cfRule>
    <cfRule type="containsText" dxfId="2" priority="343" operator="between" text="库存为">
      <formula>NOT(ISERROR(SEARCH("库存为",AU367)))</formula>
    </cfRule>
  </conditionalFormatting>
  <conditionalFormatting sqref="AU368">
    <cfRule type="cellIs" dxfId="0" priority="1750" operator="lessThan">
      <formula>20</formula>
    </cfRule>
    <cfRule type="cellIs" dxfId="1" priority="1046" operator="greaterThan">
      <formula>120</formula>
    </cfRule>
    <cfRule type="containsText" dxfId="2" priority="342" operator="between" text="库存为">
      <formula>NOT(ISERROR(SEARCH("库存为",AU368)))</formula>
    </cfRule>
  </conditionalFormatting>
  <conditionalFormatting sqref="AU369">
    <cfRule type="cellIs" dxfId="0" priority="1749" operator="lessThan">
      <formula>20</formula>
    </cfRule>
    <cfRule type="cellIs" dxfId="1" priority="1045" operator="greaterThan">
      <formula>120</formula>
    </cfRule>
    <cfRule type="containsText" dxfId="2" priority="341" operator="between" text="库存为">
      <formula>NOT(ISERROR(SEARCH("库存为",AU369)))</formula>
    </cfRule>
  </conditionalFormatting>
  <conditionalFormatting sqref="AU370">
    <cfRule type="cellIs" dxfId="0" priority="1748" operator="lessThan">
      <formula>20</formula>
    </cfRule>
    <cfRule type="cellIs" dxfId="1" priority="1044" operator="greaterThan">
      <formula>120</formula>
    </cfRule>
    <cfRule type="containsText" dxfId="2" priority="340" operator="between" text="库存为">
      <formula>NOT(ISERROR(SEARCH("库存为",AU370)))</formula>
    </cfRule>
  </conditionalFormatting>
  <conditionalFormatting sqref="AU371">
    <cfRule type="cellIs" dxfId="0" priority="1747" operator="lessThan">
      <formula>20</formula>
    </cfRule>
    <cfRule type="cellIs" dxfId="1" priority="1043" operator="greaterThan">
      <formula>120</formula>
    </cfRule>
    <cfRule type="containsText" dxfId="2" priority="339" operator="between" text="库存为">
      <formula>NOT(ISERROR(SEARCH("库存为",AU371)))</formula>
    </cfRule>
  </conditionalFormatting>
  <conditionalFormatting sqref="AU372">
    <cfRule type="cellIs" dxfId="0" priority="1746" operator="lessThan">
      <formula>20</formula>
    </cfRule>
    <cfRule type="cellIs" dxfId="1" priority="1042" operator="greaterThan">
      <formula>120</formula>
    </cfRule>
    <cfRule type="containsText" dxfId="2" priority="338" operator="between" text="库存为">
      <formula>NOT(ISERROR(SEARCH("库存为",AU372)))</formula>
    </cfRule>
  </conditionalFormatting>
  <conditionalFormatting sqref="AU373">
    <cfRule type="cellIs" dxfId="0" priority="1745" operator="lessThan">
      <formula>20</formula>
    </cfRule>
    <cfRule type="cellIs" dxfId="1" priority="1041" operator="greaterThan">
      <formula>120</formula>
    </cfRule>
    <cfRule type="containsText" dxfId="2" priority="337" operator="between" text="库存为">
      <formula>NOT(ISERROR(SEARCH("库存为",AU373)))</formula>
    </cfRule>
  </conditionalFormatting>
  <conditionalFormatting sqref="AU374">
    <cfRule type="cellIs" dxfId="0" priority="1744" operator="lessThan">
      <formula>20</formula>
    </cfRule>
    <cfRule type="cellIs" dxfId="1" priority="1040" operator="greaterThan">
      <formula>120</formula>
    </cfRule>
    <cfRule type="containsText" dxfId="2" priority="336" operator="between" text="库存为">
      <formula>NOT(ISERROR(SEARCH("库存为",AU374)))</formula>
    </cfRule>
  </conditionalFormatting>
  <conditionalFormatting sqref="AU375">
    <cfRule type="cellIs" dxfId="0" priority="1743" operator="lessThan">
      <formula>20</formula>
    </cfRule>
    <cfRule type="cellIs" dxfId="1" priority="1039" operator="greaterThan">
      <formula>120</formula>
    </cfRule>
    <cfRule type="containsText" dxfId="2" priority="335" operator="between" text="库存为">
      <formula>NOT(ISERROR(SEARCH("库存为",AU375)))</formula>
    </cfRule>
  </conditionalFormatting>
  <conditionalFormatting sqref="AU376">
    <cfRule type="cellIs" dxfId="0" priority="1742" operator="lessThan">
      <formula>20</formula>
    </cfRule>
    <cfRule type="cellIs" dxfId="1" priority="1038" operator="greaterThan">
      <formula>120</formula>
    </cfRule>
    <cfRule type="containsText" dxfId="2" priority="334" operator="between" text="库存为">
      <formula>NOT(ISERROR(SEARCH("库存为",AU376)))</formula>
    </cfRule>
  </conditionalFormatting>
  <conditionalFormatting sqref="AU377">
    <cfRule type="cellIs" dxfId="0" priority="1741" operator="lessThan">
      <formula>20</formula>
    </cfRule>
    <cfRule type="cellIs" dxfId="1" priority="1037" operator="greaterThan">
      <formula>120</formula>
    </cfRule>
    <cfRule type="containsText" dxfId="2" priority="333" operator="between" text="库存为">
      <formula>NOT(ISERROR(SEARCH("库存为",AU377)))</formula>
    </cfRule>
  </conditionalFormatting>
  <conditionalFormatting sqref="AU378">
    <cfRule type="cellIs" dxfId="0" priority="1740" operator="lessThan">
      <formula>20</formula>
    </cfRule>
    <cfRule type="cellIs" dxfId="1" priority="1036" operator="greaterThan">
      <formula>120</formula>
    </cfRule>
    <cfRule type="containsText" dxfId="2" priority="332" operator="between" text="库存为">
      <formula>NOT(ISERROR(SEARCH("库存为",AU378)))</formula>
    </cfRule>
  </conditionalFormatting>
  <conditionalFormatting sqref="AU379">
    <cfRule type="cellIs" dxfId="0" priority="1739" operator="lessThan">
      <formula>20</formula>
    </cfRule>
    <cfRule type="cellIs" dxfId="1" priority="1035" operator="greaterThan">
      <formula>120</formula>
    </cfRule>
    <cfRule type="containsText" dxfId="2" priority="331" operator="between" text="库存为">
      <formula>NOT(ISERROR(SEARCH("库存为",AU379)))</formula>
    </cfRule>
  </conditionalFormatting>
  <conditionalFormatting sqref="AU380">
    <cfRule type="cellIs" dxfId="0" priority="1738" operator="lessThan">
      <formula>20</formula>
    </cfRule>
    <cfRule type="cellIs" dxfId="1" priority="1034" operator="greaterThan">
      <formula>120</formula>
    </cfRule>
    <cfRule type="containsText" dxfId="2" priority="330" operator="between" text="库存为">
      <formula>NOT(ISERROR(SEARCH("库存为",AU380)))</formula>
    </cfRule>
  </conditionalFormatting>
  <conditionalFormatting sqref="AU381">
    <cfRule type="cellIs" dxfId="0" priority="1737" operator="lessThan">
      <formula>20</formula>
    </cfRule>
    <cfRule type="cellIs" dxfId="1" priority="1033" operator="greaterThan">
      <formula>120</formula>
    </cfRule>
    <cfRule type="containsText" dxfId="2" priority="329" operator="between" text="库存为">
      <formula>NOT(ISERROR(SEARCH("库存为",AU381)))</formula>
    </cfRule>
  </conditionalFormatting>
  <conditionalFormatting sqref="AU382">
    <cfRule type="cellIs" dxfId="0" priority="1736" operator="lessThan">
      <formula>20</formula>
    </cfRule>
    <cfRule type="cellIs" dxfId="1" priority="1032" operator="greaterThan">
      <formula>120</formula>
    </cfRule>
    <cfRule type="containsText" dxfId="2" priority="328" operator="between" text="库存为">
      <formula>NOT(ISERROR(SEARCH("库存为",AU382)))</formula>
    </cfRule>
  </conditionalFormatting>
  <conditionalFormatting sqref="AU383">
    <cfRule type="cellIs" dxfId="0" priority="1735" operator="lessThan">
      <formula>20</formula>
    </cfRule>
    <cfRule type="cellIs" dxfId="1" priority="1031" operator="greaterThan">
      <formula>120</formula>
    </cfRule>
    <cfRule type="containsText" dxfId="2" priority="327" operator="between" text="库存为">
      <formula>NOT(ISERROR(SEARCH("库存为",AU383)))</formula>
    </cfRule>
  </conditionalFormatting>
  <conditionalFormatting sqref="AU384">
    <cfRule type="cellIs" dxfId="0" priority="1734" operator="lessThan">
      <formula>20</formula>
    </cfRule>
    <cfRule type="cellIs" dxfId="1" priority="1030" operator="greaterThan">
      <formula>120</formula>
    </cfRule>
    <cfRule type="containsText" dxfId="2" priority="326" operator="between" text="库存为">
      <formula>NOT(ISERROR(SEARCH("库存为",AU384)))</formula>
    </cfRule>
  </conditionalFormatting>
  <conditionalFormatting sqref="AU385">
    <cfRule type="cellIs" dxfId="0" priority="1733" operator="lessThan">
      <formula>20</formula>
    </cfRule>
    <cfRule type="cellIs" dxfId="1" priority="1029" operator="greaterThan">
      <formula>120</formula>
    </cfRule>
    <cfRule type="containsText" dxfId="2" priority="325" operator="between" text="库存为">
      <formula>NOT(ISERROR(SEARCH("库存为",AU385)))</formula>
    </cfRule>
  </conditionalFormatting>
  <conditionalFormatting sqref="AU386">
    <cfRule type="cellIs" dxfId="0" priority="1732" operator="lessThan">
      <formula>20</formula>
    </cfRule>
    <cfRule type="cellIs" dxfId="1" priority="1028" operator="greaterThan">
      <formula>120</formula>
    </cfRule>
    <cfRule type="containsText" dxfId="2" priority="324" operator="between" text="库存为">
      <formula>NOT(ISERROR(SEARCH("库存为",AU386)))</formula>
    </cfRule>
  </conditionalFormatting>
  <conditionalFormatting sqref="AU387">
    <cfRule type="cellIs" dxfId="0" priority="1731" operator="lessThan">
      <formula>20</formula>
    </cfRule>
    <cfRule type="cellIs" dxfId="1" priority="1027" operator="greaterThan">
      <formula>120</formula>
    </cfRule>
    <cfRule type="containsText" dxfId="2" priority="323" operator="between" text="库存为">
      <formula>NOT(ISERROR(SEARCH("库存为",AU387)))</formula>
    </cfRule>
  </conditionalFormatting>
  <conditionalFormatting sqref="AU388">
    <cfRule type="cellIs" dxfId="0" priority="1730" operator="lessThan">
      <formula>20</formula>
    </cfRule>
    <cfRule type="cellIs" dxfId="1" priority="1026" operator="greaterThan">
      <formula>120</formula>
    </cfRule>
    <cfRule type="containsText" dxfId="2" priority="322" operator="between" text="库存为">
      <formula>NOT(ISERROR(SEARCH("库存为",AU388)))</formula>
    </cfRule>
  </conditionalFormatting>
  <conditionalFormatting sqref="AU389">
    <cfRule type="cellIs" dxfId="0" priority="1729" operator="lessThan">
      <formula>20</formula>
    </cfRule>
    <cfRule type="cellIs" dxfId="1" priority="1025" operator="greaterThan">
      <formula>120</formula>
    </cfRule>
    <cfRule type="containsText" dxfId="2" priority="321" operator="between" text="库存为">
      <formula>NOT(ISERROR(SEARCH("库存为",AU389)))</formula>
    </cfRule>
  </conditionalFormatting>
  <conditionalFormatting sqref="AU390">
    <cfRule type="cellIs" dxfId="0" priority="1728" operator="lessThan">
      <formula>20</formula>
    </cfRule>
    <cfRule type="cellIs" dxfId="1" priority="1024" operator="greaterThan">
      <formula>120</formula>
    </cfRule>
    <cfRule type="containsText" dxfId="2" priority="320" operator="between" text="库存为">
      <formula>NOT(ISERROR(SEARCH("库存为",AU390)))</formula>
    </cfRule>
  </conditionalFormatting>
  <conditionalFormatting sqref="AU391">
    <cfRule type="cellIs" dxfId="0" priority="1727" operator="lessThan">
      <formula>20</formula>
    </cfRule>
    <cfRule type="cellIs" dxfId="1" priority="1023" operator="greaterThan">
      <formula>120</formula>
    </cfRule>
    <cfRule type="containsText" dxfId="2" priority="319" operator="between" text="库存为">
      <formula>NOT(ISERROR(SEARCH("库存为",AU391)))</formula>
    </cfRule>
  </conditionalFormatting>
  <conditionalFormatting sqref="AU392">
    <cfRule type="cellIs" dxfId="0" priority="1726" operator="lessThan">
      <formula>20</formula>
    </cfRule>
    <cfRule type="cellIs" dxfId="1" priority="1022" operator="greaterThan">
      <formula>120</formula>
    </cfRule>
    <cfRule type="containsText" dxfId="2" priority="318" operator="between" text="库存为">
      <formula>NOT(ISERROR(SEARCH("库存为",AU392)))</formula>
    </cfRule>
  </conditionalFormatting>
  <conditionalFormatting sqref="AU393">
    <cfRule type="cellIs" dxfId="0" priority="1725" operator="lessThan">
      <formula>20</formula>
    </cfRule>
    <cfRule type="cellIs" dxfId="1" priority="1021" operator="greaterThan">
      <formula>120</formula>
    </cfRule>
    <cfRule type="containsText" dxfId="2" priority="317" operator="between" text="库存为">
      <formula>NOT(ISERROR(SEARCH("库存为",AU393)))</formula>
    </cfRule>
  </conditionalFormatting>
  <conditionalFormatting sqref="AU394">
    <cfRule type="cellIs" dxfId="0" priority="1724" operator="lessThan">
      <formula>20</formula>
    </cfRule>
    <cfRule type="cellIs" dxfId="1" priority="1020" operator="greaterThan">
      <formula>120</formula>
    </cfRule>
    <cfRule type="containsText" dxfId="2" priority="316" operator="between" text="库存为">
      <formula>NOT(ISERROR(SEARCH("库存为",AU394)))</formula>
    </cfRule>
  </conditionalFormatting>
  <conditionalFormatting sqref="AU395">
    <cfRule type="cellIs" dxfId="0" priority="1723" operator="lessThan">
      <formula>20</formula>
    </cfRule>
    <cfRule type="cellIs" dxfId="1" priority="1019" operator="greaterThan">
      <formula>120</formula>
    </cfRule>
    <cfRule type="containsText" dxfId="2" priority="315" operator="between" text="库存为">
      <formula>NOT(ISERROR(SEARCH("库存为",AU395)))</formula>
    </cfRule>
  </conditionalFormatting>
  <conditionalFormatting sqref="AU396">
    <cfRule type="cellIs" dxfId="0" priority="1722" operator="lessThan">
      <formula>20</formula>
    </cfRule>
    <cfRule type="cellIs" dxfId="1" priority="1018" operator="greaterThan">
      <formula>120</formula>
    </cfRule>
    <cfRule type="containsText" dxfId="2" priority="314" operator="between" text="库存为">
      <formula>NOT(ISERROR(SEARCH("库存为",AU396)))</formula>
    </cfRule>
  </conditionalFormatting>
  <conditionalFormatting sqref="AU397">
    <cfRule type="cellIs" dxfId="0" priority="1721" operator="lessThan">
      <formula>20</formula>
    </cfRule>
    <cfRule type="cellIs" dxfId="1" priority="1017" operator="greaterThan">
      <formula>120</formula>
    </cfRule>
    <cfRule type="containsText" dxfId="2" priority="313" operator="between" text="库存为">
      <formula>NOT(ISERROR(SEARCH("库存为",AU397)))</formula>
    </cfRule>
  </conditionalFormatting>
  <conditionalFormatting sqref="AU398">
    <cfRule type="cellIs" dxfId="0" priority="1720" operator="lessThan">
      <formula>20</formula>
    </cfRule>
    <cfRule type="cellIs" dxfId="1" priority="1016" operator="greaterThan">
      <formula>120</formula>
    </cfRule>
    <cfRule type="containsText" dxfId="2" priority="312" operator="between" text="库存为">
      <formula>NOT(ISERROR(SEARCH("库存为",AU398)))</formula>
    </cfRule>
  </conditionalFormatting>
  <conditionalFormatting sqref="AU399">
    <cfRule type="cellIs" dxfId="0" priority="1719" operator="lessThan">
      <formula>20</formula>
    </cfRule>
    <cfRule type="cellIs" dxfId="1" priority="1015" operator="greaterThan">
      <formula>120</formula>
    </cfRule>
    <cfRule type="containsText" dxfId="2" priority="311" operator="between" text="库存为">
      <formula>NOT(ISERROR(SEARCH("库存为",AU399)))</formula>
    </cfRule>
  </conditionalFormatting>
  <conditionalFormatting sqref="AU400">
    <cfRule type="cellIs" dxfId="0" priority="1718" operator="lessThan">
      <formula>20</formula>
    </cfRule>
    <cfRule type="cellIs" dxfId="1" priority="1014" operator="greaterThan">
      <formula>120</formula>
    </cfRule>
    <cfRule type="containsText" dxfId="2" priority="310" operator="between" text="库存为">
      <formula>NOT(ISERROR(SEARCH("库存为",AU400)))</formula>
    </cfRule>
  </conditionalFormatting>
  <conditionalFormatting sqref="AU401">
    <cfRule type="cellIs" dxfId="0" priority="1717" operator="lessThan">
      <formula>20</formula>
    </cfRule>
    <cfRule type="cellIs" dxfId="1" priority="1013" operator="greaterThan">
      <formula>120</formula>
    </cfRule>
    <cfRule type="containsText" dxfId="2" priority="309" operator="between" text="库存为">
      <formula>NOT(ISERROR(SEARCH("库存为",AU401)))</formula>
    </cfRule>
  </conditionalFormatting>
  <conditionalFormatting sqref="AU402">
    <cfRule type="cellIs" dxfId="0" priority="1716" operator="lessThan">
      <formula>20</formula>
    </cfRule>
    <cfRule type="cellIs" dxfId="1" priority="1012" operator="greaterThan">
      <formula>120</formula>
    </cfRule>
    <cfRule type="containsText" dxfId="2" priority="308" operator="between" text="库存为">
      <formula>NOT(ISERROR(SEARCH("库存为",AU402)))</formula>
    </cfRule>
  </conditionalFormatting>
  <conditionalFormatting sqref="AU403">
    <cfRule type="cellIs" dxfId="0" priority="1715" operator="lessThan">
      <formula>20</formula>
    </cfRule>
    <cfRule type="cellIs" dxfId="1" priority="1011" operator="greaterThan">
      <formula>120</formula>
    </cfRule>
    <cfRule type="containsText" dxfId="2" priority="307" operator="between" text="库存为">
      <formula>NOT(ISERROR(SEARCH("库存为",AU403)))</formula>
    </cfRule>
  </conditionalFormatting>
  <conditionalFormatting sqref="AU404">
    <cfRule type="cellIs" dxfId="0" priority="1714" operator="lessThan">
      <formula>20</formula>
    </cfRule>
    <cfRule type="cellIs" dxfId="1" priority="1010" operator="greaterThan">
      <formula>120</formula>
    </cfRule>
    <cfRule type="containsText" dxfId="2" priority="306" operator="between" text="库存为">
      <formula>NOT(ISERROR(SEARCH("库存为",AU404)))</formula>
    </cfRule>
  </conditionalFormatting>
  <conditionalFormatting sqref="AU405">
    <cfRule type="cellIs" dxfId="0" priority="1713" operator="lessThan">
      <formula>20</formula>
    </cfRule>
    <cfRule type="cellIs" dxfId="1" priority="1009" operator="greaterThan">
      <formula>120</formula>
    </cfRule>
    <cfRule type="containsText" dxfId="2" priority="305" operator="between" text="库存为">
      <formula>NOT(ISERROR(SEARCH("库存为",AU405)))</formula>
    </cfRule>
  </conditionalFormatting>
  <conditionalFormatting sqref="AU406">
    <cfRule type="cellIs" dxfId="0" priority="1712" operator="lessThan">
      <formula>20</formula>
    </cfRule>
    <cfRule type="cellIs" dxfId="1" priority="1008" operator="greaterThan">
      <formula>120</formula>
    </cfRule>
    <cfRule type="containsText" dxfId="2" priority="304" operator="between" text="库存为">
      <formula>NOT(ISERROR(SEARCH("库存为",AU406)))</formula>
    </cfRule>
  </conditionalFormatting>
  <conditionalFormatting sqref="AU407">
    <cfRule type="cellIs" dxfId="0" priority="1711" operator="lessThan">
      <formula>20</formula>
    </cfRule>
    <cfRule type="cellIs" dxfId="1" priority="1007" operator="greaterThan">
      <formula>120</formula>
    </cfRule>
    <cfRule type="containsText" dxfId="2" priority="303" operator="between" text="库存为">
      <formula>NOT(ISERROR(SEARCH("库存为",AU407)))</formula>
    </cfRule>
  </conditionalFormatting>
  <conditionalFormatting sqref="AU408">
    <cfRule type="cellIs" dxfId="0" priority="1710" operator="lessThan">
      <formula>20</formula>
    </cfRule>
    <cfRule type="cellIs" dxfId="1" priority="1006" operator="greaterThan">
      <formula>120</formula>
    </cfRule>
    <cfRule type="containsText" dxfId="2" priority="302" operator="between" text="库存为">
      <formula>NOT(ISERROR(SEARCH("库存为",AU408)))</formula>
    </cfRule>
  </conditionalFormatting>
  <conditionalFormatting sqref="AU409">
    <cfRule type="cellIs" dxfId="0" priority="1709" operator="lessThan">
      <formula>20</formula>
    </cfRule>
    <cfRule type="cellIs" dxfId="1" priority="1005" operator="greaterThan">
      <formula>120</formula>
    </cfRule>
    <cfRule type="containsText" dxfId="2" priority="301" operator="between" text="库存为">
      <formula>NOT(ISERROR(SEARCH("库存为",AU409)))</formula>
    </cfRule>
  </conditionalFormatting>
  <conditionalFormatting sqref="AU410">
    <cfRule type="cellIs" dxfId="0" priority="1708" operator="lessThan">
      <formula>20</formula>
    </cfRule>
    <cfRule type="cellIs" dxfId="1" priority="1004" operator="greaterThan">
      <formula>120</formula>
    </cfRule>
    <cfRule type="containsText" dxfId="2" priority="300" operator="between" text="库存为">
      <formula>NOT(ISERROR(SEARCH("库存为",AU410)))</formula>
    </cfRule>
  </conditionalFormatting>
  <conditionalFormatting sqref="AU411">
    <cfRule type="cellIs" dxfId="0" priority="1707" operator="lessThan">
      <formula>20</formula>
    </cfRule>
    <cfRule type="cellIs" dxfId="1" priority="1003" operator="greaterThan">
      <formula>120</formula>
    </cfRule>
    <cfRule type="containsText" dxfId="2" priority="299" operator="between" text="库存为">
      <formula>NOT(ISERROR(SEARCH("库存为",AU411)))</formula>
    </cfRule>
  </conditionalFormatting>
  <conditionalFormatting sqref="AU412">
    <cfRule type="cellIs" dxfId="0" priority="1706" operator="lessThan">
      <formula>20</formula>
    </cfRule>
    <cfRule type="cellIs" dxfId="1" priority="1002" operator="greaterThan">
      <formula>120</formula>
    </cfRule>
    <cfRule type="containsText" dxfId="2" priority="298" operator="between" text="库存为">
      <formula>NOT(ISERROR(SEARCH("库存为",AU412)))</formula>
    </cfRule>
  </conditionalFormatting>
  <conditionalFormatting sqref="AU413">
    <cfRule type="cellIs" dxfId="0" priority="1705" operator="lessThan">
      <formula>20</formula>
    </cfRule>
    <cfRule type="cellIs" dxfId="1" priority="1001" operator="greaterThan">
      <formula>120</formula>
    </cfRule>
    <cfRule type="containsText" dxfId="2" priority="297" operator="between" text="库存为">
      <formula>NOT(ISERROR(SEARCH("库存为",AU413)))</formula>
    </cfRule>
  </conditionalFormatting>
  <conditionalFormatting sqref="AU414">
    <cfRule type="cellIs" dxfId="0" priority="1704" operator="lessThan">
      <formula>20</formula>
    </cfRule>
    <cfRule type="cellIs" dxfId="1" priority="1000" operator="greaterThan">
      <formula>120</formula>
    </cfRule>
    <cfRule type="containsText" dxfId="2" priority="296" operator="between" text="库存为">
      <formula>NOT(ISERROR(SEARCH("库存为",AU414)))</formula>
    </cfRule>
  </conditionalFormatting>
  <conditionalFormatting sqref="AU415">
    <cfRule type="cellIs" dxfId="0" priority="1703" operator="lessThan">
      <formula>20</formula>
    </cfRule>
    <cfRule type="cellIs" dxfId="1" priority="999" operator="greaterThan">
      <formula>120</formula>
    </cfRule>
    <cfRule type="containsText" dxfId="2" priority="295" operator="between" text="库存为">
      <formula>NOT(ISERROR(SEARCH("库存为",AU415)))</formula>
    </cfRule>
  </conditionalFormatting>
  <conditionalFormatting sqref="AU416">
    <cfRule type="cellIs" dxfId="0" priority="1702" operator="lessThan">
      <formula>20</formula>
    </cfRule>
    <cfRule type="cellIs" dxfId="1" priority="998" operator="greaterThan">
      <formula>120</formula>
    </cfRule>
    <cfRule type="containsText" dxfId="2" priority="294" operator="between" text="库存为">
      <formula>NOT(ISERROR(SEARCH("库存为",AU416)))</formula>
    </cfRule>
  </conditionalFormatting>
  <conditionalFormatting sqref="AU417">
    <cfRule type="cellIs" dxfId="0" priority="1701" operator="lessThan">
      <formula>20</formula>
    </cfRule>
    <cfRule type="cellIs" dxfId="1" priority="997" operator="greaterThan">
      <formula>120</formula>
    </cfRule>
    <cfRule type="containsText" dxfId="2" priority="293" operator="between" text="库存为">
      <formula>NOT(ISERROR(SEARCH("库存为",AU417)))</formula>
    </cfRule>
  </conditionalFormatting>
  <conditionalFormatting sqref="AU418">
    <cfRule type="cellIs" dxfId="0" priority="1700" operator="lessThan">
      <formula>20</formula>
    </cfRule>
    <cfRule type="cellIs" dxfId="1" priority="996" operator="greaterThan">
      <formula>120</formula>
    </cfRule>
    <cfRule type="containsText" dxfId="2" priority="292" operator="between" text="库存为">
      <formula>NOT(ISERROR(SEARCH("库存为",AU418)))</formula>
    </cfRule>
  </conditionalFormatting>
  <conditionalFormatting sqref="AU419">
    <cfRule type="cellIs" dxfId="0" priority="1699" operator="lessThan">
      <formula>20</formula>
    </cfRule>
    <cfRule type="cellIs" dxfId="1" priority="995" operator="greaterThan">
      <formula>120</formula>
    </cfRule>
    <cfRule type="containsText" dxfId="2" priority="291" operator="between" text="库存为">
      <formula>NOT(ISERROR(SEARCH("库存为",AU419)))</formula>
    </cfRule>
  </conditionalFormatting>
  <conditionalFormatting sqref="AU420">
    <cfRule type="cellIs" dxfId="0" priority="1698" operator="lessThan">
      <formula>20</formula>
    </cfRule>
    <cfRule type="cellIs" dxfId="1" priority="994" operator="greaterThan">
      <formula>120</formula>
    </cfRule>
    <cfRule type="containsText" dxfId="2" priority="290" operator="between" text="库存为">
      <formula>NOT(ISERROR(SEARCH("库存为",AU420)))</formula>
    </cfRule>
  </conditionalFormatting>
  <conditionalFormatting sqref="AU421">
    <cfRule type="cellIs" dxfId="0" priority="1697" operator="lessThan">
      <formula>20</formula>
    </cfRule>
    <cfRule type="cellIs" dxfId="1" priority="993" operator="greaterThan">
      <formula>120</formula>
    </cfRule>
    <cfRule type="containsText" dxfId="2" priority="289" operator="between" text="库存为">
      <formula>NOT(ISERROR(SEARCH("库存为",AU421)))</formula>
    </cfRule>
  </conditionalFormatting>
  <conditionalFormatting sqref="AU422">
    <cfRule type="cellIs" dxfId="0" priority="1696" operator="lessThan">
      <formula>20</formula>
    </cfRule>
    <cfRule type="cellIs" dxfId="1" priority="992" operator="greaterThan">
      <formula>120</formula>
    </cfRule>
    <cfRule type="containsText" dxfId="2" priority="288" operator="between" text="库存为">
      <formula>NOT(ISERROR(SEARCH("库存为",AU422)))</formula>
    </cfRule>
  </conditionalFormatting>
  <conditionalFormatting sqref="AU423">
    <cfRule type="cellIs" dxfId="0" priority="1695" operator="lessThan">
      <formula>20</formula>
    </cfRule>
    <cfRule type="cellIs" dxfId="1" priority="991" operator="greaterThan">
      <formula>120</formula>
    </cfRule>
    <cfRule type="containsText" dxfId="2" priority="287" operator="between" text="库存为">
      <formula>NOT(ISERROR(SEARCH("库存为",AU423)))</formula>
    </cfRule>
  </conditionalFormatting>
  <conditionalFormatting sqref="AU424">
    <cfRule type="cellIs" dxfId="0" priority="1694" operator="lessThan">
      <formula>20</formula>
    </cfRule>
    <cfRule type="cellIs" dxfId="1" priority="990" operator="greaterThan">
      <formula>120</formula>
    </cfRule>
    <cfRule type="containsText" dxfId="2" priority="286" operator="between" text="库存为">
      <formula>NOT(ISERROR(SEARCH("库存为",AU424)))</formula>
    </cfRule>
  </conditionalFormatting>
  <conditionalFormatting sqref="AU425">
    <cfRule type="cellIs" dxfId="0" priority="1693" operator="lessThan">
      <formula>20</formula>
    </cfRule>
    <cfRule type="cellIs" dxfId="1" priority="989" operator="greaterThan">
      <formula>120</formula>
    </cfRule>
    <cfRule type="containsText" dxfId="2" priority="285" operator="between" text="库存为">
      <formula>NOT(ISERROR(SEARCH("库存为",AU425)))</formula>
    </cfRule>
  </conditionalFormatting>
  <conditionalFormatting sqref="AU426">
    <cfRule type="cellIs" dxfId="0" priority="1692" operator="lessThan">
      <formula>20</formula>
    </cfRule>
    <cfRule type="cellIs" dxfId="1" priority="988" operator="greaterThan">
      <formula>120</formula>
    </cfRule>
    <cfRule type="containsText" dxfId="2" priority="284" operator="between" text="库存为">
      <formula>NOT(ISERROR(SEARCH("库存为",AU426)))</formula>
    </cfRule>
  </conditionalFormatting>
  <conditionalFormatting sqref="AU427">
    <cfRule type="cellIs" dxfId="0" priority="1691" operator="lessThan">
      <formula>20</formula>
    </cfRule>
    <cfRule type="cellIs" dxfId="1" priority="987" operator="greaterThan">
      <formula>120</formula>
    </cfRule>
    <cfRule type="containsText" dxfId="2" priority="283" operator="between" text="库存为">
      <formula>NOT(ISERROR(SEARCH("库存为",AU427)))</formula>
    </cfRule>
  </conditionalFormatting>
  <conditionalFormatting sqref="AU428">
    <cfRule type="cellIs" dxfId="0" priority="1690" operator="lessThan">
      <formula>20</formula>
    </cfRule>
    <cfRule type="cellIs" dxfId="1" priority="986" operator="greaterThan">
      <formula>120</formula>
    </cfRule>
    <cfRule type="containsText" dxfId="2" priority="282" operator="between" text="库存为">
      <formula>NOT(ISERROR(SEARCH("库存为",AU428)))</formula>
    </cfRule>
  </conditionalFormatting>
  <conditionalFormatting sqref="AU429">
    <cfRule type="cellIs" dxfId="0" priority="1689" operator="lessThan">
      <formula>20</formula>
    </cfRule>
    <cfRule type="cellIs" dxfId="1" priority="985" operator="greaterThan">
      <formula>120</formula>
    </cfRule>
    <cfRule type="containsText" dxfId="2" priority="281" operator="between" text="库存为">
      <formula>NOT(ISERROR(SEARCH("库存为",AU429)))</formula>
    </cfRule>
  </conditionalFormatting>
  <conditionalFormatting sqref="AU430">
    <cfRule type="cellIs" dxfId="0" priority="1688" operator="lessThan">
      <formula>20</formula>
    </cfRule>
    <cfRule type="cellIs" dxfId="1" priority="984" operator="greaterThan">
      <formula>120</formula>
    </cfRule>
    <cfRule type="containsText" dxfId="2" priority="280" operator="between" text="库存为">
      <formula>NOT(ISERROR(SEARCH("库存为",AU430)))</formula>
    </cfRule>
  </conditionalFormatting>
  <conditionalFormatting sqref="AU431">
    <cfRule type="cellIs" dxfId="0" priority="1687" operator="lessThan">
      <formula>20</formula>
    </cfRule>
    <cfRule type="cellIs" dxfId="1" priority="983" operator="greaterThan">
      <formula>120</formula>
    </cfRule>
    <cfRule type="containsText" dxfId="2" priority="279" operator="between" text="库存为">
      <formula>NOT(ISERROR(SEARCH("库存为",AU431)))</formula>
    </cfRule>
  </conditionalFormatting>
  <conditionalFormatting sqref="AU432">
    <cfRule type="cellIs" dxfId="0" priority="1686" operator="lessThan">
      <formula>20</formula>
    </cfRule>
    <cfRule type="cellIs" dxfId="1" priority="982" operator="greaterThan">
      <formula>120</formula>
    </cfRule>
    <cfRule type="containsText" dxfId="2" priority="278" operator="between" text="库存为">
      <formula>NOT(ISERROR(SEARCH("库存为",AU432)))</formula>
    </cfRule>
  </conditionalFormatting>
  <conditionalFormatting sqref="AU433">
    <cfRule type="cellIs" dxfId="0" priority="1685" operator="lessThan">
      <formula>20</formula>
    </cfRule>
    <cfRule type="cellIs" dxfId="1" priority="981" operator="greaterThan">
      <formula>120</formula>
    </cfRule>
    <cfRule type="containsText" dxfId="2" priority="277" operator="between" text="库存为">
      <formula>NOT(ISERROR(SEARCH("库存为",AU433)))</formula>
    </cfRule>
  </conditionalFormatting>
  <conditionalFormatting sqref="AU434">
    <cfRule type="cellIs" dxfId="0" priority="1684" operator="lessThan">
      <formula>20</formula>
    </cfRule>
    <cfRule type="cellIs" dxfId="1" priority="980" operator="greaterThan">
      <formula>120</formula>
    </cfRule>
    <cfRule type="containsText" dxfId="2" priority="276" operator="between" text="库存为">
      <formula>NOT(ISERROR(SEARCH("库存为",AU434)))</formula>
    </cfRule>
  </conditionalFormatting>
  <conditionalFormatting sqref="AU435">
    <cfRule type="cellIs" dxfId="0" priority="1683" operator="lessThan">
      <formula>20</formula>
    </cfRule>
    <cfRule type="cellIs" dxfId="1" priority="979" operator="greaterThan">
      <formula>120</formula>
    </cfRule>
    <cfRule type="containsText" dxfId="2" priority="275" operator="between" text="库存为">
      <formula>NOT(ISERROR(SEARCH("库存为",AU435)))</formula>
    </cfRule>
  </conditionalFormatting>
  <conditionalFormatting sqref="AU436">
    <cfRule type="cellIs" dxfId="0" priority="1682" operator="lessThan">
      <formula>20</formula>
    </cfRule>
    <cfRule type="cellIs" dxfId="1" priority="978" operator="greaterThan">
      <formula>120</formula>
    </cfRule>
    <cfRule type="containsText" dxfId="2" priority="274" operator="between" text="库存为">
      <formula>NOT(ISERROR(SEARCH("库存为",AU436)))</formula>
    </cfRule>
  </conditionalFormatting>
  <conditionalFormatting sqref="AU437">
    <cfRule type="cellIs" dxfId="0" priority="1681" operator="lessThan">
      <formula>20</formula>
    </cfRule>
    <cfRule type="cellIs" dxfId="1" priority="977" operator="greaterThan">
      <formula>120</formula>
    </cfRule>
    <cfRule type="containsText" dxfId="2" priority="273" operator="between" text="库存为">
      <formula>NOT(ISERROR(SEARCH("库存为",AU437)))</formula>
    </cfRule>
  </conditionalFormatting>
  <conditionalFormatting sqref="AU438">
    <cfRule type="cellIs" dxfId="0" priority="1680" operator="lessThan">
      <formula>20</formula>
    </cfRule>
    <cfRule type="cellIs" dxfId="1" priority="976" operator="greaterThan">
      <formula>120</formula>
    </cfRule>
    <cfRule type="containsText" dxfId="2" priority="272" operator="between" text="库存为">
      <formula>NOT(ISERROR(SEARCH("库存为",AU438)))</formula>
    </cfRule>
  </conditionalFormatting>
  <conditionalFormatting sqref="AU439">
    <cfRule type="cellIs" dxfId="0" priority="1679" operator="lessThan">
      <formula>20</formula>
    </cfRule>
    <cfRule type="cellIs" dxfId="1" priority="975" operator="greaterThan">
      <formula>120</formula>
    </cfRule>
    <cfRule type="containsText" dxfId="2" priority="271" operator="between" text="库存为">
      <formula>NOT(ISERROR(SEARCH("库存为",AU439)))</formula>
    </cfRule>
  </conditionalFormatting>
  <conditionalFormatting sqref="AU440">
    <cfRule type="cellIs" dxfId="0" priority="1678" operator="lessThan">
      <formula>20</formula>
    </cfRule>
    <cfRule type="cellIs" dxfId="1" priority="974" operator="greaterThan">
      <formula>120</formula>
    </cfRule>
    <cfRule type="containsText" dxfId="2" priority="270" operator="between" text="库存为">
      <formula>NOT(ISERROR(SEARCH("库存为",AU440)))</formula>
    </cfRule>
  </conditionalFormatting>
  <conditionalFormatting sqref="AU441">
    <cfRule type="cellIs" dxfId="0" priority="1677" operator="lessThan">
      <formula>20</formula>
    </cfRule>
    <cfRule type="cellIs" dxfId="1" priority="973" operator="greaterThan">
      <formula>120</formula>
    </cfRule>
    <cfRule type="containsText" dxfId="2" priority="269" operator="between" text="库存为">
      <formula>NOT(ISERROR(SEARCH("库存为",AU441)))</formula>
    </cfRule>
  </conditionalFormatting>
  <conditionalFormatting sqref="AU442">
    <cfRule type="cellIs" dxfId="0" priority="1676" operator="lessThan">
      <formula>20</formula>
    </cfRule>
    <cfRule type="cellIs" dxfId="1" priority="972" operator="greaterThan">
      <formula>120</formula>
    </cfRule>
    <cfRule type="containsText" dxfId="2" priority="268" operator="between" text="库存为">
      <formula>NOT(ISERROR(SEARCH("库存为",AU442)))</formula>
    </cfRule>
  </conditionalFormatting>
  <conditionalFormatting sqref="AU443">
    <cfRule type="cellIs" dxfId="0" priority="1675" operator="lessThan">
      <formula>20</formula>
    </cfRule>
    <cfRule type="cellIs" dxfId="1" priority="971" operator="greaterThan">
      <formula>120</formula>
    </cfRule>
    <cfRule type="containsText" dxfId="2" priority="267" operator="between" text="库存为">
      <formula>NOT(ISERROR(SEARCH("库存为",AU443)))</formula>
    </cfRule>
  </conditionalFormatting>
  <conditionalFormatting sqref="AU444">
    <cfRule type="cellIs" dxfId="0" priority="1674" operator="lessThan">
      <formula>20</formula>
    </cfRule>
    <cfRule type="cellIs" dxfId="1" priority="970" operator="greaterThan">
      <formula>120</formula>
    </cfRule>
    <cfRule type="containsText" dxfId="2" priority="266" operator="between" text="库存为">
      <formula>NOT(ISERROR(SEARCH("库存为",AU444)))</formula>
    </cfRule>
  </conditionalFormatting>
  <conditionalFormatting sqref="AU445">
    <cfRule type="cellIs" dxfId="0" priority="1673" operator="lessThan">
      <formula>20</formula>
    </cfRule>
    <cfRule type="cellIs" dxfId="1" priority="969" operator="greaterThan">
      <formula>120</formula>
    </cfRule>
    <cfRule type="containsText" dxfId="2" priority="265" operator="between" text="库存为">
      <formula>NOT(ISERROR(SEARCH("库存为",AU445)))</formula>
    </cfRule>
  </conditionalFormatting>
  <conditionalFormatting sqref="AU446">
    <cfRule type="cellIs" dxfId="0" priority="1672" operator="lessThan">
      <formula>20</formula>
    </cfRule>
    <cfRule type="cellIs" dxfId="1" priority="968" operator="greaterThan">
      <formula>120</formula>
    </cfRule>
    <cfRule type="containsText" dxfId="2" priority="264" operator="between" text="库存为">
      <formula>NOT(ISERROR(SEARCH("库存为",AU446)))</formula>
    </cfRule>
  </conditionalFormatting>
  <conditionalFormatting sqref="AU447">
    <cfRule type="cellIs" dxfId="0" priority="1671" operator="lessThan">
      <formula>20</formula>
    </cfRule>
    <cfRule type="cellIs" dxfId="1" priority="967" operator="greaterThan">
      <formula>120</formula>
    </cfRule>
    <cfRule type="containsText" dxfId="2" priority="263" operator="between" text="库存为">
      <formula>NOT(ISERROR(SEARCH("库存为",AU447)))</formula>
    </cfRule>
  </conditionalFormatting>
  <conditionalFormatting sqref="AU448">
    <cfRule type="cellIs" dxfId="0" priority="1670" operator="lessThan">
      <formula>20</formula>
    </cfRule>
    <cfRule type="cellIs" dxfId="1" priority="966" operator="greaterThan">
      <formula>120</formula>
    </cfRule>
    <cfRule type="containsText" dxfId="2" priority="262" operator="between" text="库存为">
      <formula>NOT(ISERROR(SEARCH("库存为",AU448)))</formula>
    </cfRule>
  </conditionalFormatting>
  <conditionalFormatting sqref="AU449">
    <cfRule type="cellIs" dxfId="0" priority="1669" operator="lessThan">
      <formula>20</formula>
    </cfRule>
    <cfRule type="cellIs" dxfId="1" priority="965" operator="greaterThan">
      <formula>120</formula>
    </cfRule>
    <cfRule type="containsText" dxfId="2" priority="261" operator="between" text="库存为">
      <formula>NOT(ISERROR(SEARCH("库存为",AU449)))</formula>
    </cfRule>
  </conditionalFormatting>
  <conditionalFormatting sqref="AU450">
    <cfRule type="cellIs" dxfId="0" priority="1668" operator="lessThan">
      <formula>20</formula>
    </cfRule>
    <cfRule type="cellIs" dxfId="1" priority="964" operator="greaterThan">
      <formula>120</formula>
    </cfRule>
    <cfRule type="containsText" dxfId="2" priority="260" operator="between" text="库存为">
      <formula>NOT(ISERROR(SEARCH("库存为",AU450)))</formula>
    </cfRule>
  </conditionalFormatting>
  <conditionalFormatting sqref="AU451">
    <cfRule type="cellIs" dxfId="0" priority="1667" operator="lessThan">
      <formula>20</formula>
    </cfRule>
    <cfRule type="cellIs" dxfId="1" priority="963" operator="greaterThan">
      <formula>120</formula>
    </cfRule>
    <cfRule type="containsText" dxfId="2" priority="259" operator="between" text="库存为">
      <formula>NOT(ISERROR(SEARCH("库存为",AU451)))</formula>
    </cfRule>
  </conditionalFormatting>
  <conditionalFormatting sqref="AU452">
    <cfRule type="cellIs" dxfId="0" priority="1666" operator="lessThan">
      <formula>20</formula>
    </cfRule>
    <cfRule type="cellIs" dxfId="1" priority="962" operator="greaterThan">
      <formula>120</formula>
    </cfRule>
    <cfRule type="containsText" dxfId="2" priority="258" operator="between" text="库存为">
      <formula>NOT(ISERROR(SEARCH("库存为",AU452)))</formula>
    </cfRule>
  </conditionalFormatting>
  <conditionalFormatting sqref="AU453">
    <cfRule type="cellIs" dxfId="0" priority="1665" operator="lessThan">
      <formula>20</formula>
    </cfRule>
    <cfRule type="cellIs" dxfId="1" priority="961" operator="greaterThan">
      <formula>120</formula>
    </cfRule>
    <cfRule type="containsText" dxfId="2" priority="257" operator="between" text="库存为">
      <formula>NOT(ISERROR(SEARCH("库存为",AU453)))</formula>
    </cfRule>
  </conditionalFormatting>
  <conditionalFormatting sqref="AU454">
    <cfRule type="cellIs" dxfId="0" priority="1664" operator="lessThan">
      <formula>20</formula>
    </cfRule>
    <cfRule type="cellIs" dxfId="1" priority="960" operator="greaterThan">
      <formula>120</formula>
    </cfRule>
    <cfRule type="containsText" dxfId="2" priority="256" operator="between" text="库存为">
      <formula>NOT(ISERROR(SEARCH("库存为",AU454)))</formula>
    </cfRule>
  </conditionalFormatting>
  <conditionalFormatting sqref="AU455">
    <cfRule type="cellIs" dxfId="0" priority="1663" operator="lessThan">
      <formula>20</formula>
    </cfRule>
    <cfRule type="cellIs" dxfId="1" priority="959" operator="greaterThan">
      <formula>120</formula>
    </cfRule>
    <cfRule type="containsText" dxfId="2" priority="255" operator="between" text="库存为">
      <formula>NOT(ISERROR(SEARCH("库存为",AU455)))</formula>
    </cfRule>
  </conditionalFormatting>
  <conditionalFormatting sqref="AU456">
    <cfRule type="cellIs" dxfId="0" priority="1662" operator="lessThan">
      <formula>20</formula>
    </cfRule>
    <cfRule type="cellIs" dxfId="1" priority="958" operator="greaterThan">
      <formula>120</formula>
    </cfRule>
    <cfRule type="containsText" dxfId="2" priority="254" operator="between" text="库存为">
      <formula>NOT(ISERROR(SEARCH("库存为",AU456)))</formula>
    </cfRule>
  </conditionalFormatting>
  <conditionalFormatting sqref="AU457">
    <cfRule type="cellIs" dxfId="0" priority="1661" operator="lessThan">
      <formula>20</formula>
    </cfRule>
    <cfRule type="cellIs" dxfId="1" priority="957" operator="greaterThan">
      <formula>120</formula>
    </cfRule>
    <cfRule type="containsText" dxfId="2" priority="253" operator="between" text="库存为">
      <formula>NOT(ISERROR(SEARCH("库存为",AU457)))</formula>
    </cfRule>
  </conditionalFormatting>
  <conditionalFormatting sqref="AU458">
    <cfRule type="cellIs" dxfId="0" priority="1660" operator="lessThan">
      <formula>20</formula>
    </cfRule>
    <cfRule type="cellIs" dxfId="1" priority="956" operator="greaterThan">
      <formula>120</formula>
    </cfRule>
    <cfRule type="containsText" dxfId="2" priority="252" operator="between" text="库存为">
      <formula>NOT(ISERROR(SEARCH("库存为",AU458)))</formula>
    </cfRule>
  </conditionalFormatting>
  <conditionalFormatting sqref="AU459">
    <cfRule type="cellIs" dxfId="0" priority="1659" operator="lessThan">
      <formula>20</formula>
    </cfRule>
    <cfRule type="cellIs" dxfId="1" priority="955" operator="greaterThan">
      <formula>120</formula>
    </cfRule>
    <cfRule type="containsText" dxfId="2" priority="251" operator="between" text="库存为">
      <formula>NOT(ISERROR(SEARCH("库存为",AU459)))</formula>
    </cfRule>
  </conditionalFormatting>
  <conditionalFormatting sqref="AU460">
    <cfRule type="cellIs" dxfId="0" priority="1658" operator="lessThan">
      <formula>20</formula>
    </cfRule>
    <cfRule type="cellIs" dxfId="1" priority="954" operator="greaterThan">
      <formula>120</formula>
    </cfRule>
    <cfRule type="containsText" dxfId="2" priority="250" operator="between" text="库存为">
      <formula>NOT(ISERROR(SEARCH("库存为",AU460)))</formula>
    </cfRule>
  </conditionalFormatting>
  <conditionalFormatting sqref="AU461">
    <cfRule type="cellIs" dxfId="0" priority="1657" operator="lessThan">
      <formula>20</formula>
    </cfRule>
    <cfRule type="cellIs" dxfId="1" priority="953" operator="greaterThan">
      <formula>120</formula>
    </cfRule>
    <cfRule type="containsText" dxfId="2" priority="249" operator="between" text="库存为">
      <formula>NOT(ISERROR(SEARCH("库存为",AU461)))</formula>
    </cfRule>
  </conditionalFormatting>
  <conditionalFormatting sqref="AU462">
    <cfRule type="cellIs" dxfId="0" priority="1656" operator="lessThan">
      <formula>20</formula>
    </cfRule>
    <cfRule type="cellIs" dxfId="1" priority="952" operator="greaterThan">
      <formula>120</formula>
    </cfRule>
    <cfRule type="containsText" dxfId="2" priority="248" operator="between" text="库存为">
      <formula>NOT(ISERROR(SEARCH("库存为",AU462)))</formula>
    </cfRule>
  </conditionalFormatting>
  <conditionalFormatting sqref="AU463">
    <cfRule type="cellIs" dxfId="0" priority="1655" operator="lessThan">
      <formula>20</formula>
    </cfRule>
    <cfRule type="cellIs" dxfId="1" priority="951" operator="greaterThan">
      <formula>120</formula>
    </cfRule>
    <cfRule type="containsText" dxfId="2" priority="247" operator="between" text="库存为">
      <formula>NOT(ISERROR(SEARCH("库存为",AU463)))</formula>
    </cfRule>
  </conditionalFormatting>
  <conditionalFormatting sqref="AU464">
    <cfRule type="cellIs" dxfId="0" priority="1654" operator="lessThan">
      <formula>20</formula>
    </cfRule>
    <cfRule type="cellIs" dxfId="1" priority="950" operator="greaterThan">
      <formula>120</formula>
    </cfRule>
    <cfRule type="containsText" dxfId="2" priority="246" operator="between" text="库存为">
      <formula>NOT(ISERROR(SEARCH("库存为",AU464)))</formula>
    </cfRule>
  </conditionalFormatting>
  <conditionalFormatting sqref="AU465">
    <cfRule type="cellIs" dxfId="0" priority="1653" operator="lessThan">
      <formula>20</formula>
    </cfRule>
    <cfRule type="cellIs" dxfId="1" priority="949" operator="greaterThan">
      <formula>120</formula>
    </cfRule>
    <cfRule type="containsText" dxfId="2" priority="245" operator="between" text="库存为">
      <formula>NOT(ISERROR(SEARCH("库存为",AU465)))</formula>
    </cfRule>
  </conditionalFormatting>
  <conditionalFormatting sqref="AU466">
    <cfRule type="cellIs" dxfId="0" priority="1652" operator="lessThan">
      <formula>20</formula>
    </cfRule>
    <cfRule type="cellIs" dxfId="1" priority="948" operator="greaterThan">
      <formula>120</formula>
    </cfRule>
    <cfRule type="containsText" dxfId="2" priority="244" operator="between" text="库存为">
      <formula>NOT(ISERROR(SEARCH("库存为",AU466)))</formula>
    </cfRule>
  </conditionalFormatting>
  <conditionalFormatting sqref="AU467">
    <cfRule type="cellIs" dxfId="0" priority="1651" operator="lessThan">
      <formula>20</formula>
    </cfRule>
    <cfRule type="cellIs" dxfId="1" priority="947" operator="greaterThan">
      <formula>120</formula>
    </cfRule>
    <cfRule type="containsText" dxfId="2" priority="243" operator="between" text="库存为">
      <formula>NOT(ISERROR(SEARCH("库存为",AU467)))</formula>
    </cfRule>
  </conditionalFormatting>
  <conditionalFormatting sqref="AU468">
    <cfRule type="cellIs" dxfId="0" priority="1650" operator="lessThan">
      <formula>20</formula>
    </cfRule>
    <cfRule type="cellIs" dxfId="1" priority="946" operator="greaterThan">
      <formula>120</formula>
    </cfRule>
    <cfRule type="containsText" dxfId="2" priority="242" operator="between" text="库存为">
      <formula>NOT(ISERROR(SEARCH("库存为",AU468)))</formula>
    </cfRule>
  </conditionalFormatting>
  <conditionalFormatting sqref="AU469">
    <cfRule type="cellIs" dxfId="0" priority="1649" operator="lessThan">
      <formula>20</formula>
    </cfRule>
    <cfRule type="cellIs" dxfId="1" priority="945" operator="greaterThan">
      <formula>120</formula>
    </cfRule>
    <cfRule type="containsText" dxfId="2" priority="241" operator="between" text="库存为">
      <formula>NOT(ISERROR(SEARCH("库存为",AU469)))</formula>
    </cfRule>
  </conditionalFormatting>
  <conditionalFormatting sqref="AU470">
    <cfRule type="cellIs" dxfId="0" priority="1648" operator="lessThan">
      <formula>20</formula>
    </cfRule>
    <cfRule type="cellIs" dxfId="1" priority="944" operator="greaterThan">
      <formula>120</formula>
    </cfRule>
    <cfRule type="containsText" dxfId="2" priority="240" operator="between" text="库存为">
      <formula>NOT(ISERROR(SEARCH("库存为",AU470)))</formula>
    </cfRule>
  </conditionalFormatting>
  <conditionalFormatting sqref="AU471">
    <cfRule type="cellIs" dxfId="0" priority="1647" operator="lessThan">
      <formula>20</formula>
    </cfRule>
    <cfRule type="cellIs" dxfId="1" priority="943" operator="greaterThan">
      <formula>120</formula>
    </cfRule>
    <cfRule type="containsText" dxfId="2" priority="239" operator="between" text="库存为">
      <formula>NOT(ISERROR(SEARCH("库存为",AU471)))</formula>
    </cfRule>
  </conditionalFormatting>
  <conditionalFormatting sqref="AU472">
    <cfRule type="cellIs" dxfId="0" priority="1646" operator="lessThan">
      <formula>20</formula>
    </cfRule>
    <cfRule type="cellIs" dxfId="1" priority="942" operator="greaterThan">
      <formula>120</formula>
    </cfRule>
    <cfRule type="containsText" dxfId="2" priority="238" operator="between" text="库存为">
      <formula>NOT(ISERROR(SEARCH("库存为",AU472)))</formula>
    </cfRule>
  </conditionalFormatting>
  <conditionalFormatting sqref="AU473">
    <cfRule type="cellIs" dxfId="0" priority="1645" operator="lessThan">
      <formula>20</formula>
    </cfRule>
    <cfRule type="cellIs" dxfId="1" priority="941" operator="greaterThan">
      <formula>120</formula>
    </cfRule>
    <cfRule type="containsText" dxfId="2" priority="237" operator="between" text="库存为">
      <formula>NOT(ISERROR(SEARCH("库存为",AU473)))</formula>
    </cfRule>
  </conditionalFormatting>
  <conditionalFormatting sqref="AU474">
    <cfRule type="cellIs" dxfId="0" priority="1644" operator="lessThan">
      <formula>20</formula>
    </cfRule>
    <cfRule type="cellIs" dxfId="1" priority="940" operator="greaterThan">
      <formula>120</formula>
    </cfRule>
    <cfRule type="containsText" dxfId="2" priority="236" operator="between" text="库存为">
      <formula>NOT(ISERROR(SEARCH("库存为",AU474)))</formula>
    </cfRule>
  </conditionalFormatting>
  <conditionalFormatting sqref="AU475">
    <cfRule type="cellIs" dxfId="0" priority="1643" operator="lessThan">
      <formula>20</formula>
    </cfRule>
    <cfRule type="cellIs" dxfId="1" priority="939" operator="greaterThan">
      <formula>120</formula>
    </cfRule>
    <cfRule type="containsText" dxfId="2" priority="235" operator="between" text="库存为">
      <formula>NOT(ISERROR(SEARCH("库存为",AU475)))</formula>
    </cfRule>
  </conditionalFormatting>
  <conditionalFormatting sqref="AU476">
    <cfRule type="cellIs" dxfId="0" priority="1642" operator="lessThan">
      <formula>20</formula>
    </cfRule>
    <cfRule type="cellIs" dxfId="1" priority="938" operator="greaterThan">
      <formula>120</formula>
    </cfRule>
    <cfRule type="containsText" dxfId="2" priority="234" operator="between" text="库存为">
      <formula>NOT(ISERROR(SEARCH("库存为",AU476)))</formula>
    </cfRule>
  </conditionalFormatting>
  <conditionalFormatting sqref="AU477">
    <cfRule type="cellIs" dxfId="0" priority="1641" operator="lessThan">
      <formula>20</formula>
    </cfRule>
    <cfRule type="cellIs" dxfId="1" priority="937" operator="greaterThan">
      <formula>120</formula>
    </cfRule>
    <cfRule type="containsText" dxfId="2" priority="233" operator="between" text="库存为">
      <formula>NOT(ISERROR(SEARCH("库存为",AU477)))</formula>
    </cfRule>
  </conditionalFormatting>
  <conditionalFormatting sqref="AU478">
    <cfRule type="cellIs" dxfId="0" priority="1640" operator="lessThan">
      <formula>20</formula>
    </cfRule>
    <cfRule type="cellIs" dxfId="1" priority="936" operator="greaterThan">
      <formula>120</formula>
    </cfRule>
    <cfRule type="containsText" dxfId="2" priority="232" operator="between" text="库存为">
      <formula>NOT(ISERROR(SEARCH("库存为",AU478)))</formula>
    </cfRule>
  </conditionalFormatting>
  <conditionalFormatting sqref="AU479">
    <cfRule type="cellIs" dxfId="0" priority="1639" operator="lessThan">
      <formula>20</formula>
    </cfRule>
    <cfRule type="cellIs" dxfId="1" priority="935" operator="greaterThan">
      <formula>120</formula>
    </cfRule>
    <cfRule type="containsText" dxfId="2" priority="231" operator="between" text="库存为">
      <formula>NOT(ISERROR(SEARCH("库存为",AU479)))</formula>
    </cfRule>
  </conditionalFormatting>
  <conditionalFormatting sqref="AU480">
    <cfRule type="cellIs" dxfId="0" priority="1638" operator="lessThan">
      <formula>20</formula>
    </cfRule>
    <cfRule type="cellIs" dxfId="1" priority="934" operator="greaterThan">
      <formula>120</formula>
    </cfRule>
    <cfRule type="containsText" dxfId="2" priority="230" operator="between" text="库存为">
      <formula>NOT(ISERROR(SEARCH("库存为",AU480)))</formula>
    </cfRule>
  </conditionalFormatting>
  <conditionalFormatting sqref="AU481">
    <cfRule type="cellIs" dxfId="0" priority="1637" operator="lessThan">
      <formula>20</formula>
    </cfRule>
    <cfRule type="cellIs" dxfId="1" priority="933" operator="greaterThan">
      <formula>120</formula>
    </cfRule>
    <cfRule type="containsText" dxfId="2" priority="229" operator="between" text="库存为">
      <formula>NOT(ISERROR(SEARCH("库存为",AU481)))</formula>
    </cfRule>
  </conditionalFormatting>
  <conditionalFormatting sqref="AU482">
    <cfRule type="cellIs" dxfId="0" priority="1636" operator="lessThan">
      <formula>20</formula>
    </cfRule>
    <cfRule type="cellIs" dxfId="1" priority="932" operator="greaterThan">
      <formula>120</formula>
    </cfRule>
    <cfRule type="containsText" dxfId="2" priority="228" operator="between" text="库存为">
      <formula>NOT(ISERROR(SEARCH("库存为",AU482)))</formula>
    </cfRule>
  </conditionalFormatting>
  <conditionalFormatting sqref="AU483">
    <cfRule type="cellIs" dxfId="0" priority="1635" operator="lessThan">
      <formula>20</formula>
    </cfRule>
    <cfRule type="cellIs" dxfId="1" priority="931" operator="greaterThan">
      <formula>120</formula>
    </cfRule>
    <cfRule type="containsText" dxfId="2" priority="227" operator="between" text="库存为">
      <formula>NOT(ISERROR(SEARCH("库存为",AU483)))</formula>
    </cfRule>
  </conditionalFormatting>
  <conditionalFormatting sqref="AU484">
    <cfRule type="cellIs" dxfId="0" priority="1634" operator="lessThan">
      <formula>20</formula>
    </cfRule>
    <cfRule type="cellIs" dxfId="1" priority="930" operator="greaterThan">
      <formula>120</formula>
    </cfRule>
    <cfRule type="containsText" dxfId="2" priority="226" operator="between" text="库存为">
      <formula>NOT(ISERROR(SEARCH("库存为",AU484)))</formula>
    </cfRule>
  </conditionalFormatting>
  <conditionalFormatting sqref="AU485">
    <cfRule type="cellIs" dxfId="0" priority="1633" operator="lessThan">
      <formula>20</formula>
    </cfRule>
    <cfRule type="cellIs" dxfId="1" priority="929" operator="greaterThan">
      <formula>120</formula>
    </cfRule>
    <cfRule type="containsText" dxfId="2" priority="225" operator="between" text="库存为">
      <formula>NOT(ISERROR(SEARCH("库存为",AU485)))</formula>
    </cfRule>
  </conditionalFormatting>
  <conditionalFormatting sqref="AU486">
    <cfRule type="cellIs" dxfId="0" priority="1632" operator="lessThan">
      <formula>20</formula>
    </cfRule>
    <cfRule type="cellIs" dxfId="1" priority="928" operator="greaterThan">
      <formula>120</formula>
    </cfRule>
    <cfRule type="containsText" dxfId="2" priority="224" operator="between" text="库存为">
      <formula>NOT(ISERROR(SEARCH("库存为",AU486)))</formula>
    </cfRule>
  </conditionalFormatting>
  <conditionalFormatting sqref="AU487">
    <cfRule type="cellIs" dxfId="0" priority="1631" operator="lessThan">
      <formula>20</formula>
    </cfRule>
    <cfRule type="cellIs" dxfId="1" priority="927" operator="greaterThan">
      <formula>120</formula>
    </cfRule>
    <cfRule type="containsText" dxfId="2" priority="223" operator="between" text="库存为">
      <formula>NOT(ISERROR(SEARCH("库存为",AU487)))</formula>
    </cfRule>
  </conditionalFormatting>
  <conditionalFormatting sqref="AU488">
    <cfRule type="cellIs" dxfId="0" priority="1630" operator="lessThan">
      <formula>20</formula>
    </cfRule>
    <cfRule type="cellIs" dxfId="1" priority="926" operator="greaterThan">
      <formula>120</formula>
    </cfRule>
    <cfRule type="containsText" dxfId="2" priority="222" operator="between" text="库存为">
      <formula>NOT(ISERROR(SEARCH("库存为",AU488)))</formula>
    </cfRule>
  </conditionalFormatting>
  <conditionalFormatting sqref="AU489">
    <cfRule type="cellIs" dxfId="0" priority="1629" operator="lessThan">
      <formula>20</formula>
    </cfRule>
    <cfRule type="cellIs" dxfId="1" priority="925" operator="greaterThan">
      <formula>120</formula>
    </cfRule>
    <cfRule type="containsText" dxfId="2" priority="221" operator="between" text="库存为">
      <formula>NOT(ISERROR(SEARCH("库存为",AU489)))</formula>
    </cfRule>
  </conditionalFormatting>
  <conditionalFormatting sqref="AU490">
    <cfRule type="cellIs" dxfId="0" priority="1628" operator="lessThan">
      <formula>20</formula>
    </cfRule>
    <cfRule type="cellIs" dxfId="1" priority="924" operator="greaterThan">
      <formula>120</formula>
    </cfRule>
    <cfRule type="containsText" dxfId="2" priority="220" operator="between" text="库存为">
      <formula>NOT(ISERROR(SEARCH("库存为",AU490)))</formula>
    </cfRule>
  </conditionalFormatting>
  <conditionalFormatting sqref="AU491">
    <cfRule type="cellIs" dxfId="0" priority="1627" operator="lessThan">
      <formula>20</formula>
    </cfRule>
    <cfRule type="cellIs" dxfId="1" priority="923" operator="greaterThan">
      <formula>120</formula>
    </cfRule>
    <cfRule type="containsText" dxfId="2" priority="219" operator="between" text="库存为">
      <formula>NOT(ISERROR(SEARCH("库存为",AU491)))</formula>
    </cfRule>
  </conditionalFormatting>
  <conditionalFormatting sqref="AU492">
    <cfRule type="cellIs" dxfId="0" priority="1626" operator="lessThan">
      <formula>20</formula>
    </cfRule>
    <cfRule type="cellIs" dxfId="1" priority="922" operator="greaterThan">
      <formula>120</formula>
    </cfRule>
    <cfRule type="containsText" dxfId="2" priority="218" operator="between" text="库存为">
      <formula>NOT(ISERROR(SEARCH("库存为",AU492)))</formula>
    </cfRule>
  </conditionalFormatting>
  <conditionalFormatting sqref="AU493">
    <cfRule type="cellIs" dxfId="0" priority="1625" operator="lessThan">
      <formula>20</formula>
    </cfRule>
    <cfRule type="cellIs" dxfId="1" priority="921" operator="greaterThan">
      <formula>120</formula>
    </cfRule>
    <cfRule type="containsText" dxfId="2" priority="217" operator="between" text="库存为">
      <formula>NOT(ISERROR(SEARCH("库存为",AU493)))</formula>
    </cfRule>
  </conditionalFormatting>
  <conditionalFormatting sqref="AU494">
    <cfRule type="cellIs" dxfId="0" priority="1624" operator="lessThan">
      <formula>20</formula>
    </cfRule>
    <cfRule type="cellIs" dxfId="1" priority="920" operator="greaterThan">
      <formula>120</formula>
    </cfRule>
    <cfRule type="containsText" dxfId="2" priority="216" operator="between" text="库存为">
      <formula>NOT(ISERROR(SEARCH("库存为",AU494)))</formula>
    </cfRule>
  </conditionalFormatting>
  <conditionalFormatting sqref="AU495">
    <cfRule type="cellIs" dxfId="0" priority="1623" operator="lessThan">
      <formula>20</formula>
    </cfRule>
    <cfRule type="cellIs" dxfId="1" priority="919" operator="greaterThan">
      <formula>120</formula>
    </cfRule>
    <cfRule type="containsText" dxfId="2" priority="215" operator="between" text="库存为">
      <formula>NOT(ISERROR(SEARCH("库存为",AU495)))</formula>
    </cfRule>
  </conditionalFormatting>
  <conditionalFormatting sqref="AU496">
    <cfRule type="cellIs" dxfId="0" priority="1622" operator="lessThan">
      <formula>20</formula>
    </cfRule>
    <cfRule type="cellIs" dxfId="1" priority="918" operator="greaterThan">
      <formula>120</formula>
    </cfRule>
    <cfRule type="containsText" dxfId="2" priority="214" operator="between" text="库存为">
      <formula>NOT(ISERROR(SEARCH("库存为",AU496)))</formula>
    </cfRule>
  </conditionalFormatting>
  <conditionalFormatting sqref="AU497">
    <cfRule type="cellIs" dxfId="0" priority="1621" operator="lessThan">
      <formula>20</formula>
    </cfRule>
    <cfRule type="cellIs" dxfId="1" priority="917" operator="greaterThan">
      <formula>120</formula>
    </cfRule>
    <cfRule type="containsText" dxfId="2" priority="213" operator="between" text="库存为">
      <formula>NOT(ISERROR(SEARCH("库存为",AU497)))</formula>
    </cfRule>
  </conditionalFormatting>
  <conditionalFormatting sqref="AU498">
    <cfRule type="cellIs" dxfId="0" priority="1620" operator="lessThan">
      <formula>20</formula>
    </cfRule>
    <cfRule type="cellIs" dxfId="1" priority="916" operator="greaterThan">
      <formula>120</formula>
    </cfRule>
    <cfRule type="containsText" dxfId="2" priority="212" operator="between" text="库存为">
      <formula>NOT(ISERROR(SEARCH("库存为",AU498)))</formula>
    </cfRule>
  </conditionalFormatting>
  <conditionalFormatting sqref="AU499">
    <cfRule type="cellIs" dxfId="0" priority="1619" operator="lessThan">
      <formula>20</formula>
    </cfRule>
    <cfRule type="cellIs" dxfId="1" priority="915" operator="greaterThan">
      <formula>120</formula>
    </cfRule>
    <cfRule type="containsText" dxfId="2" priority="211" operator="between" text="库存为">
      <formula>NOT(ISERROR(SEARCH("库存为",AU499)))</formula>
    </cfRule>
  </conditionalFormatting>
  <conditionalFormatting sqref="AU500">
    <cfRule type="cellIs" dxfId="0" priority="1618" operator="lessThan">
      <formula>20</formula>
    </cfRule>
    <cfRule type="cellIs" dxfId="1" priority="914" operator="greaterThan">
      <formula>120</formula>
    </cfRule>
    <cfRule type="containsText" dxfId="2" priority="210" operator="between" text="库存为">
      <formula>NOT(ISERROR(SEARCH("库存为",AU500)))</formula>
    </cfRule>
  </conditionalFormatting>
  <conditionalFormatting sqref="AU501">
    <cfRule type="cellIs" dxfId="0" priority="1617" operator="lessThan">
      <formula>20</formula>
    </cfRule>
    <cfRule type="cellIs" dxfId="1" priority="913" operator="greaterThan">
      <formula>120</formula>
    </cfRule>
    <cfRule type="containsText" dxfId="2" priority="209" operator="between" text="库存为">
      <formula>NOT(ISERROR(SEARCH("库存为",AU501)))</formula>
    </cfRule>
  </conditionalFormatting>
  <conditionalFormatting sqref="AU502">
    <cfRule type="cellIs" dxfId="0" priority="1616" operator="lessThan">
      <formula>20</formula>
    </cfRule>
    <cfRule type="cellIs" dxfId="1" priority="912" operator="greaterThan">
      <formula>120</formula>
    </cfRule>
    <cfRule type="containsText" dxfId="2" priority="208" operator="between" text="库存为">
      <formula>NOT(ISERROR(SEARCH("库存为",AU502)))</formula>
    </cfRule>
  </conditionalFormatting>
  <conditionalFormatting sqref="AU503">
    <cfRule type="cellIs" dxfId="0" priority="1615" operator="lessThan">
      <formula>20</formula>
    </cfRule>
    <cfRule type="cellIs" dxfId="1" priority="911" operator="greaterThan">
      <formula>120</formula>
    </cfRule>
    <cfRule type="containsText" dxfId="2" priority="207" operator="between" text="库存为">
      <formula>NOT(ISERROR(SEARCH("库存为",AU503)))</formula>
    </cfRule>
  </conditionalFormatting>
  <conditionalFormatting sqref="AU504">
    <cfRule type="cellIs" dxfId="0" priority="1614" operator="lessThan">
      <formula>20</formula>
    </cfRule>
    <cfRule type="cellIs" dxfId="1" priority="910" operator="greaterThan">
      <formula>120</formula>
    </cfRule>
    <cfRule type="containsText" dxfId="2" priority="206" operator="between" text="库存为">
      <formula>NOT(ISERROR(SEARCH("库存为",AU504)))</formula>
    </cfRule>
  </conditionalFormatting>
  <conditionalFormatting sqref="AU505">
    <cfRule type="cellIs" dxfId="0" priority="1613" operator="lessThan">
      <formula>20</formula>
    </cfRule>
    <cfRule type="cellIs" dxfId="1" priority="909" operator="greaterThan">
      <formula>120</formula>
    </cfRule>
    <cfRule type="containsText" dxfId="2" priority="205" operator="between" text="库存为">
      <formula>NOT(ISERROR(SEARCH("库存为",AU505)))</formula>
    </cfRule>
  </conditionalFormatting>
  <conditionalFormatting sqref="AU506">
    <cfRule type="cellIs" dxfId="0" priority="1612" operator="lessThan">
      <formula>20</formula>
    </cfRule>
    <cfRule type="cellIs" dxfId="1" priority="908" operator="greaterThan">
      <formula>120</formula>
    </cfRule>
    <cfRule type="containsText" dxfId="2" priority="204" operator="between" text="库存为">
      <formula>NOT(ISERROR(SEARCH("库存为",AU506)))</formula>
    </cfRule>
  </conditionalFormatting>
  <conditionalFormatting sqref="AU507">
    <cfRule type="cellIs" dxfId="0" priority="1611" operator="lessThan">
      <formula>20</formula>
    </cfRule>
    <cfRule type="cellIs" dxfId="1" priority="907" operator="greaterThan">
      <formula>120</formula>
    </cfRule>
    <cfRule type="containsText" dxfId="2" priority="203" operator="between" text="库存为">
      <formula>NOT(ISERROR(SEARCH("库存为",AU507)))</formula>
    </cfRule>
  </conditionalFormatting>
  <conditionalFormatting sqref="AU508">
    <cfRule type="cellIs" dxfId="0" priority="1610" operator="lessThan">
      <formula>20</formula>
    </cfRule>
    <cfRule type="cellIs" dxfId="1" priority="906" operator="greaterThan">
      <formula>120</formula>
    </cfRule>
    <cfRule type="containsText" dxfId="2" priority="202" operator="between" text="库存为">
      <formula>NOT(ISERROR(SEARCH("库存为",AU508)))</formula>
    </cfRule>
  </conditionalFormatting>
  <conditionalFormatting sqref="AU509">
    <cfRule type="cellIs" dxfId="0" priority="1609" operator="lessThan">
      <formula>20</formula>
    </cfRule>
    <cfRule type="cellIs" dxfId="1" priority="905" operator="greaterThan">
      <formula>120</formula>
    </cfRule>
    <cfRule type="containsText" dxfId="2" priority="201" operator="between" text="库存为">
      <formula>NOT(ISERROR(SEARCH("库存为",AU509)))</formula>
    </cfRule>
  </conditionalFormatting>
  <conditionalFormatting sqref="AU510">
    <cfRule type="cellIs" dxfId="0" priority="1608" operator="lessThan">
      <formula>20</formula>
    </cfRule>
    <cfRule type="cellIs" dxfId="1" priority="904" operator="greaterThan">
      <formula>120</formula>
    </cfRule>
    <cfRule type="containsText" dxfId="2" priority="200" operator="between" text="库存为">
      <formula>NOT(ISERROR(SEARCH("库存为",AU510)))</formula>
    </cfRule>
  </conditionalFormatting>
  <conditionalFormatting sqref="AU511">
    <cfRule type="cellIs" dxfId="0" priority="1607" operator="lessThan">
      <formula>20</formula>
    </cfRule>
    <cfRule type="cellIs" dxfId="1" priority="903" operator="greaterThan">
      <formula>120</formula>
    </cfRule>
    <cfRule type="containsText" dxfId="2" priority="199" operator="between" text="库存为">
      <formula>NOT(ISERROR(SEARCH("库存为",AU511)))</formula>
    </cfRule>
  </conditionalFormatting>
  <conditionalFormatting sqref="AU512">
    <cfRule type="cellIs" dxfId="0" priority="1606" operator="lessThan">
      <formula>20</formula>
    </cfRule>
    <cfRule type="cellIs" dxfId="1" priority="902" operator="greaterThan">
      <formula>120</formula>
    </cfRule>
    <cfRule type="containsText" dxfId="2" priority="198" operator="between" text="库存为">
      <formula>NOT(ISERROR(SEARCH("库存为",AU512)))</formula>
    </cfRule>
  </conditionalFormatting>
  <conditionalFormatting sqref="AU513">
    <cfRule type="cellIs" dxfId="0" priority="1605" operator="lessThan">
      <formula>20</formula>
    </cfRule>
    <cfRule type="cellIs" dxfId="1" priority="901" operator="greaterThan">
      <formula>120</formula>
    </cfRule>
    <cfRule type="containsText" dxfId="2" priority="197" operator="between" text="库存为">
      <formula>NOT(ISERROR(SEARCH("库存为",AU513)))</formula>
    </cfRule>
  </conditionalFormatting>
  <conditionalFormatting sqref="AU514">
    <cfRule type="cellIs" dxfId="0" priority="1604" operator="lessThan">
      <formula>20</formula>
    </cfRule>
    <cfRule type="cellIs" dxfId="1" priority="900" operator="greaterThan">
      <formula>120</formula>
    </cfRule>
    <cfRule type="containsText" dxfId="2" priority="196" operator="between" text="库存为">
      <formula>NOT(ISERROR(SEARCH("库存为",AU514)))</formula>
    </cfRule>
  </conditionalFormatting>
  <conditionalFormatting sqref="AU515">
    <cfRule type="cellIs" dxfId="0" priority="1603" operator="lessThan">
      <formula>20</formula>
    </cfRule>
    <cfRule type="cellIs" dxfId="1" priority="899" operator="greaterThan">
      <formula>120</formula>
    </cfRule>
    <cfRule type="containsText" dxfId="2" priority="195" operator="between" text="库存为">
      <formula>NOT(ISERROR(SEARCH("库存为",AU515)))</formula>
    </cfRule>
  </conditionalFormatting>
  <conditionalFormatting sqref="AU516">
    <cfRule type="cellIs" dxfId="0" priority="1602" operator="lessThan">
      <formula>20</formula>
    </cfRule>
    <cfRule type="cellIs" dxfId="1" priority="898" operator="greaterThan">
      <formula>120</formula>
    </cfRule>
    <cfRule type="containsText" dxfId="2" priority="194" operator="between" text="库存为">
      <formula>NOT(ISERROR(SEARCH("库存为",AU516)))</formula>
    </cfRule>
  </conditionalFormatting>
  <conditionalFormatting sqref="AU517">
    <cfRule type="cellIs" dxfId="0" priority="1601" operator="lessThan">
      <formula>20</formula>
    </cfRule>
    <cfRule type="cellIs" dxfId="1" priority="897" operator="greaterThan">
      <formula>120</formula>
    </cfRule>
    <cfRule type="containsText" dxfId="2" priority="193" operator="between" text="库存为">
      <formula>NOT(ISERROR(SEARCH("库存为",AU517)))</formula>
    </cfRule>
  </conditionalFormatting>
  <conditionalFormatting sqref="AU518">
    <cfRule type="cellIs" dxfId="0" priority="1600" operator="lessThan">
      <formula>20</formula>
    </cfRule>
    <cfRule type="cellIs" dxfId="1" priority="896" operator="greaterThan">
      <formula>120</formula>
    </cfRule>
    <cfRule type="containsText" dxfId="2" priority="192" operator="between" text="库存为">
      <formula>NOT(ISERROR(SEARCH("库存为",AU518)))</formula>
    </cfRule>
  </conditionalFormatting>
  <conditionalFormatting sqref="AU519">
    <cfRule type="cellIs" dxfId="0" priority="1599" operator="lessThan">
      <formula>20</formula>
    </cfRule>
    <cfRule type="cellIs" dxfId="1" priority="895" operator="greaterThan">
      <formula>120</formula>
    </cfRule>
    <cfRule type="containsText" dxfId="2" priority="191" operator="between" text="库存为">
      <formula>NOT(ISERROR(SEARCH("库存为",AU519)))</formula>
    </cfRule>
  </conditionalFormatting>
  <conditionalFormatting sqref="AU520">
    <cfRule type="cellIs" dxfId="0" priority="1598" operator="lessThan">
      <formula>20</formula>
    </cfRule>
    <cfRule type="cellIs" dxfId="1" priority="894" operator="greaterThan">
      <formula>120</formula>
    </cfRule>
    <cfRule type="containsText" dxfId="2" priority="190" operator="between" text="库存为">
      <formula>NOT(ISERROR(SEARCH("库存为",AU520)))</formula>
    </cfRule>
  </conditionalFormatting>
  <conditionalFormatting sqref="AU521">
    <cfRule type="cellIs" dxfId="0" priority="1597" operator="lessThan">
      <formula>20</formula>
    </cfRule>
    <cfRule type="cellIs" dxfId="1" priority="893" operator="greaterThan">
      <formula>120</formula>
    </cfRule>
    <cfRule type="containsText" dxfId="2" priority="189" operator="between" text="库存为">
      <formula>NOT(ISERROR(SEARCH("库存为",AU521)))</formula>
    </cfRule>
  </conditionalFormatting>
  <conditionalFormatting sqref="AU522">
    <cfRule type="cellIs" dxfId="0" priority="1596" operator="lessThan">
      <formula>20</formula>
    </cfRule>
    <cfRule type="cellIs" dxfId="1" priority="892" operator="greaterThan">
      <formula>120</formula>
    </cfRule>
    <cfRule type="containsText" dxfId="2" priority="188" operator="between" text="库存为">
      <formula>NOT(ISERROR(SEARCH("库存为",AU522)))</formula>
    </cfRule>
  </conditionalFormatting>
  <conditionalFormatting sqref="AU523">
    <cfRule type="cellIs" dxfId="0" priority="1595" operator="lessThan">
      <formula>20</formula>
    </cfRule>
    <cfRule type="cellIs" dxfId="1" priority="891" operator="greaterThan">
      <formula>120</formula>
    </cfRule>
    <cfRule type="containsText" dxfId="2" priority="187" operator="between" text="库存为">
      <formula>NOT(ISERROR(SEARCH("库存为",AU523)))</formula>
    </cfRule>
  </conditionalFormatting>
  <conditionalFormatting sqref="AU524">
    <cfRule type="cellIs" dxfId="0" priority="1594" operator="lessThan">
      <formula>20</formula>
    </cfRule>
    <cfRule type="cellIs" dxfId="1" priority="890" operator="greaterThan">
      <formula>120</formula>
    </cfRule>
    <cfRule type="containsText" dxfId="2" priority="186" operator="between" text="库存为">
      <formula>NOT(ISERROR(SEARCH("库存为",AU524)))</formula>
    </cfRule>
  </conditionalFormatting>
  <conditionalFormatting sqref="AU525">
    <cfRule type="cellIs" dxfId="0" priority="1593" operator="lessThan">
      <formula>20</formula>
    </cfRule>
    <cfRule type="cellIs" dxfId="1" priority="889" operator="greaterThan">
      <formula>120</formula>
    </cfRule>
    <cfRule type="containsText" dxfId="2" priority="185" operator="between" text="库存为">
      <formula>NOT(ISERROR(SEARCH("库存为",AU525)))</formula>
    </cfRule>
  </conditionalFormatting>
  <conditionalFormatting sqref="AU526">
    <cfRule type="cellIs" dxfId="0" priority="1592" operator="lessThan">
      <formula>20</formula>
    </cfRule>
    <cfRule type="cellIs" dxfId="1" priority="888" operator="greaterThan">
      <formula>120</formula>
    </cfRule>
    <cfRule type="containsText" dxfId="2" priority="184" operator="between" text="库存为">
      <formula>NOT(ISERROR(SEARCH("库存为",AU526)))</formula>
    </cfRule>
  </conditionalFormatting>
  <conditionalFormatting sqref="AU527">
    <cfRule type="cellIs" dxfId="0" priority="1591" operator="lessThan">
      <formula>20</formula>
    </cfRule>
    <cfRule type="cellIs" dxfId="1" priority="887" operator="greaterThan">
      <formula>120</formula>
    </cfRule>
    <cfRule type="containsText" dxfId="2" priority="183" operator="between" text="库存为">
      <formula>NOT(ISERROR(SEARCH("库存为",AU527)))</formula>
    </cfRule>
  </conditionalFormatting>
  <conditionalFormatting sqref="AU528">
    <cfRule type="cellIs" dxfId="0" priority="1590" operator="lessThan">
      <formula>20</formula>
    </cfRule>
    <cfRule type="cellIs" dxfId="1" priority="886" operator="greaterThan">
      <formula>120</formula>
    </cfRule>
    <cfRule type="containsText" dxfId="2" priority="182" operator="between" text="库存为">
      <formula>NOT(ISERROR(SEARCH("库存为",AU528)))</formula>
    </cfRule>
  </conditionalFormatting>
  <conditionalFormatting sqref="AU529">
    <cfRule type="cellIs" dxfId="0" priority="1589" operator="lessThan">
      <formula>20</formula>
    </cfRule>
    <cfRule type="cellIs" dxfId="1" priority="885" operator="greaterThan">
      <formula>120</formula>
    </cfRule>
    <cfRule type="containsText" dxfId="2" priority="181" operator="between" text="库存为">
      <formula>NOT(ISERROR(SEARCH("库存为",AU529)))</formula>
    </cfRule>
  </conditionalFormatting>
  <conditionalFormatting sqref="AU530">
    <cfRule type="cellIs" dxfId="0" priority="1588" operator="lessThan">
      <formula>20</formula>
    </cfRule>
    <cfRule type="cellIs" dxfId="1" priority="884" operator="greaterThan">
      <formula>120</formula>
    </cfRule>
    <cfRule type="containsText" dxfId="2" priority="180" operator="between" text="库存为">
      <formula>NOT(ISERROR(SEARCH("库存为",AU530)))</formula>
    </cfRule>
  </conditionalFormatting>
  <conditionalFormatting sqref="AU531">
    <cfRule type="cellIs" dxfId="0" priority="1587" operator="lessThan">
      <formula>20</formula>
    </cfRule>
    <cfRule type="cellIs" dxfId="1" priority="883" operator="greaterThan">
      <formula>120</formula>
    </cfRule>
    <cfRule type="containsText" dxfId="2" priority="179" operator="between" text="库存为">
      <formula>NOT(ISERROR(SEARCH("库存为",AU531)))</formula>
    </cfRule>
  </conditionalFormatting>
  <conditionalFormatting sqref="AU532">
    <cfRule type="cellIs" dxfId="0" priority="1586" operator="lessThan">
      <formula>20</formula>
    </cfRule>
    <cfRule type="cellIs" dxfId="1" priority="882" operator="greaterThan">
      <formula>120</formula>
    </cfRule>
    <cfRule type="containsText" dxfId="2" priority="178" operator="between" text="库存为">
      <formula>NOT(ISERROR(SEARCH("库存为",AU532)))</formula>
    </cfRule>
  </conditionalFormatting>
  <conditionalFormatting sqref="AU533">
    <cfRule type="cellIs" dxfId="0" priority="1585" operator="lessThan">
      <formula>20</formula>
    </cfRule>
    <cfRule type="cellIs" dxfId="1" priority="881" operator="greaterThan">
      <formula>120</formula>
    </cfRule>
    <cfRule type="containsText" dxfId="2" priority="177" operator="between" text="库存为">
      <formula>NOT(ISERROR(SEARCH("库存为",AU533)))</formula>
    </cfRule>
  </conditionalFormatting>
  <conditionalFormatting sqref="AU534">
    <cfRule type="cellIs" dxfId="0" priority="1584" operator="lessThan">
      <formula>20</formula>
    </cfRule>
    <cfRule type="cellIs" dxfId="1" priority="880" operator="greaterThan">
      <formula>120</formula>
    </cfRule>
    <cfRule type="containsText" dxfId="2" priority="176" operator="between" text="库存为">
      <formula>NOT(ISERROR(SEARCH("库存为",AU534)))</formula>
    </cfRule>
  </conditionalFormatting>
  <conditionalFormatting sqref="AU535">
    <cfRule type="cellIs" dxfId="0" priority="1583" operator="lessThan">
      <formula>20</formula>
    </cfRule>
    <cfRule type="cellIs" dxfId="1" priority="879" operator="greaterThan">
      <formula>120</formula>
    </cfRule>
    <cfRule type="containsText" dxfId="2" priority="175" operator="between" text="库存为">
      <formula>NOT(ISERROR(SEARCH("库存为",AU535)))</formula>
    </cfRule>
  </conditionalFormatting>
  <conditionalFormatting sqref="AU536">
    <cfRule type="cellIs" dxfId="0" priority="1582" operator="lessThan">
      <formula>20</formula>
    </cfRule>
    <cfRule type="cellIs" dxfId="1" priority="878" operator="greaterThan">
      <formula>120</formula>
    </cfRule>
    <cfRule type="containsText" dxfId="2" priority="174" operator="between" text="库存为">
      <formula>NOT(ISERROR(SEARCH("库存为",AU536)))</formula>
    </cfRule>
  </conditionalFormatting>
  <conditionalFormatting sqref="AU537">
    <cfRule type="cellIs" dxfId="0" priority="1581" operator="lessThan">
      <formula>20</formula>
    </cfRule>
    <cfRule type="cellIs" dxfId="1" priority="877" operator="greaterThan">
      <formula>120</formula>
    </cfRule>
    <cfRule type="containsText" dxfId="2" priority="173" operator="between" text="库存为">
      <formula>NOT(ISERROR(SEARCH("库存为",AU537)))</formula>
    </cfRule>
  </conditionalFormatting>
  <conditionalFormatting sqref="AU538">
    <cfRule type="cellIs" dxfId="0" priority="1580" operator="lessThan">
      <formula>20</formula>
    </cfRule>
    <cfRule type="cellIs" dxfId="1" priority="876" operator="greaterThan">
      <formula>120</formula>
    </cfRule>
    <cfRule type="containsText" dxfId="2" priority="172" operator="between" text="库存为">
      <formula>NOT(ISERROR(SEARCH("库存为",AU538)))</formula>
    </cfRule>
  </conditionalFormatting>
  <conditionalFormatting sqref="AU539">
    <cfRule type="cellIs" dxfId="0" priority="1579" operator="lessThan">
      <formula>20</formula>
    </cfRule>
    <cfRule type="cellIs" dxfId="1" priority="875" operator="greaterThan">
      <formula>120</formula>
    </cfRule>
    <cfRule type="containsText" dxfId="2" priority="171" operator="between" text="库存为">
      <formula>NOT(ISERROR(SEARCH("库存为",AU539)))</formula>
    </cfRule>
  </conditionalFormatting>
  <conditionalFormatting sqref="AU540">
    <cfRule type="cellIs" dxfId="0" priority="1578" operator="lessThan">
      <formula>20</formula>
    </cfRule>
    <cfRule type="cellIs" dxfId="1" priority="874" operator="greaterThan">
      <formula>120</formula>
    </cfRule>
    <cfRule type="containsText" dxfId="2" priority="170" operator="between" text="库存为">
      <formula>NOT(ISERROR(SEARCH("库存为",AU540)))</formula>
    </cfRule>
  </conditionalFormatting>
  <conditionalFormatting sqref="AU541">
    <cfRule type="cellIs" dxfId="0" priority="1577" operator="lessThan">
      <formula>20</formula>
    </cfRule>
    <cfRule type="cellIs" dxfId="1" priority="873" operator="greaterThan">
      <formula>120</formula>
    </cfRule>
    <cfRule type="containsText" dxfId="2" priority="169" operator="between" text="库存为">
      <formula>NOT(ISERROR(SEARCH("库存为",AU541)))</formula>
    </cfRule>
  </conditionalFormatting>
  <conditionalFormatting sqref="AU542">
    <cfRule type="cellIs" dxfId="0" priority="1576" operator="lessThan">
      <formula>20</formula>
    </cfRule>
    <cfRule type="cellIs" dxfId="1" priority="872" operator="greaterThan">
      <formula>120</formula>
    </cfRule>
    <cfRule type="containsText" dxfId="2" priority="168" operator="between" text="库存为">
      <formula>NOT(ISERROR(SEARCH("库存为",AU542)))</formula>
    </cfRule>
  </conditionalFormatting>
  <conditionalFormatting sqref="AU543">
    <cfRule type="cellIs" dxfId="0" priority="1575" operator="lessThan">
      <formula>20</formula>
    </cfRule>
    <cfRule type="cellIs" dxfId="1" priority="871" operator="greaterThan">
      <formula>120</formula>
    </cfRule>
    <cfRule type="containsText" dxfId="2" priority="167" operator="between" text="库存为">
      <formula>NOT(ISERROR(SEARCH("库存为",AU543)))</formula>
    </cfRule>
  </conditionalFormatting>
  <conditionalFormatting sqref="AU544">
    <cfRule type="cellIs" dxfId="0" priority="1574" operator="lessThan">
      <formula>20</formula>
    </cfRule>
    <cfRule type="cellIs" dxfId="1" priority="870" operator="greaterThan">
      <formula>120</formula>
    </cfRule>
    <cfRule type="containsText" dxfId="2" priority="166" operator="between" text="库存为">
      <formula>NOT(ISERROR(SEARCH("库存为",AU544)))</formula>
    </cfRule>
  </conditionalFormatting>
  <conditionalFormatting sqref="AU545">
    <cfRule type="cellIs" dxfId="0" priority="1573" operator="lessThan">
      <formula>20</formula>
    </cfRule>
    <cfRule type="cellIs" dxfId="1" priority="869" operator="greaterThan">
      <formula>120</formula>
    </cfRule>
    <cfRule type="containsText" dxfId="2" priority="165" operator="between" text="库存为">
      <formula>NOT(ISERROR(SEARCH("库存为",AU545)))</formula>
    </cfRule>
  </conditionalFormatting>
  <conditionalFormatting sqref="AU546">
    <cfRule type="cellIs" dxfId="0" priority="1572" operator="lessThan">
      <formula>20</formula>
    </cfRule>
    <cfRule type="cellIs" dxfId="1" priority="868" operator="greaterThan">
      <formula>120</formula>
    </cfRule>
    <cfRule type="containsText" dxfId="2" priority="164" operator="between" text="库存为">
      <formula>NOT(ISERROR(SEARCH("库存为",AU546)))</formula>
    </cfRule>
  </conditionalFormatting>
  <conditionalFormatting sqref="AU547">
    <cfRule type="cellIs" dxfId="0" priority="1571" operator="lessThan">
      <formula>20</formula>
    </cfRule>
    <cfRule type="cellIs" dxfId="1" priority="867" operator="greaterThan">
      <formula>120</formula>
    </cfRule>
    <cfRule type="containsText" dxfId="2" priority="163" operator="between" text="库存为">
      <formula>NOT(ISERROR(SEARCH("库存为",AU547)))</formula>
    </cfRule>
  </conditionalFormatting>
  <conditionalFormatting sqref="AU548">
    <cfRule type="cellIs" dxfId="0" priority="1570" operator="lessThan">
      <formula>20</formula>
    </cfRule>
    <cfRule type="cellIs" dxfId="1" priority="866" operator="greaterThan">
      <formula>120</formula>
    </cfRule>
    <cfRule type="containsText" dxfId="2" priority="162" operator="between" text="库存为">
      <formula>NOT(ISERROR(SEARCH("库存为",AU548)))</formula>
    </cfRule>
  </conditionalFormatting>
  <conditionalFormatting sqref="AU549">
    <cfRule type="cellIs" dxfId="0" priority="1569" operator="lessThan">
      <formula>20</formula>
    </cfRule>
    <cfRule type="cellIs" dxfId="1" priority="865" operator="greaterThan">
      <formula>120</formula>
    </cfRule>
    <cfRule type="containsText" dxfId="2" priority="161" operator="between" text="库存为">
      <formula>NOT(ISERROR(SEARCH("库存为",AU549)))</formula>
    </cfRule>
  </conditionalFormatting>
  <conditionalFormatting sqref="AU550">
    <cfRule type="cellIs" dxfId="0" priority="1568" operator="lessThan">
      <formula>20</formula>
    </cfRule>
    <cfRule type="cellIs" dxfId="1" priority="864" operator="greaterThan">
      <formula>120</formula>
    </cfRule>
    <cfRule type="containsText" dxfId="2" priority="160" operator="between" text="库存为">
      <formula>NOT(ISERROR(SEARCH("库存为",AU550)))</formula>
    </cfRule>
  </conditionalFormatting>
  <conditionalFormatting sqref="AU551">
    <cfRule type="cellIs" dxfId="0" priority="1567" operator="lessThan">
      <formula>20</formula>
    </cfRule>
    <cfRule type="cellIs" dxfId="1" priority="863" operator="greaterThan">
      <formula>120</formula>
    </cfRule>
    <cfRule type="containsText" dxfId="2" priority="159" operator="between" text="库存为">
      <formula>NOT(ISERROR(SEARCH("库存为",AU551)))</formula>
    </cfRule>
  </conditionalFormatting>
  <conditionalFormatting sqref="AU552">
    <cfRule type="cellIs" dxfId="0" priority="1566" operator="lessThan">
      <formula>20</formula>
    </cfRule>
    <cfRule type="cellIs" dxfId="1" priority="862" operator="greaterThan">
      <formula>120</formula>
    </cfRule>
    <cfRule type="containsText" dxfId="2" priority="158" operator="between" text="库存为">
      <formula>NOT(ISERROR(SEARCH("库存为",AU552)))</formula>
    </cfRule>
  </conditionalFormatting>
  <conditionalFormatting sqref="AU553">
    <cfRule type="cellIs" dxfId="0" priority="1565" operator="lessThan">
      <formula>20</formula>
    </cfRule>
    <cfRule type="cellIs" dxfId="1" priority="861" operator="greaterThan">
      <formula>120</formula>
    </cfRule>
    <cfRule type="containsText" dxfId="2" priority="157" operator="between" text="库存为">
      <formula>NOT(ISERROR(SEARCH("库存为",AU553)))</formula>
    </cfRule>
  </conditionalFormatting>
  <conditionalFormatting sqref="AU554">
    <cfRule type="cellIs" dxfId="0" priority="1564" operator="lessThan">
      <formula>20</formula>
    </cfRule>
    <cfRule type="cellIs" dxfId="1" priority="860" operator="greaterThan">
      <formula>120</formula>
    </cfRule>
    <cfRule type="containsText" dxfId="2" priority="156" operator="between" text="库存为">
      <formula>NOT(ISERROR(SEARCH("库存为",AU554)))</formula>
    </cfRule>
  </conditionalFormatting>
  <conditionalFormatting sqref="AU555">
    <cfRule type="cellIs" dxfId="0" priority="1563" operator="lessThan">
      <formula>20</formula>
    </cfRule>
    <cfRule type="cellIs" dxfId="1" priority="859" operator="greaterThan">
      <formula>120</formula>
    </cfRule>
    <cfRule type="containsText" dxfId="2" priority="155" operator="between" text="库存为">
      <formula>NOT(ISERROR(SEARCH("库存为",AU555)))</formula>
    </cfRule>
  </conditionalFormatting>
  <conditionalFormatting sqref="AU556">
    <cfRule type="cellIs" dxfId="0" priority="1562" operator="lessThan">
      <formula>20</formula>
    </cfRule>
    <cfRule type="cellIs" dxfId="1" priority="858" operator="greaterThan">
      <formula>120</formula>
    </cfRule>
    <cfRule type="containsText" dxfId="2" priority="154" operator="between" text="库存为">
      <formula>NOT(ISERROR(SEARCH("库存为",AU556)))</formula>
    </cfRule>
  </conditionalFormatting>
  <conditionalFormatting sqref="AU557">
    <cfRule type="cellIs" dxfId="0" priority="1561" operator="lessThan">
      <formula>20</formula>
    </cfRule>
    <cfRule type="cellIs" dxfId="1" priority="857" operator="greaterThan">
      <formula>120</formula>
    </cfRule>
    <cfRule type="containsText" dxfId="2" priority="153" operator="between" text="库存为">
      <formula>NOT(ISERROR(SEARCH("库存为",AU557)))</formula>
    </cfRule>
  </conditionalFormatting>
  <conditionalFormatting sqref="AU558">
    <cfRule type="cellIs" dxfId="0" priority="1560" operator="lessThan">
      <formula>20</formula>
    </cfRule>
    <cfRule type="cellIs" dxfId="1" priority="856" operator="greaterThan">
      <formula>120</formula>
    </cfRule>
    <cfRule type="containsText" dxfId="2" priority="152" operator="between" text="库存为">
      <formula>NOT(ISERROR(SEARCH("库存为",AU558)))</formula>
    </cfRule>
  </conditionalFormatting>
  <conditionalFormatting sqref="AU559">
    <cfRule type="cellIs" dxfId="0" priority="1559" operator="lessThan">
      <formula>20</formula>
    </cfRule>
    <cfRule type="cellIs" dxfId="1" priority="855" operator="greaterThan">
      <formula>120</formula>
    </cfRule>
    <cfRule type="containsText" dxfId="2" priority="151" operator="between" text="库存为">
      <formula>NOT(ISERROR(SEARCH("库存为",AU559)))</formula>
    </cfRule>
  </conditionalFormatting>
  <conditionalFormatting sqref="AU560">
    <cfRule type="cellIs" dxfId="0" priority="1558" operator="lessThan">
      <formula>20</formula>
    </cfRule>
    <cfRule type="cellIs" dxfId="1" priority="854" operator="greaterThan">
      <formula>120</formula>
    </cfRule>
    <cfRule type="containsText" dxfId="2" priority="150" operator="between" text="库存为">
      <formula>NOT(ISERROR(SEARCH("库存为",AU560)))</formula>
    </cfRule>
  </conditionalFormatting>
  <conditionalFormatting sqref="AU561">
    <cfRule type="cellIs" dxfId="0" priority="1557" operator="lessThan">
      <formula>20</formula>
    </cfRule>
    <cfRule type="cellIs" dxfId="1" priority="853" operator="greaterThan">
      <formula>120</formula>
    </cfRule>
    <cfRule type="containsText" dxfId="2" priority="149" operator="between" text="库存为">
      <formula>NOT(ISERROR(SEARCH("库存为",AU561)))</formula>
    </cfRule>
  </conditionalFormatting>
  <conditionalFormatting sqref="AU562">
    <cfRule type="cellIs" dxfId="0" priority="1556" operator="lessThan">
      <formula>20</formula>
    </cfRule>
    <cfRule type="cellIs" dxfId="1" priority="852" operator="greaterThan">
      <formula>120</formula>
    </cfRule>
    <cfRule type="containsText" dxfId="2" priority="148" operator="between" text="库存为">
      <formula>NOT(ISERROR(SEARCH("库存为",AU562)))</formula>
    </cfRule>
  </conditionalFormatting>
  <conditionalFormatting sqref="AU563">
    <cfRule type="cellIs" dxfId="0" priority="1555" operator="lessThan">
      <formula>20</formula>
    </cfRule>
    <cfRule type="cellIs" dxfId="1" priority="851" operator="greaterThan">
      <formula>120</formula>
    </cfRule>
    <cfRule type="containsText" dxfId="2" priority="147" operator="between" text="库存为">
      <formula>NOT(ISERROR(SEARCH("库存为",AU563)))</formula>
    </cfRule>
  </conditionalFormatting>
  <conditionalFormatting sqref="AU564">
    <cfRule type="cellIs" dxfId="0" priority="1554" operator="lessThan">
      <formula>20</formula>
    </cfRule>
    <cfRule type="cellIs" dxfId="1" priority="850" operator="greaterThan">
      <formula>120</formula>
    </cfRule>
    <cfRule type="containsText" dxfId="2" priority="146" operator="between" text="库存为">
      <formula>NOT(ISERROR(SEARCH("库存为",AU564)))</formula>
    </cfRule>
  </conditionalFormatting>
  <conditionalFormatting sqref="AU565">
    <cfRule type="cellIs" dxfId="0" priority="1553" operator="lessThan">
      <formula>20</formula>
    </cfRule>
    <cfRule type="cellIs" dxfId="1" priority="849" operator="greaterThan">
      <formula>120</formula>
    </cfRule>
    <cfRule type="containsText" dxfId="2" priority="145" operator="between" text="库存为">
      <formula>NOT(ISERROR(SEARCH("库存为",AU565)))</formula>
    </cfRule>
  </conditionalFormatting>
  <conditionalFormatting sqref="AU566">
    <cfRule type="cellIs" dxfId="0" priority="1552" operator="lessThan">
      <formula>20</formula>
    </cfRule>
    <cfRule type="cellIs" dxfId="1" priority="848" operator="greaterThan">
      <formula>120</formula>
    </cfRule>
    <cfRule type="containsText" dxfId="2" priority="144" operator="between" text="库存为">
      <formula>NOT(ISERROR(SEARCH("库存为",AU566)))</formula>
    </cfRule>
  </conditionalFormatting>
  <conditionalFormatting sqref="AU567">
    <cfRule type="cellIs" dxfId="0" priority="1551" operator="lessThan">
      <formula>20</formula>
    </cfRule>
    <cfRule type="cellIs" dxfId="1" priority="847" operator="greaterThan">
      <formula>120</formula>
    </cfRule>
    <cfRule type="containsText" dxfId="2" priority="143" operator="between" text="库存为">
      <formula>NOT(ISERROR(SEARCH("库存为",AU567)))</formula>
    </cfRule>
  </conditionalFormatting>
  <conditionalFormatting sqref="AU568">
    <cfRule type="cellIs" dxfId="0" priority="1550" operator="lessThan">
      <formula>20</formula>
    </cfRule>
    <cfRule type="cellIs" dxfId="1" priority="846" operator="greaterThan">
      <formula>120</formula>
    </cfRule>
    <cfRule type="containsText" dxfId="2" priority="142" operator="between" text="库存为">
      <formula>NOT(ISERROR(SEARCH("库存为",AU568)))</formula>
    </cfRule>
  </conditionalFormatting>
  <conditionalFormatting sqref="AU569">
    <cfRule type="cellIs" dxfId="0" priority="1549" operator="lessThan">
      <formula>20</formula>
    </cfRule>
    <cfRule type="cellIs" dxfId="1" priority="845" operator="greaterThan">
      <formula>120</formula>
    </cfRule>
    <cfRule type="containsText" dxfId="2" priority="141" operator="between" text="库存为">
      <formula>NOT(ISERROR(SEARCH("库存为",AU569)))</formula>
    </cfRule>
  </conditionalFormatting>
  <conditionalFormatting sqref="AU570">
    <cfRule type="cellIs" dxfId="0" priority="1548" operator="lessThan">
      <formula>20</formula>
    </cfRule>
    <cfRule type="cellIs" dxfId="1" priority="844" operator="greaterThan">
      <formula>120</formula>
    </cfRule>
    <cfRule type="containsText" dxfId="2" priority="140" operator="between" text="库存为">
      <formula>NOT(ISERROR(SEARCH("库存为",AU570)))</formula>
    </cfRule>
  </conditionalFormatting>
  <conditionalFormatting sqref="AU571">
    <cfRule type="cellIs" dxfId="0" priority="1547" operator="lessThan">
      <formula>20</formula>
    </cfRule>
    <cfRule type="cellIs" dxfId="1" priority="843" operator="greaterThan">
      <formula>120</formula>
    </cfRule>
    <cfRule type="containsText" dxfId="2" priority="139" operator="between" text="库存为">
      <formula>NOT(ISERROR(SEARCH("库存为",AU571)))</formula>
    </cfRule>
  </conditionalFormatting>
  <conditionalFormatting sqref="AU572">
    <cfRule type="cellIs" dxfId="0" priority="1546" operator="lessThan">
      <formula>20</formula>
    </cfRule>
    <cfRule type="cellIs" dxfId="1" priority="842" operator="greaterThan">
      <formula>120</formula>
    </cfRule>
    <cfRule type="containsText" dxfId="2" priority="138" operator="between" text="库存为">
      <formula>NOT(ISERROR(SEARCH("库存为",AU572)))</formula>
    </cfRule>
  </conditionalFormatting>
  <conditionalFormatting sqref="AU573">
    <cfRule type="cellIs" dxfId="0" priority="1545" operator="lessThan">
      <formula>20</formula>
    </cfRule>
    <cfRule type="cellIs" dxfId="1" priority="841" operator="greaterThan">
      <formula>120</formula>
    </cfRule>
    <cfRule type="containsText" dxfId="2" priority="137" operator="between" text="库存为">
      <formula>NOT(ISERROR(SEARCH("库存为",AU573)))</formula>
    </cfRule>
  </conditionalFormatting>
  <conditionalFormatting sqref="AU574">
    <cfRule type="cellIs" dxfId="0" priority="1544" operator="lessThan">
      <formula>20</formula>
    </cfRule>
    <cfRule type="cellIs" dxfId="1" priority="840" operator="greaterThan">
      <formula>120</formula>
    </cfRule>
    <cfRule type="containsText" dxfId="2" priority="136" operator="between" text="库存为">
      <formula>NOT(ISERROR(SEARCH("库存为",AU574)))</formula>
    </cfRule>
  </conditionalFormatting>
  <conditionalFormatting sqref="AU575">
    <cfRule type="cellIs" dxfId="0" priority="1543" operator="lessThan">
      <formula>20</formula>
    </cfRule>
    <cfRule type="cellIs" dxfId="1" priority="839" operator="greaterThan">
      <formula>120</formula>
    </cfRule>
    <cfRule type="containsText" dxfId="2" priority="135" operator="between" text="库存为">
      <formula>NOT(ISERROR(SEARCH("库存为",AU575)))</formula>
    </cfRule>
  </conditionalFormatting>
  <conditionalFormatting sqref="AU576">
    <cfRule type="cellIs" dxfId="0" priority="1542" operator="lessThan">
      <formula>20</formula>
    </cfRule>
    <cfRule type="cellIs" dxfId="1" priority="838" operator="greaterThan">
      <formula>120</formula>
    </cfRule>
    <cfRule type="containsText" dxfId="2" priority="134" operator="between" text="库存为">
      <formula>NOT(ISERROR(SEARCH("库存为",AU576)))</formula>
    </cfRule>
  </conditionalFormatting>
  <conditionalFormatting sqref="AU577">
    <cfRule type="cellIs" dxfId="0" priority="1541" operator="lessThan">
      <formula>20</formula>
    </cfRule>
    <cfRule type="cellIs" dxfId="1" priority="837" operator="greaterThan">
      <formula>120</formula>
    </cfRule>
    <cfRule type="containsText" dxfId="2" priority="133" operator="between" text="库存为">
      <formula>NOT(ISERROR(SEARCH("库存为",AU577)))</formula>
    </cfRule>
  </conditionalFormatting>
  <conditionalFormatting sqref="AU578">
    <cfRule type="cellIs" dxfId="0" priority="1540" operator="lessThan">
      <formula>20</formula>
    </cfRule>
    <cfRule type="cellIs" dxfId="1" priority="836" operator="greaterThan">
      <formula>120</formula>
    </cfRule>
    <cfRule type="containsText" dxfId="2" priority="132" operator="between" text="库存为">
      <formula>NOT(ISERROR(SEARCH("库存为",AU578)))</formula>
    </cfRule>
  </conditionalFormatting>
  <conditionalFormatting sqref="AU579">
    <cfRule type="cellIs" dxfId="0" priority="1539" operator="lessThan">
      <formula>20</formula>
    </cfRule>
    <cfRule type="cellIs" dxfId="1" priority="835" operator="greaterThan">
      <formula>120</formula>
    </cfRule>
    <cfRule type="containsText" dxfId="2" priority="131" operator="between" text="库存为">
      <formula>NOT(ISERROR(SEARCH("库存为",AU579)))</formula>
    </cfRule>
  </conditionalFormatting>
  <conditionalFormatting sqref="AU580">
    <cfRule type="cellIs" dxfId="0" priority="1538" operator="lessThan">
      <formula>20</formula>
    </cfRule>
    <cfRule type="cellIs" dxfId="1" priority="834" operator="greaterThan">
      <formula>120</formula>
    </cfRule>
    <cfRule type="containsText" dxfId="2" priority="130" operator="between" text="库存为">
      <formula>NOT(ISERROR(SEARCH("库存为",AU580)))</formula>
    </cfRule>
  </conditionalFormatting>
  <conditionalFormatting sqref="AU581">
    <cfRule type="cellIs" dxfId="0" priority="1537" operator="lessThan">
      <formula>20</formula>
    </cfRule>
    <cfRule type="cellIs" dxfId="1" priority="833" operator="greaterThan">
      <formula>120</formula>
    </cfRule>
    <cfRule type="containsText" dxfId="2" priority="129" operator="between" text="库存为">
      <formula>NOT(ISERROR(SEARCH("库存为",AU581)))</formula>
    </cfRule>
  </conditionalFormatting>
  <conditionalFormatting sqref="AU582">
    <cfRule type="cellIs" dxfId="0" priority="1536" operator="lessThan">
      <formula>20</formula>
    </cfRule>
    <cfRule type="cellIs" dxfId="1" priority="832" operator="greaterThan">
      <formula>120</formula>
    </cfRule>
    <cfRule type="containsText" dxfId="2" priority="128" operator="between" text="库存为">
      <formula>NOT(ISERROR(SEARCH("库存为",AU582)))</formula>
    </cfRule>
  </conditionalFormatting>
  <conditionalFormatting sqref="AU583">
    <cfRule type="cellIs" dxfId="0" priority="1535" operator="lessThan">
      <formula>20</formula>
    </cfRule>
    <cfRule type="cellIs" dxfId="1" priority="831" operator="greaterThan">
      <formula>120</formula>
    </cfRule>
    <cfRule type="containsText" dxfId="2" priority="127" operator="between" text="库存为">
      <formula>NOT(ISERROR(SEARCH("库存为",AU583)))</formula>
    </cfRule>
  </conditionalFormatting>
  <conditionalFormatting sqref="AU584">
    <cfRule type="cellIs" dxfId="0" priority="1534" operator="lessThan">
      <formula>20</formula>
    </cfRule>
    <cfRule type="cellIs" dxfId="1" priority="830" operator="greaterThan">
      <formula>120</formula>
    </cfRule>
    <cfRule type="containsText" dxfId="2" priority="126" operator="between" text="库存为">
      <formula>NOT(ISERROR(SEARCH("库存为",AU584)))</formula>
    </cfRule>
  </conditionalFormatting>
  <conditionalFormatting sqref="AU585">
    <cfRule type="cellIs" dxfId="0" priority="1533" operator="lessThan">
      <formula>20</formula>
    </cfRule>
    <cfRule type="cellIs" dxfId="1" priority="829" operator="greaterThan">
      <formula>120</formula>
    </cfRule>
    <cfRule type="containsText" dxfId="2" priority="125" operator="between" text="库存为">
      <formula>NOT(ISERROR(SEARCH("库存为",AU585)))</formula>
    </cfRule>
  </conditionalFormatting>
  <conditionalFormatting sqref="AU586">
    <cfRule type="cellIs" dxfId="0" priority="1532" operator="lessThan">
      <formula>20</formula>
    </cfRule>
    <cfRule type="cellIs" dxfId="1" priority="828" operator="greaterThan">
      <formula>120</formula>
    </cfRule>
    <cfRule type="containsText" dxfId="2" priority="124" operator="between" text="库存为">
      <formula>NOT(ISERROR(SEARCH("库存为",AU586)))</formula>
    </cfRule>
  </conditionalFormatting>
  <conditionalFormatting sqref="AU587">
    <cfRule type="cellIs" dxfId="0" priority="1531" operator="lessThan">
      <formula>20</formula>
    </cfRule>
    <cfRule type="cellIs" dxfId="1" priority="827" operator="greaterThan">
      <formula>120</formula>
    </cfRule>
    <cfRule type="containsText" dxfId="2" priority="123" operator="between" text="库存为">
      <formula>NOT(ISERROR(SEARCH("库存为",AU587)))</formula>
    </cfRule>
  </conditionalFormatting>
  <conditionalFormatting sqref="AU588">
    <cfRule type="cellIs" dxfId="0" priority="1530" operator="lessThan">
      <formula>20</formula>
    </cfRule>
    <cfRule type="cellIs" dxfId="1" priority="826" operator="greaterThan">
      <formula>120</formula>
    </cfRule>
    <cfRule type="containsText" dxfId="2" priority="122" operator="between" text="库存为">
      <formula>NOT(ISERROR(SEARCH("库存为",AU588)))</formula>
    </cfRule>
  </conditionalFormatting>
  <conditionalFormatting sqref="AU589">
    <cfRule type="cellIs" dxfId="0" priority="1529" operator="lessThan">
      <formula>20</formula>
    </cfRule>
    <cfRule type="cellIs" dxfId="1" priority="825" operator="greaterThan">
      <formula>120</formula>
    </cfRule>
    <cfRule type="containsText" dxfId="2" priority="121" operator="between" text="库存为">
      <formula>NOT(ISERROR(SEARCH("库存为",AU589)))</formula>
    </cfRule>
  </conditionalFormatting>
  <conditionalFormatting sqref="AU590">
    <cfRule type="cellIs" dxfId="0" priority="1528" operator="lessThan">
      <formula>20</formula>
    </cfRule>
    <cfRule type="cellIs" dxfId="1" priority="824" operator="greaterThan">
      <formula>120</formula>
    </cfRule>
    <cfRule type="containsText" dxfId="2" priority="120" operator="between" text="库存为">
      <formula>NOT(ISERROR(SEARCH("库存为",AU590)))</formula>
    </cfRule>
  </conditionalFormatting>
  <conditionalFormatting sqref="AU591">
    <cfRule type="cellIs" dxfId="0" priority="1527" operator="lessThan">
      <formula>20</formula>
    </cfRule>
    <cfRule type="cellIs" dxfId="1" priority="823" operator="greaterThan">
      <formula>120</formula>
    </cfRule>
    <cfRule type="containsText" dxfId="2" priority="119" operator="between" text="库存为">
      <formula>NOT(ISERROR(SEARCH("库存为",AU591)))</formula>
    </cfRule>
  </conditionalFormatting>
  <conditionalFormatting sqref="AU592">
    <cfRule type="cellIs" dxfId="0" priority="1526" operator="lessThan">
      <formula>20</formula>
    </cfRule>
    <cfRule type="cellIs" dxfId="1" priority="822" operator="greaterThan">
      <formula>120</formula>
    </cfRule>
    <cfRule type="containsText" dxfId="2" priority="118" operator="between" text="库存为">
      <formula>NOT(ISERROR(SEARCH("库存为",AU592)))</formula>
    </cfRule>
  </conditionalFormatting>
  <conditionalFormatting sqref="AU593">
    <cfRule type="cellIs" dxfId="0" priority="1525" operator="lessThan">
      <formula>20</formula>
    </cfRule>
    <cfRule type="cellIs" dxfId="1" priority="821" operator="greaterThan">
      <formula>120</formula>
    </cfRule>
    <cfRule type="containsText" dxfId="2" priority="117" operator="between" text="库存为">
      <formula>NOT(ISERROR(SEARCH("库存为",AU593)))</formula>
    </cfRule>
  </conditionalFormatting>
  <conditionalFormatting sqref="AU594">
    <cfRule type="cellIs" dxfId="0" priority="1524" operator="lessThan">
      <formula>20</formula>
    </cfRule>
    <cfRule type="cellIs" dxfId="1" priority="820" operator="greaterThan">
      <formula>120</formula>
    </cfRule>
    <cfRule type="containsText" dxfId="2" priority="116" operator="between" text="库存为">
      <formula>NOT(ISERROR(SEARCH("库存为",AU594)))</formula>
    </cfRule>
  </conditionalFormatting>
  <conditionalFormatting sqref="AU595">
    <cfRule type="cellIs" dxfId="0" priority="1523" operator="lessThan">
      <formula>20</formula>
    </cfRule>
    <cfRule type="cellIs" dxfId="1" priority="819" operator="greaterThan">
      <formula>120</formula>
    </cfRule>
    <cfRule type="containsText" dxfId="2" priority="115" operator="between" text="库存为">
      <formula>NOT(ISERROR(SEARCH("库存为",AU595)))</formula>
    </cfRule>
  </conditionalFormatting>
  <conditionalFormatting sqref="AU596">
    <cfRule type="cellIs" dxfId="0" priority="1522" operator="lessThan">
      <formula>20</formula>
    </cfRule>
    <cfRule type="cellIs" dxfId="1" priority="818" operator="greaterThan">
      <formula>120</formula>
    </cfRule>
    <cfRule type="containsText" dxfId="2" priority="114" operator="between" text="库存为">
      <formula>NOT(ISERROR(SEARCH("库存为",AU596)))</formula>
    </cfRule>
  </conditionalFormatting>
  <conditionalFormatting sqref="AU597">
    <cfRule type="cellIs" dxfId="0" priority="1521" operator="lessThan">
      <formula>20</formula>
    </cfRule>
    <cfRule type="cellIs" dxfId="1" priority="817" operator="greaterThan">
      <formula>120</formula>
    </cfRule>
    <cfRule type="containsText" dxfId="2" priority="113" operator="between" text="库存为">
      <formula>NOT(ISERROR(SEARCH("库存为",AU597)))</formula>
    </cfRule>
  </conditionalFormatting>
  <conditionalFormatting sqref="AU598">
    <cfRule type="cellIs" dxfId="0" priority="1520" operator="lessThan">
      <formula>20</formula>
    </cfRule>
    <cfRule type="cellIs" dxfId="1" priority="816" operator="greaterThan">
      <formula>120</formula>
    </cfRule>
    <cfRule type="containsText" dxfId="2" priority="112" operator="between" text="库存为">
      <formula>NOT(ISERROR(SEARCH("库存为",AU598)))</formula>
    </cfRule>
  </conditionalFormatting>
  <conditionalFormatting sqref="AU599">
    <cfRule type="cellIs" dxfId="0" priority="1519" operator="lessThan">
      <formula>20</formula>
    </cfRule>
    <cfRule type="cellIs" dxfId="1" priority="815" operator="greaterThan">
      <formula>120</formula>
    </cfRule>
    <cfRule type="containsText" dxfId="2" priority="111" operator="between" text="库存为">
      <formula>NOT(ISERROR(SEARCH("库存为",AU599)))</formula>
    </cfRule>
  </conditionalFormatting>
  <conditionalFormatting sqref="AU600">
    <cfRule type="cellIs" dxfId="0" priority="1518" operator="lessThan">
      <formula>20</formula>
    </cfRule>
    <cfRule type="cellIs" dxfId="1" priority="814" operator="greaterThan">
      <formula>120</formula>
    </cfRule>
    <cfRule type="containsText" dxfId="2" priority="110" operator="between" text="库存为">
      <formula>NOT(ISERROR(SEARCH("库存为",AU600)))</formula>
    </cfRule>
  </conditionalFormatting>
  <conditionalFormatting sqref="AU601">
    <cfRule type="cellIs" dxfId="0" priority="1517" operator="lessThan">
      <formula>20</formula>
    </cfRule>
    <cfRule type="cellIs" dxfId="1" priority="813" operator="greaterThan">
      <formula>120</formula>
    </cfRule>
    <cfRule type="containsText" dxfId="2" priority="109" operator="between" text="库存为">
      <formula>NOT(ISERROR(SEARCH("库存为",AU601)))</formula>
    </cfRule>
  </conditionalFormatting>
  <conditionalFormatting sqref="AU602">
    <cfRule type="cellIs" dxfId="0" priority="1516" operator="lessThan">
      <formula>20</formula>
    </cfRule>
    <cfRule type="cellIs" dxfId="1" priority="812" operator="greaterThan">
      <formula>120</formula>
    </cfRule>
    <cfRule type="containsText" dxfId="2" priority="108" operator="between" text="库存为">
      <formula>NOT(ISERROR(SEARCH("库存为",AU602)))</formula>
    </cfRule>
  </conditionalFormatting>
  <conditionalFormatting sqref="AU603">
    <cfRule type="cellIs" dxfId="0" priority="1515" operator="lessThan">
      <formula>20</formula>
    </cfRule>
    <cfRule type="cellIs" dxfId="1" priority="811" operator="greaterThan">
      <formula>120</formula>
    </cfRule>
    <cfRule type="containsText" dxfId="2" priority="107" operator="between" text="库存为">
      <formula>NOT(ISERROR(SEARCH("库存为",AU603)))</formula>
    </cfRule>
  </conditionalFormatting>
  <conditionalFormatting sqref="AU604">
    <cfRule type="cellIs" dxfId="0" priority="1514" operator="lessThan">
      <formula>20</formula>
    </cfRule>
    <cfRule type="cellIs" dxfId="1" priority="810" operator="greaterThan">
      <formula>120</formula>
    </cfRule>
    <cfRule type="containsText" dxfId="2" priority="106" operator="between" text="库存为">
      <formula>NOT(ISERROR(SEARCH("库存为",AU604)))</formula>
    </cfRule>
  </conditionalFormatting>
  <conditionalFormatting sqref="AU605">
    <cfRule type="cellIs" dxfId="0" priority="1513" operator="lessThan">
      <formula>20</formula>
    </cfRule>
    <cfRule type="cellIs" dxfId="1" priority="809" operator="greaterThan">
      <formula>120</formula>
    </cfRule>
    <cfRule type="containsText" dxfId="2" priority="105" operator="between" text="库存为">
      <formula>NOT(ISERROR(SEARCH("库存为",AU605)))</formula>
    </cfRule>
  </conditionalFormatting>
  <conditionalFormatting sqref="AU606">
    <cfRule type="cellIs" dxfId="0" priority="1512" operator="lessThan">
      <formula>20</formula>
    </cfRule>
    <cfRule type="cellIs" dxfId="1" priority="808" operator="greaterThan">
      <formula>120</formula>
    </cfRule>
    <cfRule type="containsText" dxfId="2" priority="104" operator="between" text="库存为">
      <formula>NOT(ISERROR(SEARCH("库存为",AU606)))</formula>
    </cfRule>
  </conditionalFormatting>
  <conditionalFormatting sqref="AU607">
    <cfRule type="cellIs" dxfId="0" priority="1511" operator="lessThan">
      <formula>20</formula>
    </cfRule>
    <cfRule type="cellIs" dxfId="1" priority="807" operator="greaterThan">
      <formula>120</formula>
    </cfRule>
    <cfRule type="containsText" dxfId="2" priority="103" operator="between" text="库存为">
      <formula>NOT(ISERROR(SEARCH("库存为",AU607)))</formula>
    </cfRule>
  </conditionalFormatting>
  <conditionalFormatting sqref="AU608">
    <cfRule type="cellIs" dxfId="0" priority="1510" operator="lessThan">
      <formula>20</formula>
    </cfRule>
    <cfRule type="cellIs" dxfId="1" priority="806" operator="greaterThan">
      <formula>120</formula>
    </cfRule>
    <cfRule type="containsText" dxfId="2" priority="102" operator="between" text="库存为">
      <formula>NOT(ISERROR(SEARCH("库存为",AU608)))</formula>
    </cfRule>
  </conditionalFormatting>
  <conditionalFormatting sqref="AU609">
    <cfRule type="cellIs" dxfId="0" priority="1509" operator="lessThan">
      <formula>20</formula>
    </cfRule>
    <cfRule type="cellIs" dxfId="1" priority="805" operator="greaterThan">
      <formula>120</formula>
    </cfRule>
    <cfRule type="containsText" dxfId="2" priority="101" operator="between" text="库存为">
      <formula>NOT(ISERROR(SEARCH("库存为",AU609)))</formula>
    </cfRule>
  </conditionalFormatting>
  <conditionalFormatting sqref="AU610">
    <cfRule type="cellIs" dxfId="0" priority="1508" operator="lessThan">
      <formula>20</formula>
    </cfRule>
    <cfRule type="cellIs" dxfId="1" priority="804" operator="greaterThan">
      <formula>120</formula>
    </cfRule>
    <cfRule type="containsText" dxfId="2" priority="100" operator="between" text="库存为">
      <formula>NOT(ISERROR(SEARCH("库存为",AU610)))</formula>
    </cfRule>
  </conditionalFormatting>
  <conditionalFormatting sqref="AU611">
    <cfRule type="cellIs" dxfId="0" priority="1507" operator="lessThan">
      <formula>20</formula>
    </cfRule>
    <cfRule type="cellIs" dxfId="1" priority="803" operator="greaterThan">
      <formula>120</formula>
    </cfRule>
    <cfRule type="containsText" dxfId="2" priority="99" operator="between" text="库存为">
      <formula>NOT(ISERROR(SEARCH("库存为",AU611)))</formula>
    </cfRule>
  </conditionalFormatting>
  <conditionalFormatting sqref="AU612">
    <cfRule type="cellIs" dxfId="0" priority="1506" operator="lessThan">
      <formula>20</formula>
    </cfRule>
    <cfRule type="cellIs" dxfId="1" priority="802" operator="greaterThan">
      <formula>120</formula>
    </cfRule>
    <cfRule type="containsText" dxfId="2" priority="98" operator="between" text="库存为">
      <formula>NOT(ISERROR(SEARCH("库存为",AU612)))</formula>
    </cfRule>
  </conditionalFormatting>
  <conditionalFormatting sqref="AU613">
    <cfRule type="cellIs" dxfId="0" priority="1505" operator="lessThan">
      <formula>20</formula>
    </cfRule>
    <cfRule type="cellIs" dxfId="1" priority="801" operator="greaterThan">
      <formula>120</formula>
    </cfRule>
    <cfRule type="containsText" dxfId="2" priority="97" operator="between" text="库存为">
      <formula>NOT(ISERROR(SEARCH("库存为",AU613)))</formula>
    </cfRule>
  </conditionalFormatting>
  <conditionalFormatting sqref="AU614">
    <cfRule type="cellIs" dxfId="0" priority="1504" operator="lessThan">
      <formula>20</formula>
    </cfRule>
    <cfRule type="cellIs" dxfId="1" priority="800" operator="greaterThan">
      <formula>120</formula>
    </cfRule>
    <cfRule type="containsText" dxfId="2" priority="96" operator="between" text="库存为">
      <formula>NOT(ISERROR(SEARCH("库存为",AU614)))</formula>
    </cfRule>
  </conditionalFormatting>
  <conditionalFormatting sqref="AU615">
    <cfRule type="cellIs" dxfId="0" priority="1503" operator="lessThan">
      <formula>20</formula>
    </cfRule>
    <cfRule type="cellIs" dxfId="1" priority="799" operator="greaterThan">
      <formula>120</formula>
    </cfRule>
    <cfRule type="containsText" dxfId="2" priority="95" operator="between" text="库存为">
      <formula>NOT(ISERROR(SEARCH("库存为",AU615)))</formula>
    </cfRule>
  </conditionalFormatting>
  <conditionalFormatting sqref="AU616">
    <cfRule type="cellIs" dxfId="0" priority="1502" operator="lessThan">
      <formula>20</formula>
    </cfRule>
    <cfRule type="cellIs" dxfId="1" priority="798" operator="greaterThan">
      <formula>120</formula>
    </cfRule>
    <cfRule type="containsText" dxfId="2" priority="94" operator="between" text="库存为">
      <formula>NOT(ISERROR(SEARCH("库存为",AU616)))</formula>
    </cfRule>
  </conditionalFormatting>
  <conditionalFormatting sqref="AU617">
    <cfRule type="cellIs" dxfId="0" priority="1501" operator="lessThan">
      <formula>20</formula>
    </cfRule>
    <cfRule type="cellIs" dxfId="1" priority="797" operator="greaterThan">
      <formula>120</formula>
    </cfRule>
    <cfRule type="containsText" dxfId="2" priority="93" operator="between" text="库存为">
      <formula>NOT(ISERROR(SEARCH("库存为",AU617)))</formula>
    </cfRule>
  </conditionalFormatting>
  <conditionalFormatting sqref="AU618">
    <cfRule type="cellIs" dxfId="0" priority="1500" operator="lessThan">
      <formula>20</formula>
    </cfRule>
    <cfRule type="cellIs" dxfId="1" priority="796" operator="greaterThan">
      <formula>120</formula>
    </cfRule>
    <cfRule type="containsText" dxfId="2" priority="92" operator="between" text="库存为">
      <formula>NOT(ISERROR(SEARCH("库存为",AU618)))</formula>
    </cfRule>
  </conditionalFormatting>
  <conditionalFormatting sqref="AU619">
    <cfRule type="cellIs" dxfId="0" priority="1499" operator="lessThan">
      <formula>20</formula>
    </cfRule>
    <cfRule type="cellIs" dxfId="1" priority="795" operator="greaterThan">
      <formula>120</formula>
    </cfRule>
    <cfRule type="containsText" dxfId="2" priority="91" operator="between" text="库存为">
      <formula>NOT(ISERROR(SEARCH("库存为",AU619)))</formula>
    </cfRule>
  </conditionalFormatting>
  <conditionalFormatting sqref="AU620">
    <cfRule type="cellIs" dxfId="0" priority="1498" operator="lessThan">
      <formula>20</formula>
    </cfRule>
    <cfRule type="cellIs" dxfId="1" priority="794" operator="greaterThan">
      <formula>120</formula>
    </cfRule>
    <cfRule type="containsText" dxfId="2" priority="90" operator="between" text="库存为">
      <formula>NOT(ISERROR(SEARCH("库存为",AU620)))</formula>
    </cfRule>
  </conditionalFormatting>
  <conditionalFormatting sqref="AU621">
    <cfRule type="cellIs" dxfId="0" priority="1497" operator="lessThan">
      <formula>20</formula>
    </cfRule>
    <cfRule type="cellIs" dxfId="1" priority="793" operator="greaterThan">
      <formula>120</formula>
    </cfRule>
    <cfRule type="containsText" dxfId="2" priority="89" operator="between" text="库存为">
      <formula>NOT(ISERROR(SEARCH("库存为",AU621)))</formula>
    </cfRule>
  </conditionalFormatting>
  <conditionalFormatting sqref="AU622">
    <cfRule type="cellIs" dxfId="0" priority="1496" operator="lessThan">
      <formula>20</formula>
    </cfRule>
    <cfRule type="cellIs" dxfId="1" priority="792" operator="greaterThan">
      <formula>120</formula>
    </cfRule>
    <cfRule type="containsText" dxfId="2" priority="88" operator="between" text="库存为">
      <formula>NOT(ISERROR(SEARCH("库存为",AU622)))</formula>
    </cfRule>
  </conditionalFormatting>
  <conditionalFormatting sqref="AU623">
    <cfRule type="cellIs" dxfId="0" priority="1495" operator="lessThan">
      <formula>20</formula>
    </cfRule>
    <cfRule type="cellIs" dxfId="1" priority="791" operator="greaterThan">
      <formula>120</formula>
    </cfRule>
    <cfRule type="containsText" dxfId="2" priority="87" operator="between" text="库存为">
      <formula>NOT(ISERROR(SEARCH("库存为",AU623)))</formula>
    </cfRule>
  </conditionalFormatting>
  <conditionalFormatting sqref="AU624">
    <cfRule type="cellIs" dxfId="0" priority="1494" operator="lessThan">
      <formula>20</formula>
    </cfRule>
    <cfRule type="cellIs" dxfId="1" priority="790" operator="greaterThan">
      <formula>120</formula>
    </cfRule>
    <cfRule type="containsText" dxfId="2" priority="86" operator="between" text="库存为">
      <formula>NOT(ISERROR(SEARCH("库存为",AU624)))</formula>
    </cfRule>
  </conditionalFormatting>
  <conditionalFormatting sqref="AU625">
    <cfRule type="cellIs" dxfId="0" priority="1493" operator="lessThan">
      <formula>20</formula>
    </cfRule>
    <cfRule type="cellIs" dxfId="1" priority="789" operator="greaterThan">
      <formula>120</formula>
    </cfRule>
    <cfRule type="containsText" dxfId="2" priority="85" operator="between" text="库存为">
      <formula>NOT(ISERROR(SEARCH("库存为",AU625)))</formula>
    </cfRule>
  </conditionalFormatting>
  <conditionalFormatting sqref="AU626">
    <cfRule type="cellIs" dxfId="0" priority="1492" operator="lessThan">
      <formula>20</formula>
    </cfRule>
    <cfRule type="cellIs" dxfId="1" priority="788" operator="greaterThan">
      <formula>120</formula>
    </cfRule>
    <cfRule type="containsText" dxfId="2" priority="84" operator="between" text="库存为">
      <formula>NOT(ISERROR(SEARCH("库存为",AU626)))</formula>
    </cfRule>
  </conditionalFormatting>
  <conditionalFormatting sqref="AU627">
    <cfRule type="cellIs" dxfId="0" priority="1491" operator="lessThan">
      <formula>20</formula>
    </cfRule>
    <cfRule type="cellIs" dxfId="1" priority="787" operator="greaterThan">
      <formula>120</formula>
    </cfRule>
    <cfRule type="containsText" dxfId="2" priority="83" operator="between" text="库存为">
      <formula>NOT(ISERROR(SEARCH("库存为",AU627)))</formula>
    </cfRule>
  </conditionalFormatting>
  <conditionalFormatting sqref="AU628">
    <cfRule type="cellIs" dxfId="0" priority="1490" operator="lessThan">
      <formula>20</formula>
    </cfRule>
    <cfRule type="cellIs" dxfId="1" priority="786" operator="greaterThan">
      <formula>120</formula>
    </cfRule>
    <cfRule type="containsText" dxfId="2" priority="82" operator="between" text="库存为">
      <formula>NOT(ISERROR(SEARCH("库存为",AU628)))</formula>
    </cfRule>
  </conditionalFormatting>
  <conditionalFormatting sqref="AU629">
    <cfRule type="cellIs" dxfId="0" priority="1489" operator="lessThan">
      <formula>20</formula>
    </cfRule>
    <cfRule type="cellIs" dxfId="1" priority="785" operator="greaterThan">
      <formula>120</formula>
    </cfRule>
    <cfRule type="containsText" dxfId="2" priority="81" operator="between" text="库存为">
      <formula>NOT(ISERROR(SEARCH("库存为",AU629)))</formula>
    </cfRule>
  </conditionalFormatting>
  <conditionalFormatting sqref="AU630">
    <cfRule type="cellIs" dxfId="0" priority="1488" operator="lessThan">
      <formula>20</formula>
    </cfRule>
    <cfRule type="cellIs" dxfId="1" priority="784" operator="greaterThan">
      <formula>120</formula>
    </cfRule>
    <cfRule type="containsText" dxfId="2" priority="80" operator="between" text="库存为">
      <formula>NOT(ISERROR(SEARCH("库存为",AU630)))</formula>
    </cfRule>
  </conditionalFormatting>
  <conditionalFormatting sqref="AU631">
    <cfRule type="cellIs" dxfId="0" priority="1487" operator="lessThan">
      <formula>20</formula>
    </cfRule>
    <cfRule type="cellIs" dxfId="1" priority="783" operator="greaterThan">
      <formula>120</formula>
    </cfRule>
    <cfRule type="containsText" dxfId="2" priority="79" operator="between" text="库存为">
      <formula>NOT(ISERROR(SEARCH("库存为",AU631)))</formula>
    </cfRule>
  </conditionalFormatting>
  <conditionalFormatting sqref="AU632">
    <cfRule type="cellIs" dxfId="0" priority="1486" operator="lessThan">
      <formula>20</formula>
    </cfRule>
    <cfRule type="cellIs" dxfId="1" priority="782" operator="greaterThan">
      <formula>120</formula>
    </cfRule>
    <cfRule type="containsText" dxfId="2" priority="78" operator="between" text="库存为">
      <formula>NOT(ISERROR(SEARCH("库存为",AU632)))</formula>
    </cfRule>
  </conditionalFormatting>
  <conditionalFormatting sqref="AU633">
    <cfRule type="cellIs" dxfId="0" priority="1485" operator="lessThan">
      <formula>20</formula>
    </cfRule>
    <cfRule type="cellIs" dxfId="1" priority="781" operator="greaterThan">
      <formula>120</formula>
    </cfRule>
    <cfRule type="containsText" dxfId="2" priority="77" operator="between" text="库存为">
      <formula>NOT(ISERROR(SEARCH("库存为",AU633)))</formula>
    </cfRule>
  </conditionalFormatting>
  <conditionalFormatting sqref="AU634">
    <cfRule type="cellIs" dxfId="0" priority="1484" operator="lessThan">
      <formula>20</formula>
    </cfRule>
    <cfRule type="cellIs" dxfId="1" priority="780" operator="greaterThan">
      <formula>120</formula>
    </cfRule>
    <cfRule type="containsText" dxfId="2" priority="76" operator="between" text="库存为">
      <formula>NOT(ISERROR(SEARCH("库存为",AU634)))</formula>
    </cfRule>
  </conditionalFormatting>
  <conditionalFormatting sqref="AU635">
    <cfRule type="cellIs" dxfId="0" priority="1483" operator="lessThan">
      <formula>20</formula>
    </cfRule>
    <cfRule type="cellIs" dxfId="1" priority="779" operator="greaterThan">
      <formula>120</formula>
    </cfRule>
    <cfRule type="containsText" dxfId="2" priority="75" operator="between" text="库存为">
      <formula>NOT(ISERROR(SEARCH("库存为",AU635)))</formula>
    </cfRule>
  </conditionalFormatting>
  <conditionalFormatting sqref="AU636">
    <cfRule type="cellIs" dxfId="0" priority="1482" operator="lessThan">
      <formula>20</formula>
    </cfRule>
    <cfRule type="cellIs" dxfId="1" priority="778" operator="greaterThan">
      <formula>120</formula>
    </cfRule>
    <cfRule type="containsText" dxfId="2" priority="74" operator="between" text="库存为">
      <formula>NOT(ISERROR(SEARCH("库存为",AU636)))</formula>
    </cfRule>
  </conditionalFormatting>
  <conditionalFormatting sqref="AU637">
    <cfRule type="cellIs" dxfId="0" priority="1481" operator="lessThan">
      <formula>20</formula>
    </cfRule>
    <cfRule type="cellIs" dxfId="1" priority="777" operator="greaterThan">
      <formula>120</formula>
    </cfRule>
    <cfRule type="containsText" dxfId="2" priority="73" operator="between" text="库存为">
      <formula>NOT(ISERROR(SEARCH("库存为",AU637)))</formula>
    </cfRule>
  </conditionalFormatting>
  <conditionalFormatting sqref="AU638">
    <cfRule type="cellIs" dxfId="0" priority="1480" operator="lessThan">
      <formula>20</formula>
    </cfRule>
    <cfRule type="cellIs" dxfId="1" priority="776" operator="greaterThan">
      <formula>120</formula>
    </cfRule>
    <cfRule type="containsText" dxfId="2" priority="72" operator="between" text="库存为">
      <formula>NOT(ISERROR(SEARCH("库存为",AU638)))</formula>
    </cfRule>
  </conditionalFormatting>
  <conditionalFormatting sqref="AU639">
    <cfRule type="cellIs" dxfId="0" priority="1479" operator="lessThan">
      <formula>20</formula>
    </cfRule>
    <cfRule type="cellIs" dxfId="1" priority="775" operator="greaterThan">
      <formula>120</formula>
    </cfRule>
    <cfRule type="containsText" dxfId="2" priority="71" operator="between" text="库存为">
      <formula>NOT(ISERROR(SEARCH("库存为",AU639)))</formula>
    </cfRule>
  </conditionalFormatting>
  <conditionalFormatting sqref="AU640">
    <cfRule type="cellIs" dxfId="0" priority="1478" operator="lessThan">
      <formula>20</formula>
    </cfRule>
    <cfRule type="cellIs" dxfId="1" priority="774" operator="greaterThan">
      <formula>120</formula>
    </cfRule>
    <cfRule type="containsText" dxfId="2" priority="70" operator="between" text="库存为">
      <formula>NOT(ISERROR(SEARCH("库存为",AU640)))</formula>
    </cfRule>
  </conditionalFormatting>
  <conditionalFormatting sqref="AU641">
    <cfRule type="cellIs" dxfId="0" priority="1477" operator="lessThan">
      <formula>20</formula>
    </cfRule>
    <cfRule type="cellIs" dxfId="1" priority="773" operator="greaterThan">
      <formula>120</formula>
    </cfRule>
    <cfRule type="containsText" dxfId="2" priority="69" operator="between" text="库存为">
      <formula>NOT(ISERROR(SEARCH("库存为",AU641)))</formula>
    </cfRule>
  </conditionalFormatting>
  <conditionalFormatting sqref="AU642">
    <cfRule type="cellIs" dxfId="0" priority="1476" operator="lessThan">
      <formula>20</formula>
    </cfRule>
    <cfRule type="cellIs" dxfId="1" priority="772" operator="greaterThan">
      <formula>120</formula>
    </cfRule>
    <cfRule type="containsText" dxfId="2" priority="68" operator="between" text="库存为">
      <formula>NOT(ISERROR(SEARCH("库存为",AU642)))</formula>
    </cfRule>
  </conditionalFormatting>
  <conditionalFormatting sqref="AU643">
    <cfRule type="cellIs" dxfId="0" priority="1475" operator="lessThan">
      <formula>20</formula>
    </cfRule>
    <cfRule type="cellIs" dxfId="1" priority="771" operator="greaterThan">
      <formula>120</formula>
    </cfRule>
    <cfRule type="containsText" dxfId="2" priority="67" operator="between" text="库存为">
      <formula>NOT(ISERROR(SEARCH("库存为",AU643)))</formula>
    </cfRule>
  </conditionalFormatting>
  <conditionalFormatting sqref="AU644">
    <cfRule type="cellIs" dxfId="0" priority="1474" operator="lessThan">
      <formula>20</formula>
    </cfRule>
    <cfRule type="cellIs" dxfId="1" priority="770" operator="greaterThan">
      <formula>120</formula>
    </cfRule>
    <cfRule type="containsText" dxfId="2" priority="66" operator="between" text="库存为">
      <formula>NOT(ISERROR(SEARCH("库存为",AU644)))</formula>
    </cfRule>
  </conditionalFormatting>
  <conditionalFormatting sqref="AU645">
    <cfRule type="cellIs" dxfId="0" priority="1473" operator="lessThan">
      <formula>20</formula>
    </cfRule>
    <cfRule type="cellIs" dxfId="1" priority="769" operator="greaterThan">
      <formula>120</formula>
    </cfRule>
    <cfRule type="containsText" dxfId="2" priority="65" operator="between" text="库存为">
      <formula>NOT(ISERROR(SEARCH("库存为",AU645)))</formula>
    </cfRule>
  </conditionalFormatting>
  <conditionalFormatting sqref="AU646">
    <cfRule type="cellIs" dxfId="0" priority="1472" operator="lessThan">
      <formula>20</formula>
    </cfRule>
    <cfRule type="cellIs" dxfId="1" priority="768" operator="greaterThan">
      <formula>120</formula>
    </cfRule>
    <cfRule type="containsText" dxfId="2" priority="64" operator="between" text="库存为">
      <formula>NOT(ISERROR(SEARCH("库存为",AU646)))</formula>
    </cfRule>
  </conditionalFormatting>
  <conditionalFormatting sqref="AU647">
    <cfRule type="cellIs" dxfId="0" priority="1471" operator="lessThan">
      <formula>20</formula>
    </cfRule>
    <cfRule type="cellIs" dxfId="1" priority="767" operator="greaterThan">
      <formula>120</formula>
    </cfRule>
    <cfRule type="containsText" dxfId="2" priority="63" operator="between" text="库存为">
      <formula>NOT(ISERROR(SEARCH("库存为",AU647)))</formula>
    </cfRule>
  </conditionalFormatting>
  <conditionalFormatting sqref="AU648">
    <cfRule type="cellIs" dxfId="0" priority="1470" operator="lessThan">
      <formula>20</formula>
    </cfRule>
    <cfRule type="cellIs" dxfId="1" priority="766" operator="greaterThan">
      <formula>120</formula>
    </cfRule>
    <cfRule type="containsText" dxfId="2" priority="62" operator="between" text="库存为">
      <formula>NOT(ISERROR(SEARCH("库存为",AU648)))</formula>
    </cfRule>
  </conditionalFormatting>
  <conditionalFormatting sqref="AU649">
    <cfRule type="cellIs" dxfId="0" priority="1469" operator="lessThan">
      <formula>20</formula>
    </cfRule>
    <cfRule type="cellIs" dxfId="1" priority="765" operator="greaterThan">
      <formula>120</formula>
    </cfRule>
    <cfRule type="containsText" dxfId="2" priority="61" operator="between" text="库存为">
      <formula>NOT(ISERROR(SEARCH("库存为",AU649)))</formula>
    </cfRule>
  </conditionalFormatting>
  <conditionalFormatting sqref="AU650">
    <cfRule type="cellIs" dxfId="0" priority="1468" operator="lessThan">
      <formula>20</formula>
    </cfRule>
    <cfRule type="cellIs" dxfId="1" priority="764" operator="greaterThan">
      <formula>120</formula>
    </cfRule>
    <cfRule type="containsText" dxfId="2" priority="60" operator="between" text="库存为">
      <formula>NOT(ISERROR(SEARCH("库存为",AU650)))</formula>
    </cfRule>
  </conditionalFormatting>
  <conditionalFormatting sqref="AU651">
    <cfRule type="cellIs" dxfId="0" priority="1467" operator="lessThan">
      <formula>20</formula>
    </cfRule>
    <cfRule type="cellIs" dxfId="1" priority="763" operator="greaterThan">
      <formula>120</formula>
    </cfRule>
    <cfRule type="containsText" dxfId="2" priority="59" operator="between" text="库存为">
      <formula>NOT(ISERROR(SEARCH("库存为",AU651)))</formula>
    </cfRule>
  </conditionalFormatting>
  <conditionalFormatting sqref="AU652">
    <cfRule type="cellIs" dxfId="0" priority="1466" operator="lessThan">
      <formula>20</formula>
    </cfRule>
    <cfRule type="cellIs" dxfId="1" priority="762" operator="greaterThan">
      <formula>120</formula>
    </cfRule>
    <cfRule type="containsText" dxfId="2" priority="58" operator="between" text="库存为">
      <formula>NOT(ISERROR(SEARCH("库存为",AU652)))</formula>
    </cfRule>
  </conditionalFormatting>
  <conditionalFormatting sqref="AU653">
    <cfRule type="cellIs" dxfId="0" priority="1465" operator="lessThan">
      <formula>20</formula>
    </cfRule>
    <cfRule type="cellIs" dxfId="1" priority="761" operator="greaterThan">
      <formula>120</formula>
    </cfRule>
    <cfRule type="containsText" dxfId="2" priority="57" operator="between" text="库存为">
      <formula>NOT(ISERROR(SEARCH("库存为",AU653)))</formula>
    </cfRule>
  </conditionalFormatting>
  <conditionalFormatting sqref="AU654">
    <cfRule type="cellIs" dxfId="0" priority="1464" operator="lessThan">
      <formula>20</formula>
    </cfRule>
    <cfRule type="cellIs" dxfId="1" priority="760" operator="greaterThan">
      <formula>120</formula>
    </cfRule>
    <cfRule type="containsText" dxfId="2" priority="56" operator="between" text="库存为">
      <formula>NOT(ISERROR(SEARCH("库存为",AU654)))</formula>
    </cfRule>
  </conditionalFormatting>
  <conditionalFormatting sqref="AU655">
    <cfRule type="cellIs" dxfId="0" priority="1463" operator="lessThan">
      <formula>20</formula>
    </cfRule>
    <cfRule type="cellIs" dxfId="1" priority="759" operator="greaterThan">
      <formula>120</formula>
    </cfRule>
    <cfRule type="containsText" dxfId="2" priority="55" operator="between" text="库存为">
      <formula>NOT(ISERROR(SEARCH("库存为",AU655)))</formula>
    </cfRule>
  </conditionalFormatting>
  <conditionalFormatting sqref="AU656">
    <cfRule type="cellIs" dxfId="0" priority="1462" operator="lessThan">
      <formula>20</formula>
    </cfRule>
    <cfRule type="cellIs" dxfId="1" priority="758" operator="greaterThan">
      <formula>120</formula>
    </cfRule>
    <cfRule type="containsText" dxfId="2" priority="54" operator="between" text="库存为">
      <formula>NOT(ISERROR(SEARCH("库存为",AU656)))</formula>
    </cfRule>
  </conditionalFormatting>
  <conditionalFormatting sqref="AU657">
    <cfRule type="cellIs" dxfId="0" priority="1461" operator="lessThan">
      <formula>20</formula>
    </cfRule>
    <cfRule type="cellIs" dxfId="1" priority="757" operator="greaterThan">
      <formula>120</formula>
    </cfRule>
    <cfRule type="containsText" dxfId="2" priority="53" operator="between" text="库存为">
      <formula>NOT(ISERROR(SEARCH("库存为",AU657)))</formula>
    </cfRule>
  </conditionalFormatting>
  <conditionalFormatting sqref="AU658">
    <cfRule type="cellIs" dxfId="0" priority="1460" operator="lessThan">
      <formula>20</formula>
    </cfRule>
    <cfRule type="cellIs" dxfId="1" priority="756" operator="greaterThan">
      <formula>120</formula>
    </cfRule>
    <cfRule type="containsText" dxfId="2" priority="52" operator="between" text="库存为">
      <formula>NOT(ISERROR(SEARCH("库存为",AU658)))</formula>
    </cfRule>
  </conditionalFormatting>
  <conditionalFormatting sqref="AU659">
    <cfRule type="cellIs" dxfId="0" priority="1459" operator="lessThan">
      <formula>20</formula>
    </cfRule>
    <cfRule type="cellIs" dxfId="1" priority="755" operator="greaterThan">
      <formula>120</formula>
    </cfRule>
    <cfRule type="containsText" dxfId="2" priority="51" operator="between" text="库存为">
      <formula>NOT(ISERROR(SEARCH("库存为",AU659)))</formula>
    </cfRule>
  </conditionalFormatting>
  <conditionalFormatting sqref="AU660">
    <cfRule type="cellIs" dxfId="0" priority="1458" operator="lessThan">
      <formula>20</formula>
    </cfRule>
    <cfRule type="cellIs" dxfId="1" priority="754" operator="greaterThan">
      <formula>120</formula>
    </cfRule>
    <cfRule type="containsText" dxfId="2" priority="50" operator="between" text="库存为">
      <formula>NOT(ISERROR(SEARCH("库存为",AU660)))</formula>
    </cfRule>
  </conditionalFormatting>
  <conditionalFormatting sqref="AU661">
    <cfRule type="cellIs" dxfId="0" priority="1457" operator="lessThan">
      <formula>20</formula>
    </cfRule>
    <cfRule type="cellIs" dxfId="1" priority="753" operator="greaterThan">
      <formula>120</formula>
    </cfRule>
    <cfRule type="containsText" dxfId="2" priority="49" operator="between" text="库存为">
      <formula>NOT(ISERROR(SEARCH("库存为",AU661)))</formula>
    </cfRule>
  </conditionalFormatting>
  <conditionalFormatting sqref="AU662">
    <cfRule type="cellIs" dxfId="0" priority="1456" operator="lessThan">
      <formula>20</formula>
    </cfRule>
    <cfRule type="cellIs" dxfId="1" priority="752" operator="greaterThan">
      <formula>120</formula>
    </cfRule>
    <cfRule type="containsText" dxfId="2" priority="48" operator="between" text="库存为">
      <formula>NOT(ISERROR(SEARCH("库存为",AU662)))</formula>
    </cfRule>
  </conditionalFormatting>
  <conditionalFormatting sqref="AU663">
    <cfRule type="cellIs" dxfId="0" priority="1455" operator="lessThan">
      <formula>20</formula>
    </cfRule>
    <cfRule type="cellIs" dxfId="1" priority="751" operator="greaterThan">
      <formula>120</formula>
    </cfRule>
    <cfRule type="containsText" dxfId="2" priority="47" operator="between" text="库存为">
      <formula>NOT(ISERROR(SEARCH("库存为",AU663)))</formula>
    </cfRule>
  </conditionalFormatting>
  <conditionalFormatting sqref="AU664">
    <cfRule type="cellIs" dxfId="0" priority="1454" operator="lessThan">
      <formula>20</formula>
    </cfRule>
    <cfRule type="cellIs" dxfId="1" priority="750" operator="greaterThan">
      <formula>120</formula>
    </cfRule>
    <cfRule type="containsText" dxfId="2" priority="46" operator="between" text="库存为">
      <formula>NOT(ISERROR(SEARCH("库存为",AU664)))</formula>
    </cfRule>
  </conditionalFormatting>
  <conditionalFormatting sqref="AU665">
    <cfRule type="cellIs" dxfId="0" priority="1453" operator="lessThan">
      <formula>20</formula>
    </cfRule>
    <cfRule type="cellIs" dxfId="1" priority="749" operator="greaterThan">
      <formula>120</formula>
    </cfRule>
    <cfRule type="containsText" dxfId="2" priority="45" operator="between" text="库存为">
      <formula>NOT(ISERROR(SEARCH("库存为",AU665)))</formula>
    </cfRule>
  </conditionalFormatting>
  <conditionalFormatting sqref="AU666">
    <cfRule type="cellIs" dxfId="0" priority="1452" operator="lessThan">
      <formula>20</formula>
    </cfRule>
    <cfRule type="cellIs" dxfId="1" priority="748" operator="greaterThan">
      <formula>120</formula>
    </cfRule>
    <cfRule type="containsText" dxfId="2" priority="44" operator="between" text="库存为">
      <formula>NOT(ISERROR(SEARCH("库存为",AU666)))</formula>
    </cfRule>
  </conditionalFormatting>
  <conditionalFormatting sqref="AU667">
    <cfRule type="cellIs" dxfId="0" priority="1451" operator="lessThan">
      <formula>20</formula>
    </cfRule>
    <cfRule type="cellIs" dxfId="1" priority="747" operator="greaterThan">
      <formula>120</formula>
    </cfRule>
    <cfRule type="containsText" dxfId="2" priority="43" operator="between" text="库存为">
      <formula>NOT(ISERROR(SEARCH("库存为",AU667)))</formula>
    </cfRule>
  </conditionalFormatting>
  <conditionalFormatting sqref="AU668">
    <cfRule type="cellIs" dxfId="0" priority="1450" operator="lessThan">
      <formula>20</formula>
    </cfRule>
    <cfRule type="cellIs" dxfId="1" priority="746" operator="greaterThan">
      <formula>120</formula>
    </cfRule>
    <cfRule type="containsText" dxfId="2" priority="42" operator="between" text="库存为">
      <formula>NOT(ISERROR(SEARCH("库存为",AU668)))</formula>
    </cfRule>
  </conditionalFormatting>
  <conditionalFormatting sqref="AU669">
    <cfRule type="cellIs" dxfId="0" priority="1449" operator="lessThan">
      <formula>20</formula>
    </cfRule>
    <cfRule type="cellIs" dxfId="1" priority="745" operator="greaterThan">
      <formula>120</formula>
    </cfRule>
    <cfRule type="containsText" dxfId="2" priority="41" operator="between" text="库存为">
      <formula>NOT(ISERROR(SEARCH("库存为",AU669)))</formula>
    </cfRule>
  </conditionalFormatting>
  <conditionalFormatting sqref="AU670">
    <cfRule type="cellIs" dxfId="0" priority="1448" operator="lessThan">
      <formula>20</formula>
    </cfRule>
    <cfRule type="cellIs" dxfId="1" priority="744" operator="greaterThan">
      <formula>120</formula>
    </cfRule>
    <cfRule type="containsText" dxfId="2" priority="40" operator="between" text="库存为">
      <formula>NOT(ISERROR(SEARCH("库存为",AU670)))</formula>
    </cfRule>
  </conditionalFormatting>
  <conditionalFormatting sqref="AU671">
    <cfRule type="cellIs" dxfId="0" priority="1447" operator="lessThan">
      <formula>20</formula>
    </cfRule>
    <cfRule type="cellIs" dxfId="1" priority="743" operator="greaterThan">
      <formula>120</formula>
    </cfRule>
    <cfRule type="containsText" dxfId="2" priority="39" operator="between" text="库存为">
      <formula>NOT(ISERROR(SEARCH("库存为",AU671)))</formula>
    </cfRule>
  </conditionalFormatting>
  <conditionalFormatting sqref="AU672">
    <cfRule type="cellIs" dxfId="0" priority="1446" operator="lessThan">
      <formula>20</formula>
    </cfRule>
    <cfRule type="cellIs" dxfId="1" priority="742" operator="greaterThan">
      <formula>120</formula>
    </cfRule>
    <cfRule type="containsText" dxfId="2" priority="38" operator="between" text="库存为">
      <formula>NOT(ISERROR(SEARCH("库存为",AU672)))</formula>
    </cfRule>
  </conditionalFormatting>
  <conditionalFormatting sqref="AU673">
    <cfRule type="cellIs" dxfId="0" priority="1445" operator="lessThan">
      <formula>20</formula>
    </cfRule>
    <cfRule type="cellIs" dxfId="1" priority="741" operator="greaterThan">
      <formula>120</formula>
    </cfRule>
    <cfRule type="containsText" dxfId="2" priority="37" operator="between" text="库存为">
      <formula>NOT(ISERROR(SEARCH("库存为",AU673)))</formula>
    </cfRule>
  </conditionalFormatting>
  <conditionalFormatting sqref="AU674">
    <cfRule type="cellIs" dxfId="0" priority="1444" operator="lessThan">
      <formula>20</formula>
    </cfRule>
    <cfRule type="cellIs" dxfId="1" priority="740" operator="greaterThan">
      <formula>120</formula>
    </cfRule>
    <cfRule type="containsText" dxfId="2" priority="36" operator="between" text="库存为">
      <formula>NOT(ISERROR(SEARCH("库存为",AU674)))</formula>
    </cfRule>
  </conditionalFormatting>
  <conditionalFormatting sqref="AU675">
    <cfRule type="cellIs" dxfId="0" priority="1443" operator="lessThan">
      <formula>20</formula>
    </cfRule>
    <cfRule type="cellIs" dxfId="1" priority="739" operator="greaterThan">
      <formula>120</formula>
    </cfRule>
    <cfRule type="containsText" dxfId="2" priority="35" operator="between" text="库存为">
      <formula>NOT(ISERROR(SEARCH("库存为",AU675)))</formula>
    </cfRule>
  </conditionalFormatting>
  <conditionalFormatting sqref="AU676">
    <cfRule type="cellIs" dxfId="0" priority="1442" operator="lessThan">
      <formula>20</formula>
    </cfRule>
    <cfRule type="cellIs" dxfId="1" priority="738" operator="greaterThan">
      <formula>120</formula>
    </cfRule>
    <cfRule type="containsText" dxfId="2" priority="34" operator="between" text="库存为">
      <formula>NOT(ISERROR(SEARCH("库存为",AU676)))</formula>
    </cfRule>
  </conditionalFormatting>
  <conditionalFormatting sqref="AU677">
    <cfRule type="cellIs" dxfId="0" priority="1441" operator="lessThan">
      <formula>20</formula>
    </cfRule>
    <cfRule type="cellIs" dxfId="1" priority="737" operator="greaterThan">
      <formula>120</formula>
    </cfRule>
    <cfRule type="containsText" dxfId="2" priority="33" operator="between" text="库存为">
      <formula>NOT(ISERROR(SEARCH("库存为",AU677)))</formula>
    </cfRule>
  </conditionalFormatting>
  <conditionalFormatting sqref="AU678">
    <cfRule type="cellIs" dxfId="0" priority="1440" operator="lessThan">
      <formula>20</formula>
    </cfRule>
    <cfRule type="cellIs" dxfId="1" priority="736" operator="greaterThan">
      <formula>120</formula>
    </cfRule>
    <cfRule type="containsText" dxfId="2" priority="32" operator="between" text="库存为">
      <formula>NOT(ISERROR(SEARCH("库存为",AU678)))</formula>
    </cfRule>
  </conditionalFormatting>
  <conditionalFormatting sqref="AU679">
    <cfRule type="cellIs" dxfId="0" priority="1439" operator="lessThan">
      <formula>20</formula>
    </cfRule>
    <cfRule type="cellIs" dxfId="1" priority="735" operator="greaterThan">
      <formula>120</formula>
    </cfRule>
    <cfRule type="containsText" dxfId="2" priority="31" operator="between" text="库存为">
      <formula>NOT(ISERROR(SEARCH("库存为",AU679)))</formula>
    </cfRule>
  </conditionalFormatting>
  <conditionalFormatting sqref="AU680">
    <cfRule type="cellIs" dxfId="0" priority="1438" operator="lessThan">
      <formula>20</formula>
    </cfRule>
    <cfRule type="cellIs" dxfId="1" priority="734" operator="greaterThan">
      <formula>120</formula>
    </cfRule>
    <cfRule type="containsText" dxfId="2" priority="30" operator="between" text="库存为">
      <formula>NOT(ISERROR(SEARCH("库存为",AU680)))</formula>
    </cfRule>
  </conditionalFormatting>
  <conditionalFormatting sqref="AU681">
    <cfRule type="cellIs" dxfId="0" priority="1437" operator="lessThan">
      <formula>20</formula>
    </cfRule>
    <cfRule type="cellIs" dxfId="1" priority="733" operator="greaterThan">
      <formula>120</formula>
    </cfRule>
    <cfRule type="containsText" dxfId="2" priority="29" operator="between" text="库存为">
      <formula>NOT(ISERROR(SEARCH("库存为",AU681)))</formula>
    </cfRule>
  </conditionalFormatting>
  <conditionalFormatting sqref="AU682">
    <cfRule type="cellIs" dxfId="0" priority="1436" operator="lessThan">
      <formula>20</formula>
    </cfRule>
    <cfRule type="cellIs" dxfId="1" priority="732" operator="greaterThan">
      <formula>120</formula>
    </cfRule>
    <cfRule type="containsText" dxfId="2" priority="28" operator="between" text="库存为">
      <formula>NOT(ISERROR(SEARCH("库存为",AU682)))</formula>
    </cfRule>
  </conditionalFormatting>
  <conditionalFormatting sqref="AU683">
    <cfRule type="cellIs" dxfId="0" priority="1435" operator="lessThan">
      <formula>20</formula>
    </cfRule>
    <cfRule type="cellIs" dxfId="1" priority="731" operator="greaterThan">
      <formula>120</formula>
    </cfRule>
    <cfRule type="containsText" dxfId="2" priority="27" operator="between" text="库存为">
      <formula>NOT(ISERROR(SEARCH("库存为",AU683)))</formula>
    </cfRule>
  </conditionalFormatting>
  <conditionalFormatting sqref="AU684">
    <cfRule type="cellIs" dxfId="0" priority="1434" operator="lessThan">
      <formula>20</formula>
    </cfRule>
    <cfRule type="cellIs" dxfId="1" priority="730" operator="greaterThan">
      <formula>120</formula>
    </cfRule>
    <cfRule type="containsText" dxfId="2" priority="26" operator="between" text="库存为">
      <formula>NOT(ISERROR(SEARCH("库存为",AU684)))</formula>
    </cfRule>
  </conditionalFormatting>
  <conditionalFormatting sqref="AU685">
    <cfRule type="cellIs" dxfId="0" priority="1433" operator="lessThan">
      <formula>20</formula>
    </cfRule>
    <cfRule type="cellIs" dxfId="1" priority="729" operator="greaterThan">
      <formula>120</formula>
    </cfRule>
    <cfRule type="containsText" dxfId="2" priority="25" operator="between" text="库存为">
      <formula>NOT(ISERROR(SEARCH("库存为",AU685)))</formula>
    </cfRule>
  </conditionalFormatting>
  <conditionalFormatting sqref="AU686">
    <cfRule type="cellIs" dxfId="0" priority="1432" operator="lessThan">
      <formula>20</formula>
    </cfRule>
    <cfRule type="cellIs" dxfId="1" priority="728" operator="greaterThan">
      <formula>120</formula>
    </cfRule>
    <cfRule type="containsText" dxfId="2" priority="24" operator="between" text="库存为">
      <formula>NOT(ISERROR(SEARCH("库存为",AU686)))</formula>
    </cfRule>
  </conditionalFormatting>
  <conditionalFormatting sqref="AU687">
    <cfRule type="cellIs" dxfId="0" priority="1431" operator="lessThan">
      <formula>20</formula>
    </cfRule>
    <cfRule type="cellIs" dxfId="1" priority="727" operator="greaterThan">
      <formula>120</formula>
    </cfRule>
    <cfRule type="containsText" dxfId="2" priority="23" operator="between" text="库存为">
      <formula>NOT(ISERROR(SEARCH("库存为",AU687)))</formula>
    </cfRule>
  </conditionalFormatting>
  <conditionalFormatting sqref="AU688">
    <cfRule type="cellIs" dxfId="0" priority="1430" operator="lessThan">
      <formula>20</formula>
    </cfRule>
    <cfRule type="cellIs" dxfId="1" priority="726" operator="greaterThan">
      <formula>120</formula>
    </cfRule>
    <cfRule type="containsText" dxfId="2" priority="22" operator="between" text="库存为">
      <formula>NOT(ISERROR(SEARCH("库存为",AU688)))</formula>
    </cfRule>
  </conditionalFormatting>
  <conditionalFormatting sqref="AU689">
    <cfRule type="cellIs" dxfId="0" priority="1429" operator="lessThan">
      <formula>20</formula>
    </cfRule>
    <cfRule type="cellIs" dxfId="1" priority="725" operator="greaterThan">
      <formula>120</formula>
    </cfRule>
    <cfRule type="containsText" dxfId="2" priority="21" operator="between" text="库存为">
      <formula>NOT(ISERROR(SEARCH("库存为",AU689)))</formula>
    </cfRule>
  </conditionalFormatting>
  <conditionalFormatting sqref="AU690">
    <cfRule type="cellIs" dxfId="0" priority="1428" operator="lessThan">
      <formula>20</formula>
    </cfRule>
    <cfRule type="cellIs" dxfId="1" priority="724" operator="greaterThan">
      <formula>120</formula>
    </cfRule>
    <cfRule type="containsText" dxfId="2" priority="20" operator="between" text="库存为">
      <formula>NOT(ISERROR(SEARCH("库存为",AU690)))</formula>
    </cfRule>
  </conditionalFormatting>
  <conditionalFormatting sqref="AU691">
    <cfRule type="cellIs" dxfId="0" priority="1427" operator="lessThan">
      <formula>20</formula>
    </cfRule>
    <cfRule type="cellIs" dxfId="1" priority="723" operator="greaterThan">
      <formula>120</formula>
    </cfRule>
    <cfRule type="containsText" dxfId="2" priority="19" operator="between" text="库存为">
      <formula>NOT(ISERROR(SEARCH("库存为",AU691)))</formula>
    </cfRule>
  </conditionalFormatting>
  <conditionalFormatting sqref="AU692">
    <cfRule type="cellIs" dxfId="0" priority="1426" operator="lessThan">
      <formula>20</formula>
    </cfRule>
    <cfRule type="cellIs" dxfId="1" priority="722" operator="greaterThan">
      <formula>120</formula>
    </cfRule>
    <cfRule type="containsText" dxfId="2" priority="18" operator="between" text="库存为">
      <formula>NOT(ISERROR(SEARCH("库存为",AU692)))</formula>
    </cfRule>
  </conditionalFormatting>
  <conditionalFormatting sqref="AU693">
    <cfRule type="cellIs" dxfId="0" priority="1425" operator="lessThan">
      <formula>20</formula>
    </cfRule>
    <cfRule type="cellIs" dxfId="1" priority="721" operator="greaterThan">
      <formula>120</formula>
    </cfRule>
    <cfRule type="containsText" dxfId="2" priority="17" operator="between" text="库存为">
      <formula>NOT(ISERROR(SEARCH("库存为",AU693)))</formula>
    </cfRule>
  </conditionalFormatting>
  <conditionalFormatting sqref="AU694">
    <cfRule type="cellIs" dxfId="0" priority="1424" operator="lessThan">
      <formula>20</formula>
    </cfRule>
    <cfRule type="cellIs" dxfId="1" priority="720" operator="greaterThan">
      <formula>120</formula>
    </cfRule>
    <cfRule type="containsText" dxfId="2" priority="16" operator="between" text="库存为">
      <formula>NOT(ISERROR(SEARCH("库存为",AU694)))</formula>
    </cfRule>
  </conditionalFormatting>
  <conditionalFormatting sqref="AU695">
    <cfRule type="cellIs" dxfId="0" priority="1423" operator="lessThan">
      <formula>20</formula>
    </cfRule>
    <cfRule type="cellIs" dxfId="1" priority="719" operator="greaterThan">
      <formula>120</formula>
    </cfRule>
    <cfRule type="containsText" dxfId="2" priority="15" operator="between" text="库存为">
      <formula>NOT(ISERROR(SEARCH("库存为",AU695)))</formula>
    </cfRule>
  </conditionalFormatting>
  <conditionalFormatting sqref="AU696">
    <cfRule type="cellIs" dxfId="0" priority="1422" operator="lessThan">
      <formula>20</formula>
    </cfRule>
    <cfRule type="cellIs" dxfId="1" priority="718" operator="greaterThan">
      <formula>120</formula>
    </cfRule>
    <cfRule type="containsText" dxfId="2" priority="14" operator="between" text="库存为">
      <formula>NOT(ISERROR(SEARCH("库存为",AU696)))</formula>
    </cfRule>
  </conditionalFormatting>
  <conditionalFormatting sqref="AU697">
    <cfRule type="cellIs" dxfId="0" priority="1421" operator="lessThan">
      <formula>20</formula>
    </cfRule>
    <cfRule type="cellIs" dxfId="1" priority="717" operator="greaterThan">
      <formula>120</formula>
    </cfRule>
    <cfRule type="containsText" dxfId="2" priority="13" operator="between" text="库存为">
      <formula>NOT(ISERROR(SEARCH("库存为",AU697)))</formula>
    </cfRule>
  </conditionalFormatting>
  <conditionalFormatting sqref="AU698">
    <cfRule type="cellIs" dxfId="0" priority="1420" operator="lessThan">
      <formula>20</formula>
    </cfRule>
    <cfRule type="cellIs" dxfId="1" priority="716" operator="greaterThan">
      <formula>120</formula>
    </cfRule>
    <cfRule type="containsText" dxfId="2" priority="12" operator="between" text="库存为">
      <formula>NOT(ISERROR(SEARCH("库存为",AU698)))</formula>
    </cfRule>
  </conditionalFormatting>
  <conditionalFormatting sqref="AU699">
    <cfRule type="cellIs" dxfId="0" priority="1419" operator="lessThan">
      <formula>20</formula>
    </cfRule>
    <cfRule type="cellIs" dxfId="1" priority="715" operator="greaterThan">
      <formula>120</formula>
    </cfRule>
    <cfRule type="containsText" dxfId="2" priority="11" operator="between" text="库存为">
      <formula>NOT(ISERROR(SEARCH("库存为",AU699)))</formula>
    </cfRule>
  </conditionalFormatting>
  <conditionalFormatting sqref="AU700">
    <cfRule type="cellIs" dxfId="0" priority="1418" operator="lessThan">
      <formula>20</formula>
    </cfRule>
    <cfRule type="cellIs" dxfId="1" priority="714" operator="greaterThan">
      <formula>120</formula>
    </cfRule>
    <cfRule type="containsText" dxfId="2" priority="10" operator="between" text="库存为">
      <formula>NOT(ISERROR(SEARCH("库存为",AU700)))</formula>
    </cfRule>
  </conditionalFormatting>
  <conditionalFormatting sqref="AU701">
    <cfRule type="cellIs" dxfId="0" priority="1417" operator="lessThan">
      <formula>20</formula>
    </cfRule>
    <cfRule type="cellIs" dxfId="1" priority="713" operator="greaterThan">
      <formula>120</formula>
    </cfRule>
    <cfRule type="containsText" dxfId="2" priority="9" operator="between" text="库存为">
      <formula>NOT(ISERROR(SEARCH("库存为",AU701)))</formula>
    </cfRule>
  </conditionalFormatting>
  <conditionalFormatting sqref="AU702">
    <cfRule type="cellIs" dxfId="0" priority="1416" operator="lessThan">
      <formula>20</formula>
    </cfRule>
    <cfRule type="cellIs" dxfId="1" priority="712" operator="greaterThan">
      <formula>120</formula>
    </cfRule>
    <cfRule type="containsText" dxfId="2" priority="8" operator="between" text="库存为">
      <formula>NOT(ISERROR(SEARCH("库存为",AU702)))</formula>
    </cfRule>
  </conditionalFormatting>
  <conditionalFormatting sqref="AU703">
    <cfRule type="cellIs" dxfId="0" priority="1415" operator="lessThan">
      <formula>20</formula>
    </cfRule>
    <cfRule type="cellIs" dxfId="1" priority="711" operator="greaterThan">
      <formula>120</formula>
    </cfRule>
    <cfRule type="containsText" dxfId="2" priority="7" operator="between" text="库存为">
      <formula>NOT(ISERROR(SEARCH("库存为",AU703)))</formula>
    </cfRule>
  </conditionalFormatting>
  <conditionalFormatting sqref="AU704">
    <cfRule type="cellIs" dxfId="0" priority="1414" operator="lessThan">
      <formula>20</formula>
    </cfRule>
    <cfRule type="cellIs" dxfId="1" priority="710" operator="greaterThan">
      <formula>120</formula>
    </cfRule>
    <cfRule type="containsText" dxfId="2" priority="6" operator="between" text="库存为">
      <formula>NOT(ISERROR(SEARCH("库存为",AU704)))</formula>
    </cfRule>
  </conditionalFormatting>
  <conditionalFormatting sqref="AU705">
    <cfRule type="cellIs" dxfId="0" priority="1413" operator="lessThan">
      <formula>20</formula>
    </cfRule>
    <cfRule type="cellIs" dxfId="1" priority="709" operator="greaterThan">
      <formula>120</formula>
    </cfRule>
    <cfRule type="containsText" dxfId="2" priority="5" operator="between" text="库存为">
      <formula>NOT(ISERROR(SEARCH("库存为",AU705)))</formula>
    </cfRule>
  </conditionalFormatting>
  <conditionalFormatting sqref="AU706">
    <cfRule type="cellIs" dxfId="0" priority="1412" operator="lessThan">
      <formula>20</formula>
    </cfRule>
    <cfRule type="cellIs" dxfId="1" priority="708" operator="greaterThan">
      <formula>120</formula>
    </cfRule>
    <cfRule type="containsText" dxfId="2" priority="4" operator="between" text="库存为">
      <formula>NOT(ISERROR(SEARCH("库存为",AU706)))</formula>
    </cfRule>
  </conditionalFormatting>
  <conditionalFormatting sqref="AU707">
    <cfRule type="cellIs" dxfId="0" priority="1411" operator="lessThan">
      <formula>20</formula>
    </cfRule>
    <cfRule type="cellIs" dxfId="1" priority="707" operator="greaterThan">
      <formula>120</formula>
    </cfRule>
    <cfRule type="containsText" dxfId="2" priority="3" operator="between" text="库存为">
      <formula>NOT(ISERROR(SEARCH("库存为",AU707)))</formula>
    </cfRule>
  </conditionalFormatting>
  <conditionalFormatting sqref="AU708">
    <cfRule type="cellIs" dxfId="0" priority="1410" operator="lessThan">
      <formula>20</formula>
    </cfRule>
    <cfRule type="cellIs" dxfId="1" priority="706" operator="greaterThan">
      <formula>120</formula>
    </cfRule>
    <cfRule type="containsText" dxfId="2" priority="2" operator="between" text="库存为">
      <formula>NOT(ISERROR(SEARCH("库存为",AU708)))</formula>
    </cfRule>
  </conditionalFormatting>
  <conditionalFormatting sqref="AU709">
    <cfRule type="cellIs" dxfId="0" priority="1409" operator="lessThan">
      <formula>20</formula>
    </cfRule>
    <cfRule type="cellIs" dxfId="1" priority="705" operator="greaterThan">
      <formula>120</formula>
    </cfRule>
    <cfRule type="containsText" dxfId="2" priority="1" operator="between" text="库存为">
      <formula>NOT(ISERROR(SEARCH("库存为",AU709)))</formula>
    </cfRule>
  </conditionalFormatting>
  <conditionalFormatting sqref="AU710">
    <cfRule type="cellIs" dxfId="0" priority="5638" operator="lessThan">
      <formula>20</formula>
    </cfRule>
    <cfRule type="cellIs" dxfId="1" priority="4932" operator="greaterThan">
      <formula>120</formula>
    </cfRule>
    <cfRule type="containsText" dxfId="2" priority="4226" operator="between" text="库存为">
      <formula>NOT(ISERROR(SEARCH("库存为",AU710)))</formula>
    </cfRule>
  </conditionalFormatting>
  <conditionalFormatting sqref="AU711">
    <cfRule type="cellIs" dxfId="0" priority="5637" operator="lessThan">
      <formula>20</formula>
    </cfRule>
    <cfRule type="cellIs" dxfId="1" priority="4931" operator="greaterThan">
      <formula>120</formula>
    </cfRule>
    <cfRule type="containsText" dxfId="2" priority="4225" operator="between" text="库存为">
      <formula>NOT(ISERROR(SEARCH("库存为",AU711)))</formula>
    </cfRule>
  </conditionalFormatting>
  <conditionalFormatting sqref="AU712">
    <cfRule type="cellIs" dxfId="0" priority="19196" operator="lessThan">
      <formula>20</formula>
    </cfRule>
    <cfRule type="cellIs" dxfId="1" priority="18302" operator="greaterThan">
      <formula>120</formula>
    </cfRule>
    <cfRule type="containsText" dxfId="2" priority="17408" operator="between" text="库存为">
      <formula>NOT(ISERROR(SEARCH("库存为",AU712)))</formula>
    </cfRule>
  </conditionalFormatting>
  <conditionalFormatting sqref="AU713">
    <cfRule type="cellIs" dxfId="0" priority="19195" operator="lessThan">
      <formula>20</formula>
    </cfRule>
    <cfRule type="cellIs" dxfId="1" priority="18301" operator="greaterThan">
      <formula>120</formula>
    </cfRule>
    <cfRule type="containsText" dxfId="2" priority="17407" operator="between" text="库存为">
      <formula>NOT(ISERROR(SEARCH("库存为",AU713)))</formula>
    </cfRule>
  </conditionalFormatting>
  <conditionalFormatting sqref="AU714">
    <cfRule type="cellIs" dxfId="0" priority="19194" operator="lessThan">
      <formula>20</formula>
    </cfRule>
    <cfRule type="cellIs" dxfId="1" priority="18300" operator="greaterThan">
      <formula>120</formula>
    </cfRule>
    <cfRule type="containsText" dxfId="2" priority="17406" operator="between" text="库存为">
      <formula>NOT(ISERROR(SEARCH("库存为",AU714)))</formula>
    </cfRule>
  </conditionalFormatting>
  <conditionalFormatting sqref="AU715">
    <cfRule type="cellIs" dxfId="0" priority="19193" operator="lessThan">
      <formula>20</formula>
    </cfRule>
    <cfRule type="cellIs" dxfId="1" priority="18299" operator="greaterThan">
      <formula>120</formula>
    </cfRule>
    <cfRule type="containsText" dxfId="2" priority="17405" operator="between" text="库存为">
      <formula>NOT(ISERROR(SEARCH("库存为",AU715)))</formula>
    </cfRule>
  </conditionalFormatting>
  <conditionalFormatting sqref="AU716">
    <cfRule type="cellIs" dxfId="0" priority="19192" operator="lessThan">
      <formula>20</formula>
    </cfRule>
    <cfRule type="cellIs" dxfId="1" priority="18298" operator="greaterThan">
      <formula>120</formula>
    </cfRule>
    <cfRule type="containsText" dxfId="2" priority="17404" operator="between" text="库存为">
      <formula>NOT(ISERROR(SEARCH("库存为",AU716)))</formula>
    </cfRule>
  </conditionalFormatting>
  <conditionalFormatting sqref="AU717">
    <cfRule type="cellIs" dxfId="0" priority="19191" operator="lessThan">
      <formula>20</formula>
    </cfRule>
    <cfRule type="cellIs" dxfId="1" priority="18297" operator="greaterThan">
      <formula>120</formula>
    </cfRule>
    <cfRule type="containsText" dxfId="2" priority="17403" operator="between" text="库存为">
      <formula>NOT(ISERROR(SEARCH("库存为",AU717)))</formula>
    </cfRule>
  </conditionalFormatting>
  <conditionalFormatting sqref="AU718">
    <cfRule type="cellIs" dxfId="0" priority="19190" operator="lessThan">
      <formula>20</formula>
    </cfRule>
    <cfRule type="cellIs" dxfId="1" priority="18296" operator="greaterThan">
      <formula>120</formula>
    </cfRule>
    <cfRule type="containsText" dxfId="2" priority="17402" operator="between" text="库存为">
      <formula>NOT(ISERROR(SEARCH("库存为",AU718)))</formula>
    </cfRule>
  </conditionalFormatting>
  <conditionalFormatting sqref="AU719">
    <cfRule type="cellIs" dxfId="0" priority="19189" operator="lessThan">
      <formula>20</formula>
    </cfRule>
    <cfRule type="cellIs" dxfId="1" priority="18295" operator="greaterThan">
      <formula>120</formula>
    </cfRule>
    <cfRule type="containsText" dxfId="2" priority="17401" operator="between" text="库存为">
      <formula>NOT(ISERROR(SEARCH("库存为",AU719)))</formula>
    </cfRule>
  </conditionalFormatting>
  <conditionalFormatting sqref="AU720">
    <cfRule type="cellIs" dxfId="0" priority="19188" operator="lessThan">
      <formula>20</formula>
    </cfRule>
    <cfRule type="cellIs" dxfId="1" priority="18294" operator="greaterThan">
      <formula>120</formula>
    </cfRule>
    <cfRule type="containsText" dxfId="2" priority="17400" operator="between" text="库存为">
      <formula>NOT(ISERROR(SEARCH("库存为",AU720)))</formula>
    </cfRule>
  </conditionalFormatting>
  <conditionalFormatting sqref="AU721">
    <cfRule type="cellIs" dxfId="0" priority="19187" operator="lessThan">
      <formula>20</formula>
    </cfRule>
    <cfRule type="cellIs" dxfId="1" priority="18293" operator="greaterThan">
      <formula>120</formula>
    </cfRule>
    <cfRule type="containsText" dxfId="2" priority="17399" operator="between" text="库存为">
      <formula>NOT(ISERROR(SEARCH("库存为",AU721)))</formula>
    </cfRule>
  </conditionalFormatting>
  <conditionalFormatting sqref="AU722">
    <cfRule type="cellIs" dxfId="0" priority="19186" operator="lessThan">
      <formula>20</formula>
    </cfRule>
    <cfRule type="cellIs" dxfId="1" priority="18292" operator="greaterThan">
      <formula>120</formula>
    </cfRule>
    <cfRule type="containsText" dxfId="2" priority="17398" operator="between" text="库存为">
      <formula>NOT(ISERROR(SEARCH("库存为",AU722)))</formula>
    </cfRule>
  </conditionalFormatting>
  <conditionalFormatting sqref="AU723">
    <cfRule type="cellIs" dxfId="0" priority="19185" operator="lessThan">
      <formula>20</formula>
    </cfRule>
    <cfRule type="cellIs" dxfId="1" priority="18291" operator="greaterThan">
      <formula>120</formula>
    </cfRule>
    <cfRule type="containsText" dxfId="2" priority="17397" operator="between" text="库存为">
      <formula>NOT(ISERROR(SEARCH("库存为",AU723)))</formula>
    </cfRule>
  </conditionalFormatting>
  <conditionalFormatting sqref="AU724">
    <cfRule type="cellIs" dxfId="0" priority="19184" operator="lessThan">
      <formula>20</formula>
    </cfRule>
    <cfRule type="cellIs" dxfId="1" priority="18290" operator="greaterThan">
      <formula>120</formula>
    </cfRule>
    <cfRule type="containsText" dxfId="2" priority="17396" operator="between" text="库存为">
      <formula>NOT(ISERROR(SEARCH("库存为",AU724)))</formula>
    </cfRule>
  </conditionalFormatting>
  <conditionalFormatting sqref="AU725">
    <cfRule type="cellIs" dxfId="0" priority="19183" operator="lessThan">
      <formula>20</formula>
    </cfRule>
    <cfRule type="cellIs" dxfId="1" priority="18289" operator="greaterThan">
      <formula>120</formula>
    </cfRule>
    <cfRule type="containsText" dxfId="2" priority="17395" operator="between" text="库存为">
      <formula>NOT(ISERROR(SEARCH("库存为",AU725)))</formula>
    </cfRule>
  </conditionalFormatting>
  <conditionalFormatting sqref="AU726">
    <cfRule type="cellIs" dxfId="0" priority="19182" operator="lessThan">
      <formula>20</formula>
    </cfRule>
    <cfRule type="cellIs" dxfId="1" priority="18288" operator="greaterThan">
      <formula>120</formula>
    </cfRule>
    <cfRule type="containsText" dxfId="2" priority="17394" operator="between" text="库存为">
      <formula>NOT(ISERROR(SEARCH("库存为",AU726)))</formula>
    </cfRule>
  </conditionalFormatting>
  <conditionalFormatting sqref="AU727">
    <cfRule type="cellIs" dxfId="0" priority="19181" operator="lessThan">
      <formula>20</formula>
    </cfRule>
    <cfRule type="cellIs" dxfId="1" priority="18287" operator="greaterThan">
      <formula>120</formula>
    </cfRule>
    <cfRule type="containsText" dxfId="2" priority="17393" operator="between" text="库存为">
      <formula>NOT(ISERROR(SEARCH("库存为",AU727)))</formula>
    </cfRule>
  </conditionalFormatting>
  <conditionalFormatting sqref="AU728">
    <cfRule type="cellIs" dxfId="0" priority="19180" operator="lessThan">
      <formula>20</formula>
    </cfRule>
    <cfRule type="cellIs" dxfId="1" priority="18286" operator="greaterThan">
      <formula>120</formula>
    </cfRule>
    <cfRule type="containsText" dxfId="2" priority="17392" operator="between" text="库存为">
      <formula>NOT(ISERROR(SEARCH("库存为",AU728)))</formula>
    </cfRule>
  </conditionalFormatting>
  <conditionalFormatting sqref="AU729">
    <cfRule type="cellIs" dxfId="0" priority="19179" operator="lessThan">
      <formula>20</formula>
    </cfRule>
    <cfRule type="cellIs" dxfId="1" priority="18285" operator="greaterThan">
      <formula>120</formula>
    </cfRule>
    <cfRule type="containsText" dxfId="2" priority="17391" operator="between" text="库存为">
      <formula>NOT(ISERROR(SEARCH("库存为",AU729)))</formula>
    </cfRule>
  </conditionalFormatting>
  <conditionalFormatting sqref="AU730">
    <cfRule type="cellIs" dxfId="0" priority="19178" operator="lessThan">
      <formula>20</formula>
    </cfRule>
    <cfRule type="cellIs" dxfId="1" priority="18284" operator="greaterThan">
      <formula>120</formula>
    </cfRule>
    <cfRule type="containsText" dxfId="2" priority="17390" operator="between" text="库存为">
      <formula>NOT(ISERROR(SEARCH("库存为",AU730)))</formula>
    </cfRule>
  </conditionalFormatting>
  <conditionalFormatting sqref="AU731">
    <cfRule type="cellIs" dxfId="0" priority="19177" operator="lessThan">
      <formula>20</formula>
    </cfRule>
    <cfRule type="cellIs" dxfId="1" priority="18283" operator="greaterThan">
      <formula>120</formula>
    </cfRule>
    <cfRule type="containsText" dxfId="2" priority="17389" operator="between" text="库存为">
      <formula>NOT(ISERROR(SEARCH("库存为",AU731)))</formula>
    </cfRule>
  </conditionalFormatting>
  <conditionalFormatting sqref="AU732">
    <cfRule type="cellIs" dxfId="0" priority="19176" operator="lessThan">
      <formula>20</formula>
    </cfRule>
    <cfRule type="cellIs" dxfId="1" priority="18282" operator="greaterThan">
      <formula>120</formula>
    </cfRule>
    <cfRule type="containsText" dxfId="2" priority="17388" operator="between" text="库存为">
      <formula>NOT(ISERROR(SEARCH("库存为",AU732)))</formula>
    </cfRule>
  </conditionalFormatting>
  <conditionalFormatting sqref="AU733">
    <cfRule type="cellIs" dxfId="0" priority="19175" operator="lessThan">
      <formula>20</formula>
    </cfRule>
    <cfRule type="cellIs" dxfId="1" priority="18281" operator="greaterThan">
      <formula>120</formula>
    </cfRule>
    <cfRule type="containsText" dxfId="2" priority="17387" operator="between" text="库存为">
      <formula>NOT(ISERROR(SEARCH("库存为",AU733)))</formula>
    </cfRule>
  </conditionalFormatting>
  <conditionalFormatting sqref="AU734">
    <cfRule type="cellIs" dxfId="0" priority="19174" operator="lessThan">
      <formula>20</formula>
    </cfRule>
    <cfRule type="cellIs" dxfId="1" priority="18280" operator="greaterThan">
      <formula>120</formula>
    </cfRule>
    <cfRule type="containsText" dxfId="2" priority="17386" operator="between" text="库存为">
      <formula>NOT(ISERROR(SEARCH("库存为",AU734)))</formula>
    </cfRule>
  </conditionalFormatting>
  <conditionalFormatting sqref="AU735">
    <cfRule type="cellIs" dxfId="0" priority="19173" operator="lessThan">
      <formula>20</formula>
    </cfRule>
    <cfRule type="cellIs" dxfId="1" priority="18279" operator="greaterThan">
      <formula>120</formula>
    </cfRule>
    <cfRule type="containsText" dxfId="2" priority="17385" operator="between" text="库存为">
      <formula>NOT(ISERROR(SEARCH("库存为",AU735)))</formula>
    </cfRule>
  </conditionalFormatting>
  <conditionalFormatting sqref="AU736">
    <cfRule type="cellIs" dxfId="0" priority="19172" operator="lessThan">
      <formula>20</formula>
    </cfRule>
    <cfRule type="cellIs" dxfId="1" priority="18278" operator="greaterThan">
      <formula>120</formula>
    </cfRule>
    <cfRule type="containsText" dxfId="2" priority="17384" operator="between" text="库存为">
      <formula>NOT(ISERROR(SEARCH("库存为",AU736)))</formula>
    </cfRule>
  </conditionalFormatting>
  <conditionalFormatting sqref="AU737">
    <cfRule type="cellIs" dxfId="0" priority="19171" operator="lessThan">
      <formula>20</formula>
    </cfRule>
    <cfRule type="cellIs" dxfId="1" priority="18277" operator="greaterThan">
      <formula>120</formula>
    </cfRule>
    <cfRule type="containsText" dxfId="2" priority="17383" operator="between" text="库存为">
      <formula>NOT(ISERROR(SEARCH("库存为",AU737)))</formula>
    </cfRule>
  </conditionalFormatting>
  <conditionalFormatting sqref="AU738">
    <cfRule type="cellIs" dxfId="0" priority="19170" operator="lessThan">
      <formula>20</formula>
    </cfRule>
    <cfRule type="cellIs" dxfId="1" priority="18276" operator="greaterThan">
      <formula>120</formula>
    </cfRule>
    <cfRule type="containsText" dxfId="2" priority="17382" operator="between" text="库存为">
      <formula>NOT(ISERROR(SEARCH("库存为",AU738)))</formula>
    </cfRule>
  </conditionalFormatting>
  <conditionalFormatting sqref="AU739">
    <cfRule type="cellIs" dxfId="0" priority="19169" operator="lessThan">
      <formula>20</formula>
    </cfRule>
    <cfRule type="cellIs" dxfId="1" priority="18275" operator="greaterThan">
      <formula>120</formula>
    </cfRule>
    <cfRule type="containsText" dxfId="2" priority="17381" operator="between" text="库存为">
      <formula>NOT(ISERROR(SEARCH("库存为",AU739)))</formula>
    </cfRule>
  </conditionalFormatting>
  <conditionalFormatting sqref="AU740">
    <cfRule type="cellIs" dxfId="0" priority="19168" operator="lessThan">
      <formula>20</formula>
    </cfRule>
    <cfRule type="cellIs" dxfId="1" priority="18274" operator="greaterThan">
      <formula>120</formula>
    </cfRule>
    <cfRule type="containsText" dxfId="2" priority="17380" operator="between" text="库存为">
      <formula>NOT(ISERROR(SEARCH("库存为",AU740)))</formula>
    </cfRule>
  </conditionalFormatting>
  <conditionalFormatting sqref="AU741">
    <cfRule type="cellIs" dxfId="0" priority="19167" operator="lessThan">
      <formula>20</formula>
    </cfRule>
    <cfRule type="cellIs" dxfId="1" priority="18273" operator="greaterThan">
      <formula>120</formula>
    </cfRule>
    <cfRule type="containsText" dxfId="2" priority="17379" operator="between" text="库存为">
      <formula>NOT(ISERROR(SEARCH("库存为",AU741)))</formula>
    </cfRule>
  </conditionalFormatting>
  <conditionalFormatting sqref="AU742">
    <cfRule type="cellIs" dxfId="0" priority="19166" operator="lessThan">
      <formula>20</formula>
    </cfRule>
    <cfRule type="cellIs" dxfId="1" priority="18272" operator="greaterThan">
      <formula>120</formula>
    </cfRule>
    <cfRule type="containsText" dxfId="2" priority="17378" operator="between" text="库存为">
      <formula>NOT(ISERROR(SEARCH("库存为",AU742)))</formula>
    </cfRule>
  </conditionalFormatting>
  <conditionalFormatting sqref="AU743">
    <cfRule type="cellIs" dxfId="0" priority="19165" operator="lessThan">
      <formula>20</formula>
    </cfRule>
    <cfRule type="cellIs" dxfId="1" priority="18271" operator="greaterThan">
      <formula>120</formula>
    </cfRule>
    <cfRule type="containsText" dxfId="2" priority="17377" operator="between" text="库存为">
      <formula>NOT(ISERROR(SEARCH("库存为",AU743)))</formula>
    </cfRule>
  </conditionalFormatting>
  <conditionalFormatting sqref="AU744">
    <cfRule type="cellIs" dxfId="0" priority="19164" operator="lessThan">
      <formula>20</formula>
    </cfRule>
    <cfRule type="cellIs" dxfId="1" priority="18270" operator="greaterThan">
      <formula>120</formula>
    </cfRule>
    <cfRule type="containsText" dxfId="2" priority="17376" operator="between" text="库存为">
      <formula>NOT(ISERROR(SEARCH("库存为",AU744)))</formula>
    </cfRule>
  </conditionalFormatting>
  <conditionalFormatting sqref="AU745">
    <cfRule type="cellIs" dxfId="0" priority="19163" operator="lessThan">
      <formula>20</formula>
    </cfRule>
    <cfRule type="cellIs" dxfId="1" priority="18269" operator="greaterThan">
      <formula>120</formula>
    </cfRule>
    <cfRule type="containsText" dxfId="2" priority="17375" operator="between" text="库存为">
      <formula>NOT(ISERROR(SEARCH("库存为",AU745)))</formula>
    </cfRule>
  </conditionalFormatting>
  <conditionalFormatting sqref="AU746">
    <cfRule type="cellIs" dxfId="0" priority="19162" operator="lessThan">
      <formula>20</formula>
    </cfRule>
    <cfRule type="cellIs" dxfId="1" priority="18268" operator="greaterThan">
      <formula>120</formula>
    </cfRule>
    <cfRule type="containsText" dxfId="2" priority="17374" operator="between" text="库存为">
      <formula>NOT(ISERROR(SEARCH("库存为",AU746)))</formula>
    </cfRule>
  </conditionalFormatting>
  <conditionalFormatting sqref="AU747">
    <cfRule type="cellIs" dxfId="0" priority="19161" operator="lessThan">
      <formula>20</formula>
    </cfRule>
    <cfRule type="cellIs" dxfId="1" priority="18267" operator="greaterThan">
      <formula>120</formula>
    </cfRule>
    <cfRule type="containsText" dxfId="2" priority="17373" operator="between" text="库存为">
      <formula>NOT(ISERROR(SEARCH("库存为",AU747)))</formula>
    </cfRule>
  </conditionalFormatting>
  <conditionalFormatting sqref="AU748">
    <cfRule type="cellIs" dxfId="0" priority="19160" operator="lessThan">
      <formula>20</formula>
    </cfRule>
    <cfRule type="cellIs" dxfId="1" priority="18266" operator="greaterThan">
      <formula>120</formula>
    </cfRule>
    <cfRule type="containsText" dxfId="2" priority="17372" operator="between" text="库存为">
      <formula>NOT(ISERROR(SEARCH("库存为",AU748)))</formula>
    </cfRule>
  </conditionalFormatting>
  <conditionalFormatting sqref="AU749">
    <cfRule type="cellIs" dxfId="0" priority="19159" operator="lessThan">
      <formula>20</formula>
    </cfRule>
    <cfRule type="cellIs" dxfId="1" priority="18265" operator="greaterThan">
      <formula>120</formula>
    </cfRule>
    <cfRule type="containsText" dxfId="2" priority="17371" operator="between" text="库存为">
      <formula>NOT(ISERROR(SEARCH("库存为",AU749)))</formula>
    </cfRule>
  </conditionalFormatting>
  <conditionalFormatting sqref="AU750">
    <cfRule type="cellIs" dxfId="0" priority="19158" operator="lessThan">
      <formula>20</formula>
    </cfRule>
    <cfRule type="cellIs" dxfId="1" priority="18264" operator="greaterThan">
      <formula>120</formula>
    </cfRule>
    <cfRule type="containsText" dxfId="2" priority="17370" operator="between" text="库存为">
      <formula>NOT(ISERROR(SEARCH("库存为",AU750)))</formula>
    </cfRule>
  </conditionalFormatting>
  <conditionalFormatting sqref="AU751">
    <cfRule type="cellIs" dxfId="0" priority="19157" operator="lessThan">
      <formula>20</formula>
    </cfRule>
    <cfRule type="cellIs" dxfId="1" priority="18263" operator="greaterThan">
      <formula>120</formula>
    </cfRule>
    <cfRule type="containsText" dxfId="2" priority="17369" operator="between" text="库存为">
      <formula>NOT(ISERROR(SEARCH("库存为",AU751)))</formula>
    </cfRule>
  </conditionalFormatting>
  <conditionalFormatting sqref="AU752">
    <cfRule type="cellIs" dxfId="0" priority="19156" operator="lessThan">
      <formula>20</formula>
    </cfRule>
    <cfRule type="cellIs" dxfId="1" priority="18262" operator="greaterThan">
      <formula>120</formula>
    </cfRule>
    <cfRule type="containsText" dxfId="2" priority="17368" operator="between" text="库存为">
      <formula>NOT(ISERROR(SEARCH("库存为",AU752)))</formula>
    </cfRule>
  </conditionalFormatting>
  <conditionalFormatting sqref="AU753">
    <cfRule type="cellIs" dxfId="0" priority="19155" operator="lessThan">
      <formula>20</formula>
    </cfRule>
    <cfRule type="cellIs" dxfId="1" priority="18261" operator="greaterThan">
      <formula>120</formula>
    </cfRule>
    <cfRule type="containsText" dxfId="2" priority="17367" operator="between" text="库存为">
      <formula>NOT(ISERROR(SEARCH("库存为",AU753)))</formula>
    </cfRule>
  </conditionalFormatting>
  <conditionalFormatting sqref="AU754">
    <cfRule type="cellIs" dxfId="0" priority="19154" operator="lessThan">
      <formula>20</formula>
    </cfRule>
    <cfRule type="cellIs" dxfId="1" priority="18260" operator="greaterThan">
      <formula>120</formula>
    </cfRule>
    <cfRule type="containsText" dxfId="2" priority="17366" operator="between" text="库存为">
      <formula>NOT(ISERROR(SEARCH("库存为",AU754)))</formula>
    </cfRule>
  </conditionalFormatting>
  <conditionalFormatting sqref="AU755">
    <cfRule type="cellIs" dxfId="0" priority="19153" operator="lessThan">
      <formula>20</formula>
    </cfRule>
    <cfRule type="cellIs" dxfId="1" priority="18259" operator="greaterThan">
      <formula>120</formula>
    </cfRule>
    <cfRule type="containsText" dxfId="2" priority="17365" operator="between" text="库存为">
      <formula>NOT(ISERROR(SEARCH("库存为",AU755)))</formula>
    </cfRule>
  </conditionalFormatting>
  <conditionalFormatting sqref="AU756">
    <cfRule type="cellIs" dxfId="0" priority="19152" operator="lessThan">
      <formula>20</formula>
    </cfRule>
    <cfRule type="cellIs" dxfId="1" priority="18258" operator="greaterThan">
      <formula>120</formula>
    </cfRule>
    <cfRule type="containsText" dxfId="2" priority="17364" operator="between" text="库存为">
      <formula>NOT(ISERROR(SEARCH("库存为",AU756)))</formula>
    </cfRule>
  </conditionalFormatting>
  <conditionalFormatting sqref="AU757">
    <cfRule type="cellIs" dxfId="0" priority="19151" operator="lessThan">
      <formula>20</formula>
    </cfRule>
    <cfRule type="cellIs" dxfId="1" priority="18257" operator="greaterThan">
      <formula>120</formula>
    </cfRule>
    <cfRule type="containsText" dxfId="2" priority="17363" operator="between" text="库存为">
      <formula>NOT(ISERROR(SEARCH("库存为",AU757)))</formula>
    </cfRule>
  </conditionalFormatting>
  <conditionalFormatting sqref="AU758">
    <cfRule type="cellIs" dxfId="0" priority="19150" operator="lessThan">
      <formula>20</formula>
    </cfRule>
    <cfRule type="cellIs" dxfId="1" priority="18256" operator="greaterThan">
      <formula>120</formula>
    </cfRule>
    <cfRule type="containsText" dxfId="2" priority="17362" operator="between" text="库存为">
      <formula>NOT(ISERROR(SEARCH("库存为",AU758)))</formula>
    </cfRule>
  </conditionalFormatting>
  <conditionalFormatting sqref="AU759">
    <cfRule type="cellIs" dxfId="0" priority="19149" operator="lessThan">
      <formula>20</formula>
    </cfRule>
    <cfRule type="cellIs" dxfId="1" priority="18255" operator="greaterThan">
      <formula>120</formula>
    </cfRule>
    <cfRule type="containsText" dxfId="2" priority="17361" operator="between" text="库存为">
      <formula>NOT(ISERROR(SEARCH("库存为",AU759)))</formula>
    </cfRule>
  </conditionalFormatting>
  <conditionalFormatting sqref="AU760">
    <cfRule type="cellIs" dxfId="0" priority="19148" operator="lessThan">
      <formula>20</formula>
    </cfRule>
    <cfRule type="cellIs" dxfId="1" priority="18254" operator="greaterThan">
      <formula>120</formula>
    </cfRule>
    <cfRule type="containsText" dxfId="2" priority="17360" operator="between" text="库存为">
      <formula>NOT(ISERROR(SEARCH("库存为",AU760)))</formula>
    </cfRule>
  </conditionalFormatting>
  <conditionalFormatting sqref="AU761">
    <cfRule type="cellIs" dxfId="0" priority="19147" operator="lessThan">
      <formula>20</formula>
    </cfRule>
    <cfRule type="cellIs" dxfId="1" priority="18253" operator="greaterThan">
      <formula>120</formula>
    </cfRule>
    <cfRule type="containsText" dxfId="2" priority="17359" operator="between" text="库存为">
      <formula>NOT(ISERROR(SEARCH("库存为",AU761)))</formula>
    </cfRule>
  </conditionalFormatting>
  <conditionalFormatting sqref="AU762">
    <cfRule type="cellIs" dxfId="0" priority="19146" operator="lessThan">
      <formula>20</formula>
    </cfRule>
    <cfRule type="cellIs" dxfId="1" priority="18252" operator="greaterThan">
      <formula>120</formula>
    </cfRule>
    <cfRule type="containsText" dxfId="2" priority="17358" operator="between" text="库存为">
      <formula>NOT(ISERROR(SEARCH("库存为",AU762)))</formula>
    </cfRule>
  </conditionalFormatting>
  <conditionalFormatting sqref="AU763">
    <cfRule type="cellIs" dxfId="0" priority="19145" operator="lessThan">
      <formula>20</formula>
    </cfRule>
    <cfRule type="cellIs" dxfId="1" priority="18251" operator="greaterThan">
      <formula>120</formula>
    </cfRule>
    <cfRule type="containsText" dxfId="2" priority="17357" operator="between" text="库存为">
      <formula>NOT(ISERROR(SEARCH("库存为",AU763)))</formula>
    </cfRule>
  </conditionalFormatting>
  <conditionalFormatting sqref="AU764">
    <cfRule type="cellIs" dxfId="0" priority="19144" operator="lessThan">
      <formula>20</formula>
    </cfRule>
    <cfRule type="cellIs" dxfId="1" priority="18250" operator="greaterThan">
      <formula>120</formula>
    </cfRule>
    <cfRule type="containsText" dxfId="2" priority="17356" operator="between" text="库存为">
      <formula>NOT(ISERROR(SEARCH("库存为",AU764)))</formula>
    </cfRule>
  </conditionalFormatting>
  <conditionalFormatting sqref="AU765">
    <cfRule type="cellIs" dxfId="0" priority="19143" operator="lessThan">
      <formula>20</formula>
    </cfRule>
    <cfRule type="cellIs" dxfId="1" priority="18249" operator="greaterThan">
      <formula>120</formula>
    </cfRule>
    <cfRule type="containsText" dxfId="2" priority="17355" operator="between" text="库存为">
      <formula>NOT(ISERROR(SEARCH("库存为",AU765)))</formula>
    </cfRule>
  </conditionalFormatting>
  <conditionalFormatting sqref="AU766">
    <cfRule type="cellIs" dxfId="0" priority="19142" operator="lessThan">
      <formula>20</formula>
    </cfRule>
    <cfRule type="cellIs" dxfId="1" priority="18248" operator="greaterThan">
      <formula>120</formula>
    </cfRule>
    <cfRule type="containsText" dxfId="2" priority="17354" operator="between" text="库存为">
      <formula>NOT(ISERROR(SEARCH("库存为",AU766)))</formula>
    </cfRule>
  </conditionalFormatting>
  <conditionalFormatting sqref="AU767">
    <cfRule type="cellIs" dxfId="0" priority="19141" operator="lessThan">
      <formula>20</formula>
    </cfRule>
    <cfRule type="cellIs" dxfId="1" priority="18247" operator="greaterThan">
      <formula>120</formula>
    </cfRule>
    <cfRule type="containsText" dxfId="2" priority="17353" operator="between" text="库存为">
      <formula>NOT(ISERROR(SEARCH("库存为",AU767)))</formula>
    </cfRule>
  </conditionalFormatting>
  <conditionalFormatting sqref="AU768">
    <cfRule type="cellIs" dxfId="0" priority="19140" operator="lessThan">
      <formula>20</formula>
    </cfRule>
    <cfRule type="cellIs" dxfId="1" priority="18246" operator="greaterThan">
      <formula>120</formula>
    </cfRule>
    <cfRule type="containsText" dxfId="2" priority="17352" operator="between" text="库存为">
      <formula>NOT(ISERROR(SEARCH("库存为",AU768)))</formula>
    </cfRule>
  </conditionalFormatting>
  <conditionalFormatting sqref="AU769">
    <cfRule type="cellIs" dxfId="0" priority="19139" operator="lessThan">
      <formula>20</formula>
    </cfRule>
    <cfRule type="cellIs" dxfId="1" priority="18245" operator="greaterThan">
      <formula>120</formula>
    </cfRule>
    <cfRule type="containsText" dxfId="2" priority="17351" operator="between" text="库存为">
      <formula>NOT(ISERROR(SEARCH("库存为",AU769)))</formula>
    </cfRule>
  </conditionalFormatting>
  <conditionalFormatting sqref="AU770">
    <cfRule type="cellIs" dxfId="0" priority="19138" operator="lessThan">
      <formula>20</formula>
    </cfRule>
    <cfRule type="cellIs" dxfId="1" priority="18244" operator="greaterThan">
      <formula>120</formula>
    </cfRule>
    <cfRule type="containsText" dxfId="2" priority="17350" operator="between" text="库存为">
      <formula>NOT(ISERROR(SEARCH("库存为",AU770)))</formula>
    </cfRule>
  </conditionalFormatting>
  <conditionalFormatting sqref="AU771">
    <cfRule type="cellIs" dxfId="0" priority="19137" operator="lessThan">
      <formula>20</formula>
    </cfRule>
    <cfRule type="cellIs" dxfId="1" priority="18243" operator="greaterThan">
      <formula>120</formula>
    </cfRule>
    <cfRule type="containsText" dxfId="2" priority="17349" operator="between" text="库存为">
      <formula>NOT(ISERROR(SEARCH("库存为",AU771)))</formula>
    </cfRule>
  </conditionalFormatting>
  <conditionalFormatting sqref="AU772">
    <cfRule type="cellIs" dxfId="0" priority="19136" operator="lessThan">
      <formula>20</formula>
    </cfRule>
    <cfRule type="cellIs" dxfId="1" priority="18242" operator="greaterThan">
      <formula>120</formula>
    </cfRule>
    <cfRule type="containsText" dxfId="2" priority="17348" operator="between" text="库存为">
      <formula>NOT(ISERROR(SEARCH("库存为",AU772)))</formula>
    </cfRule>
  </conditionalFormatting>
  <conditionalFormatting sqref="AU773">
    <cfRule type="cellIs" dxfId="0" priority="19135" operator="lessThan">
      <formula>20</formula>
    </cfRule>
    <cfRule type="cellIs" dxfId="1" priority="18241" operator="greaterThan">
      <formula>120</formula>
    </cfRule>
    <cfRule type="containsText" dxfId="2" priority="17347" operator="between" text="库存为">
      <formula>NOT(ISERROR(SEARCH("库存为",AU773)))</formula>
    </cfRule>
  </conditionalFormatting>
  <conditionalFormatting sqref="AU774">
    <cfRule type="cellIs" dxfId="0" priority="19134" operator="lessThan">
      <formula>20</formula>
    </cfRule>
    <cfRule type="cellIs" dxfId="1" priority="18240" operator="greaterThan">
      <formula>120</formula>
    </cfRule>
    <cfRule type="containsText" dxfId="2" priority="17346" operator="between" text="库存为">
      <formula>NOT(ISERROR(SEARCH("库存为",AU774)))</formula>
    </cfRule>
  </conditionalFormatting>
  <conditionalFormatting sqref="AU775">
    <cfRule type="cellIs" dxfId="0" priority="19133" operator="lessThan">
      <formula>20</formula>
    </cfRule>
    <cfRule type="cellIs" dxfId="1" priority="18239" operator="greaterThan">
      <formula>120</formula>
    </cfRule>
    <cfRule type="containsText" dxfId="2" priority="17345" operator="between" text="库存为">
      <formula>NOT(ISERROR(SEARCH("库存为",AU775)))</formula>
    </cfRule>
  </conditionalFormatting>
  <conditionalFormatting sqref="AU776">
    <cfRule type="cellIs" dxfId="0" priority="19132" operator="lessThan">
      <formula>20</formula>
    </cfRule>
    <cfRule type="cellIs" dxfId="1" priority="18238" operator="greaterThan">
      <formula>120</formula>
    </cfRule>
    <cfRule type="containsText" dxfId="2" priority="17344" operator="between" text="库存为">
      <formula>NOT(ISERROR(SEARCH("库存为",AU776)))</formula>
    </cfRule>
  </conditionalFormatting>
  <conditionalFormatting sqref="AU777">
    <cfRule type="cellIs" dxfId="0" priority="19131" operator="lessThan">
      <formula>20</formula>
    </cfRule>
    <cfRule type="cellIs" dxfId="1" priority="18237" operator="greaterThan">
      <formula>120</formula>
    </cfRule>
    <cfRule type="containsText" dxfId="2" priority="17343" operator="between" text="库存为">
      <formula>NOT(ISERROR(SEARCH("库存为",AU777)))</formula>
    </cfRule>
  </conditionalFormatting>
  <conditionalFormatting sqref="AU778">
    <cfRule type="cellIs" dxfId="0" priority="19130" operator="lessThan">
      <formula>20</formula>
    </cfRule>
    <cfRule type="cellIs" dxfId="1" priority="18236" operator="greaterThan">
      <formula>120</formula>
    </cfRule>
    <cfRule type="containsText" dxfId="2" priority="17342" operator="between" text="库存为">
      <formula>NOT(ISERROR(SEARCH("库存为",AU778)))</formula>
    </cfRule>
  </conditionalFormatting>
  <conditionalFormatting sqref="AU779">
    <cfRule type="cellIs" dxfId="0" priority="19129" operator="lessThan">
      <formula>20</formula>
    </cfRule>
    <cfRule type="cellIs" dxfId="1" priority="18235" operator="greaterThan">
      <formula>120</formula>
    </cfRule>
    <cfRule type="containsText" dxfId="2" priority="17341" operator="between" text="库存为">
      <formula>NOT(ISERROR(SEARCH("库存为",AU779)))</formula>
    </cfRule>
  </conditionalFormatting>
  <conditionalFormatting sqref="AU780">
    <cfRule type="cellIs" dxfId="0" priority="19128" operator="lessThan">
      <formula>20</formula>
    </cfRule>
    <cfRule type="cellIs" dxfId="1" priority="18234" operator="greaterThan">
      <formula>120</formula>
    </cfRule>
    <cfRule type="containsText" dxfId="2" priority="17340" operator="between" text="库存为">
      <formula>NOT(ISERROR(SEARCH("库存为",AU780)))</formula>
    </cfRule>
  </conditionalFormatting>
  <conditionalFormatting sqref="AU781">
    <cfRule type="cellIs" dxfId="0" priority="19127" operator="lessThan">
      <formula>20</formula>
    </cfRule>
    <cfRule type="cellIs" dxfId="1" priority="18233" operator="greaterThan">
      <formula>120</formula>
    </cfRule>
    <cfRule type="containsText" dxfId="2" priority="17339" operator="between" text="库存为">
      <formula>NOT(ISERROR(SEARCH("库存为",AU781)))</formula>
    </cfRule>
  </conditionalFormatting>
  <conditionalFormatting sqref="AU782">
    <cfRule type="cellIs" dxfId="0" priority="19126" operator="lessThan">
      <formula>20</formula>
    </cfRule>
    <cfRule type="cellIs" dxfId="1" priority="18232" operator="greaterThan">
      <formula>120</formula>
    </cfRule>
    <cfRule type="containsText" dxfId="2" priority="17338" operator="between" text="库存为">
      <formula>NOT(ISERROR(SEARCH("库存为",AU782)))</formula>
    </cfRule>
  </conditionalFormatting>
  <conditionalFormatting sqref="AU783">
    <cfRule type="cellIs" dxfId="0" priority="19125" operator="lessThan">
      <formula>20</formula>
    </cfRule>
    <cfRule type="cellIs" dxfId="1" priority="18231" operator="greaterThan">
      <formula>120</formula>
    </cfRule>
    <cfRule type="containsText" dxfId="2" priority="17337" operator="between" text="库存为">
      <formula>NOT(ISERROR(SEARCH("库存为",AU783)))</formula>
    </cfRule>
  </conditionalFormatting>
  <conditionalFormatting sqref="AU784">
    <cfRule type="cellIs" dxfId="0" priority="19124" operator="lessThan">
      <formula>20</formula>
    </cfRule>
    <cfRule type="cellIs" dxfId="1" priority="18230" operator="greaterThan">
      <formula>120</formula>
    </cfRule>
    <cfRule type="containsText" dxfId="2" priority="17336" operator="between" text="库存为">
      <formula>NOT(ISERROR(SEARCH("库存为",AU784)))</formula>
    </cfRule>
  </conditionalFormatting>
  <conditionalFormatting sqref="AU785">
    <cfRule type="cellIs" dxfId="0" priority="19123" operator="lessThan">
      <formula>20</formula>
    </cfRule>
    <cfRule type="cellIs" dxfId="1" priority="18229" operator="greaterThan">
      <formula>120</formula>
    </cfRule>
    <cfRule type="containsText" dxfId="2" priority="17335" operator="between" text="库存为">
      <formula>NOT(ISERROR(SEARCH("库存为",AU785)))</formula>
    </cfRule>
  </conditionalFormatting>
  <conditionalFormatting sqref="AU786">
    <cfRule type="cellIs" dxfId="0" priority="19122" operator="lessThan">
      <formula>20</formula>
    </cfRule>
    <cfRule type="cellIs" dxfId="1" priority="18228" operator="greaterThan">
      <formula>120</formula>
    </cfRule>
    <cfRule type="containsText" dxfId="2" priority="17334" operator="between" text="库存为">
      <formula>NOT(ISERROR(SEARCH("库存为",AU786)))</formula>
    </cfRule>
  </conditionalFormatting>
  <conditionalFormatting sqref="AU787">
    <cfRule type="cellIs" dxfId="0" priority="19121" operator="lessThan">
      <formula>20</formula>
    </cfRule>
    <cfRule type="cellIs" dxfId="1" priority="18227" operator="greaterThan">
      <formula>120</formula>
    </cfRule>
    <cfRule type="containsText" dxfId="2" priority="17333" operator="between" text="库存为">
      <formula>NOT(ISERROR(SEARCH("库存为",AU787)))</formula>
    </cfRule>
  </conditionalFormatting>
  <conditionalFormatting sqref="AU788">
    <cfRule type="cellIs" dxfId="0" priority="19120" operator="lessThan">
      <formula>20</formula>
    </cfRule>
    <cfRule type="cellIs" dxfId="1" priority="18226" operator="greaterThan">
      <formula>120</formula>
    </cfRule>
    <cfRule type="containsText" dxfId="2" priority="17332" operator="between" text="库存为">
      <formula>NOT(ISERROR(SEARCH("库存为",AU788)))</formula>
    </cfRule>
  </conditionalFormatting>
  <conditionalFormatting sqref="AU789">
    <cfRule type="cellIs" dxfId="0" priority="19119" operator="lessThan">
      <formula>20</formula>
    </cfRule>
    <cfRule type="cellIs" dxfId="1" priority="18225" operator="greaterThan">
      <formula>120</formula>
    </cfRule>
    <cfRule type="containsText" dxfId="2" priority="17331" operator="between" text="库存为">
      <formula>NOT(ISERROR(SEARCH("库存为",AU789)))</formula>
    </cfRule>
  </conditionalFormatting>
  <conditionalFormatting sqref="AU790">
    <cfRule type="cellIs" dxfId="0" priority="19118" operator="lessThan">
      <formula>20</formula>
    </cfRule>
    <cfRule type="cellIs" dxfId="1" priority="18224" operator="greaterThan">
      <formula>120</formula>
    </cfRule>
    <cfRule type="containsText" dxfId="2" priority="17330" operator="between" text="库存为">
      <formula>NOT(ISERROR(SEARCH("库存为",AU790)))</formula>
    </cfRule>
  </conditionalFormatting>
  <conditionalFormatting sqref="AU791">
    <cfRule type="cellIs" dxfId="0" priority="19117" operator="lessThan">
      <formula>20</formula>
    </cfRule>
    <cfRule type="cellIs" dxfId="1" priority="18223" operator="greaterThan">
      <formula>120</formula>
    </cfRule>
    <cfRule type="containsText" dxfId="2" priority="17329" operator="between" text="库存为">
      <formula>NOT(ISERROR(SEARCH("库存为",AU791)))</formula>
    </cfRule>
  </conditionalFormatting>
  <conditionalFormatting sqref="AU792">
    <cfRule type="cellIs" dxfId="0" priority="19116" operator="lessThan">
      <formula>20</formula>
    </cfRule>
    <cfRule type="cellIs" dxfId="1" priority="18222" operator="greaterThan">
      <formula>120</formula>
    </cfRule>
    <cfRule type="containsText" dxfId="2" priority="17328" operator="between" text="库存为">
      <formula>NOT(ISERROR(SEARCH("库存为",AU792)))</formula>
    </cfRule>
  </conditionalFormatting>
  <conditionalFormatting sqref="AU793">
    <cfRule type="cellIs" dxfId="0" priority="19115" operator="lessThan">
      <formula>20</formula>
    </cfRule>
    <cfRule type="cellIs" dxfId="1" priority="18221" operator="greaterThan">
      <formula>120</formula>
    </cfRule>
    <cfRule type="containsText" dxfId="2" priority="17327" operator="between" text="库存为">
      <formula>NOT(ISERROR(SEARCH("库存为",AU793)))</formula>
    </cfRule>
  </conditionalFormatting>
  <conditionalFormatting sqref="AU794">
    <cfRule type="cellIs" dxfId="0" priority="19114" operator="lessThan">
      <formula>20</formula>
    </cfRule>
    <cfRule type="cellIs" dxfId="1" priority="18220" operator="greaterThan">
      <formula>120</formula>
    </cfRule>
    <cfRule type="containsText" dxfId="2" priority="17326" operator="between" text="库存为">
      <formula>NOT(ISERROR(SEARCH("库存为",AU794)))</formula>
    </cfRule>
  </conditionalFormatting>
  <conditionalFormatting sqref="AU795">
    <cfRule type="cellIs" dxfId="0" priority="19113" operator="lessThan">
      <formula>20</formula>
    </cfRule>
    <cfRule type="cellIs" dxfId="1" priority="18219" operator="greaterThan">
      <formula>120</formula>
    </cfRule>
    <cfRule type="containsText" dxfId="2" priority="17325" operator="between" text="库存为">
      <formula>NOT(ISERROR(SEARCH("库存为",AU795)))</formula>
    </cfRule>
  </conditionalFormatting>
  <conditionalFormatting sqref="AU796">
    <cfRule type="cellIs" dxfId="0" priority="19112" operator="lessThan">
      <formula>20</formula>
    </cfRule>
    <cfRule type="cellIs" dxfId="1" priority="18218" operator="greaterThan">
      <formula>120</formula>
    </cfRule>
    <cfRule type="containsText" dxfId="2" priority="17324" operator="between" text="库存为">
      <formula>NOT(ISERROR(SEARCH("库存为",AU796)))</formula>
    </cfRule>
  </conditionalFormatting>
  <conditionalFormatting sqref="AU797">
    <cfRule type="cellIs" dxfId="0" priority="19111" operator="lessThan">
      <formula>20</formula>
    </cfRule>
    <cfRule type="cellIs" dxfId="1" priority="18217" operator="greaterThan">
      <formula>120</formula>
    </cfRule>
    <cfRule type="containsText" dxfId="2" priority="17323" operator="between" text="库存为">
      <formula>NOT(ISERROR(SEARCH("库存为",AU797)))</formula>
    </cfRule>
  </conditionalFormatting>
  <conditionalFormatting sqref="AU798">
    <cfRule type="cellIs" dxfId="0" priority="19110" operator="lessThan">
      <formula>20</formula>
    </cfRule>
    <cfRule type="cellIs" dxfId="1" priority="18216" operator="greaterThan">
      <formula>120</formula>
    </cfRule>
    <cfRule type="containsText" dxfId="2" priority="17322" operator="between" text="库存为">
      <formula>NOT(ISERROR(SEARCH("库存为",AU798)))</formula>
    </cfRule>
  </conditionalFormatting>
  <conditionalFormatting sqref="AU799">
    <cfRule type="cellIs" dxfId="0" priority="19109" operator="lessThan">
      <formula>20</formula>
    </cfRule>
    <cfRule type="cellIs" dxfId="1" priority="18215" operator="greaterThan">
      <formula>120</formula>
    </cfRule>
    <cfRule type="containsText" dxfId="2" priority="17321" operator="between" text="库存为">
      <formula>NOT(ISERROR(SEARCH("库存为",AU799)))</formula>
    </cfRule>
  </conditionalFormatting>
  <conditionalFormatting sqref="AU800">
    <cfRule type="cellIs" dxfId="0" priority="19108" operator="lessThan">
      <formula>20</formula>
    </cfRule>
    <cfRule type="cellIs" dxfId="1" priority="18214" operator="greaterThan">
      <formula>120</formula>
    </cfRule>
    <cfRule type="containsText" dxfId="2" priority="17320" operator="between" text="库存为">
      <formula>NOT(ISERROR(SEARCH("库存为",AU800)))</formula>
    </cfRule>
  </conditionalFormatting>
  <conditionalFormatting sqref="AU801">
    <cfRule type="cellIs" dxfId="0" priority="19107" operator="lessThan">
      <formula>20</formula>
    </cfRule>
    <cfRule type="cellIs" dxfId="1" priority="18213" operator="greaterThan">
      <formula>120</formula>
    </cfRule>
    <cfRule type="containsText" dxfId="2" priority="17319" operator="between" text="库存为">
      <formula>NOT(ISERROR(SEARCH("库存为",AU801)))</formula>
    </cfRule>
  </conditionalFormatting>
  <conditionalFormatting sqref="AU802">
    <cfRule type="cellIs" dxfId="0" priority="19106" operator="lessThan">
      <formula>20</formula>
    </cfRule>
    <cfRule type="cellIs" dxfId="1" priority="18212" operator="greaterThan">
      <formula>120</formula>
    </cfRule>
    <cfRule type="containsText" dxfId="2" priority="17318" operator="between" text="库存为">
      <formula>NOT(ISERROR(SEARCH("库存为",AU802)))</formula>
    </cfRule>
  </conditionalFormatting>
  <conditionalFormatting sqref="AU803">
    <cfRule type="cellIs" dxfId="0" priority="19105" operator="lessThan">
      <formula>20</formula>
    </cfRule>
    <cfRule type="cellIs" dxfId="1" priority="18211" operator="greaterThan">
      <formula>120</formula>
    </cfRule>
    <cfRule type="containsText" dxfId="2" priority="17317" operator="between" text="库存为">
      <formula>NOT(ISERROR(SEARCH("库存为",AU803)))</formula>
    </cfRule>
  </conditionalFormatting>
  <conditionalFormatting sqref="AU804">
    <cfRule type="cellIs" dxfId="0" priority="19104" operator="lessThan">
      <formula>20</formula>
    </cfRule>
    <cfRule type="cellIs" dxfId="1" priority="18210" operator="greaterThan">
      <formula>120</formula>
    </cfRule>
    <cfRule type="containsText" dxfId="2" priority="17316" operator="between" text="库存为">
      <formula>NOT(ISERROR(SEARCH("库存为",AU804)))</formula>
    </cfRule>
  </conditionalFormatting>
  <conditionalFormatting sqref="AU805">
    <cfRule type="cellIs" dxfId="0" priority="19103" operator="lessThan">
      <formula>20</formula>
    </cfRule>
    <cfRule type="cellIs" dxfId="1" priority="18209" operator="greaterThan">
      <formula>120</formula>
    </cfRule>
    <cfRule type="containsText" dxfId="2" priority="17315" operator="between" text="库存为">
      <formula>NOT(ISERROR(SEARCH("库存为",AU805)))</formula>
    </cfRule>
  </conditionalFormatting>
  <conditionalFormatting sqref="AU806">
    <cfRule type="cellIs" dxfId="0" priority="19102" operator="lessThan">
      <formula>20</formula>
    </cfRule>
    <cfRule type="cellIs" dxfId="1" priority="18208" operator="greaterThan">
      <formula>120</formula>
    </cfRule>
    <cfRule type="containsText" dxfId="2" priority="17314" operator="between" text="库存为">
      <formula>NOT(ISERROR(SEARCH("库存为",AU806)))</formula>
    </cfRule>
  </conditionalFormatting>
  <conditionalFormatting sqref="AU807">
    <cfRule type="cellIs" dxfId="0" priority="19101" operator="lessThan">
      <formula>20</formula>
    </cfRule>
    <cfRule type="cellIs" dxfId="1" priority="18207" operator="greaterThan">
      <formula>120</formula>
    </cfRule>
    <cfRule type="containsText" dxfId="2" priority="17313" operator="between" text="库存为">
      <formula>NOT(ISERROR(SEARCH("库存为",AU807)))</formula>
    </cfRule>
  </conditionalFormatting>
  <conditionalFormatting sqref="AU808">
    <cfRule type="cellIs" dxfId="0" priority="19100" operator="lessThan">
      <formula>20</formula>
    </cfRule>
    <cfRule type="cellIs" dxfId="1" priority="18206" operator="greaterThan">
      <formula>120</formula>
    </cfRule>
    <cfRule type="containsText" dxfId="2" priority="17312" operator="between" text="库存为">
      <formula>NOT(ISERROR(SEARCH("库存为",AU808)))</formula>
    </cfRule>
  </conditionalFormatting>
  <conditionalFormatting sqref="AU809">
    <cfRule type="cellIs" dxfId="0" priority="19099" operator="lessThan">
      <formula>20</formula>
    </cfRule>
    <cfRule type="cellIs" dxfId="1" priority="18205" operator="greaterThan">
      <formula>120</formula>
    </cfRule>
    <cfRule type="containsText" dxfId="2" priority="17311" operator="between" text="库存为">
      <formula>NOT(ISERROR(SEARCH("库存为",AU809)))</formula>
    </cfRule>
  </conditionalFormatting>
  <conditionalFormatting sqref="AU810">
    <cfRule type="cellIs" dxfId="0" priority="19098" operator="lessThan">
      <formula>20</formula>
    </cfRule>
    <cfRule type="cellIs" dxfId="1" priority="18204" operator="greaterThan">
      <formula>120</formula>
    </cfRule>
    <cfRule type="containsText" dxfId="2" priority="17310" operator="between" text="库存为">
      <formula>NOT(ISERROR(SEARCH("库存为",AU810)))</formula>
    </cfRule>
  </conditionalFormatting>
  <conditionalFormatting sqref="AU811">
    <cfRule type="cellIs" dxfId="0" priority="19097" operator="lessThan">
      <formula>20</formula>
    </cfRule>
    <cfRule type="cellIs" dxfId="1" priority="18203" operator="greaterThan">
      <formula>120</formula>
    </cfRule>
    <cfRule type="containsText" dxfId="2" priority="17309" operator="between" text="库存为">
      <formula>NOT(ISERROR(SEARCH("库存为",AU811)))</formula>
    </cfRule>
  </conditionalFormatting>
  <conditionalFormatting sqref="AU812">
    <cfRule type="cellIs" dxfId="0" priority="19096" operator="lessThan">
      <formula>20</formula>
    </cfRule>
    <cfRule type="cellIs" dxfId="1" priority="18202" operator="greaterThan">
      <formula>120</formula>
    </cfRule>
    <cfRule type="containsText" dxfId="2" priority="17308" operator="between" text="库存为">
      <formula>NOT(ISERROR(SEARCH("库存为",AU812)))</formula>
    </cfRule>
  </conditionalFormatting>
  <conditionalFormatting sqref="AU813">
    <cfRule type="cellIs" dxfId="0" priority="19095" operator="lessThan">
      <formula>20</formula>
    </cfRule>
    <cfRule type="cellIs" dxfId="1" priority="18201" operator="greaterThan">
      <formula>120</formula>
    </cfRule>
    <cfRule type="containsText" dxfId="2" priority="17307" operator="between" text="库存为">
      <formula>NOT(ISERROR(SEARCH("库存为",AU813)))</formula>
    </cfRule>
  </conditionalFormatting>
  <conditionalFormatting sqref="AU814">
    <cfRule type="cellIs" dxfId="0" priority="19094" operator="lessThan">
      <formula>20</formula>
    </cfRule>
    <cfRule type="cellIs" dxfId="1" priority="18200" operator="greaterThan">
      <formula>120</formula>
    </cfRule>
    <cfRule type="containsText" dxfId="2" priority="17306" operator="between" text="库存为">
      <formula>NOT(ISERROR(SEARCH("库存为",AU814)))</formula>
    </cfRule>
  </conditionalFormatting>
  <conditionalFormatting sqref="AU815">
    <cfRule type="cellIs" dxfId="0" priority="19093" operator="lessThan">
      <formula>20</formula>
    </cfRule>
    <cfRule type="cellIs" dxfId="1" priority="18199" operator="greaterThan">
      <formula>120</formula>
    </cfRule>
    <cfRule type="containsText" dxfId="2" priority="17305" operator="between" text="库存为">
      <formula>NOT(ISERROR(SEARCH("库存为",AU815)))</formula>
    </cfRule>
  </conditionalFormatting>
  <conditionalFormatting sqref="AU816">
    <cfRule type="cellIs" dxfId="0" priority="19092" operator="lessThan">
      <formula>20</formula>
    </cfRule>
    <cfRule type="cellIs" dxfId="1" priority="18198" operator="greaterThan">
      <formula>120</formula>
    </cfRule>
    <cfRule type="containsText" dxfId="2" priority="17304" operator="between" text="库存为">
      <formula>NOT(ISERROR(SEARCH("库存为",AU816)))</formula>
    </cfRule>
  </conditionalFormatting>
  <conditionalFormatting sqref="AU817">
    <cfRule type="cellIs" dxfId="0" priority="19091" operator="lessThan">
      <formula>20</formula>
    </cfRule>
    <cfRule type="cellIs" dxfId="1" priority="18197" operator="greaterThan">
      <formula>120</formula>
    </cfRule>
    <cfRule type="containsText" dxfId="2" priority="17303" operator="between" text="库存为">
      <formula>NOT(ISERROR(SEARCH("库存为",AU817)))</formula>
    </cfRule>
  </conditionalFormatting>
  <conditionalFormatting sqref="AU818">
    <cfRule type="cellIs" dxfId="0" priority="19090" operator="lessThan">
      <formula>20</formula>
    </cfRule>
    <cfRule type="cellIs" dxfId="1" priority="18196" operator="greaterThan">
      <formula>120</formula>
    </cfRule>
    <cfRule type="containsText" dxfId="2" priority="17302" operator="between" text="库存为">
      <formula>NOT(ISERROR(SEARCH("库存为",AU818)))</formula>
    </cfRule>
  </conditionalFormatting>
  <conditionalFormatting sqref="AU819">
    <cfRule type="cellIs" dxfId="0" priority="19089" operator="lessThan">
      <formula>20</formula>
    </cfRule>
    <cfRule type="cellIs" dxfId="1" priority="18195" operator="greaterThan">
      <formula>120</formula>
    </cfRule>
    <cfRule type="containsText" dxfId="2" priority="17301" operator="between" text="库存为">
      <formula>NOT(ISERROR(SEARCH("库存为",AU819)))</formula>
    </cfRule>
  </conditionalFormatting>
  <conditionalFormatting sqref="AU820">
    <cfRule type="cellIs" dxfId="0" priority="19088" operator="lessThan">
      <formula>20</formula>
    </cfRule>
    <cfRule type="cellIs" dxfId="1" priority="18194" operator="greaterThan">
      <formula>120</formula>
    </cfRule>
    <cfRule type="containsText" dxfId="2" priority="17300" operator="between" text="库存为">
      <formula>NOT(ISERROR(SEARCH("库存为",AU820)))</formula>
    </cfRule>
  </conditionalFormatting>
  <conditionalFormatting sqref="AU821">
    <cfRule type="cellIs" dxfId="0" priority="19087" operator="lessThan">
      <formula>20</formula>
    </cfRule>
    <cfRule type="cellIs" dxfId="1" priority="18193" operator="greaterThan">
      <formula>120</formula>
    </cfRule>
    <cfRule type="containsText" dxfId="2" priority="17299" operator="between" text="库存为">
      <formula>NOT(ISERROR(SEARCH("库存为",AU821)))</formula>
    </cfRule>
  </conditionalFormatting>
  <conditionalFormatting sqref="AU822">
    <cfRule type="cellIs" dxfId="0" priority="19086" operator="lessThan">
      <formula>20</formula>
    </cfRule>
    <cfRule type="cellIs" dxfId="1" priority="18192" operator="greaterThan">
      <formula>120</formula>
    </cfRule>
    <cfRule type="containsText" dxfId="2" priority="17298" operator="between" text="库存为">
      <formula>NOT(ISERROR(SEARCH("库存为",AU822)))</formula>
    </cfRule>
  </conditionalFormatting>
  <conditionalFormatting sqref="AU823">
    <cfRule type="cellIs" dxfId="0" priority="19085" operator="lessThan">
      <formula>20</formula>
    </cfRule>
    <cfRule type="cellIs" dxfId="1" priority="18191" operator="greaterThan">
      <formula>120</formula>
    </cfRule>
    <cfRule type="containsText" dxfId="2" priority="17297" operator="between" text="库存为">
      <formula>NOT(ISERROR(SEARCH("库存为",AU823)))</formula>
    </cfRule>
  </conditionalFormatting>
  <conditionalFormatting sqref="AU824">
    <cfRule type="cellIs" dxfId="0" priority="19084" operator="lessThan">
      <formula>20</formula>
    </cfRule>
    <cfRule type="cellIs" dxfId="1" priority="18190" operator="greaterThan">
      <formula>120</formula>
    </cfRule>
    <cfRule type="containsText" dxfId="2" priority="17296" operator="between" text="库存为">
      <formula>NOT(ISERROR(SEARCH("库存为",AU824)))</formula>
    </cfRule>
  </conditionalFormatting>
  <conditionalFormatting sqref="AU825">
    <cfRule type="cellIs" dxfId="0" priority="19083" operator="lessThan">
      <formula>20</formula>
    </cfRule>
    <cfRule type="cellIs" dxfId="1" priority="18189" operator="greaterThan">
      <formula>120</formula>
    </cfRule>
    <cfRule type="containsText" dxfId="2" priority="17295" operator="between" text="库存为">
      <formula>NOT(ISERROR(SEARCH("库存为",AU825)))</formula>
    </cfRule>
  </conditionalFormatting>
  <conditionalFormatting sqref="AU826">
    <cfRule type="cellIs" dxfId="0" priority="19082" operator="lessThan">
      <formula>20</formula>
    </cfRule>
    <cfRule type="cellIs" dxfId="1" priority="18188" operator="greaterThan">
      <formula>120</formula>
    </cfRule>
    <cfRule type="containsText" dxfId="2" priority="17294" operator="between" text="库存为">
      <formula>NOT(ISERROR(SEARCH("库存为",AU826)))</formula>
    </cfRule>
  </conditionalFormatting>
  <conditionalFormatting sqref="AU827">
    <cfRule type="cellIs" dxfId="0" priority="19081" operator="lessThan">
      <formula>20</formula>
    </cfRule>
    <cfRule type="cellIs" dxfId="1" priority="18187" operator="greaterThan">
      <formula>120</formula>
    </cfRule>
    <cfRule type="containsText" dxfId="2" priority="17293" operator="between" text="库存为">
      <formula>NOT(ISERROR(SEARCH("库存为",AU827)))</formula>
    </cfRule>
  </conditionalFormatting>
  <conditionalFormatting sqref="AU828">
    <cfRule type="cellIs" dxfId="0" priority="19080" operator="lessThan">
      <formula>20</formula>
    </cfRule>
    <cfRule type="cellIs" dxfId="1" priority="18186" operator="greaterThan">
      <formula>120</formula>
    </cfRule>
    <cfRule type="containsText" dxfId="2" priority="17292" operator="between" text="库存为">
      <formula>NOT(ISERROR(SEARCH("库存为",AU828)))</formula>
    </cfRule>
  </conditionalFormatting>
  <conditionalFormatting sqref="AU829">
    <cfRule type="cellIs" dxfId="0" priority="19079" operator="lessThan">
      <formula>20</formula>
    </cfRule>
    <cfRule type="cellIs" dxfId="1" priority="18185" operator="greaterThan">
      <formula>120</formula>
    </cfRule>
    <cfRule type="containsText" dxfId="2" priority="17291" operator="between" text="库存为">
      <formula>NOT(ISERROR(SEARCH("库存为",AU829)))</formula>
    </cfRule>
  </conditionalFormatting>
  <conditionalFormatting sqref="AU830">
    <cfRule type="cellIs" dxfId="0" priority="19078" operator="lessThan">
      <formula>20</formula>
    </cfRule>
    <cfRule type="cellIs" dxfId="1" priority="18184" operator="greaterThan">
      <formula>120</formula>
    </cfRule>
    <cfRule type="containsText" dxfId="2" priority="17290" operator="between" text="库存为">
      <formula>NOT(ISERROR(SEARCH("库存为",AU830)))</formula>
    </cfRule>
  </conditionalFormatting>
  <conditionalFormatting sqref="AU831">
    <cfRule type="cellIs" dxfId="0" priority="19077" operator="lessThan">
      <formula>20</formula>
    </cfRule>
    <cfRule type="cellIs" dxfId="1" priority="18183" operator="greaterThan">
      <formula>120</formula>
    </cfRule>
    <cfRule type="containsText" dxfId="2" priority="17289" operator="between" text="库存为">
      <formula>NOT(ISERROR(SEARCH("库存为",AU831)))</formula>
    </cfRule>
  </conditionalFormatting>
  <conditionalFormatting sqref="AU832">
    <cfRule type="cellIs" dxfId="0" priority="19076" operator="lessThan">
      <formula>20</formula>
    </cfRule>
    <cfRule type="cellIs" dxfId="1" priority="18182" operator="greaterThan">
      <formula>120</formula>
    </cfRule>
    <cfRule type="containsText" dxfId="2" priority="17288" operator="between" text="库存为">
      <formula>NOT(ISERROR(SEARCH("库存为",AU832)))</formula>
    </cfRule>
  </conditionalFormatting>
  <conditionalFormatting sqref="AU833">
    <cfRule type="cellIs" dxfId="0" priority="19075" operator="lessThan">
      <formula>20</formula>
    </cfRule>
    <cfRule type="cellIs" dxfId="1" priority="18181" operator="greaterThan">
      <formula>120</formula>
    </cfRule>
    <cfRule type="containsText" dxfId="2" priority="17287" operator="between" text="库存为">
      <formula>NOT(ISERROR(SEARCH("库存为",AU833)))</formula>
    </cfRule>
  </conditionalFormatting>
  <conditionalFormatting sqref="AU834">
    <cfRule type="cellIs" dxfId="0" priority="19074" operator="lessThan">
      <formula>20</formula>
    </cfRule>
    <cfRule type="cellIs" dxfId="1" priority="18180" operator="greaterThan">
      <formula>120</formula>
    </cfRule>
    <cfRule type="containsText" dxfId="2" priority="17286" operator="between" text="库存为">
      <formula>NOT(ISERROR(SEARCH("库存为",AU834)))</formula>
    </cfRule>
  </conditionalFormatting>
  <conditionalFormatting sqref="AU835">
    <cfRule type="cellIs" dxfId="0" priority="19073" operator="lessThan">
      <formula>20</formula>
    </cfRule>
    <cfRule type="cellIs" dxfId="1" priority="18179" operator="greaterThan">
      <formula>120</formula>
    </cfRule>
    <cfRule type="containsText" dxfId="2" priority="17285" operator="between" text="库存为">
      <formula>NOT(ISERROR(SEARCH("库存为",AU835)))</formula>
    </cfRule>
  </conditionalFormatting>
  <conditionalFormatting sqref="AU836">
    <cfRule type="cellIs" dxfId="0" priority="19072" operator="lessThan">
      <formula>20</formula>
    </cfRule>
    <cfRule type="cellIs" dxfId="1" priority="18178" operator="greaterThan">
      <formula>120</formula>
    </cfRule>
    <cfRule type="containsText" dxfId="2" priority="17284" operator="between" text="库存为">
      <formula>NOT(ISERROR(SEARCH("库存为",AU836)))</formula>
    </cfRule>
  </conditionalFormatting>
  <conditionalFormatting sqref="AU837">
    <cfRule type="cellIs" dxfId="0" priority="19071" operator="lessThan">
      <formula>20</formula>
    </cfRule>
    <cfRule type="cellIs" dxfId="1" priority="18177" operator="greaterThan">
      <formula>120</formula>
    </cfRule>
    <cfRule type="containsText" dxfId="2" priority="17283" operator="between" text="库存为">
      <formula>NOT(ISERROR(SEARCH("库存为",AU837)))</formula>
    </cfRule>
  </conditionalFormatting>
  <conditionalFormatting sqref="AU838">
    <cfRule type="cellIs" dxfId="0" priority="19070" operator="lessThan">
      <formula>20</formula>
    </cfRule>
    <cfRule type="cellIs" dxfId="1" priority="18176" operator="greaterThan">
      <formula>120</formula>
    </cfRule>
    <cfRule type="containsText" dxfId="2" priority="17282" operator="between" text="库存为">
      <formula>NOT(ISERROR(SEARCH("库存为",AU838)))</formula>
    </cfRule>
  </conditionalFormatting>
  <conditionalFormatting sqref="AU839">
    <cfRule type="cellIs" dxfId="0" priority="19069" operator="lessThan">
      <formula>20</formula>
    </cfRule>
    <cfRule type="cellIs" dxfId="1" priority="18175" operator="greaterThan">
      <formula>120</formula>
    </cfRule>
    <cfRule type="containsText" dxfId="2" priority="17281" operator="between" text="库存为">
      <formula>NOT(ISERROR(SEARCH("库存为",AU839)))</formula>
    </cfRule>
  </conditionalFormatting>
  <conditionalFormatting sqref="AU840">
    <cfRule type="cellIs" dxfId="0" priority="19068" operator="lessThan">
      <formula>20</formula>
    </cfRule>
    <cfRule type="cellIs" dxfId="1" priority="18174" operator="greaterThan">
      <formula>120</formula>
    </cfRule>
    <cfRule type="containsText" dxfId="2" priority="17280" operator="between" text="库存为">
      <formula>NOT(ISERROR(SEARCH("库存为",AU840)))</formula>
    </cfRule>
  </conditionalFormatting>
  <conditionalFormatting sqref="AU841">
    <cfRule type="cellIs" dxfId="0" priority="19067" operator="lessThan">
      <formula>20</formula>
    </cfRule>
    <cfRule type="cellIs" dxfId="1" priority="18173" operator="greaterThan">
      <formula>120</formula>
    </cfRule>
    <cfRule type="containsText" dxfId="2" priority="17279" operator="between" text="库存为">
      <formula>NOT(ISERROR(SEARCH("库存为",AU841)))</formula>
    </cfRule>
  </conditionalFormatting>
  <conditionalFormatting sqref="AU842">
    <cfRule type="cellIs" dxfId="0" priority="19066" operator="lessThan">
      <formula>20</formula>
    </cfRule>
    <cfRule type="cellIs" dxfId="1" priority="18172" operator="greaterThan">
      <formula>120</formula>
    </cfRule>
    <cfRule type="containsText" dxfId="2" priority="17278" operator="between" text="库存为">
      <formula>NOT(ISERROR(SEARCH("库存为",AU842)))</formula>
    </cfRule>
  </conditionalFormatting>
  <conditionalFormatting sqref="AU843">
    <cfRule type="cellIs" dxfId="0" priority="19065" operator="lessThan">
      <formula>20</formula>
    </cfRule>
    <cfRule type="cellIs" dxfId="1" priority="18171" operator="greaterThan">
      <formula>120</formula>
    </cfRule>
    <cfRule type="containsText" dxfId="2" priority="17277" operator="between" text="库存为">
      <formula>NOT(ISERROR(SEARCH("库存为",AU843)))</formula>
    </cfRule>
  </conditionalFormatting>
  <conditionalFormatting sqref="AU844">
    <cfRule type="cellIs" dxfId="0" priority="19064" operator="lessThan">
      <formula>20</formula>
    </cfRule>
    <cfRule type="cellIs" dxfId="1" priority="18170" operator="greaterThan">
      <formula>120</formula>
    </cfRule>
    <cfRule type="containsText" dxfId="2" priority="17276" operator="between" text="库存为">
      <formula>NOT(ISERROR(SEARCH("库存为",AU844)))</formula>
    </cfRule>
  </conditionalFormatting>
  <conditionalFormatting sqref="AU845">
    <cfRule type="cellIs" dxfId="0" priority="19063" operator="lessThan">
      <formula>20</formula>
    </cfRule>
    <cfRule type="cellIs" dxfId="1" priority="18169" operator="greaterThan">
      <formula>120</formula>
    </cfRule>
    <cfRule type="containsText" dxfId="2" priority="17275" operator="between" text="库存为">
      <formula>NOT(ISERROR(SEARCH("库存为",AU845)))</formula>
    </cfRule>
  </conditionalFormatting>
  <conditionalFormatting sqref="AU846">
    <cfRule type="cellIs" dxfId="0" priority="19062" operator="lessThan">
      <formula>20</formula>
    </cfRule>
    <cfRule type="cellIs" dxfId="1" priority="18168" operator="greaterThan">
      <formula>120</formula>
    </cfRule>
    <cfRule type="containsText" dxfId="2" priority="17274" operator="between" text="库存为">
      <formula>NOT(ISERROR(SEARCH("库存为",AU846)))</formula>
    </cfRule>
  </conditionalFormatting>
  <conditionalFormatting sqref="AU847">
    <cfRule type="cellIs" dxfId="0" priority="19061" operator="lessThan">
      <formula>20</formula>
    </cfRule>
    <cfRule type="cellIs" dxfId="1" priority="18167" operator="greaterThan">
      <formula>120</formula>
    </cfRule>
    <cfRule type="containsText" dxfId="2" priority="17273" operator="between" text="库存为">
      <formula>NOT(ISERROR(SEARCH("库存为",AU847)))</formula>
    </cfRule>
  </conditionalFormatting>
  <conditionalFormatting sqref="AU848">
    <cfRule type="cellIs" dxfId="0" priority="19060" operator="lessThan">
      <formula>20</formula>
    </cfRule>
    <cfRule type="cellIs" dxfId="1" priority="18166" operator="greaterThan">
      <formula>120</formula>
    </cfRule>
    <cfRule type="containsText" dxfId="2" priority="17272" operator="between" text="库存为">
      <formula>NOT(ISERROR(SEARCH("库存为",AU848)))</formula>
    </cfRule>
  </conditionalFormatting>
  <conditionalFormatting sqref="AU849">
    <cfRule type="cellIs" dxfId="0" priority="19059" operator="lessThan">
      <formula>20</formula>
    </cfRule>
    <cfRule type="cellIs" dxfId="1" priority="18165" operator="greaterThan">
      <formula>120</formula>
    </cfRule>
    <cfRule type="containsText" dxfId="2" priority="17271" operator="between" text="库存为">
      <formula>NOT(ISERROR(SEARCH("库存为",AU849)))</formula>
    </cfRule>
  </conditionalFormatting>
  <conditionalFormatting sqref="AU850">
    <cfRule type="cellIs" dxfId="0" priority="19058" operator="lessThan">
      <formula>20</formula>
    </cfRule>
    <cfRule type="cellIs" dxfId="1" priority="18164" operator="greaterThan">
      <formula>120</formula>
    </cfRule>
    <cfRule type="containsText" dxfId="2" priority="17270" operator="between" text="库存为">
      <formula>NOT(ISERROR(SEARCH("库存为",AU850)))</formula>
    </cfRule>
  </conditionalFormatting>
  <conditionalFormatting sqref="AU851">
    <cfRule type="cellIs" dxfId="0" priority="19057" operator="lessThan">
      <formula>20</formula>
    </cfRule>
    <cfRule type="cellIs" dxfId="1" priority="18163" operator="greaterThan">
      <formula>120</formula>
    </cfRule>
    <cfRule type="containsText" dxfId="2" priority="17269" operator="between" text="库存为">
      <formula>NOT(ISERROR(SEARCH("库存为",AU851)))</formula>
    </cfRule>
  </conditionalFormatting>
  <conditionalFormatting sqref="AU852">
    <cfRule type="cellIs" dxfId="0" priority="19056" operator="lessThan">
      <formula>20</formula>
    </cfRule>
    <cfRule type="cellIs" dxfId="1" priority="18162" operator="greaterThan">
      <formula>120</formula>
    </cfRule>
    <cfRule type="containsText" dxfId="2" priority="17268" operator="between" text="库存为">
      <formula>NOT(ISERROR(SEARCH("库存为",AU852)))</formula>
    </cfRule>
  </conditionalFormatting>
  <conditionalFormatting sqref="AU853">
    <cfRule type="cellIs" dxfId="0" priority="19055" operator="lessThan">
      <formula>20</formula>
    </cfRule>
    <cfRule type="cellIs" dxfId="1" priority="18161" operator="greaterThan">
      <formula>120</formula>
    </cfRule>
    <cfRule type="containsText" dxfId="2" priority="17267" operator="between" text="库存为">
      <formula>NOT(ISERROR(SEARCH("库存为",AU853)))</formula>
    </cfRule>
  </conditionalFormatting>
  <conditionalFormatting sqref="AU854">
    <cfRule type="cellIs" dxfId="0" priority="19054" operator="lessThan">
      <formula>20</formula>
    </cfRule>
    <cfRule type="cellIs" dxfId="1" priority="18160" operator="greaterThan">
      <formula>120</formula>
    </cfRule>
    <cfRule type="containsText" dxfId="2" priority="17266" operator="between" text="库存为">
      <formula>NOT(ISERROR(SEARCH("库存为",AU854)))</formula>
    </cfRule>
  </conditionalFormatting>
  <conditionalFormatting sqref="AU855">
    <cfRule type="cellIs" dxfId="0" priority="19053" operator="lessThan">
      <formula>20</formula>
    </cfRule>
    <cfRule type="cellIs" dxfId="1" priority="18159" operator="greaterThan">
      <formula>120</formula>
    </cfRule>
    <cfRule type="containsText" dxfId="2" priority="17265" operator="between" text="库存为">
      <formula>NOT(ISERROR(SEARCH("库存为",AU855)))</formula>
    </cfRule>
  </conditionalFormatting>
  <conditionalFormatting sqref="AU856">
    <cfRule type="cellIs" dxfId="0" priority="19052" operator="lessThan">
      <formula>20</formula>
    </cfRule>
    <cfRule type="cellIs" dxfId="1" priority="18158" operator="greaterThan">
      <formula>120</formula>
    </cfRule>
    <cfRule type="containsText" dxfId="2" priority="17264" operator="between" text="库存为">
      <formula>NOT(ISERROR(SEARCH("库存为",AU856)))</formula>
    </cfRule>
  </conditionalFormatting>
  <conditionalFormatting sqref="AU857">
    <cfRule type="cellIs" dxfId="0" priority="19051" operator="lessThan">
      <formula>20</formula>
    </cfRule>
    <cfRule type="cellIs" dxfId="1" priority="18157" operator="greaterThan">
      <formula>120</formula>
    </cfRule>
    <cfRule type="containsText" dxfId="2" priority="17263" operator="between" text="库存为">
      <formula>NOT(ISERROR(SEARCH("库存为",AU857)))</formula>
    </cfRule>
  </conditionalFormatting>
  <conditionalFormatting sqref="AU858">
    <cfRule type="cellIs" dxfId="0" priority="19050" operator="lessThan">
      <formula>20</formula>
    </cfRule>
    <cfRule type="cellIs" dxfId="1" priority="18156" operator="greaterThan">
      <formula>120</formula>
    </cfRule>
    <cfRule type="containsText" dxfId="2" priority="17262" operator="between" text="库存为">
      <formula>NOT(ISERROR(SEARCH("库存为",AU858)))</formula>
    </cfRule>
  </conditionalFormatting>
  <conditionalFormatting sqref="AU859">
    <cfRule type="cellIs" dxfId="0" priority="19049" operator="lessThan">
      <formula>20</formula>
    </cfRule>
    <cfRule type="cellIs" dxfId="1" priority="18155" operator="greaterThan">
      <formula>120</formula>
    </cfRule>
    <cfRule type="containsText" dxfId="2" priority="17261" operator="between" text="库存为">
      <formula>NOT(ISERROR(SEARCH("库存为",AU859)))</formula>
    </cfRule>
  </conditionalFormatting>
  <conditionalFormatting sqref="AU860">
    <cfRule type="cellIs" dxfId="0" priority="19048" operator="lessThan">
      <formula>20</formula>
    </cfRule>
    <cfRule type="cellIs" dxfId="1" priority="18154" operator="greaterThan">
      <formula>120</formula>
    </cfRule>
    <cfRule type="containsText" dxfId="2" priority="17260" operator="between" text="库存为">
      <formula>NOT(ISERROR(SEARCH("库存为",AU860)))</formula>
    </cfRule>
  </conditionalFormatting>
  <conditionalFormatting sqref="AU861">
    <cfRule type="cellIs" dxfId="0" priority="19047" operator="lessThan">
      <formula>20</formula>
    </cfRule>
    <cfRule type="cellIs" dxfId="1" priority="18153" operator="greaterThan">
      <formula>120</formula>
    </cfRule>
    <cfRule type="containsText" dxfId="2" priority="17259" operator="between" text="库存为">
      <formula>NOT(ISERROR(SEARCH("库存为",AU861)))</formula>
    </cfRule>
  </conditionalFormatting>
  <conditionalFormatting sqref="AU862">
    <cfRule type="cellIs" dxfId="0" priority="19046" operator="lessThan">
      <formula>20</formula>
    </cfRule>
    <cfRule type="cellIs" dxfId="1" priority="18152" operator="greaterThan">
      <formula>120</formula>
    </cfRule>
    <cfRule type="containsText" dxfId="2" priority="17258" operator="between" text="库存为">
      <formula>NOT(ISERROR(SEARCH("库存为",AU862)))</formula>
    </cfRule>
  </conditionalFormatting>
  <conditionalFormatting sqref="AU863">
    <cfRule type="cellIs" dxfId="0" priority="19045" operator="lessThan">
      <formula>20</formula>
    </cfRule>
    <cfRule type="cellIs" dxfId="1" priority="18151" operator="greaterThan">
      <formula>120</formula>
    </cfRule>
    <cfRule type="containsText" dxfId="2" priority="17257" operator="between" text="库存为">
      <formula>NOT(ISERROR(SEARCH("库存为",AU863)))</formula>
    </cfRule>
  </conditionalFormatting>
  <conditionalFormatting sqref="AU864">
    <cfRule type="cellIs" dxfId="0" priority="19044" operator="lessThan">
      <formula>20</formula>
    </cfRule>
    <cfRule type="cellIs" dxfId="1" priority="18150" operator="greaterThan">
      <formula>120</formula>
    </cfRule>
    <cfRule type="containsText" dxfId="2" priority="17256" operator="between" text="库存为">
      <formula>NOT(ISERROR(SEARCH("库存为",AU864)))</formula>
    </cfRule>
  </conditionalFormatting>
  <conditionalFormatting sqref="AU865">
    <cfRule type="cellIs" dxfId="0" priority="19043" operator="lessThan">
      <formula>20</formula>
    </cfRule>
    <cfRule type="cellIs" dxfId="1" priority="18149" operator="greaterThan">
      <formula>120</formula>
    </cfRule>
    <cfRule type="containsText" dxfId="2" priority="17255" operator="between" text="库存为">
      <formula>NOT(ISERROR(SEARCH("库存为",AU865)))</formula>
    </cfRule>
  </conditionalFormatting>
  <conditionalFormatting sqref="AU866">
    <cfRule type="cellIs" dxfId="0" priority="19042" operator="lessThan">
      <formula>20</formula>
    </cfRule>
    <cfRule type="cellIs" dxfId="1" priority="18148" operator="greaterThan">
      <formula>120</formula>
    </cfRule>
    <cfRule type="containsText" dxfId="2" priority="17254" operator="between" text="库存为">
      <formula>NOT(ISERROR(SEARCH("库存为",AU866)))</formula>
    </cfRule>
  </conditionalFormatting>
  <conditionalFormatting sqref="AU867">
    <cfRule type="cellIs" dxfId="0" priority="19041" operator="lessThan">
      <formula>20</formula>
    </cfRule>
    <cfRule type="cellIs" dxfId="1" priority="18147" operator="greaterThan">
      <formula>120</formula>
    </cfRule>
    <cfRule type="containsText" dxfId="2" priority="17253" operator="between" text="库存为">
      <formula>NOT(ISERROR(SEARCH("库存为",AU867)))</formula>
    </cfRule>
  </conditionalFormatting>
  <conditionalFormatting sqref="AU868">
    <cfRule type="cellIs" dxfId="0" priority="19040" operator="lessThan">
      <formula>20</formula>
    </cfRule>
    <cfRule type="cellIs" dxfId="1" priority="18146" operator="greaterThan">
      <formula>120</formula>
    </cfRule>
    <cfRule type="containsText" dxfId="2" priority="17252" operator="between" text="库存为">
      <formula>NOT(ISERROR(SEARCH("库存为",AU868)))</formula>
    </cfRule>
  </conditionalFormatting>
  <conditionalFormatting sqref="AU869">
    <cfRule type="cellIs" dxfId="0" priority="19039" operator="lessThan">
      <formula>20</formula>
    </cfRule>
    <cfRule type="cellIs" dxfId="1" priority="18145" operator="greaterThan">
      <formula>120</formula>
    </cfRule>
    <cfRule type="containsText" dxfId="2" priority="17251" operator="between" text="库存为">
      <formula>NOT(ISERROR(SEARCH("库存为",AU869)))</formula>
    </cfRule>
  </conditionalFormatting>
  <conditionalFormatting sqref="AU870">
    <cfRule type="cellIs" dxfId="0" priority="19038" operator="lessThan">
      <formula>20</formula>
    </cfRule>
    <cfRule type="cellIs" dxfId="1" priority="18144" operator="greaterThan">
      <formula>120</formula>
    </cfRule>
    <cfRule type="containsText" dxfId="2" priority="17250" operator="between" text="库存为">
      <formula>NOT(ISERROR(SEARCH("库存为",AU870)))</formula>
    </cfRule>
  </conditionalFormatting>
  <conditionalFormatting sqref="AU871">
    <cfRule type="cellIs" dxfId="0" priority="19037" operator="lessThan">
      <formula>20</formula>
    </cfRule>
    <cfRule type="cellIs" dxfId="1" priority="18143" operator="greaterThan">
      <formula>120</formula>
    </cfRule>
    <cfRule type="containsText" dxfId="2" priority="17249" operator="between" text="库存为">
      <formula>NOT(ISERROR(SEARCH("库存为",AU871)))</formula>
    </cfRule>
  </conditionalFormatting>
  <conditionalFormatting sqref="AU872">
    <cfRule type="cellIs" dxfId="0" priority="19036" operator="lessThan">
      <formula>20</formula>
    </cfRule>
    <cfRule type="cellIs" dxfId="1" priority="18142" operator="greaterThan">
      <formula>120</formula>
    </cfRule>
    <cfRule type="containsText" dxfId="2" priority="17248" operator="between" text="库存为">
      <formula>NOT(ISERROR(SEARCH("库存为",AU872)))</formula>
    </cfRule>
  </conditionalFormatting>
  <conditionalFormatting sqref="AU873">
    <cfRule type="cellIs" dxfId="0" priority="19035" operator="lessThan">
      <formula>20</formula>
    </cfRule>
    <cfRule type="cellIs" dxfId="1" priority="18141" operator="greaterThan">
      <formula>120</formula>
    </cfRule>
    <cfRule type="containsText" dxfId="2" priority="17247" operator="between" text="库存为">
      <formula>NOT(ISERROR(SEARCH("库存为",AU873)))</formula>
    </cfRule>
  </conditionalFormatting>
  <conditionalFormatting sqref="AU874">
    <cfRule type="cellIs" dxfId="0" priority="19034" operator="lessThan">
      <formula>20</formula>
    </cfRule>
    <cfRule type="cellIs" dxfId="1" priority="18140" operator="greaterThan">
      <formula>120</formula>
    </cfRule>
    <cfRule type="containsText" dxfId="2" priority="17246" operator="between" text="库存为">
      <formula>NOT(ISERROR(SEARCH("库存为",AU874)))</formula>
    </cfRule>
  </conditionalFormatting>
  <conditionalFormatting sqref="AU875">
    <cfRule type="cellIs" dxfId="0" priority="19033" operator="lessThan">
      <formula>20</formula>
    </cfRule>
    <cfRule type="cellIs" dxfId="1" priority="18139" operator="greaterThan">
      <formula>120</formula>
    </cfRule>
    <cfRule type="containsText" dxfId="2" priority="17245" operator="between" text="库存为">
      <formula>NOT(ISERROR(SEARCH("库存为",AU875)))</formula>
    </cfRule>
  </conditionalFormatting>
  <conditionalFormatting sqref="AU876">
    <cfRule type="cellIs" dxfId="0" priority="19032" operator="lessThan">
      <formula>20</formula>
    </cfRule>
    <cfRule type="cellIs" dxfId="1" priority="18138" operator="greaterThan">
      <formula>120</formula>
    </cfRule>
    <cfRule type="containsText" dxfId="2" priority="17244" operator="between" text="库存为">
      <formula>NOT(ISERROR(SEARCH("库存为",AU876)))</formula>
    </cfRule>
  </conditionalFormatting>
  <conditionalFormatting sqref="AU877">
    <cfRule type="cellIs" dxfId="0" priority="19031" operator="lessThan">
      <formula>20</formula>
    </cfRule>
    <cfRule type="cellIs" dxfId="1" priority="18137" operator="greaterThan">
      <formula>120</formula>
    </cfRule>
    <cfRule type="containsText" dxfId="2" priority="17243" operator="between" text="库存为">
      <formula>NOT(ISERROR(SEARCH("库存为",AU877)))</formula>
    </cfRule>
  </conditionalFormatting>
  <conditionalFormatting sqref="AU878">
    <cfRule type="cellIs" dxfId="0" priority="19030" operator="lessThan">
      <formula>20</formula>
    </cfRule>
    <cfRule type="cellIs" dxfId="1" priority="18136" operator="greaterThan">
      <formula>120</formula>
    </cfRule>
    <cfRule type="containsText" dxfId="2" priority="17242" operator="between" text="库存为">
      <formula>NOT(ISERROR(SEARCH("库存为",AU878)))</formula>
    </cfRule>
  </conditionalFormatting>
  <conditionalFormatting sqref="AU879">
    <cfRule type="cellIs" dxfId="0" priority="19029" operator="lessThan">
      <formula>20</formula>
    </cfRule>
    <cfRule type="cellIs" dxfId="1" priority="18135" operator="greaterThan">
      <formula>120</formula>
    </cfRule>
    <cfRule type="containsText" dxfId="2" priority="17241" operator="between" text="库存为">
      <formula>NOT(ISERROR(SEARCH("库存为",AU879)))</formula>
    </cfRule>
  </conditionalFormatting>
  <conditionalFormatting sqref="AU880">
    <cfRule type="cellIs" dxfId="0" priority="19028" operator="lessThan">
      <formula>20</formula>
    </cfRule>
    <cfRule type="cellIs" dxfId="1" priority="18134" operator="greaterThan">
      <formula>120</formula>
    </cfRule>
    <cfRule type="containsText" dxfId="2" priority="17240" operator="between" text="库存为">
      <formula>NOT(ISERROR(SEARCH("库存为",AU880)))</formula>
    </cfRule>
  </conditionalFormatting>
  <conditionalFormatting sqref="AU881">
    <cfRule type="cellIs" dxfId="0" priority="19027" operator="lessThan">
      <formula>20</formula>
    </cfRule>
    <cfRule type="cellIs" dxfId="1" priority="18133" operator="greaterThan">
      <formula>120</formula>
    </cfRule>
    <cfRule type="containsText" dxfId="2" priority="17239" operator="between" text="库存为">
      <formula>NOT(ISERROR(SEARCH("库存为",AU881)))</formula>
    </cfRule>
  </conditionalFormatting>
  <conditionalFormatting sqref="AU882">
    <cfRule type="cellIs" dxfId="0" priority="19026" operator="lessThan">
      <formula>20</formula>
    </cfRule>
    <cfRule type="cellIs" dxfId="1" priority="18132" operator="greaterThan">
      <formula>120</formula>
    </cfRule>
    <cfRule type="containsText" dxfId="2" priority="17238" operator="between" text="库存为">
      <formula>NOT(ISERROR(SEARCH("库存为",AU882)))</formula>
    </cfRule>
  </conditionalFormatting>
  <conditionalFormatting sqref="AU883">
    <cfRule type="cellIs" dxfId="0" priority="19025" operator="lessThan">
      <formula>20</formula>
    </cfRule>
    <cfRule type="cellIs" dxfId="1" priority="18131" operator="greaterThan">
      <formula>120</formula>
    </cfRule>
    <cfRule type="containsText" dxfId="2" priority="17237" operator="between" text="库存为">
      <formula>NOT(ISERROR(SEARCH("库存为",AU883)))</formula>
    </cfRule>
  </conditionalFormatting>
  <conditionalFormatting sqref="AU884">
    <cfRule type="cellIs" dxfId="0" priority="19024" operator="lessThan">
      <formula>20</formula>
    </cfRule>
    <cfRule type="cellIs" dxfId="1" priority="18130" operator="greaterThan">
      <formula>120</formula>
    </cfRule>
    <cfRule type="containsText" dxfId="2" priority="17236" operator="between" text="库存为">
      <formula>NOT(ISERROR(SEARCH("库存为",AU884)))</formula>
    </cfRule>
  </conditionalFormatting>
  <conditionalFormatting sqref="AU885">
    <cfRule type="cellIs" dxfId="0" priority="19023" operator="lessThan">
      <formula>20</formula>
    </cfRule>
    <cfRule type="cellIs" dxfId="1" priority="18129" operator="greaterThan">
      <formula>120</formula>
    </cfRule>
    <cfRule type="containsText" dxfId="2" priority="17235" operator="between" text="库存为">
      <formula>NOT(ISERROR(SEARCH("库存为",AU885)))</formula>
    </cfRule>
  </conditionalFormatting>
  <conditionalFormatting sqref="AU886">
    <cfRule type="cellIs" dxfId="0" priority="19022" operator="lessThan">
      <formula>20</formula>
    </cfRule>
    <cfRule type="cellIs" dxfId="1" priority="18128" operator="greaterThan">
      <formula>120</formula>
    </cfRule>
    <cfRule type="containsText" dxfId="2" priority="17234" operator="between" text="库存为">
      <formula>NOT(ISERROR(SEARCH("库存为",AU886)))</formula>
    </cfRule>
  </conditionalFormatting>
  <conditionalFormatting sqref="AU887">
    <cfRule type="cellIs" dxfId="0" priority="19021" operator="lessThan">
      <formula>20</formula>
    </cfRule>
    <cfRule type="cellIs" dxfId="1" priority="18127" operator="greaterThan">
      <formula>120</formula>
    </cfRule>
    <cfRule type="containsText" dxfId="2" priority="17233" operator="between" text="库存为">
      <formula>NOT(ISERROR(SEARCH("库存为",AU887)))</formula>
    </cfRule>
  </conditionalFormatting>
  <conditionalFormatting sqref="AU888">
    <cfRule type="cellIs" dxfId="0" priority="19020" operator="lessThan">
      <formula>20</formula>
    </cfRule>
    <cfRule type="cellIs" dxfId="1" priority="18126" operator="greaterThan">
      <formula>120</formula>
    </cfRule>
    <cfRule type="containsText" dxfId="2" priority="17232" operator="between" text="库存为">
      <formula>NOT(ISERROR(SEARCH("库存为",AU888)))</formula>
    </cfRule>
  </conditionalFormatting>
  <conditionalFormatting sqref="AU889">
    <cfRule type="cellIs" dxfId="0" priority="19019" operator="lessThan">
      <formula>20</formula>
    </cfRule>
    <cfRule type="cellIs" dxfId="1" priority="18125" operator="greaterThan">
      <formula>120</formula>
    </cfRule>
    <cfRule type="containsText" dxfId="2" priority="17231" operator="between" text="库存为">
      <formula>NOT(ISERROR(SEARCH("库存为",AU889)))</formula>
    </cfRule>
  </conditionalFormatting>
  <conditionalFormatting sqref="AU890">
    <cfRule type="cellIs" dxfId="0" priority="19018" operator="lessThan">
      <formula>20</formula>
    </cfRule>
    <cfRule type="cellIs" dxfId="1" priority="18124" operator="greaterThan">
      <formula>120</formula>
    </cfRule>
    <cfRule type="containsText" dxfId="2" priority="17230" operator="between" text="库存为">
      <formula>NOT(ISERROR(SEARCH("库存为",AU890)))</formula>
    </cfRule>
  </conditionalFormatting>
  <conditionalFormatting sqref="AU891">
    <cfRule type="cellIs" dxfId="0" priority="19017" operator="lessThan">
      <formula>20</formula>
    </cfRule>
    <cfRule type="cellIs" dxfId="1" priority="18123" operator="greaterThan">
      <formula>120</formula>
    </cfRule>
    <cfRule type="containsText" dxfId="2" priority="17229" operator="between" text="库存为">
      <formula>NOT(ISERROR(SEARCH("库存为",AU891)))</formula>
    </cfRule>
  </conditionalFormatting>
  <conditionalFormatting sqref="AU892">
    <cfRule type="cellIs" dxfId="0" priority="19016" operator="lessThan">
      <formula>20</formula>
    </cfRule>
    <cfRule type="cellIs" dxfId="1" priority="18122" operator="greaterThan">
      <formula>120</formula>
    </cfRule>
    <cfRule type="containsText" dxfId="2" priority="17228" operator="between" text="库存为">
      <formula>NOT(ISERROR(SEARCH("库存为",AU892)))</formula>
    </cfRule>
  </conditionalFormatting>
  <conditionalFormatting sqref="AU893">
    <cfRule type="cellIs" dxfId="0" priority="19015" operator="lessThan">
      <formula>20</formula>
    </cfRule>
    <cfRule type="cellIs" dxfId="1" priority="18121" operator="greaterThan">
      <formula>120</formula>
    </cfRule>
    <cfRule type="containsText" dxfId="2" priority="17227" operator="between" text="库存为">
      <formula>NOT(ISERROR(SEARCH("库存为",AU893)))</formula>
    </cfRule>
  </conditionalFormatting>
  <conditionalFormatting sqref="AU894">
    <cfRule type="cellIs" dxfId="0" priority="19014" operator="lessThan">
      <formula>20</formula>
    </cfRule>
    <cfRule type="cellIs" dxfId="1" priority="18120" operator="greaterThan">
      <formula>120</formula>
    </cfRule>
    <cfRule type="containsText" dxfId="2" priority="17226" operator="between" text="库存为">
      <formula>NOT(ISERROR(SEARCH("库存为",AU894)))</formula>
    </cfRule>
  </conditionalFormatting>
  <conditionalFormatting sqref="AU895">
    <cfRule type="cellIs" dxfId="0" priority="19013" operator="lessThan">
      <formula>20</formula>
    </cfRule>
    <cfRule type="cellIs" dxfId="1" priority="18119" operator="greaterThan">
      <formula>120</formula>
    </cfRule>
    <cfRule type="containsText" dxfId="2" priority="17225" operator="between" text="库存为">
      <formula>NOT(ISERROR(SEARCH("库存为",AU895)))</formula>
    </cfRule>
  </conditionalFormatting>
  <conditionalFormatting sqref="AU896">
    <cfRule type="cellIs" dxfId="0" priority="19012" operator="lessThan">
      <formula>20</formula>
    </cfRule>
    <cfRule type="cellIs" dxfId="1" priority="18118" operator="greaterThan">
      <formula>120</formula>
    </cfRule>
    <cfRule type="containsText" dxfId="2" priority="17224" operator="between" text="库存为">
      <formula>NOT(ISERROR(SEARCH("库存为",AU896)))</formula>
    </cfRule>
  </conditionalFormatting>
  <conditionalFormatting sqref="AU897">
    <cfRule type="cellIs" dxfId="0" priority="19011" operator="lessThan">
      <formula>20</formula>
    </cfRule>
    <cfRule type="cellIs" dxfId="1" priority="18117" operator="greaterThan">
      <formula>120</formula>
    </cfRule>
    <cfRule type="containsText" dxfId="2" priority="17223" operator="between" text="库存为">
      <formula>NOT(ISERROR(SEARCH("库存为",AU897)))</formula>
    </cfRule>
  </conditionalFormatting>
  <conditionalFormatting sqref="AU898">
    <cfRule type="cellIs" dxfId="0" priority="19010" operator="lessThan">
      <formula>20</formula>
    </cfRule>
    <cfRule type="cellIs" dxfId="1" priority="18116" operator="greaterThan">
      <formula>120</formula>
    </cfRule>
    <cfRule type="containsText" dxfId="2" priority="17222" operator="between" text="库存为">
      <formula>NOT(ISERROR(SEARCH("库存为",AU898)))</formula>
    </cfRule>
  </conditionalFormatting>
  <conditionalFormatting sqref="AU899">
    <cfRule type="cellIs" dxfId="0" priority="19009" operator="lessThan">
      <formula>20</formula>
    </cfRule>
    <cfRule type="cellIs" dxfId="1" priority="18115" operator="greaterThan">
      <formula>120</formula>
    </cfRule>
    <cfRule type="containsText" dxfId="2" priority="17221" operator="between" text="库存为">
      <formula>NOT(ISERROR(SEARCH("库存为",AU899)))</formula>
    </cfRule>
  </conditionalFormatting>
  <conditionalFormatting sqref="AU900:AU3229">
    <cfRule type="containsText" dxfId="2" priority="40384" operator="between" text="库存为">
      <formula>NOT(ISERROR(SEARCH("库存为",AU900)))</formula>
    </cfRule>
    <cfRule type="cellIs" dxfId="1" priority="40385" operator="greaterThan">
      <formula>120</formula>
    </cfRule>
    <cfRule type="cellIs" dxfId="0" priority="40386" operator="lessThan">
      <formula>20</formula>
    </cfRule>
  </conditionalFormatting>
  <pageMargins left="0.699305555555556" right="0.699305555555556" top="0.75" bottom="0.75" header="0.3" footer="0.3"/>
  <pageSetup paperSize="1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T3230"/>
  <sheetViews>
    <sheetView tabSelected="1" workbookViewId="0">
      <pane xSplit="13" ySplit="5" topLeftCell="N6" activePane="bottomRight" state="frozen"/>
      <selection/>
      <selection pane="topRight"/>
      <selection pane="bottomLeft"/>
      <selection pane="bottomRight" activeCell="F6" sqref="F6:F61"/>
    </sheetView>
  </sheetViews>
  <sheetFormatPr defaultColWidth="9" defaultRowHeight="14.25"/>
  <cols>
    <col min="1" max="1" width="24" style="5" customWidth="1"/>
    <col min="2" max="5" width="5.625" style="5" customWidth="1"/>
    <col min="6" max="6" width="5.625" style="6" customWidth="1"/>
    <col min="7" max="13" width="5.625" customWidth="1"/>
    <col min="30" max="30" width="17.25" customWidth="1"/>
    <col min="31" max="31" width="17.375" customWidth="1"/>
    <col min="32" max="32" width="17.625" customWidth="1"/>
    <col min="33" max="33" width="19.625" customWidth="1"/>
    <col min="38" max="38" width="12.625"/>
    <col min="42" max="42" width="12.625"/>
    <col min="43" max="43" width="12.625" style="7"/>
    <col min="44" max="44" width="15.25" style="7" customWidth="1"/>
    <col min="45" max="45" width="12.625"/>
    <col min="46" max="46" width="15.625"/>
  </cols>
  <sheetData>
    <row r="1" ht="24.95" customHeight="1" spans="1:46">
      <c r="A1" s="8" t="s">
        <v>0</v>
      </c>
      <c r="B1" s="9" t="s">
        <v>1</v>
      </c>
      <c r="C1" s="9"/>
      <c r="D1" s="9"/>
      <c r="E1" s="9"/>
      <c r="F1" s="10"/>
      <c r="G1" s="11" t="s">
        <v>2</v>
      </c>
      <c r="H1" s="11"/>
      <c r="I1" s="11"/>
      <c r="J1" s="11"/>
      <c r="K1" s="11"/>
      <c r="L1" s="11"/>
      <c r="M1" s="11"/>
      <c r="N1" s="11" t="s">
        <v>1492</v>
      </c>
      <c r="O1" s="11"/>
      <c r="P1" s="11"/>
      <c r="Q1" s="11"/>
      <c r="R1" s="11" t="s">
        <v>4</v>
      </c>
      <c r="S1" s="11"/>
      <c r="T1" s="11"/>
      <c r="U1" s="11"/>
      <c r="V1" s="11" t="s">
        <v>5</v>
      </c>
      <c r="W1" s="11"/>
      <c r="X1" s="11"/>
      <c r="Y1" s="11"/>
      <c r="Z1" s="11" t="s">
        <v>6</v>
      </c>
      <c r="AA1" s="11"/>
      <c r="AB1" s="11"/>
      <c r="AC1" s="11"/>
      <c r="AD1" s="11" t="s">
        <v>7</v>
      </c>
      <c r="AE1" s="11"/>
      <c r="AF1" s="11"/>
      <c r="AG1" s="11"/>
      <c r="AH1" s="11" t="s">
        <v>1493</v>
      </c>
      <c r="AI1" s="11"/>
      <c r="AJ1" s="11"/>
      <c r="AK1" s="11"/>
      <c r="AL1" s="11" t="s">
        <v>1494</v>
      </c>
      <c r="AM1" s="11"/>
      <c r="AN1" s="11"/>
      <c r="AO1" s="11"/>
      <c r="AP1" s="11" t="s">
        <v>10</v>
      </c>
      <c r="AQ1" s="24"/>
      <c r="AR1" s="24"/>
      <c r="AS1" s="11"/>
      <c r="AT1" s="11"/>
    </row>
    <row r="2" hidden="1" spans="1:46">
      <c r="A2" s="12">
        <f>时间!$B$1</f>
        <v>43290</v>
      </c>
      <c r="B2" s="5">
        <f>SUMIF('库存（子SKU）'!$C:$C,$A2,'库存（子SKU）'!D:D)</f>
        <v>0</v>
      </c>
      <c r="C2" s="5">
        <f>SUMIF('库存（子SKU）'!$C:$C,$A2,'库存（子SKU）'!E:E)</f>
        <v>0</v>
      </c>
      <c r="D2" s="5">
        <f>SUMIF('库存（子SKU）'!$C:$C,$A2,'库存（子SKU）'!F:F)</f>
        <v>0</v>
      </c>
      <c r="E2" s="5">
        <f>SUMIF('库存（子SKU）'!$C:$C,$A2,'库存（子SKU）'!G:G)</f>
        <v>0</v>
      </c>
      <c r="F2" s="6" t="str">
        <f>IFERROR(VLOOKUP(A2,'[3]父sku-单价'!$A:$B,2,0),"")</f>
        <v/>
      </c>
      <c r="G2">
        <f>SUMIF('库存（子SKU）'!$C:$C,$A2,'库存（子SKU）'!I:I)</f>
        <v>0</v>
      </c>
      <c r="H2">
        <f>SUMIF('库存（子SKU）'!$C:$C,$A2,'库存（子SKU）'!J:J)</f>
        <v>0</v>
      </c>
      <c r="I2">
        <f>SUMIF('库存（子SKU）'!$C:$C,$A2,'库存（子SKU）'!K:K)</f>
        <v>0</v>
      </c>
      <c r="J2">
        <f>SUMIF('库存（子SKU）'!$C:$C,$A2,'库存（子SKU）'!L:L)</f>
        <v>0</v>
      </c>
      <c r="K2">
        <f t="shared" ref="K2:K61" si="0">SUM(G2:J2)</f>
        <v>0</v>
      </c>
      <c r="L2">
        <f>SUMIF('库存（子SKU）'!$C:$C,$A2,'库存（子SKU）'!N:N)</f>
        <v>0</v>
      </c>
      <c r="M2">
        <f>SUMIF('库存（子SKU）'!$C:$C,$A2,'库存（子SKU）'!O:O)</f>
        <v>0</v>
      </c>
      <c r="N2">
        <f>SUMIF('库存（子SKU）'!$C:$C,$A2,'库存（子SKU）'!P:P)</f>
        <v>0</v>
      </c>
      <c r="O2">
        <f>SUMIF('库存（子SKU）'!$C:$C,$A2,'库存（子SKU）'!Q:Q)</f>
        <v>0</v>
      </c>
      <c r="P2">
        <f>SUMIF('库存（子SKU）'!$C:$C,$A2,'库存（子SKU）'!R:R)</f>
        <v>0</v>
      </c>
      <c r="Q2">
        <f>SUMIF('库存（子SKU）'!$C:$C,$A2,'库存（子SKU）'!S:S)</f>
        <v>0</v>
      </c>
      <c r="R2">
        <f>SUMIF('库存（子SKU）'!$C:$C,$A2,'库存（子SKU）'!T:T)</f>
        <v>0</v>
      </c>
      <c r="S2">
        <f>SUMIF('库存（子SKU）'!$C:$C,$A2,'库存（子SKU）'!U:U)</f>
        <v>0</v>
      </c>
      <c r="T2">
        <f>SUMIF('库存（子SKU）'!$C:$C,$A2,'库存（子SKU）'!V:V)</f>
        <v>0</v>
      </c>
      <c r="U2">
        <f>SUMIF('库存（子SKU）'!$C:$C,$A2,'库存（子SKU）'!W:W)</f>
        <v>0</v>
      </c>
      <c r="V2" s="23" t="str">
        <f t="shared" ref="V2:Y2" si="1">IFERROR(R2/N2,"")</f>
        <v/>
      </c>
      <c r="W2" s="23" t="str">
        <f t="shared" si="1"/>
        <v/>
      </c>
      <c r="X2" s="23" t="str">
        <f t="shared" si="1"/>
        <v/>
      </c>
      <c r="Y2" s="23" t="str">
        <f t="shared" si="1"/>
        <v/>
      </c>
      <c r="Z2">
        <f>SUMIF('库存（子SKU）'!$C:$C,$A2,'库存（子SKU）'!AB:AB)</f>
        <v>0</v>
      </c>
      <c r="AA2">
        <f>SUMIF('库存（子SKU）'!$C:$C,$A2,'库存（子SKU）'!AC:AC)</f>
        <v>0</v>
      </c>
      <c r="AB2">
        <f>SUMIF('库存（子SKU）'!$C:$C,$A2,'库存（子SKU）'!AD:AD)</f>
        <v>0</v>
      </c>
      <c r="AC2">
        <f>SUMIF('库存（子SKU）'!$C:$C,$A2,'库存（子SKU）'!AE:AE)</f>
        <v>0</v>
      </c>
      <c r="AD2" s="23" t="str">
        <f t="shared" ref="AD2:AD61" si="2">IF(AND(Z2&gt;0,B2=0),"无销量广告费为"&amp;Z2,IFERROR(Z2/(B2*$F2),""))</f>
        <v/>
      </c>
      <c r="AE2" s="23" t="str">
        <f t="shared" ref="AE2:AE61" si="3">IF(AND(AA2&gt;0,C2=0),"无销量广告费为"&amp;AA2,IFERROR(AA2/(C2*$F2),""))</f>
        <v/>
      </c>
      <c r="AF2" s="23" t="str">
        <f t="shared" ref="AF2:AF61" si="4">IF(AND(AB2&gt;0,D2=0),"无销量广告费为"&amp;AB2,IFERROR(AB2/(D2*$F2),""))</f>
        <v/>
      </c>
      <c r="AG2" s="23" t="str">
        <f t="shared" ref="AG2:AG61" si="5">IF(AND(AC2&gt;0,E2=0),"无销量广告费为"&amp;AC2,IFERROR(AC2/(E2*$F2),""))</f>
        <v/>
      </c>
      <c r="AH2">
        <f>SUMIF('库存（子SKU）'!$C:$C,$A2,'库存（子SKU）'!AJ:AJ)</f>
        <v>0</v>
      </c>
      <c r="AI2">
        <f>SUMIF('库存（子SKU）'!$C:$C,$A2,'库存（子SKU）'!AK:AK)</f>
        <v>0</v>
      </c>
      <c r="AJ2">
        <f>SUMIF('库存（子SKU）'!$C:$C,$A2,'库存（子SKU）'!AL:AL)</f>
        <v>0</v>
      </c>
      <c r="AK2">
        <f>SUMIF('库存（子SKU）'!$C:$C,$A2,'库存（子SKU）'!AM:AM)</f>
        <v>0</v>
      </c>
      <c r="AL2" s="23" t="str">
        <f t="shared" ref="AL2:AL61" si="6">IFERROR(B2/AH2,"")</f>
        <v/>
      </c>
      <c r="AM2" s="23" t="str">
        <f t="shared" ref="AM2:AM61" si="7">IFERROR(C2/AI2,"")</f>
        <v/>
      </c>
      <c r="AN2" s="23" t="str">
        <f t="shared" ref="AN2:AN61" si="8">IFERROR(D2/AJ2,"")</f>
        <v/>
      </c>
      <c r="AO2" s="23" t="str">
        <f t="shared" ref="AO2:AO61" si="9">IFERROR(E2/AK2,"")</f>
        <v/>
      </c>
      <c r="AP2" s="7">
        <f t="shared" ref="AP2:AP61" si="10">B2/7</f>
        <v>0</v>
      </c>
      <c r="AQ2" s="7">
        <f t="shared" ref="AQ2:AQ61" si="11">AP2*60</f>
        <v>0</v>
      </c>
      <c r="AR2" s="7">
        <f t="shared" ref="AR2:AR61" si="12">K2-AQ2</f>
        <v>0</v>
      </c>
      <c r="AS2" t="str">
        <f t="shared" ref="AS2:AS61" si="13">IF(AP2=0,"库存为"&amp;K2,INT(K2/AP2))</f>
        <v>库存为0</v>
      </c>
      <c r="AT2" s="2" t="str">
        <f>IFERROR($A$2+AS2,"上周无销量")</f>
        <v>上周无销量</v>
      </c>
    </row>
    <row r="3" ht="33" customHeight="1" spans="1:46">
      <c r="A3" s="13"/>
      <c r="B3" s="14" t="str">
        <f>TEXT(时间!$B$6,"yyyy/M/d")&amp;"-"&amp;TEXT(时间!$B$5,"yyyy/M/d")</f>
        <v>2018/7/30-2018/8/5</v>
      </c>
      <c r="C3" s="14" t="str">
        <f>TEXT(时间!$B$8,"yyyy/M/d")&amp;"-"&amp;TEXT(时间!$B$7,"yyyy/M/d")</f>
        <v>2018/7/23-2018/7/29</v>
      </c>
      <c r="D3" s="14" t="str">
        <f>TEXT(时间!$B$10,"yyyy/M/d")&amp;"-"&amp;TEXT(时间!$B$9,"yyyy/M/d")</f>
        <v>2018/7/16-2018/7/22</v>
      </c>
      <c r="E3" s="14" t="str">
        <f>TEXT(时间!$B$12,"yyyy/M/d")&amp;"-"&amp;TEXT(时间!$B$11,"yyyy/M/d")</f>
        <v>2018/7/9-2018/7/15</v>
      </c>
      <c r="F3" s="15"/>
      <c r="G3" s="16"/>
      <c r="H3" s="16"/>
      <c r="I3" s="16"/>
      <c r="J3" s="16"/>
      <c r="K3" s="16"/>
      <c r="L3" s="16"/>
      <c r="M3" s="19" t="s">
        <v>12</v>
      </c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  <c r="AL3" s="20"/>
      <c r="AM3" s="20"/>
      <c r="AN3" s="20"/>
      <c r="AO3" s="20"/>
      <c r="AP3" s="20"/>
      <c r="AQ3" s="25"/>
      <c r="AR3" s="25"/>
      <c r="AS3" s="20"/>
      <c r="AT3" s="20"/>
    </row>
    <row r="4" spans="1:46">
      <c r="A4" s="5" t="s">
        <v>15</v>
      </c>
      <c r="B4" s="5" t="s">
        <v>1495</v>
      </c>
      <c r="C4" s="5" t="s">
        <v>1496</v>
      </c>
      <c r="D4" s="5" t="s">
        <v>1497</v>
      </c>
      <c r="E4" s="5" t="s">
        <v>1498</v>
      </c>
      <c r="F4" s="6" t="s">
        <v>20</v>
      </c>
      <c r="G4" t="s">
        <v>21</v>
      </c>
      <c r="H4" t="s">
        <v>22</v>
      </c>
      <c r="I4" t="s">
        <v>1499</v>
      </c>
      <c r="J4" t="s">
        <v>24</v>
      </c>
      <c r="K4" t="s">
        <v>25</v>
      </c>
      <c r="L4" t="s">
        <v>26</v>
      </c>
      <c r="M4" t="s">
        <v>27</v>
      </c>
      <c r="N4" s="21" t="s">
        <v>28</v>
      </c>
      <c r="O4" s="21" t="s">
        <v>29</v>
      </c>
      <c r="P4" s="21" t="s">
        <v>30</v>
      </c>
      <c r="Q4" s="21" t="s">
        <v>31</v>
      </c>
      <c r="R4" s="21" t="s">
        <v>32</v>
      </c>
      <c r="S4" s="21" t="s">
        <v>33</v>
      </c>
      <c r="T4" s="21" t="s">
        <v>34</v>
      </c>
      <c r="U4" s="21" t="s">
        <v>35</v>
      </c>
      <c r="V4" s="21" t="s">
        <v>36</v>
      </c>
      <c r="W4" s="21" t="s">
        <v>37</v>
      </c>
      <c r="X4" s="21" t="s">
        <v>38</v>
      </c>
      <c r="Y4" s="21" t="s">
        <v>39</v>
      </c>
      <c r="Z4" s="21" t="s">
        <v>40</v>
      </c>
      <c r="AA4" s="21" t="s">
        <v>41</v>
      </c>
      <c r="AB4" s="21" t="s">
        <v>42</v>
      </c>
      <c r="AC4" s="21" t="s">
        <v>43</v>
      </c>
      <c r="AD4" s="21">
        <f>时间!$B$6</f>
        <v>43311</v>
      </c>
      <c r="AE4" s="21">
        <f>时间!$B$7</f>
        <v>43310</v>
      </c>
      <c r="AF4" s="21">
        <f>时间!$B$8</f>
        <v>43304</v>
      </c>
      <c r="AG4" s="21">
        <f>时间!$B$9</f>
        <v>43303</v>
      </c>
      <c r="AH4" s="21">
        <f>时间!$B$6</f>
        <v>43311</v>
      </c>
      <c r="AI4" s="21">
        <f>时间!$B$7</f>
        <v>43310</v>
      </c>
      <c r="AJ4" s="21">
        <f>时间!$B$8</f>
        <v>43304</v>
      </c>
      <c r="AK4" s="21">
        <f>时间!$B$9</f>
        <v>43303</v>
      </c>
      <c r="AL4" s="21">
        <f>时间!$B$6</f>
        <v>43311</v>
      </c>
      <c r="AM4" s="21">
        <f>时间!$B$7</f>
        <v>43310</v>
      </c>
      <c r="AN4" s="21">
        <f>时间!$B$8</f>
        <v>43304</v>
      </c>
      <c r="AO4" s="21">
        <f>时间!$B$9</f>
        <v>43303</v>
      </c>
      <c r="AP4" s="7" t="s">
        <v>44</v>
      </c>
      <c r="AQ4" s="7" t="s">
        <v>45</v>
      </c>
      <c r="AR4" s="7" t="s">
        <v>46</v>
      </c>
      <c r="AS4" t="s">
        <v>47</v>
      </c>
      <c r="AT4" t="s">
        <v>48</v>
      </c>
    </row>
    <row r="5" s="4" customFormat="1" spans="1:44">
      <c r="A5" s="17" t="s">
        <v>49</v>
      </c>
      <c r="B5" s="17">
        <f t="shared" ref="B5:M5" si="14">SUM(B6:B9999)</f>
        <v>534</v>
      </c>
      <c r="C5" s="17">
        <f t="shared" si="14"/>
        <v>381</v>
      </c>
      <c r="D5" s="17">
        <f t="shared" si="14"/>
        <v>1357</v>
      </c>
      <c r="E5" s="17">
        <f t="shared" si="14"/>
        <v>442</v>
      </c>
      <c r="F5" s="18"/>
      <c r="G5" s="4">
        <f t="shared" si="14"/>
        <v>2874</v>
      </c>
      <c r="H5" s="4">
        <f t="shared" si="14"/>
        <v>1864</v>
      </c>
      <c r="I5" s="4">
        <f t="shared" si="14"/>
        <v>55</v>
      </c>
      <c r="J5" s="4">
        <f t="shared" si="14"/>
        <v>238</v>
      </c>
      <c r="K5" s="4">
        <f t="shared" si="14"/>
        <v>5031</v>
      </c>
      <c r="L5" s="4">
        <f t="shared" si="14"/>
        <v>19</v>
      </c>
      <c r="M5" s="4">
        <f t="shared" si="14"/>
        <v>1130</v>
      </c>
      <c r="N5" s="22"/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4">
        <f>SUM(Z6:Z9999)</f>
        <v>1777.24</v>
      </c>
      <c r="AA5" s="4">
        <f>SUM(AA6:AA9999)</f>
        <v>837.08</v>
      </c>
      <c r="AB5" s="4">
        <f>SUM(AB6:AB9999)</f>
        <v>884.14</v>
      </c>
      <c r="AC5" s="4">
        <f>SUM(AC6:AC9999)</f>
        <v>537.12</v>
      </c>
      <c r="AD5" s="22"/>
      <c r="AE5" s="22"/>
      <c r="AF5" s="22"/>
      <c r="AG5" s="22"/>
      <c r="AH5" s="22"/>
      <c r="AI5" s="22"/>
      <c r="AJ5" s="22"/>
      <c r="AK5" s="22"/>
      <c r="AL5" s="22"/>
      <c r="AM5" s="22"/>
      <c r="AN5" s="22"/>
      <c r="AO5" s="22"/>
      <c r="AP5" s="26"/>
      <c r="AQ5" s="26"/>
      <c r="AR5" s="26"/>
    </row>
    <row r="6" spans="1:46">
      <c r="A6" t="s">
        <v>53</v>
      </c>
      <c r="B6" s="5">
        <f>SUMIF('库存（子SKU）'!$C:$C,$A6,'库存（子SKU）'!D:D)</f>
        <v>0</v>
      </c>
      <c r="C6" s="5">
        <f>SUMIF('库存（子SKU）'!$C:$C,$A6,'库存（子SKU）'!E:E)</f>
        <v>1</v>
      </c>
      <c r="D6" s="5">
        <f>SUMIF('库存（子SKU）'!$C:$C,$A6,'库存（子SKU）'!F:F)</f>
        <v>1</v>
      </c>
      <c r="E6" s="5">
        <f>SUMIF('库存（子SKU）'!$C:$C,$A6,'库存（子SKU）'!G:G)</f>
        <v>0</v>
      </c>
      <c r="F6" s="6">
        <v>9.495</v>
      </c>
      <c r="G6">
        <f>SUMIF('库存（子SKU）'!$C:$C,$A6,'库存（子SKU）'!I:I)</f>
        <v>24</v>
      </c>
      <c r="H6">
        <f>SUMIF('库存（子SKU）'!$C:$C,$A6,'库存（子SKU）'!J:J)</f>
        <v>10</v>
      </c>
      <c r="I6">
        <f>SUMIF('库存（子SKU）'!$C:$C,$A6,'库存（子SKU）'!K:K)</f>
        <v>0</v>
      </c>
      <c r="J6">
        <f>SUMIF('库存（子SKU）'!$C:$C,$A6,'库存（子SKU）'!L:L)</f>
        <v>0</v>
      </c>
      <c r="K6">
        <f t="shared" si="0"/>
        <v>34</v>
      </c>
      <c r="L6">
        <f>SUMIF('库存（子SKU）'!$C:$C,$A6,'库存（子SKU）'!N:N)</f>
        <v>0</v>
      </c>
      <c r="M6">
        <f>SUMIF('库存（子SKU）'!$C:$C,$A6,'库存（子SKU）'!O:O)</f>
        <v>24</v>
      </c>
      <c r="N6">
        <f>SUMIF('库存（子SKU）'!$C:$C,$A6,'库存（子SKU）'!P:P)</f>
        <v>644</v>
      </c>
      <c r="O6">
        <f>SUMIF('库存（子SKU）'!$C:$C,$A6,'库存（子SKU）'!Q:Q)</f>
        <v>487</v>
      </c>
      <c r="P6">
        <f>SUMIF('库存（子SKU）'!$C:$C,$A6,'库存（子SKU）'!R:R)</f>
        <v>424</v>
      </c>
      <c r="Q6">
        <f>SUMIF('库存（子SKU）'!$C:$C,$A6,'库存（子SKU）'!S:S)</f>
        <v>444</v>
      </c>
      <c r="R6">
        <f>SUMIF('库存（子SKU）'!$C:$C,$A6,'库存（子SKU）'!T:T)</f>
        <v>1</v>
      </c>
      <c r="S6">
        <f>SUMIF('库存（子SKU）'!$C:$C,$A6,'库存（子SKU）'!U:U)</f>
        <v>3</v>
      </c>
      <c r="T6">
        <f>SUMIF('库存（子SKU）'!$C:$C,$A6,'库存（子SKU）'!V:V)</f>
        <v>3</v>
      </c>
      <c r="U6">
        <f>SUMIF('库存（子SKU）'!$C:$C,$A6,'库存（子SKU）'!W:W)</f>
        <v>2</v>
      </c>
      <c r="V6" s="23">
        <f t="shared" ref="V6:V61" si="15">IFERROR(R6/N6,"")</f>
        <v>0.0015527950310559</v>
      </c>
      <c r="W6" s="23">
        <f t="shared" ref="W6:W61" si="16">IFERROR(S6/O6,"")</f>
        <v>0.00616016427104723</v>
      </c>
      <c r="X6" s="23">
        <f t="shared" ref="X6:X61" si="17">IFERROR(T6/P6,"")</f>
        <v>0.00707547169811321</v>
      </c>
      <c r="Y6" s="23">
        <f t="shared" ref="Y6:Y61" si="18">IFERROR(U6/Q6,"")</f>
        <v>0.0045045045045045</v>
      </c>
      <c r="Z6">
        <f>SUMIF('库存（子SKU）'!$C:$C,$A6,'库存（子SKU）'!AB:AB)</f>
        <v>0.39</v>
      </c>
      <c r="AA6">
        <f>SUMIF('库存（子SKU）'!$C:$C,$A6,'库存（子SKU）'!AC:AC)</f>
        <v>0.58</v>
      </c>
      <c r="AB6">
        <f>SUMIF('库存（子SKU）'!$C:$C,$A6,'库存（子SKU）'!AD:AD)</f>
        <v>1.15</v>
      </c>
      <c r="AC6">
        <f>SUMIF('库存（子SKU）'!$C:$C,$A6,'库存（子SKU）'!AE:AE)</f>
        <v>0.48</v>
      </c>
      <c r="AD6" s="23" t="str">
        <f t="shared" si="2"/>
        <v>无销量广告费为0.39</v>
      </c>
      <c r="AE6" s="23">
        <f t="shared" si="3"/>
        <v>0.0610847814639284</v>
      </c>
      <c r="AF6" s="23">
        <f t="shared" si="4"/>
        <v>0.121116377040548</v>
      </c>
      <c r="AG6" s="23" t="str">
        <f t="shared" si="5"/>
        <v>无销量广告费为0.48</v>
      </c>
      <c r="AH6">
        <f>SUMIF('库存（子SKU）'!$C:$C,$A6,'库存（子SKU）'!AJ:AJ)</f>
        <v>14</v>
      </c>
      <c r="AI6">
        <f>SUMIF('库存（子SKU）'!$C:$C,$A6,'库存（子SKU）'!AK:AK)</f>
        <v>23</v>
      </c>
      <c r="AJ6">
        <f>SUMIF('库存（子SKU）'!$C:$C,$A6,'库存（子SKU）'!AL:AL)</f>
        <v>34</v>
      </c>
      <c r="AK6">
        <f>SUMIF('库存（子SKU）'!$C:$C,$A6,'库存（子SKU）'!AM:AM)</f>
        <v>18</v>
      </c>
      <c r="AL6" s="23">
        <f t="shared" si="6"/>
        <v>0</v>
      </c>
      <c r="AM6" s="23">
        <f t="shared" si="7"/>
        <v>0.0434782608695652</v>
      </c>
      <c r="AN6" s="23">
        <f t="shared" si="8"/>
        <v>0.0294117647058824</v>
      </c>
      <c r="AO6" s="23">
        <f t="shared" si="9"/>
        <v>0</v>
      </c>
      <c r="AP6" s="7">
        <f t="shared" si="10"/>
        <v>0</v>
      </c>
      <c r="AQ6" s="7">
        <f t="shared" si="11"/>
        <v>0</v>
      </c>
      <c r="AR6" s="7">
        <f t="shared" si="12"/>
        <v>34</v>
      </c>
      <c r="AS6" t="str">
        <f t="shared" si="13"/>
        <v>库存为34</v>
      </c>
      <c r="AT6" s="2" t="str">
        <f>IFERROR($A$2+AS6,"上周无销量")</f>
        <v>上周无销量</v>
      </c>
    </row>
    <row r="7" spans="1:46">
      <c r="A7" t="s">
        <v>75</v>
      </c>
      <c r="B7" s="5">
        <f>SUMIF('库存（子SKU）'!$C:$C,$A7,'库存（子SKU）'!D:D)</f>
        <v>0</v>
      </c>
      <c r="C7" s="5">
        <f>SUMIF('库存（子SKU）'!$C:$C,$A7,'库存（子SKU）'!E:E)</f>
        <v>0</v>
      </c>
      <c r="D7" s="5">
        <f>SUMIF('库存（子SKU）'!$C:$C,$A7,'库存（子SKU）'!F:F)</f>
        <v>0</v>
      </c>
      <c r="E7" s="5">
        <f>SUMIF('库存（子SKU）'!$C:$C,$A7,'库存（子SKU）'!G:G)</f>
        <v>0</v>
      </c>
      <c r="F7" s="6" t="s">
        <v>54</v>
      </c>
      <c r="G7">
        <f>SUMIF('库存（子SKU）'!$C:$C,$A7,'库存（子SKU）'!I:I)</f>
        <v>14</v>
      </c>
      <c r="H7">
        <f>SUMIF('库存（子SKU）'!$C:$C,$A7,'库存（子SKU）'!J:J)</f>
        <v>0</v>
      </c>
      <c r="I7">
        <f>SUMIF('库存（子SKU）'!$C:$C,$A7,'库存（子SKU）'!K:K)</f>
        <v>0</v>
      </c>
      <c r="J7">
        <f>SUMIF('库存（子SKU）'!$C:$C,$A7,'库存（子SKU）'!L:L)</f>
        <v>0</v>
      </c>
      <c r="K7">
        <f t="shared" si="0"/>
        <v>14</v>
      </c>
      <c r="L7">
        <f>SUMIF('库存（子SKU）'!$C:$C,$A7,'库存（子SKU）'!N:N)</f>
        <v>0</v>
      </c>
      <c r="M7">
        <f>SUMIF('库存（子SKU）'!$C:$C,$A7,'库存（子SKU）'!O:O)</f>
        <v>14</v>
      </c>
      <c r="N7">
        <f>SUMIF('库存（子SKU）'!$C:$C,$A7,'库存（子SKU）'!P:P)</f>
        <v>0</v>
      </c>
      <c r="O7">
        <f>SUMIF('库存（子SKU）'!$C:$C,$A7,'库存（子SKU）'!Q:Q)</f>
        <v>0</v>
      </c>
      <c r="P7">
        <f>SUMIF('库存（子SKU）'!$C:$C,$A7,'库存（子SKU）'!R:R)</f>
        <v>0</v>
      </c>
      <c r="Q7">
        <f>SUMIF('库存（子SKU）'!$C:$C,$A7,'库存（子SKU）'!S:S)</f>
        <v>0</v>
      </c>
      <c r="R7">
        <f>SUMIF('库存（子SKU）'!$C:$C,$A7,'库存（子SKU）'!T:T)</f>
        <v>0</v>
      </c>
      <c r="S7">
        <f>SUMIF('库存（子SKU）'!$C:$C,$A7,'库存（子SKU）'!U:U)</f>
        <v>0</v>
      </c>
      <c r="T7">
        <f>SUMIF('库存（子SKU）'!$C:$C,$A7,'库存（子SKU）'!V:V)</f>
        <v>0</v>
      </c>
      <c r="U7">
        <f>SUMIF('库存（子SKU）'!$C:$C,$A7,'库存（子SKU）'!W:W)</f>
        <v>0</v>
      </c>
      <c r="V7" s="23" t="str">
        <f t="shared" si="15"/>
        <v/>
      </c>
      <c r="W7" s="23" t="str">
        <f t="shared" si="16"/>
        <v/>
      </c>
      <c r="X7" s="23" t="str">
        <f t="shared" si="17"/>
        <v/>
      </c>
      <c r="Y7" s="23" t="str">
        <f t="shared" si="18"/>
        <v/>
      </c>
      <c r="Z7">
        <f>SUMIF('库存（子SKU）'!$C:$C,$A7,'库存（子SKU）'!AB:AB)</f>
        <v>0</v>
      </c>
      <c r="AA7">
        <f>SUMIF('库存（子SKU）'!$C:$C,$A7,'库存（子SKU）'!AC:AC)</f>
        <v>0</v>
      </c>
      <c r="AB7">
        <f>SUMIF('库存（子SKU）'!$C:$C,$A7,'库存（子SKU）'!AD:AD)</f>
        <v>0</v>
      </c>
      <c r="AC7">
        <f>SUMIF('库存（子SKU）'!$C:$C,$A7,'库存（子SKU）'!AE:AE)</f>
        <v>0</v>
      </c>
      <c r="AD7" s="23" t="str">
        <f t="shared" si="2"/>
        <v/>
      </c>
      <c r="AE7" s="23" t="str">
        <f t="shared" si="3"/>
        <v/>
      </c>
      <c r="AF7" s="23" t="str">
        <f t="shared" si="4"/>
        <v/>
      </c>
      <c r="AG7" s="23" t="str">
        <f t="shared" si="5"/>
        <v/>
      </c>
      <c r="AH7">
        <f>SUMIF('库存（子SKU）'!$C:$C,$A7,'库存（子SKU）'!AJ:AJ)</f>
        <v>7</v>
      </c>
      <c r="AI7">
        <f>SUMIF('库存（子SKU）'!$C:$C,$A7,'库存（子SKU）'!AK:AK)</f>
        <v>12</v>
      </c>
      <c r="AJ7">
        <f>SUMIF('库存（子SKU）'!$C:$C,$A7,'库存（子SKU）'!AL:AL)</f>
        <v>21</v>
      </c>
      <c r="AK7">
        <f>SUMIF('库存（子SKU）'!$C:$C,$A7,'库存（子SKU）'!AM:AM)</f>
        <v>14</v>
      </c>
      <c r="AL7" s="23">
        <f t="shared" si="6"/>
        <v>0</v>
      </c>
      <c r="AM7" s="23">
        <f t="shared" si="7"/>
        <v>0</v>
      </c>
      <c r="AN7" s="23">
        <f t="shared" si="8"/>
        <v>0</v>
      </c>
      <c r="AO7" s="23">
        <f t="shared" si="9"/>
        <v>0</v>
      </c>
      <c r="AP7" s="7">
        <f t="shared" si="10"/>
        <v>0</v>
      </c>
      <c r="AQ7" s="7">
        <f t="shared" si="11"/>
        <v>0</v>
      </c>
      <c r="AR7" s="7">
        <f t="shared" si="12"/>
        <v>14</v>
      </c>
      <c r="AS7" t="str">
        <f t="shared" si="13"/>
        <v>库存为14</v>
      </c>
      <c r="AT7" s="2" t="str">
        <f>IFERROR($A$2+AS7,"上周无销量")</f>
        <v>上周无销量</v>
      </c>
    </row>
    <row r="8" spans="1:46">
      <c r="A8" t="s">
        <v>86</v>
      </c>
      <c r="B8" s="5">
        <f>SUMIF('库存（子SKU）'!$C:$C,$A8,'库存（子SKU）'!D:D)</f>
        <v>0</v>
      </c>
      <c r="C8" s="5">
        <f>SUMIF('库存（子SKU）'!$C:$C,$A8,'库存（子SKU）'!E:E)</f>
        <v>0</v>
      </c>
      <c r="D8" s="5">
        <f>SUMIF('库存（子SKU）'!$C:$C,$A8,'库存（子SKU）'!F:F)</f>
        <v>0</v>
      </c>
      <c r="E8" s="5">
        <f>SUMIF('库存（子SKU）'!$C:$C,$A8,'库存（子SKU）'!G:G)</f>
        <v>1</v>
      </c>
      <c r="F8" s="6">
        <v>35.99</v>
      </c>
      <c r="G8">
        <f>SUMIF('库存（子SKU）'!$C:$C,$A8,'库存（子SKU）'!I:I)</f>
        <v>5</v>
      </c>
      <c r="H8">
        <f>SUMIF('库存（子SKU）'!$C:$C,$A8,'库存（子SKU）'!J:J)</f>
        <v>0</v>
      </c>
      <c r="I8">
        <f>SUMIF('库存（子SKU）'!$C:$C,$A8,'库存（子SKU）'!K:K)</f>
        <v>0</v>
      </c>
      <c r="J8">
        <f>SUMIF('库存（子SKU）'!$C:$C,$A8,'库存（子SKU）'!L:L)</f>
        <v>0</v>
      </c>
      <c r="K8">
        <f t="shared" si="0"/>
        <v>5</v>
      </c>
      <c r="L8">
        <f>SUMIF('库存（子SKU）'!$C:$C,$A8,'库存（子SKU）'!N:N)</f>
        <v>0</v>
      </c>
      <c r="M8">
        <f>SUMIF('库存（子SKU）'!$C:$C,$A8,'库存（子SKU）'!O:O)</f>
        <v>0</v>
      </c>
      <c r="N8">
        <f>SUMIF('库存（子SKU）'!$C:$C,$A8,'库存（子SKU）'!P:P)</f>
        <v>25304</v>
      </c>
      <c r="O8">
        <f>SUMIF('库存（子SKU）'!$C:$C,$A8,'库存（子SKU）'!Q:Q)</f>
        <v>114557</v>
      </c>
      <c r="P8">
        <f>SUMIF('库存（子SKU）'!$C:$C,$A8,'库存（子SKU）'!R:R)</f>
        <v>31957</v>
      </c>
      <c r="Q8">
        <f>SUMIF('库存（子SKU）'!$C:$C,$A8,'库存（子SKU）'!S:S)</f>
        <v>13795</v>
      </c>
      <c r="R8">
        <f>SUMIF('库存（子SKU）'!$C:$C,$A8,'库存（子SKU）'!T:T)</f>
        <v>45</v>
      </c>
      <c r="S8">
        <f>SUMIF('库存（子SKU）'!$C:$C,$A8,'库存（子SKU）'!U:U)</f>
        <v>95</v>
      </c>
      <c r="T8">
        <f>SUMIF('库存（子SKU）'!$C:$C,$A8,'库存（子SKU）'!V:V)</f>
        <v>53</v>
      </c>
      <c r="U8">
        <f>SUMIF('库存（子SKU）'!$C:$C,$A8,'库存（子SKU）'!W:W)</f>
        <v>48</v>
      </c>
      <c r="V8" s="23">
        <f t="shared" si="15"/>
        <v>0.00177837496048056</v>
      </c>
      <c r="W8" s="23">
        <f t="shared" si="16"/>
        <v>0.000829281493055859</v>
      </c>
      <c r="X8" s="23">
        <f t="shared" si="17"/>
        <v>0.00165847858059267</v>
      </c>
      <c r="Y8" s="23">
        <f t="shared" si="18"/>
        <v>0.0034795215657847</v>
      </c>
      <c r="Z8">
        <f>SUMIF('库存（子SKU）'!$C:$C,$A8,'库存（子SKU）'!AB:AB)</f>
        <v>14.99</v>
      </c>
      <c r="AA8">
        <f>SUMIF('库存（子SKU）'!$C:$C,$A8,'库存（子SKU）'!AC:AC)</f>
        <v>31.96</v>
      </c>
      <c r="AB8">
        <f>SUMIF('库存（子SKU）'!$C:$C,$A8,'库存（子SKU）'!AD:AD)</f>
        <v>16.63</v>
      </c>
      <c r="AC8">
        <f>SUMIF('库存（子SKU）'!$C:$C,$A8,'库存（子SKU）'!AE:AE)</f>
        <v>21.08</v>
      </c>
      <c r="AD8" s="23" t="str">
        <f t="shared" si="2"/>
        <v>无销量广告费为14.99</v>
      </c>
      <c r="AE8" s="23" t="str">
        <f t="shared" si="3"/>
        <v>无销量广告费为31.96</v>
      </c>
      <c r="AF8" s="23" t="str">
        <f t="shared" si="4"/>
        <v>无销量广告费为16.63</v>
      </c>
      <c r="AG8" s="23">
        <f t="shared" si="5"/>
        <v>0.585718255070853</v>
      </c>
      <c r="AH8">
        <f>SUMIF('库存（子SKU）'!$C:$C,$A8,'库存（子SKU）'!AJ:AJ)</f>
        <v>50</v>
      </c>
      <c r="AI8">
        <f>SUMIF('库存（子SKU）'!$C:$C,$A8,'库存（子SKU）'!AK:AK)</f>
        <v>60</v>
      </c>
      <c r="AJ8">
        <f>SUMIF('库存（子SKU）'!$C:$C,$A8,'库存（子SKU）'!AL:AL)</f>
        <v>55</v>
      </c>
      <c r="AK8">
        <f>SUMIF('库存（子SKU）'!$C:$C,$A8,'库存（子SKU）'!AM:AM)</f>
        <v>47</v>
      </c>
      <c r="AL8" s="23">
        <f t="shared" si="6"/>
        <v>0</v>
      </c>
      <c r="AM8" s="23">
        <f t="shared" si="7"/>
        <v>0</v>
      </c>
      <c r="AN8" s="23">
        <f t="shared" si="8"/>
        <v>0</v>
      </c>
      <c r="AO8" s="23">
        <f t="shared" si="9"/>
        <v>0.0212765957446809</v>
      </c>
      <c r="AP8" s="7">
        <f t="shared" si="10"/>
        <v>0</v>
      </c>
      <c r="AQ8" s="7">
        <f t="shared" si="11"/>
        <v>0</v>
      </c>
      <c r="AR8" s="7">
        <f t="shared" si="12"/>
        <v>5</v>
      </c>
      <c r="AS8" t="str">
        <f t="shared" si="13"/>
        <v>库存为5</v>
      </c>
      <c r="AT8" s="2" t="str">
        <f>IFERROR($A$2+AS8,"上周无销量")</f>
        <v>上周无销量</v>
      </c>
    </row>
    <row r="9" spans="1:46">
      <c r="A9" t="s">
        <v>91</v>
      </c>
      <c r="B9" s="5">
        <f>SUMIF('库存（子SKU）'!$C:$C,$A9,'库存（子SKU）'!D:D)</f>
        <v>0</v>
      </c>
      <c r="C9" s="5">
        <f>SUMIF('库存（子SKU）'!$C:$C,$A9,'库存（子SKU）'!E:E)</f>
        <v>0</v>
      </c>
      <c r="D9" s="5">
        <f>SUMIF('库存（子SKU）'!$C:$C,$A9,'库存（子SKU）'!F:F)</f>
        <v>0</v>
      </c>
      <c r="E9" s="5">
        <f>SUMIF('库存（子SKU）'!$C:$C,$A9,'库存（子SKU）'!G:G)</f>
        <v>1</v>
      </c>
      <c r="F9" s="6">
        <v>29.99</v>
      </c>
      <c r="G9">
        <f>SUMIF('库存（子SKU）'!$C:$C,$A9,'库存（子SKU）'!I:I)</f>
        <v>1</v>
      </c>
      <c r="H9">
        <f>SUMIF('库存（子SKU）'!$C:$C,$A9,'库存（子SKU）'!J:J)</f>
        <v>0</v>
      </c>
      <c r="I9">
        <f>SUMIF('库存（子SKU）'!$C:$C,$A9,'库存（子SKU）'!K:K)</f>
        <v>0</v>
      </c>
      <c r="J9">
        <f>SUMIF('库存（子SKU）'!$C:$C,$A9,'库存（子SKU）'!L:L)</f>
        <v>0</v>
      </c>
      <c r="K9">
        <f t="shared" si="0"/>
        <v>1</v>
      </c>
      <c r="L9">
        <f>SUMIF('库存（子SKU）'!$C:$C,$A9,'库存（子SKU）'!N:N)</f>
        <v>0</v>
      </c>
      <c r="M9">
        <f>SUMIF('库存（子SKU）'!$C:$C,$A9,'库存（子SKU）'!O:O)</f>
        <v>0</v>
      </c>
      <c r="N9">
        <f>SUMIF('库存（子SKU）'!$C:$C,$A9,'库存（子SKU）'!P:P)</f>
        <v>0</v>
      </c>
      <c r="O9">
        <f>SUMIF('库存（子SKU）'!$C:$C,$A9,'库存（子SKU）'!Q:Q)</f>
        <v>0</v>
      </c>
      <c r="P9">
        <f>SUMIF('库存（子SKU）'!$C:$C,$A9,'库存（子SKU）'!R:R)</f>
        <v>0</v>
      </c>
      <c r="Q9">
        <f>SUMIF('库存（子SKU）'!$C:$C,$A9,'库存（子SKU）'!S:S)</f>
        <v>5055</v>
      </c>
      <c r="R9">
        <f>SUMIF('库存（子SKU）'!$C:$C,$A9,'库存（子SKU）'!T:T)</f>
        <v>0</v>
      </c>
      <c r="S9">
        <f>SUMIF('库存（子SKU）'!$C:$C,$A9,'库存（子SKU）'!U:U)</f>
        <v>0</v>
      </c>
      <c r="T9">
        <f>SUMIF('库存（子SKU）'!$C:$C,$A9,'库存（子SKU）'!V:V)</f>
        <v>0</v>
      </c>
      <c r="U9">
        <f>SUMIF('库存（子SKU）'!$C:$C,$A9,'库存（子SKU）'!W:W)</f>
        <v>17</v>
      </c>
      <c r="V9" s="23" t="str">
        <f t="shared" si="15"/>
        <v/>
      </c>
      <c r="W9" s="23" t="str">
        <f t="shared" si="16"/>
        <v/>
      </c>
      <c r="X9" s="23" t="str">
        <f t="shared" si="17"/>
        <v/>
      </c>
      <c r="Y9" s="23">
        <f t="shared" si="18"/>
        <v>0.00336300692383778</v>
      </c>
      <c r="Z9">
        <f>SUMIF('库存（子SKU）'!$C:$C,$A9,'库存（子SKU）'!AB:AB)</f>
        <v>0</v>
      </c>
      <c r="AA9">
        <f>SUMIF('库存（子SKU）'!$C:$C,$A9,'库存（子SKU）'!AC:AC)</f>
        <v>0</v>
      </c>
      <c r="AB9">
        <f>SUMIF('库存（子SKU）'!$C:$C,$A9,'库存（子SKU）'!AD:AD)</f>
        <v>0</v>
      </c>
      <c r="AC9">
        <f>SUMIF('库存（子SKU）'!$C:$C,$A9,'库存（子SKU）'!AE:AE)</f>
        <v>7.38</v>
      </c>
      <c r="AD9" s="23" t="str">
        <f t="shared" si="2"/>
        <v/>
      </c>
      <c r="AE9" s="23" t="str">
        <f t="shared" si="3"/>
        <v/>
      </c>
      <c r="AF9" s="23" t="str">
        <f t="shared" si="4"/>
        <v/>
      </c>
      <c r="AG9" s="23">
        <f t="shared" si="5"/>
        <v>0.246082027342447</v>
      </c>
      <c r="AH9">
        <f>SUMIF('库存（子SKU）'!$C:$C,$A9,'库存（子SKU）'!AJ:AJ)</f>
        <v>6</v>
      </c>
      <c r="AI9">
        <f>SUMIF('库存（子SKU）'!$C:$C,$A9,'库存（子SKU）'!AK:AK)</f>
        <v>5</v>
      </c>
      <c r="AJ9">
        <f>SUMIF('库存（子SKU）'!$C:$C,$A9,'库存（子SKU）'!AL:AL)</f>
        <v>11</v>
      </c>
      <c r="AK9">
        <f>SUMIF('库存（子SKU）'!$C:$C,$A9,'库存（子SKU）'!AM:AM)</f>
        <v>1</v>
      </c>
      <c r="AL9" s="23">
        <f t="shared" si="6"/>
        <v>0</v>
      </c>
      <c r="AM9" s="23">
        <f t="shared" si="7"/>
        <v>0</v>
      </c>
      <c r="AN9" s="23">
        <f t="shared" si="8"/>
        <v>0</v>
      </c>
      <c r="AO9" s="23">
        <f t="shared" si="9"/>
        <v>1</v>
      </c>
      <c r="AP9" s="7">
        <f t="shared" si="10"/>
        <v>0</v>
      </c>
      <c r="AQ9" s="7">
        <f t="shared" si="11"/>
        <v>0</v>
      </c>
      <c r="AR9" s="7">
        <f t="shared" si="12"/>
        <v>1</v>
      </c>
      <c r="AS9" t="str">
        <f t="shared" si="13"/>
        <v>库存为1</v>
      </c>
      <c r="AT9" s="2" t="str">
        <f>IFERROR($A$2+AS9,"上周无销量")</f>
        <v>上周无销量</v>
      </c>
    </row>
    <row r="10" spans="1:46">
      <c r="A10" t="s">
        <v>103</v>
      </c>
      <c r="B10" s="5">
        <f>SUMIF('库存（子SKU）'!$C:$C,$A10,'库存（子SKU）'!D:D)</f>
        <v>0</v>
      </c>
      <c r="C10" s="5">
        <f>SUMIF('库存（子SKU）'!$C:$C,$A10,'库存（子SKU）'!E:E)</f>
        <v>0</v>
      </c>
      <c r="D10" s="5">
        <f>SUMIF('库存（子SKU）'!$C:$C,$A10,'库存（子SKU）'!F:F)</f>
        <v>1</v>
      </c>
      <c r="E10" s="5">
        <f>SUMIF('库存（子SKU）'!$C:$C,$A10,'库存（子SKU）'!G:G)</f>
        <v>0</v>
      </c>
      <c r="F10" s="6">
        <v>40.99</v>
      </c>
      <c r="G10">
        <f>SUMIF('库存（子SKU）'!$C:$C,$A10,'库存（子SKU）'!I:I)</f>
        <v>19</v>
      </c>
      <c r="H10">
        <f>SUMIF('库存（子SKU）'!$C:$C,$A10,'库存（子SKU）'!J:J)</f>
        <v>0</v>
      </c>
      <c r="I10">
        <f>SUMIF('库存（子SKU）'!$C:$C,$A10,'库存（子SKU）'!K:K)</f>
        <v>0</v>
      </c>
      <c r="J10">
        <f>SUMIF('库存（子SKU）'!$C:$C,$A10,'库存（子SKU）'!L:L)</f>
        <v>0</v>
      </c>
      <c r="K10">
        <f t="shared" si="0"/>
        <v>19</v>
      </c>
      <c r="L10">
        <f>SUMIF('库存（子SKU）'!$C:$C,$A10,'库存（子SKU）'!N:N)</f>
        <v>0</v>
      </c>
      <c r="M10">
        <f>SUMIF('库存（子SKU）'!$C:$C,$A10,'库存（子SKU）'!O:O)</f>
        <v>0</v>
      </c>
      <c r="N10">
        <f>SUMIF('库存（子SKU）'!$C:$C,$A10,'库存（子SKU）'!P:P)</f>
        <v>789</v>
      </c>
      <c r="O10">
        <f>SUMIF('库存（子SKU）'!$C:$C,$A10,'库存（子SKU）'!Q:Q)</f>
        <v>1453</v>
      </c>
      <c r="P10">
        <f>SUMIF('库存（子SKU）'!$C:$C,$A10,'库存（子SKU）'!R:R)</f>
        <v>1050</v>
      </c>
      <c r="Q10">
        <f>SUMIF('库存（子SKU）'!$C:$C,$A10,'库存（子SKU）'!S:S)</f>
        <v>4858</v>
      </c>
      <c r="R10">
        <f>SUMIF('库存（子SKU）'!$C:$C,$A10,'库存（子SKU）'!T:T)</f>
        <v>2</v>
      </c>
      <c r="S10">
        <f>SUMIF('库存（子SKU）'!$C:$C,$A10,'库存（子SKU）'!U:U)</f>
        <v>4</v>
      </c>
      <c r="T10">
        <f>SUMIF('库存（子SKU）'!$C:$C,$A10,'库存（子SKU）'!V:V)</f>
        <v>2</v>
      </c>
      <c r="U10">
        <f>SUMIF('库存（子SKU）'!$C:$C,$A10,'库存（子SKU）'!W:W)</f>
        <v>15</v>
      </c>
      <c r="V10" s="23">
        <f t="shared" si="15"/>
        <v>0.00253485424588086</v>
      </c>
      <c r="W10" s="23">
        <f t="shared" si="16"/>
        <v>0.00275292498279422</v>
      </c>
      <c r="X10" s="23">
        <f t="shared" si="17"/>
        <v>0.0019047619047619</v>
      </c>
      <c r="Y10" s="23">
        <f t="shared" si="18"/>
        <v>0.00308769040757513</v>
      </c>
      <c r="Z10">
        <f>SUMIF('库存（子SKU）'!$C:$C,$A10,'库存（子SKU）'!AB:AB)</f>
        <v>0.6</v>
      </c>
      <c r="AA10">
        <f>SUMIF('库存（子SKU）'!$C:$C,$A10,'库存（子SKU）'!AC:AC)</f>
        <v>1.2</v>
      </c>
      <c r="AB10">
        <f>SUMIF('库存（子SKU）'!$C:$C,$A10,'库存（子SKU）'!AD:AD)</f>
        <v>0.75</v>
      </c>
      <c r="AC10">
        <f>SUMIF('库存（子SKU）'!$C:$C,$A10,'库存（子SKU）'!AE:AE)</f>
        <v>15.28</v>
      </c>
      <c r="AD10" s="23" t="str">
        <f t="shared" si="2"/>
        <v>无销量广告费为0.6</v>
      </c>
      <c r="AE10" s="23" t="str">
        <f t="shared" si="3"/>
        <v>无销量广告费为1.2</v>
      </c>
      <c r="AF10" s="23">
        <f t="shared" si="4"/>
        <v>0.0182971456452793</v>
      </c>
      <c r="AG10" s="23" t="str">
        <f t="shared" si="5"/>
        <v>无销量广告费为15.28</v>
      </c>
      <c r="AH10">
        <f>SUMIF('库存（子SKU）'!$C:$C,$A10,'库存（子SKU）'!AJ:AJ)</f>
        <v>7</v>
      </c>
      <c r="AI10">
        <f>SUMIF('库存（子SKU）'!$C:$C,$A10,'库存（子SKU）'!AK:AK)</f>
        <v>8</v>
      </c>
      <c r="AJ10">
        <f>SUMIF('库存（子SKU）'!$C:$C,$A10,'库存（子SKU）'!AL:AL)</f>
        <v>15</v>
      </c>
      <c r="AK10">
        <f>SUMIF('库存（子SKU）'!$C:$C,$A10,'库存（子SKU）'!AM:AM)</f>
        <v>12</v>
      </c>
      <c r="AL10" s="23">
        <f t="shared" si="6"/>
        <v>0</v>
      </c>
      <c r="AM10" s="23">
        <f t="shared" si="7"/>
        <v>0</v>
      </c>
      <c r="AN10" s="23">
        <f t="shared" si="8"/>
        <v>0.0666666666666667</v>
      </c>
      <c r="AO10" s="23">
        <f t="shared" si="9"/>
        <v>0</v>
      </c>
      <c r="AP10" s="7">
        <f t="shared" si="10"/>
        <v>0</v>
      </c>
      <c r="AQ10" s="7">
        <f t="shared" si="11"/>
        <v>0</v>
      </c>
      <c r="AR10" s="7">
        <f t="shared" si="12"/>
        <v>19</v>
      </c>
      <c r="AS10" t="str">
        <f t="shared" si="13"/>
        <v>库存为19</v>
      </c>
      <c r="AT10" s="2" t="str">
        <f>IFERROR($A$2+AS10,"上周无销量")</f>
        <v>上周无销量</v>
      </c>
    </row>
    <row r="11" spans="1:46">
      <c r="A11" t="s">
        <v>107</v>
      </c>
      <c r="B11" s="5">
        <f>SUMIF('库存（子SKU）'!$C:$C,$A11,'库存（子SKU）'!D:D)</f>
        <v>0</v>
      </c>
      <c r="C11" s="5">
        <f>SUMIF('库存（子SKU）'!$C:$C,$A11,'库存（子SKU）'!E:E)</f>
        <v>0</v>
      </c>
      <c r="D11" s="5">
        <f>SUMIF('库存（子SKU）'!$C:$C,$A11,'库存（子SKU）'!F:F)</f>
        <v>0</v>
      </c>
      <c r="E11" s="5">
        <f>SUMIF('库存（子SKU）'!$C:$C,$A11,'库存（子SKU）'!G:G)</f>
        <v>0</v>
      </c>
      <c r="F11" s="6" t="s">
        <v>54</v>
      </c>
      <c r="G11">
        <f>SUMIF('库存（子SKU）'!$C:$C,$A11,'库存（子SKU）'!I:I)</f>
        <v>0</v>
      </c>
      <c r="H11">
        <f>SUMIF('库存（子SKU）'!$C:$C,$A11,'库存（子SKU）'!J:J)</f>
        <v>0</v>
      </c>
      <c r="I11">
        <f>SUMIF('库存（子SKU）'!$C:$C,$A11,'库存（子SKU）'!K:K)</f>
        <v>0</v>
      </c>
      <c r="J11">
        <f>SUMIF('库存（子SKU）'!$C:$C,$A11,'库存（子SKU）'!L:L)</f>
        <v>0</v>
      </c>
      <c r="K11">
        <f t="shared" si="0"/>
        <v>0</v>
      </c>
      <c r="L11">
        <f>SUMIF('库存（子SKU）'!$C:$C,$A11,'库存（子SKU）'!N:N)</f>
        <v>0</v>
      </c>
      <c r="M11">
        <f>SUMIF('库存（子SKU）'!$C:$C,$A11,'库存（子SKU）'!O:O)</f>
        <v>0</v>
      </c>
      <c r="N11">
        <f>SUMIF('库存（子SKU）'!$C:$C,$A11,'库存（子SKU）'!P:P)</f>
        <v>0</v>
      </c>
      <c r="O11">
        <f>SUMIF('库存（子SKU）'!$C:$C,$A11,'库存（子SKU）'!Q:Q)</f>
        <v>0</v>
      </c>
      <c r="P11">
        <f>SUMIF('库存（子SKU）'!$C:$C,$A11,'库存（子SKU）'!R:R)</f>
        <v>0</v>
      </c>
      <c r="Q11">
        <f>SUMIF('库存（子SKU）'!$C:$C,$A11,'库存（子SKU）'!S:S)</f>
        <v>0</v>
      </c>
      <c r="R11">
        <f>SUMIF('库存（子SKU）'!$C:$C,$A11,'库存（子SKU）'!T:T)</f>
        <v>0</v>
      </c>
      <c r="S11">
        <f>SUMIF('库存（子SKU）'!$C:$C,$A11,'库存（子SKU）'!U:U)</f>
        <v>0</v>
      </c>
      <c r="T11">
        <f>SUMIF('库存（子SKU）'!$C:$C,$A11,'库存（子SKU）'!V:V)</f>
        <v>0</v>
      </c>
      <c r="U11">
        <f>SUMIF('库存（子SKU）'!$C:$C,$A11,'库存（子SKU）'!W:W)</f>
        <v>0</v>
      </c>
      <c r="V11" s="23" t="str">
        <f t="shared" si="15"/>
        <v/>
      </c>
      <c r="W11" s="23" t="str">
        <f t="shared" si="16"/>
        <v/>
      </c>
      <c r="X11" s="23" t="str">
        <f t="shared" si="17"/>
        <v/>
      </c>
      <c r="Y11" s="23" t="str">
        <f t="shared" si="18"/>
        <v/>
      </c>
      <c r="Z11">
        <f>SUMIF('库存（子SKU）'!$C:$C,$A11,'库存（子SKU）'!AB:AB)</f>
        <v>0</v>
      </c>
      <c r="AA11">
        <f>SUMIF('库存（子SKU）'!$C:$C,$A11,'库存（子SKU）'!AC:AC)</f>
        <v>0</v>
      </c>
      <c r="AB11">
        <f>SUMIF('库存（子SKU）'!$C:$C,$A11,'库存（子SKU）'!AD:AD)</f>
        <v>0</v>
      </c>
      <c r="AC11">
        <f>SUMIF('库存（子SKU）'!$C:$C,$A11,'库存（子SKU）'!AE:AE)</f>
        <v>0</v>
      </c>
      <c r="AD11" s="23" t="str">
        <f t="shared" si="2"/>
        <v/>
      </c>
      <c r="AE11" s="23" t="str">
        <f t="shared" si="3"/>
        <v/>
      </c>
      <c r="AF11" s="23" t="str">
        <f t="shared" si="4"/>
        <v/>
      </c>
      <c r="AG11" s="23" t="str">
        <f t="shared" si="5"/>
        <v/>
      </c>
      <c r="AH11">
        <f>SUMIF('库存（子SKU）'!$C:$C,$A11,'库存（子SKU）'!AJ:AJ)</f>
        <v>0</v>
      </c>
      <c r="AI11">
        <f>SUMIF('库存（子SKU）'!$C:$C,$A11,'库存（子SKU）'!AK:AK)</f>
        <v>0</v>
      </c>
      <c r="AJ11">
        <f>SUMIF('库存（子SKU）'!$C:$C,$A11,'库存（子SKU）'!AL:AL)</f>
        <v>0</v>
      </c>
      <c r="AK11">
        <f>SUMIF('库存（子SKU）'!$C:$C,$A11,'库存（子SKU）'!AM:AM)</f>
        <v>0</v>
      </c>
      <c r="AL11" s="23" t="str">
        <f t="shared" si="6"/>
        <v/>
      </c>
      <c r="AM11" s="23" t="str">
        <f t="shared" si="7"/>
        <v/>
      </c>
      <c r="AN11" s="23" t="str">
        <f t="shared" si="8"/>
        <v/>
      </c>
      <c r="AO11" s="23" t="str">
        <f t="shared" si="9"/>
        <v/>
      </c>
      <c r="AP11" s="7">
        <f t="shared" si="10"/>
        <v>0</v>
      </c>
      <c r="AQ11" s="7">
        <f t="shared" si="11"/>
        <v>0</v>
      </c>
      <c r="AR11" s="7">
        <f t="shared" si="12"/>
        <v>0</v>
      </c>
      <c r="AS11" t="str">
        <f t="shared" si="13"/>
        <v>库存为0</v>
      </c>
      <c r="AT11" s="2" t="str">
        <f>IFERROR($A$2+AS11,"上周无销量")</f>
        <v>上周无销量</v>
      </c>
    </row>
    <row r="12" spans="1:46">
      <c r="A12" t="s">
        <v>140</v>
      </c>
      <c r="B12" s="5">
        <f>SUMIF('库存（子SKU）'!$C:$C,$A12,'库存（子SKU）'!D:D)</f>
        <v>0</v>
      </c>
      <c r="C12" s="5">
        <f>SUMIF('库存（子SKU）'!$C:$C,$A12,'库存（子SKU）'!E:E)</f>
        <v>0</v>
      </c>
      <c r="D12" s="5">
        <f>SUMIF('库存（子SKU）'!$C:$C,$A12,'库存（子SKU）'!F:F)</f>
        <v>0</v>
      </c>
      <c r="E12" s="5">
        <f>SUMIF('库存（子SKU）'!$C:$C,$A12,'库存（子SKU）'!G:G)</f>
        <v>0</v>
      </c>
      <c r="F12" s="6" t="s">
        <v>54</v>
      </c>
      <c r="G12">
        <f>SUMIF('库存（子SKU）'!$C:$C,$A12,'库存（子SKU）'!I:I)</f>
        <v>0</v>
      </c>
      <c r="H12">
        <f>SUMIF('库存（子SKU）'!$C:$C,$A12,'库存（子SKU）'!J:J)</f>
        <v>0</v>
      </c>
      <c r="I12">
        <f>SUMIF('库存（子SKU）'!$C:$C,$A12,'库存（子SKU）'!K:K)</f>
        <v>0</v>
      </c>
      <c r="J12">
        <f>SUMIF('库存（子SKU）'!$C:$C,$A12,'库存（子SKU）'!L:L)</f>
        <v>0</v>
      </c>
      <c r="K12">
        <f t="shared" si="0"/>
        <v>0</v>
      </c>
      <c r="L12">
        <f>SUMIF('库存（子SKU）'!$C:$C,$A12,'库存（子SKU）'!N:N)</f>
        <v>0</v>
      </c>
      <c r="M12">
        <f>SUMIF('库存（子SKU）'!$C:$C,$A12,'库存（子SKU）'!O:O)</f>
        <v>0</v>
      </c>
      <c r="N12">
        <f>SUMIF('库存（子SKU）'!$C:$C,$A12,'库存（子SKU）'!P:P)</f>
        <v>0</v>
      </c>
      <c r="O12">
        <f>SUMIF('库存（子SKU）'!$C:$C,$A12,'库存（子SKU）'!Q:Q)</f>
        <v>0</v>
      </c>
      <c r="P12">
        <f>SUMIF('库存（子SKU）'!$C:$C,$A12,'库存（子SKU）'!R:R)</f>
        <v>0</v>
      </c>
      <c r="Q12">
        <f>SUMIF('库存（子SKU）'!$C:$C,$A12,'库存（子SKU）'!S:S)</f>
        <v>0</v>
      </c>
      <c r="R12">
        <f>SUMIF('库存（子SKU）'!$C:$C,$A12,'库存（子SKU）'!T:T)</f>
        <v>0</v>
      </c>
      <c r="S12">
        <f>SUMIF('库存（子SKU）'!$C:$C,$A12,'库存（子SKU）'!U:U)</f>
        <v>0</v>
      </c>
      <c r="T12">
        <f>SUMIF('库存（子SKU）'!$C:$C,$A12,'库存（子SKU）'!V:V)</f>
        <v>0</v>
      </c>
      <c r="U12">
        <f>SUMIF('库存（子SKU）'!$C:$C,$A12,'库存（子SKU）'!W:W)</f>
        <v>0</v>
      </c>
      <c r="V12" s="23" t="str">
        <f t="shared" si="15"/>
        <v/>
      </c>
      <c r="W12" s="23" t="str">
        <f t="shared" si="16"/>
        <v/>
      </c>
      <c r="X12" s="23" t="str">
        <f t="shared" si="17"/>
        <v/>
      </c>
      <c r="Y12" s="23" t="str">
        <f t="shared" si="18"/>
        <v/>
      </c>
      <c r="Z12">
        <f>SUMIF('库存（子SKU）'!$C:$C,$A12,'库存（子SKU）'!AB:AB)</f>
        <v>0</v>
      </c>
      <c r="AA12">
        <f>SUMIF('库存（子SKU）'!$C:$C,$A12,'库存（子SKU）'!AC:AC)</f>
        <v>0</v>
      </c>
      <c r="AB12">
        <f>SUMIF('库存（子SKU）'!$C:$C,$A12,'库存（子SKU）'!AD:AD)</f>
        <v>0</v>
      </c>
      <c r="AC12">
        <f>SUMIF('库存（子SKU）'!$C:$C,$A12,'库存（子SKU）'!AE:AE)</f>
        <v>0</v>
      </c>
      <c r="AD12" s="23" t="str">
        <f t="shared" si="2"/>
        <v/>
      </c>
      <c r="AE12" s="23" t="str">
        <f t="shared" si="3"/>
        <v/>
      </c>
      <c r="AF12" s="23" t="str">
        <f t="shared" si="4"/>
        <v/>
      </c>
      <c r="AG12" s="23" t="str">
        <f t="shared" si="5"/>
        <v/>
      </c>
      <c r="AH12">
        <f>SUMIF('库存（子SKU）'!$C:$C,$A12,'库存（子SKU）'!AJ:AJ)</f>
        <v>0</v>
      </c>
      <c r="AI12">
        <f>SUMIF('库存（子SKU）'!$C:$C,$A12,'库存（子SKU）'!AK:AK)</f>
        <v>0</v>
      </c>
      <c r="AJ12">
        <f>SUMIF('库存（子SKU）'!$C:$C,$A12,'库存（子SKU）'!AL:AL)</f>
        <v>0</v>
      </c>
      <c r="AK12">
        <f>SUMIF('库存（子SKU）'!$C:$C,$A12,'库存（子SKU）'!AM:AM)</f>
        <v>0</v>
      </c>
      <c r="AL12" s="23" t="str">
        <f t="shared" si="6"/>
        <v/>
      </c>
      <c r="AM12" s="23" t="str">
        <f t="shared" si="7"/>
        <v/>
      </c>
      <c r="AN12" s="23" t="str">
        <f t="shared" si="8"/>
        <v/>
      </c>
      <c r="AO12" s="23" t="str">
        <f t="shared" si="9"/>
        <v/>
      </c>
      <c r="AP12" s="7">
        <f t="shared" si="10"/>
        <v>0</v>
      </c>
      <c r="AQ12" s="7">
        <f t="shared" si="11"/>
        <v>0</v>
      </c>
      <c r="AR12" s="7">
        <f t="shared" si="12"/>
        <v>0</v>
      </c>
      <c r="AS12" t="str">
        <f t="shared" si="13"/>
        <v>库存为0</v>
      </c>
      <c r="AT12" s="2" t="str">
        <f>IFERROR($A$2+AS12,"上周无销量")</f>
        <v>上周无销量</v>
      </c>
    </row>
    <row r="13" spans="1:46">
      <c r="A13" t="s">
        <v>221</v>
      </c>
      <c r="B13" s="5">
        <f>SUMIF('库存（子SKU）'!$C:$C,$A13,'库存（子SKU）'!D:D)</f>
        <v>0</v>
      </c>
      <c r="C13" s="5">
        <f>SUMIF('库存（子SKU）'!$C:$C,$A13,'库存（子SKU）'!E:E)</f>
        <v>0</v>
      </c>
      <c r="D13" s="5">
        <f>SUMIF('库存（子SKU）'!$C:$C,$A13,'库存（子SKU）'!F:F)</f>
        <v>0</v>
      </c>
      <c r="E13" s="5">
        <f>SUMIF('库存（子SKU）'!$C:$C,$A13,'库存（子SKU）'!G:G)</f>
        <v>0</v>
      </c>
      <c r="F13" s="6" t="s">
        <v>54</v>
      </c>
      <c r="G13">
        <f>SUMIF('库存（子SKU）'!$C:$C,$A13,'库存（子SKU）'!I:I)</f>
        <v>0</v>
      </c>
      <c r="H13">
        <f>SUMIF('库存（子SKU）'!$C:$C,$A13,'库存（子SKU）'!J:J)</f>
        <v>0</v>
      </c>
      <c r="I13">
        <f>SUMIF('库存（子SKU）'!$C:$C,$A13,'库存（子SKU）'!K:K)</f>
        <v>0</v>
      </c>
      <c r="J13">
        <f>SUMIF('库存（子SKU）'!$C:$C,$A13,'库存（子SKU）'!L:L)</f>
        <v>0</v>
      </c>
      <c r="K13">
        <f t="shared" si="0"/>
        <v>0</v>
      </c>
      <c r="L13">
        <f>SUMIF('库存（子SKU）'!$C:$C,$A13,'库存（子SKU）'!N:N)</f>
        <v>0</v>
      </c>
      <c r="M13">
        <f>SUMIF('库存（子SKU）'!$C:$C,$A13,'库存（子SKU）'!O:O)</f>
        <v>0</v>
      </c>
      <c r="N13">
        <f>SUMIF('库存（子SKU）'!$C:$C,$A13,'库存（子SKU）'!P:P)</f>
        <v>0</v>
      </c>
      <c r="O13">
        <f>SUMIF('库存（子SKU）'!$C:$C,$A13,'库存（子SKU）'!Q:Q)</f>
        <v>0</v>
      </c>
      <c r="P13">
        <f>SUMIF('库存（子SKU）'!$C:$C,$A13,'库存（子SKU）'!R:R)</f>
        <v>0</v>
      </c>
      <c r="Q13">
        <f>SUMIF('库存（子SKU）'!$C:$C,$A13,'库存（子SKU）'!S:S)</f>
        <v>0</v>
      </c>
      <c r="R13">
        <f>SUMIF('库存（子SKU）'!$C:$C,$A13,'库存（子SKU）'!T:T)</f>
        <v>0</v>
      </c>
      <c r="S13">
        <f>SUMIF('库存（子SKU）'!$C:$C,$A13,'库存（子SKU）'!U:U)</f>
        <v>0</v>
      </c>
      <c r="T13">
        <f>SUMIF('库存（子SKU）'!$C:$C,$A13,'库存（子SKU）'!V:V)</f>
        <v>0</v>
      </c>
      <c r="U13">
        <f>SUMIF('库存（子SKU）'!$C:$C,$A13,'库存（子SKU）'!W:W)</f>
        <v>0</v>
      </c>
      <c r="V13" s="23" t="str">
        <f t="shared" si="15"/>
        <v/>
      </c>
      <c r="W13" s="23" t="str">
        <f t="shared" si="16"/>
        <v/>
      </c>
      <c r="X13" s="23" t="str">
        <f t="shared" si="17"/>
        <v/>
      </c>
      <c r="Y13" s="23" t="str">
        <f t="shared" si="18"/>
        <v/>
      </c>
      <c r="Z13">
        <f>SUMIF('库存（子SKU）'!$C:$C,$A13,'库存（子SKU）'!AB:AB)</f>
        <v>0</v>
      </c>
      <c r="AA13">
        <f>SUMIF('库存（子SKU）'!$C:$C,$A13,'库存（子SKU）'!AC:AC)</f>
        <v>0</v>
      </c>
      <c r="AB13">
        <f>SUMIF('库存（子SKU）'!$C:$C,$A13,'库存（子SKU）'!AD:AD)</f>
        <v>0</v>
      </c>
      <c r="AC13">
        <f>SUMIF('库存（子SKU）'!$C:$C,$A13,'库存（子SKU）'!AE:AE)</f>
        <v>0</v>
      </c>
      <c r="AD13" s="23" t="str">
        <f t="shared" si="2"/>
        <v/>
      </c>
      <c r="AE13" s="23" t="str">
        <f t="shared" si="3"/>
        <v/>
      </c>
      <c r="AF13" s="23" t="str">
        <f t="shared" si="4"/>
        <v/>
      </c>
      <c r="AG13" s="23" t="str">
        <f t="shared" si="5"/>
        <v/>
      </c>
      <c r="AH13">
        <f>SUMIF('库存（子SKU）'!$C:$C,$A13,'库存（子SKU）'!AJ:AJ)</f>
        <v>0</v>
      </c>
      <c r="AI13">
        <f>SUMIF('库存（子SKU）'!$C:$C,$A13,'库存（子SKU）'!AK:AK)</f>
        <v>0</v>
      </c>
      <c r="AJ13">
        <f>SUMIF('库存（子SKU）'!$C:$C,$A13,'库存（子SKU）'!AL:AL)</f>
        <v>0</v>
      </c>
      <c r="AK13">
        <f>SUMIF('库存（子SKU）'!$C:$C,$A13,'库存（子SKU）'!AM:AM)</f>
        <v>0</v>
      </c>
      <c r="AL13" s="23" t="str">
        <f t="shared" si="6"/>
        <v/>
      </c>
      <c r="AM13" s="23" t="str">
        <f t="shared" si="7"/>
        <v/>
      </c>
      <c r="AN13" s="23" t="str">
        <f t="shared" si="8"/>
        <v/>
      </c>
      <c r="AO13" s="23" t="str">
        <f t="shared" si="9"/>
        <v/>
      </c>
      <c r="AP13" s="7">
        <f t="shared" si="10"/>
        <v>0</v>
      </c>
      <c r="AQ13" s="7">
        <f t="shared" si="11"/>
        <v>0</v>
      </c>
      <c r="AR13" s="7">
        <f t="shared" si="12"/>
        <v>0</v>
      </c>
      <c r="AS13" t="str">
        <f t="shared" si="13"/>
        <v>库存为0</v>
      </c>
      <c r="AT13" s="2" t="str">
        <f>IFERROR($A$2+AS13,"上周无销量")</f>
        <v>上周无销量</v>
      </c>
    </row>
    <row r="14" spans="1:46">
      <c r="A14" t="s">
        <v>252</v>
      </c>
      <c r="B14" s="5">
        <f>SUMIF('库存（子SKU）'!$C:$C,$A14,'库存（子SKU）'!D:D)</f>
        <v>0</v>
      </c>
      <c r="C14" s="5">
        <f>SUMIF('库存（子SKU）'!$C:$C,$A14,'库存（子SKU）'!E:E)</f>
        <v>0</v>
      </c>
      <c r="D14" s="5">
        <f>SUMIF('库存（子SKU）'!$C:$C,$A14,'库存（子SKU）'!F:F)</f>
        <v>0</v>
      </c>
      <c r="E14" s="5">
        <f>SUMIF('库存（子SKU）'!$C:$C,$A14,'库存（子SKU）'!G:G)</f>
        <v>0</v>
      </c>
      <c r="F14" s="6" t="s">
        <v>54</v>
      </c>
      <c r="G14">
        <f>SUMIF('库存（子SKU）'!$C:$C,$A14,'库存（子SKU）'!I:I)</f>
        <v>0</v>
      </c>
      <c r="H14">
        <f>SUMIF('库存（子SKU）'!$C:$C,$A14,'库存（子SKU）'!J:J)</f>
        <v>0</v>
      </c>
      <c r="I14">
        <f>SUMIF('库存（子SKU）'!$C:$C,$A14,'库存（子SKU）'!K:K)</f>
        <v>0</v>
      </c>
      <c r="J14">
        <f>SUMIF('库存（子SKU）'!$C:$C,$A14,'库存（子SKU）'!L:L)</f>
        <v>0</v>
      </c>
      <c r="K14">
        <f t="shared" si="0"/>
        <v>0</v>
      </c>
      <c r="L14">
        <f>SUMIF('库存（子SKU）'!$C:$C,$A14,'库存（子SKU）'!N:N)</f>
        <v>0</v>
      </c>
      <c r="M14">
        <f>SUMIF('库存（子SKU）'!$C:$C,$A14,'库存（子SKU）'!O:O)</f>
        <v>0</v>
      </c>
      <c r="N14">
        <f>SUMIF('库存（子SKU）'!$C:$C,$A14,'库存（子SKU）'!P:P)</f>
        <v>0</v>
      </c>
      <c r="O14">
        <f>SUMIF('库存（子SKU）'!$C:$C,$A14,'库存（子SKU）'!Q:Q)</f>
        <v>0</v>
      </c>
      <c r="P14">
        <f>SUMIF('库存（子SKU）'!$C:$C,$A14,'库存（子SKU）'!R:R)</f>
        <v>0</v>
      </c>
      <c r="Q14">
        <f>SUMIF('库存（子SKU）'!$C:$C,$A14,'库存（子SKU）'!S:S)</f>
        <v>0</v>
      </c>
      <c r="R14">
        <f>SUMIF('库存（子SKU）'!$C:$C,$A14,'库存（子SKU）'!T:T)</f>
        <v>0</v>
      </c>
      <c r="S14">
        <f>SUMIF('库存（子SKU）'!$C:$C,$A14,'库存（子SKU）'!U:U)</f>
        <v>0</v>
      </c>
      <c r="T14">
        <f>SUMIF('库存（子SKU）'!$C:$C,$A14,'库存（子SKU）'!V:V)</f>
        <v>0</v>
      </c>
      <c r="U14">
        <f>SUMIF('库存（子SKU）'!$C:$C,$A14,'库存（子SKU）'!W:W)</f>
        <v>0</v>
      </c>
      <c r="V14" s="23" t="str">
        <f t="shared" si="15"/>
        <v/>
      </c>
      <c r="W14" s="23" t="str">
        <f t="shared" si="16"/>
        <v/>
      </c>
      <c r="X14" s="23" t="str">
        <f t="shared" si="17"/>
        <v/>
      </c>
      <c r="Y14" s="23" t="str">
        <f t="shared" si="18"/>
        <v/>
      </c>
      <c r="Z14">
        <f>SUMIF('库存（子SKU）'!$C:$C,$A14,'库存（子SKU）'!AB:AB)</f>
        <v>0</v>
      </c>
      <c r="AA14">
        <f>SUMIF('库存（子SKU）'!$C:$C,$A14,'库存（子SKU）'!AC:AC)</f>
        <v>0</v>
      </c>
      <c r="AB14">
        <f>SUMIF('库存（子SKU）'!$C:$C,$A14,'库存（子SKU）'!AD:AD)</f>
        <v>0</v>
      </c>
      <c r="AC14">
        <f>SUMIF('库存（子SKU）'!$C:$C,$A14,'库存（子SKU）'!AE:AE)</f>
        <v>0</v>
      </c>
      <c r="AD14" s="23" t="str">
        <f t="shared" si="2"/>
        <v/>
      </c>
      <c r="AE14" s="23" t="str">
        <f t="shared" si="3"/>
        <v/>
      </c>
      <c r="AF14" s="23" t="str">
        <f t="shared" si="4"/>
        <v/>
      </c>
      <c r="AG14" s="23" t="str">
        <f t="shared" si="5"/>
        <v/>
      </c>
      <c r="AH14">
        <f>SUMIF('库存（子SKU）'!$C:$C,$A14,'库存（子SKU）'!AJ:AJ)</f>
        <v>0</v>
      </c>
      <c r="AI14">
        <f>SUMIF('库存（子SKU）'!$C:$C,$A14,'库存（子SKU）'!AK:AK)</f>
        <v>0</v>
      </c>
      <c r="AJ14">
        <f>SUMIF('库存（子SKU）'!$C:$C,$A14,'库存（子SKU）'!AL:AL)</f>
        <v>0</v>
      </c>
      <c r="AK14">
        <f>SUMIF('库存（子SKU）'!$C:$C,$A14,'库存（子SKU）'!AM:AM)</f>
        <v>0</v>
      </c>
      <c r="AL14" s="23" t="str">
        <f t="shared" si="6"/>
        <v/>
      </c>
      <c r="AM14" s="23" t="str">
        <f t="shared" si="7"/>
        <v/>
      </c>
      <c r="AN14" s="23" t="str">
        <f t="shared" si="8"/>
        <v/>
      </c>
      <c r="AO14" s="23" t="str">
        <f t="shared" si="9"/>
        <v/>
      </c>
      <c r="AP14" s="7">
        <f t="shared" si="10"/>
        <v>0</v>
      </c>
      <c r="AQ14" s="7">
        <f t="shared" si="11"/>
        <v>0</v>
      </c>
      <c r="AR14" s="7">
        <f t="shared" si="12"/>
        <v>0</v>
      </c>
      <c r="AS14" t="str">
        <f t="shared" si="13"/>
        <v>库存为0</v>
      </c>
      <c r="AT14" s="2" t="str">
        <f>IFERROR($A$2+AS14,"上周无销量")</f>
        <v>上周无销量</v>
      </c>
    </row>
    <row r="15" spans="1:46">
      <c r="A15" t="s">
        <v>277</v>
      </c>
      <c r="B15" s="5">
        <f>SUMIF('库存（子SKU）'!$C:$C,$A15,'库存（子SKU）'!D:D)</f>
        <v>0</v>
      </c>
      <c r="C15" s="5">
        <f>SUMIF('库存（子SKU）'!$C:$C,$A15,'库存（子SKU）'!E:E)</f>
        <v>0</v>
      </c>
      <c r="D15" s="5">
        <f>SUMIF('库存（子SKU）'!$C:$C,$A15,'库存（子SKU）'!F:F)</f>
        <v>0</v>
      </c>
      <c r="E15" s="5">
        <f>SUMIF('库存（子SKU）'!$C:$C,$A15,'库存（子SKU）'!G:G)</f>
        <v>0</v>
      </c>
      <c r="F15" s="6" t="s">
        <v>54</v>
      </c>
      <c r="G15">
        <f>SUMIF('库存（子SKU）'!$C:$C,$A15,'库存（子SKU）'!I:I)</f>
        <v>0</v>
      </c>
      <c r="H15">
        <f>SUMIF('库存（子SKU）'!$C:$C,$A15,'库存（子SKU）'!J:J)</f>
        <v>0</v>
      </c>
      <c r="I15">
        <f>SUMIF('库存（子SKU）'!$C:$C,$A15,'库存（子SKU）'!K:K)</f>
        <v>0</v>
      </c>
      <c r="J15">
        <f>SUMIF('库存（子SKU）'!$C:$C,$A15,'库存（子SKU）'!L:L)</f>
        <v>0</v>
      </c>
      <c r="K15">
        <f t="shared" si="0"/>
        <v>0</v>
      </c>
      <c r="L15">
        <f>SUMIF('库存（子SKU）'!$C:$C,$A15,'库存（子SKU）'!N:N)</f>
        <v>0</v>
      </c>
      <c r="M15">
        <f>SUMIF('库存（子SKU）'!$C:$C,$A15,'库存（子SKU）'!O:O)</f>
        <v>0</v>
      </c>
      <c r="N15">
        <f>SUMIF('库存（子SKU）'!$C:$C,$A15,'库存（子SKU）'!P:P)</f>
        <v>0</v>
      </c>
      <c r="O15">
        <f>SUMIF('库存（子SKU）'!$C:$C,$A15,'库存（子SKU）'!Q:Q)</f>
        <v>0</v>
      </c>
      <c r="P15">
        <f>SUMIF('库存（子SKU）'!$C:$C,$A15,'库存（子SKU）'!R:R)</f>
        <v>0</v>
      </c>
      <c r="Q15">
        <f>SUMIF('库存（子SKU）'!$C:$C,$A15,'库存（子SKU）'!S:S)</f>
        <v>0</v>
      </c>
      <c r="R15">
        <f>SUMIF('库存（子SKU）'!$C:$C,$A15,'库存（子SKU）'!T:T)</f>
        <v>0</v>
      </c>
      <c r="S15">
        <f>SUMIF('库存（子SKU）'!$C:$C,$A15,'库存（子SKU）'!U:U)</f>
        <v>0</v>
      </c>
      <c r="T15">
        <f>SUMIF('库存（子SKU）'!$C:$C,$A15,'库存（子SKU）'!V:V)</f>
        <v>0</v>
      </c>
      <c r="U15">
        <f>SUMIF('库存（子SKU）'!$C:$C,$A15,'库存（子SKU）'!W:W)</f>
        <v>0</v>
      </c>
      <c r="V15" s="23" t="str">
        <f t="shared" si="15"/>
        <v/>
      </c>
      <c r="W15" s="23" t="str">
        <f t="shared" si="16"/>
        <v/>
      </c>
      <c r="X15" s="23" t="str">
        <f t="shared" si="17"/>
        <v/>
      </c>
      <c r="Y15" s="23" t="str">
        <f t="shared" si="18"/>
        <v/>
      </c>
      <c r="Z15">
        <f>SUMIF('库存（子SKU）'!$C:$C,$A15,'库存（子SKU）'!AB:AB)</f>
        <v>0</v>
      </c>
      <c r="AA15">
        <f>SUMIF('库存（子SKU）'!$C:$C,$A15,'库存（子SKU）'!AC:AC)</f>
        <v>0</v>
      </c>
      <c r="AB15">
        <f>SUMIF('库存（子SKU）'!$C:$C,$A15,'库存（子SKU）'!AD:AD)</f>
        <v>0</v>
      </c>
      <c r="AC15">
        <f>SUMIF('库存（子SKU）'!$C:$C,$A15,'库存（子SKU）'!AE:AE)</f>
        <v>0</v>
      </c>
      <c r="AD15" s="23" t="str">
        <f t="shared" si="2"/>
        <v/>
      </c>
      <c r="AE15" s="23" t="str">
        <f t="shared" si="3"/>
        <v/>
      </c>
      <c r="AF15" s="23" t="str">
        <f t="shared" si="4"/>
        <v/>
      </c>
      <c r="AG15" s="23" t="str">
        <f t="shared" si="5"/>
        <v/>
      </c>
      <c r="AH15">
        <f>SUMIF('库存（子SKU）'!$C:$C,$A15,'库存（子SKU）'!AJ:AJ)</f>
        <v>0</v>
      </c>
      <c r="AI15">
        <f>SUMIF('库存（子SKU）'!$C:$C,$A15,'库存（子SKU）'!AK:AK)</f>
        <v>0</v>
      </c>
      <c r="AJ15">
        <f>SUMIF('库存（子SKU）'!$C:$C,$A15,'库存（子SKU）'!AL:AL)</f>
        <v>0</v>
      </c>
      <c r="AK15">
        <f>SUMIF('库存（子SKU）'!$C:$C,$A15,'库存（子SKU）'!AM:AM)</f>
        <v>0</v>
      </c>
      <c r="AL15" s="23" t="str">
        <f t="shared" si="6"/>
        <v/>
      </c>
      <c r="AM15" s="23" t="str">
        <f t="shared" si="7"/>
        <v/>
      </c>
      <c r="AN15" s="23" t="str">
        <f t="shared" si="8"/>
        <v/>
      </c>
      <c r="AO15" s="23" t="str">
        <f t="shared" si="9"/>
        <v/>
      </c>
      <c r="AP15" s="7">
        <f t="shared" si="10"/>
        <v>0</v>
      </c>
      <c r="AQ15" s="7">
        <f t="shared" si="11"/>
        <v>0</v>
      </c>
      <c r="AR15" s="7">
        <f t="shared" si="12"/>
        <v>0</v>
      </c>
      <c r="AS15" t="str">
        <f t="shared" si="13"/>
        <v>库存为0</v>
      </c>
      <c r="AT15" s="2" t="str">
        <f>IFERROR($A$2+AS15,"上周无销量")</f>
        <v>上周无销量</v>
      </c>
    </row>
    <row r="16" spans="1:46">
      <c r="A16" t="s">
        <v>386</v>
      </c>
      <c r="B16" s="5">
        <f>SUMIF('库存（子SKU）'!$C:$C,$A16,'库存（子SKU）'!D:D)</f>
        <v>0</v>
      </c>
      <c r="C16" s="5">
        <f>SUMIF('库存（子SKU）'!$C:$C,$A16,'库存（子SKU）'!E:E)</f>
        <v>0</v>
      </c>
      <c r="D16" s="5">
        <f>SUMIF('库存（子SKU）'!$C:$C,$A16,'库存（子SKU）'!F:F)</f>
        <v>1</v>
      </c>
      <c r="E16" s="5">
        <f>SUMIF('库存（子SKU）'!$C:$C,$A16,'库存（子SKU）'!G:G)</f>
        <v>1</v>
      </c>
      <c r="F16" s="6">
        <v>20.99</v>
      </c>
      <c r="G16">
        <f>SUMIF('库存（子SKU）'!$C:$C,$A16,'库存（子SKU）'!I:I)</f>
        <v>12</v>
      </c>
      <c r="H16">
        <f>SUMIF('库存（子SKU）'!$C:$C,$A16,'库存（子SKU）'!J:J)</f>
        <v>0</v>
      </c>
      <c r="I16">
        <f>SUMIF('库存（子SKU）'!$C:$C,$A16,'库存（子SKU）'!K:K)</f>
        <v>0</v>
      </c>
      <c r="J16">
        <f>SUMIF('库存（子SKU）'!$C:$C,$A16,'库存（子SKU）'!L:L)</f>
        <v>0</v>
      </c>
      <c r="K16">
        <f t="shared" si="0"/>
        <v>12</v>
      </c>
      <c r="L16">
        <f>SUMIF('库存（子SKU）'!$C:$C,$A16,'库存（子SKU）'!N:N)</f>
        <v>0</v>
      </c>
      <c r="M16">
        <f>SUMIF('库存（子SKU）'!$C:$C,$A16,'库存（子SKU）'!O:O)</f>
        <v>12</v>
      </c>
      <c r="N16">
        <f>SUMIF('库存（子SKU）'!$C:$C,$A16,'库存（子SKU）'!P:P)</f>
        <v>0</v>
      </c>
      <c r="O16">
        <f>SUMIF('库存（子SKU）'!$C:$C,$A16,'库存（子SKU）'!Q:Q)</f>
        <v>0</v>
      </c>
      <c r="P16">
        <f>SUMIF('库存（子SKU）'!$C:$C,$A16,'库存（子SKU）'!R:R)</f>
        <v>0</v>
      </c>
      <c r="Q16">
        <f>SUMIF('库存（子SKU）'!$C:$C,$A16,'库存（子SKU）'!S:S)</f>
        <v>0</v>
      </c>
      <c r="R16">
        <f>SUMIF('库存（子SKU）'!$C:$C,$A16,'库存（子SKU）'!T:T)</f>
        <v>0</v>
      </c>
      <c r="S16">
        <f>SUMIF('库存（子SKU）'!$C:$C,$A16,'库存（子SKU）'!U:U)</f>
        <v>0</v>
      </c>
      <c r="T16">
        <f>SUMIF('库存（子SKU）'!$C:$C,$A16,'库存（子SKU）'!V:V)</f>
        <v>0</v>
      </c>
      <c r="U16">
        <f>SUMIF('库存（子SKU）'!$C:$C,$A16,'库存（子SKU）'!W:W)</f>
        <v>0</v>
      </c>
      <c r="V16" s="23" t="str">
        <f t="shared" si="15"/>
        <v/>
      </c>
      <c r="W16" s="23" t="str">
        <f t="shared" si="16"/>
        <v/>
      </c>
      <c r="X16" s="23" t="str">
        <f t="shared" si="17"/>
        <v/>
      </c>
      <c r="Y16" s="23" t="str">
        <f t="shared" si="18"/>
        <v/>
      </c>
      <c r="Z16">
        <f>SUMIF('库存（子SKU）'!$C:$C,$A16,'库存（子SKU）'!AB:AB)</f>
        <v>0</v>
      </c>
      <c r="AA16">
        <f>SUMIF('库存（子SKU）'!$C:$C,$A16,'库存（子SKU）'!AC:AC)</f>
        <v>0</v>
      </c>
      <c r="AB16">
        <f>SUMIF('库存（子SKU）'!$C:$C,$A16,'库存（子SKU）'!AD:AD)</f>
        <v>0</v>
      </c>
      <c r="AC16">
        <f>SUMIF('库存（子SKU）'!$C:$C,$A16,'库存（子SKU）'!AE:AE)</f>
        <v>0</v>
      </c>
      <c r="AD16" s="23" t="str">
        <f t="shared" si="2"/>
        <v/>
      </c>
      <c r="AE16" s="23" t="str">
        <f t="shared" si="3"/>
        <v/>
      </c>
      <c r="AF16" s="23">
        <f t="shared" si="4"/>
        <v>0</v>
      </c>
      <c r="AG16" s="23">
        <f t="shared" si="5"/>
        <v>0</v>
      </c>
      <c r="AH16">
        <f>SUMIF('库存（子SKU）'!$C:$C,$A16,'库存（子SKU）'!AJ:AJ)</f>
        <v>11</v>
      </c>
      <c r="AI16">
        <f>SUMIF('库存（子SKU）'!$C:$C,$A16,'库存（子SKU）'!AK:AK)</f>
        <v>10</v>
      </c>
      <c r="AJ16">
        <f>SUMIF('库存（子SKU）'!$C:$C,$A16,'库存（子SKU）'!AL:AL)</f>
        <v>5</v>
      </c>
      <c r="AK16">
        <f>SUMIF('库存（子SKU）'!$C:$C,$A16,'库存（子SKU）'!AM:AM)</f>
        <v>8</v>
      </c>
      <c r="AL16" s="23">
        <f t="shared" si="6"/>
        <v>0</v>
      </c>
      <c r="AM16" s="23">
        <f t="shared" si="7"/>
        <v>0</v>
      </c>
      <c r="AN16" s="23">
        <f t="shared" si="8"/>
        <v>0.2</v>
      </c>
      <c r="AO16" s="23">
        <f t="shared" si="9"/>
        <v>0.125</v>
      </c>
      <c r="AP16" s="7">
        <f t="shared" si="10"/>
        <v>0</v>
      </c>
      <c r="AQ16" s="7">
        <f t="shared" si="11"/>
        <v>0</v>
      </c>
      <c r="AR16" s="7">
        <f t="shared" si="12"/>
        <v>12</v>
      </c>
      <c r="AS16" t="str">
        <f t="shared" si="13"/>
        <v>库存为12</v>
      </c>
      <c r="AT16" s="2" t="str">
        <f>IFERROR($A$2+AS16,"上周无销量")</f>
        <v>上周无销量</v>
      </c>
    </row>
    <row r="17" spans="1:46">
      <c r="A17" t="s">
        <v>391</v>
      </c>
      <c r="B17" s="5">
        <f>SUMIF('库存（子SKU）'!$C:$C,$A17,'库存（子SKU）'!D:D)</f>
        <v>0</v>
      </c>
      <c r="C17" s="5">
        <f>SUMIF('库存（子SKU）'!$C:$C,$A17,'库存（子SKU）'!E:E)</f>
        <v>0</v>
      </c>
      <c r="D17" s="5">
        <f>SUMIF('库存（子SKU）'!$C:$C,$A17,'库存（子SKU）'!F:F)</f>
        <v>0</v>
      </c>
      <c r="E17" s="5">
        <f>SUMIF('库存（子SKU）'!$C:$C,$A17,'库存（子SKU）'!G:G)</f>
        <v>1</v>
      </c>
      <c r="F17" s="6">
        <v>25.99</v>
      </c>
      <c r="G17">
        <f>SUMIF('库存（子SKU）'!$C:$C,$A17,'库存（子SKU）'!I:I)</f>
        <v>0</v>
      </c>
      <c r="H17">
        <f>SUMIF('库存（子SKU）'!$C:$C,$A17,'库存（子SKU）'!J:J)</f>
        <v>0</v>
      </c>
      <c r="I17">
        <f>SUMIF('库存（子SKU）'!$C:$C,$A17,'库存（子SKU）'!K:K)</f>
        <v>0</v>
      </c>
      <c r="J17">
        <f>SUMIF('库存（子SKU）'!$C:$C,$A17,'库存（子SKU）'!L:L)</f>
        <v>0</v>
      </c>
      <c r="K17">
        <f t="shared" si="0"/>
        <v>0</v>
      </c>
      <c r="L17">
        <f>SUMIF('库存（子SKU）'!$C:$C,$A17,'库存（子SKU）'!N:N)</f>
        <v>0</v>
      </c>
      <c r="M17">
        <f>SUMIF('库存（子SKU）'!$C:$C,$A17,'库存（子SKU）'!O:O)</f>
        <v>0</v>
      </c>
      <c r="N17">
        <f>SUMIF('库存（子SKU）'!$C:$C,$A17,'库存（子SKU）'!P:P)</f>
        <v>0</v>
      </c>
      <c r="O17">
        <f>SUMIF('库存（子SKU）'!$C:$C,$A17,'库存（子SKU）'!Q:Q)</f>
        <v>0</v>
      </c>
      <c r="P17">
        <f>SUMIF('库存（子SKU）'!$C:$C,$A17,'库存（子SKU）'!R:R)</f>
        <v>0</v>
      </c>
      <c r="Q17">
        <f>SUMIF('库存（子SKU）'!$C:$C,$A17,'库存（子SKU）'!S:S)</f>
        <v>0</v>
      </c>
      <c r="R17">
        <f>SUMIF('库存（子SKU）'!$C:$C,$A17,'库存（子SKU）'!T:T)</f>
        <v>0</v>
      </c>
      <c r="S17">
        <f>SUMIF('库存（子SKU）'!$C:$C,$A17,'库存（子SKU）'!U:U)</f>
        <v>0</v>
      </c>
      <c r="T17">
        <f>SUMIF('库存（子SKU）'!$C:$C,$A17,'库存（子SKU）'!V:V)</f>
        <v>0</v>
      </c>
      <c r="U17">
        <f>SUMIF('库存（子SKU）'!$C:$C,$A17,'库存（子SKU）'!W:W)</f>
        <v>0</v>
      </c>
      <c r="V17" s="23" t="str">
        <f t="shared" si="15"/>
        <v/>
      </c>
      <c r="W17" s="23" t="str">
        <f t="shared" si="16"/>
        <v/>
      </c>
      <c r="X17" s="23" t="str">
        <f t="shared" si="17"/>
        <v/>
      </c>
      <c r="Y17" s="23" t="str">
        <f t="shared" si="18"/>
        <v/>
      </c>
      <c r="Z17">
        <f>SUMIF('库存（子SKU）'!$C:$C,$A17,'库存（子SKU）'!AB:AB)</f>
        <v>0</v>
      </c>
      <c r="AA17">
        <f>SUMIF('库存（子SKU）'!$C:$C,$A17,'库存（子SKU）'!AC:AC)</f>
        <v>0</v>
      </c>
      <c r="AB17">
        <f>SUMIF('库存（子SKU）'!$C:$C,$A17,'库存（子SKU）'!AD:AD)</f>
        <v>0</v>
      </c>
      <c r="AC17">
        <f>SUMIF('库存（子SKU）'!$C:$C,$A17,'库存（子SKU）'!AE:AE)</f>
        <v>0</v>
      </c>
      <c r="AD17" s="23" t="str">
        <f t="shared" si="2"/>
        <v/>
      </c>
      <c r="AE17" s="23" t="str">
        <f t="shared" si="3"/>
        <v/>
      </c>
      <c r="AF17" s="23" t="str">
        <f t="shared" si="4"/>
        <v/>
      </c>
      <c r="AG17" s="23">
        <f t="shared" si="5"/>
        <v>0</v>
      </c>
      <c r="AH17">
        <f>SUMIF('库存（子SKU）'!$C:$C,$A17,'库存（子SKU）'!AJ:AJ)</f>
        <v>0</v>
      </c>
      <c r="AI17">
        <f>SUMIF('库存（子SKU）'!$C:$C,$A17,'库存（子SKU）'!AK:AK)</f>
        <v>0</v>
      </c>
      <c r="AJ17">
        <f>SUMIF('库存（子SKU）'!$C:$C,$A17,'库存（子SKU）'!AL:AL)</f>
        <v>0</v>
      </c>
      <c r="AK17">
        <f>SUMIF('库存（子SKU）'!$C:$C,$A17,'库存（子SKU）'!AM:AM)</f>
        <v>5</v>
      </c>
      <c r="AL17" s="23" t="str">
        <f t="shared" si="6"/>
        <v/>
      </c>
      <c r="AM17" s="23" t="str">
        <f t="shared" si="7"/>
        <v/>
      </c>
      <c r="AN17" s="23" t="str">
        <f t="shared" si="8"/>
        <v/>
      </c>
      <c r="AO17" s="23">
        <f t="shared" si="9"/>
        <v>0.2</v>
      </c>
      <c r="AP17" s="7">
        <f t="shared" si="10"/>
        <v>0</v>
      </c>
      <c r="AQ17" s="7">
        <f t="shared" si="11"/>
        <v>0</v>
      </c>
      <c r="AR17" s="7">
        <f t="shared" si="12"/>
        <v>0</v>
      </c>
      <c r="AS17" t="str">
        <f t="shared" si="13"/>
        <v>库存为0</v>
      </c>
      <c r="AT17" s="2" t="str">
        <f>IFERROR($A$2+AS17,"上周无销量")</f>
        <v>上周无销量</v>
      </c>
    </row>
    <row r="18" spans="1:46">
      <c r="A18" t="s">
        <v>394</v>
      </c>
      <c r="B18" s="5">
        <f>SUMIF('库存（子SKU）'!$C:$C,$A18,'库存（子SKU）'!D:D)</f>
        <v>0</v>
      </c>
      <c r="C18" s="5">
        <f>SUMIF('库存（子SKU）'!$C:$C,$A18,'库存（子SKU）'!E:E)</f>
        <v>0</v>
      </c>
      <c r="D18" s="5">
        <f>SUMIF('库存（子SKU）'!$C:$C,$A18,'库存（子SKU）'!F:F)</f>
        <v>0</v>
      </c>
      <c r="E18" s="5">
        <f>SUMIF('库存（子SKU）'!$C:$C,$A18,'库存（子SKU）'!G:G)</f>
        <v>0</v>
      </c>
      <c r="F18" s="6" t="s">
        <v>54</v>
      </c>
      <c r="G18">
        <f>SUMIF('库存（子SKU）'!$C:$C,$A18,'库存（子SKU）'!I:I)</f>
        <v>0</v>
      </c>
      <c r="H18">
        <f>SUMIF('库存（子SKU）'!$C:$C,$A18,'库存（子SKU）'!J:J)</f>
        <v>0</v>
      </c>
      <c r="I18">
        <f>SUMIF('库存（子SKU）'!$C:$C,$A18,'库存（子SKU）'!K:K)</f>
        <v>0</v>
      </c>
      <c r="J18">
        <f>SUMIF('库存（子SKU）'!$C:$C,$A18,'库存（子SKU）'!L:L)</f>
        <v>0</v>
      </c>
      <c r="K18">
        <f t="shared" si="0"/>
        <v>0</v>
      </c>
      <c r="L18">
        <f>SUMIF('库存（子SKU）'!$C:$C,$A18,'库存（子SKU）'!N:N)</f>
        <v>0</v>
      </c>
      <c r="M18">
        <f>SUMIF('库存（子SKU）'!$C:$C,$A18,'库存（子SKU）'!O:O)</f>
        <v>0</v>
      </c>
      <c r="N18">
        <f>SUMIF('库存（子SKU）'!$C:$C,$A18,'库存（子SKU）'!P:P)</f>
        <v>0</v>
      </c>
      <c r="O18">
        <f>SUMIF('库存（子SKU）'!$C:$C,$A18,'库存（子SKU）'!Q:Q)</f>
        <v>0</v>
      </c>
      <c r="P18">
        <f>SUMIF('库存（子SKU）'!$C:$C,$A18,'库存（子SKU）'!R:R)</f>
        <v>0</v>
      </c>
      <c r="Q18">
        <f>SUMIF('库存（子SKU）'!$C:$C,$A18,'库存（子SKU）'!S:S)</f>
        <v>0</v>
      </c>
      <c r="R18">
        <f>SUMIF('库存（子SKU）'!$C:$C,$A18,'库存（子SKU）'!T:T)</f>
        <v>0</v>
      </c>
      <c r="S18">
        <f>SUMIF('库存（子SKU）'!$C:$C,$A18,'库存（子SKU）'!U:U)</f>
        <v>0</v>
      </c>
      <c r="T18">
        <f>SUMIF('库存（子SKU）'!$C:$C,$A18,'库存（子SKU）'!V:V)</f>
        <v>0</v>
      </c>
      <c r="U18">
        <f>SUMIF('库存（子SKU）'!$C:$C,$A18,'库存（子SKU）'!W:W)</f>
        <v>0</v>
      </c>
      <c r="V18" s="23" t="str">
        <f t="shared" si="15"/>
        <v/>
      </c>
      <c r="W18" s="23" t="str">
        <f t="shared" si="16"/>
        <v/>
      </c>
      <c r="X18" s="23" t="str">
        <f t="shared" si="17"/>
        <v/>
      </c>
      <c r="Y18" s="23" t="str">
        <f t="shared" si="18"/>
        <v/>
      </c>
      <c r="Z18">
        <f>SUMIF('库存（子SKU）'!$C:$C,$A18,'库存（子SKU）'!AB:AB)</f>
        <v>0</v>
      </c>
      <c r="AA18">
        <f>SUMIF('库存（子SKU）'!$C:$C,$A18,'库存（子SKU）'!AC:AC)</f>
        <v>0</v>
      </c>
      <c r="AB18">
        <f>SUMIF('库存（子SKU）'!$C:$C,$A18,'库存（子SKU）'!AD:AD)</f>
        <v>0</v>
      </c>
      <c r="AC18">
        <f>SUMIF('库存（子SKU）'!$C:$C,$A18,'库存（子SKU）'!AE:AE)</f>
        <v>0</v>
      </c>
      <c r="AD18" s="23" t="str">
        <f t="shared" si="2"/>
        <v/>
      </c>
      <c r="AE18" s="23" t="str">
        <f t="shared" si="3"/>
        <v/>
      </c>
      <c r="AF18" s="23" t="str">
        <f t="shared" si="4"/>
        <v/>
      </c>
      <c r="AG18" s="23" t="str">
        <f t="shared" si="5"/>
        <v/>
      </c>
      <c r="AH18">
        <f>SUMIF('库存（子SKU）'!$C:$C,$A18,'库存（子SKU）'!AJ:AJ)</f>
        <v>0</v>
      </c>
      <c r="AI18">
        <f>SUMIF('库存（子SKU）'!$C:$C,$A18,'库存（子SKU）'!AK:AK)</f>
        <v>0</v>
      </c>
      <c r="AJ18">
        <f>SUMIF('库存（子SKU）'!$C:$C,$A18,'库存（子SKU）'!AL:AL)</f>
        <v>0</v>
      </c>
      <c r="AK18">
        <f>SUMIF('库存（子SKU）'!$C:$C,$A18,'库存（子SKU）'!AM:AM)</f>
        <v>0</v>
      </c>
      <c r="AL18" s="23" t="str">
        <f t="shared" si="6"/>
        <v/>
      </c>
      <c r="AM18" s="23" t="str">
        <f t="shared" si="7"/>
        <v/>
      </c>
      <c r="AN18" s="23" t="str">
        <f t="shared" si="8"/>
        <v/>
      </c>
      <c r="AO18" s="23" t="str">
        <f t="shared" si="9"/>
        <v/>
      </c>
      <c r="AP18" s="7">
        <f t="shared" si="10"/>
        <v>0</v>
      </c>
      <c r="AQ18" s="7">
        <f t="shared" si="11"/>
        <v>0</v>
      </c>
      <c r="AR18" s="7">
        <f t="shared" si="12"/>
        <v>0</v>
      </c>
      <c r="AS18" t="str">
        <f t="shared" si="13"/>
        <v>库存为0</v>
      </c>
      <c r="AT18" s="2" t="str">
        <f>IFERROR($A$2+AS18,"上周无销量")</f>
        <v>上周无销量</v>
      </c>
    </row>
    <row r="19" spans="1:46">
      <c r="A19" t="s">
        <v>397</v>
      </c>
      <c r="B19" s="5">
        <f>SUMIF('库存（子SKU）'!$C:$C,$A19,'库存（子SKU）'!D:D)</f>
        <v>0</v>
      </c>
      <c r="C19" s="5">
        <f>SUMIF('库存（子SKU）'!$C:$C,$A19,'库存（子SKU）'!E:E)</f>
        <v>0</v>
      </c>
      <c r="D19" s="5">
        <f>SUMIF('库存（子SKU）'!$C:$C,$A19,'库存（子SKU）'!F:F)</f>
        <v>0</v>
      </c>
      <c r="E19" s="5">
        <f>SUMIF('库存（子SKU）'!$C:$C,$A19,'库存（子SKU）'!G:G)</f>
        <v>0</v>
      </c>
      <c r="F19" s="6" t="s">
        <v>54</v>
      </c>
      <c r="G19">
        <f>SUMIF('库存（子SKU）'!$C:$C,$A19,'库存（子SKU）'!I:I)</f>
        <v>2</v>
      </c>
      <c r="H19">
        <f>SUMIF('库存（子SKU）'!$C:$C,$A19,'库存（子SKU）'!J:J)</f>
        <v>0</v>
      </c>
      <c r="I19">
        <f>SUMIF('库存（子SKU）'!$C:$C,$A19,'库存（子SKU）'!K:K)</f>
        <v>0</v>
      </c>
      <c r="J19">
        <f>SUMIF('库存（子SKU）'!$C:$C,$A19,'库存（子SKU）'!L:L)</f>
        <v>0</v>
      </c>
      <c r="K19">
        <f t="shared" si="0"/>
        <v>2</v>
      </c>
      <c r="L19">
        <f>SUMIF('库存（子SKU）'!$C:$C,$A19,'库存（子SKU）'!N:N)</f>
        <v>0</v>
      </c>
      <c r="M19">
        <f>SUMIF('库存（子SKU）'!$C:$C,$A19,'库存（子SKU）'!O:O)</f>
        <v>2</v>
      </c>
      <c r="N19">
        <f>SUMIF('库存（子SKU）'!$C:$C,$A19,'库存（子SKU）'!P:P)</f>
        <v>0</v>
      </c>
      <c r="O19">
        <f>SUMIF('库存（子SKU）'!$C:$C,$A19,'库存（子SKU）'!Q:Q)</f>
        <v>0</v>
      </c>
      <c r="P19">
        <f>SUMIF('库存（子SKU）'!$C:$C,$A19,'库存（子SKU）'!R:R)</f>
        <v>0</v>
      </c>
      <c r="Q19">
        <f>SUMIF('库存（子SKU）'!$C:$C,$A19,'库存（子SKU）'!S:S)</f>
        <v>0</v>
      </c>
      <c r="R19">
        <f>SUMIF('库存（子SKU）'!$C:$C,$A19,'库存（子SKU）'!T:T)</f>
        <v>0</v>
      </c>
      <c r="S19">
        <f>SUMIF('库存（子SKU）'!$C:$C,$A19,'库存（子SKU）'!U:U)</f>
        <v>0</v>
      </c>
      <c r="T19">
        <f>SUMIF('库存（子SKU）'!$C:$C,$A19,'库存（子SKU）'!V:V)</f>
        <v>0</v>
      </c>
      <c r="U19">
        <f>SUMIF('库存（子SKU）'!$C:$C,$A19,'库存（子SKU）'!W:W)</f>
        <v>0</v>
      </c>
      <c r="V19" s="23" t="str">
        <f t="shared" si="15"/>
        <v/>
      </c>
      <c r="W19" s="23" t="str">
        <f t="shared" si="16"/>
        <v/>
      </c>
      <c r="X19" s="23" t="str">
        <f t="shared" si="17"/>
        <v/>
      </c>
      <c r="Y19" s="23" t="str">
        <f t="shared" si="18"/>
        <v/>
      </c>
      <c r="Z19">
        <f>SUMIF('库存（子SKU）'!$C:$C,$A19,'库存（子SKU）'!AB:AB)</f>
        <v>0</v>
      </c>
      <c r="AA19">
        <f>SUMIF('库存（子SKU）'!$C:$C,$A19,'库存（子SKU）'!AC:AC)</f>
        <v>0</v>
      </c>
      <c r="AB19">
        <f>SUMIF('库存（子SKU）'!$C:$C,$A19,'库存（子SKU）'!AD:AD)</f>
        <v>0</v>
      </c>
      <c r="AC19">
        <f>SUMIF('库存（子SKU）'!$C:$C,$A19,'库存（子SKU）'!AE:AE)</f>
        <v>0</v>
      </c>
      <c r="AD19" s="23" t="str">
        <f t="shared" si="2"/>
        <v/>
      </c>
      <c r="AE19" s="23" t="str">
        <f t="shared" si="3"/>
        <v/>
      </c>
      <c r="AF19" s="23" t="str">
        <f t="shared" si="4"/>
        <v/>
      </c>
      <c r="AG19" s="23" t="str">
        <f t="shared" si="5"/>
        <v/>
      </c>
      <c r="AH19">
        <f>SUMIF('库存（子SKU）'!$C:$C,$A19,'库存（子SKU）'!AJ:AJ)</f>
        <v>3</v>
      </c>
      <c r="AI19">
        <f>SUMIF('库存（子SKU）'!$C:$C,$A19,'库存（子SKU）'!AK:AK)</f>
        <v>3</v>
      </c>
      <c r="AJ19">
        <f>SUMIF('库存（子SKU）'!$C:$C,$A19,'库存（子SKU）'!AL:AL)</f>
        <v>2</v>
      </c>
      <c r="AK19">
        <f>SUMIF('库存（子SKU）'!$C:$C,$A19,'库存（子SKU）'!AM:AM)</f>
        <v>3</v>
      </c>
      <c r="AL19" s="23">
        <f t="shared" si="6"/>
        <v>0</v>
      </c>
      <c r="AM19" s="23">
        <f t="shared" si="7"/>
        <v>0</v>
      </c>
      <c r="AN19" s="23">
        <f t="shared" si="8"/>
        <v>0</v>
      </c>
      <c r="AO19" s="23">
        <f t="shared" si="9"/>
        <v>0</v>
      </c>
      <c r="AP19" s="7">
        <f t="shared" si="10"/>
        <v>0</v>
      </c>
      <c r="AQ19" s="7">
        <f t="shared" si="11"/>
        <v>0</v>
      </c>
      <c r="AR19" s="7">
        <f t="shared" si="12"/>
        <v>2</v>
      </c>
      <c r="AS19" t="str">
        <f t="shared" si="13"/>
        <v>库存为2</v>
      </c>
      <c r="AT19" s="2" t="str">
        <f>IFERROR($A$2+AS19,"上周无销量")</f>
        <v>上周无销量</v>
      </c>
    </row>
    <row r="20" spans="1:46">
      <c r="A20" t="s">
        <v>401</v>
      </c>
      <c r="B20" s="5">
        <f>SUMIF('库存（子SKU）'!$C:$C,$A20,'库存（子SKU）'!D:D)</f>
        <v>0</v>
      </c>
      <c r="C20" s="5">
        <f>SUMIF('库存（子SKU）'!$C:$C,$A20,'库存（子SKU）'!E:E)</f>
        <v>0</v>
      </c>
      <c r="D20" s="5">
        <f>SUMIF('库存（子SKU）'!$C:$C,$A20,'库存（子SKU）'!F:F)</f>
        <v>0</v>
      </c>
      <c r="E20" s="5">
        <f>SUMIF('库存（子SKU）'!$C:$C,$A20,'库存（子SKU）'!G:G)</f>
        <v>0</v>
      </c>
      <c r="F20" s="6" t="s">
        <v>54</v>
      </c>
      <c r="G20">
        <f>SUMIF('库存（子SKU）'!$C:$C,$A20,'库存（子SKU）'!I:I)</f>
        <v>9</v>
      </c>
      <c r="H20">
        <f>SUMIF('库存（子SKU）'!$C:$C,$A20,'库存（子SKU）'!J:J)</f>
        <v>0</v>
      </c>
      <c r="I20">
        <f>SUMIF('库存（子SKU）'!$C:$C,$A20,'库存（子SKU）'!K:K)</f>
        <v>0</v>
      </c>
      <c r="J20">
        <f>SUMIF('库存（子SKU）'!$C:$C,$A20,'库存（子SKU）'!L:L)</f>
        <v>0</v>
      </c>
      <c r="K20">
        <f t="shared" si="0"/>
        <v>9</v>
      </c>
      <c r="L20">
        <f>SUMIF('库存（子SKU）'!$C:$C,$A20,'库存（子SKU）'!N:N)</f>
        <v>0</v>
      </c>
      <c r="M20">
        <f>SUMIF('库存（子SKU）'!$C:$C,$A20,'库存（子SKU）'!O:O)</f>
        <v>9</v>
      </c>
      <c r="N20">
        <f>SUMIF('库存（子SKU）'!$C:$C,$A20,'库存（子SKU）'!P:P)</f>
        <v>0</v>
      </c>
      <c r="O20">
        <f>SUMIF('库存（子SKU）'!$C:$C,$A20,'库存（子SKU）'!Q:Q)</f>
        <v>0</v>
      </c>
      <c r="P20">
        <f>SUMIF('库存（子SKU）'!$C:$C,$A20,'库存（子SKU）'!R:R)</f>
        <v>0</v>
      </c>
      <c r="Q20">
        <f>SUMIF('库存（子SKU）'!$C:$C,$A20,'库存（子SKU）'!S:S)</f>
        <v>0</v>
      </c>
      <c r="R20">
        <f>SUMIF('库存（子SKU）'!$C:$C,$A20,'库存（子SKU）'!T:T)</f>
        <v>0</v>
      </c>
      <c r="S20">
        <f>SUMIF('库存（子SKU）'!$C:$C,$A20,'库存（子SKU）'!U:U)</f>
        <v>0</v>
      </c>
      <c r="T20">
        <f>SUMIF('库存（子SKU）'!$C:$C,$A20,'库存（子SKU）'!V:V)</f>
        <v>0</v>
      </c>
      <c r="U20">
        <f>SUMIF('库存（子SKU）'!$C:$C,$A20,'库存（子SKU）'!W:W)</f>
        <v>0</v>
      </c>
      <c r="V20" s="23" t="str">
        <f t="shared" si="15"/>
        <v/>
      </c>
      <c r="W20" s="23" t="str">
        <f t="shared" si="16"/>
        <v/>
      </c>
      <c r="X20" s="23" t="str">
        <f t="shared" si="17"/>
        <v/>
      </c>
      <c r="Y20" s="23" t="str">
        <f t="shared" si="18"/>
        <v/>
      </c>
      <c r="Z20">
        <f>SUMIF('库存（子SKU）'!$C:$C,$A20,'库存（子SKU）'!AB:AB)</f>
        <v>0</v>
      </c>
      <c r="AA20">
        <f>SUMIF('库存（子SKU）'!$C:$C,$A20,'库存（子SKU）'!AC:AC)</f>
        <v>0</v>
      </c>
      <c r="AB20">
        <f>SUMIF('库存（子SKU）'!$C:$C,$A20,'库存（子SKU）'!AD:AD)</f>
        <v>0</v>
      </c>
      <c r="AC20">
        <f>SUMIF('库存（子SKU）'!$C:$C,$A20,'库存（子SKU）'!AE:AE)</f>
        <v>0</v>
      </c>
      <c r="AD20" s="23" t="str">
        <f t="shared" si="2"/>
        <v/>
      </c>
      <c r="AE20" s="23" t="str">
        <f t="shared" si="3"/>
        <v/>
      </c>
      <c r="AF20" s="23" t="str">
        <f t="shared" si="4"/>
        <v/>
      </c>
      <c r="AG20" s="23" t="str">
        <f t="shared" si="5"/>
        <v/>
      </c>
      <c r="AH20">
        <f>SUMIF('库存（子SKU）'!$C:$C,$A20,'库存（子SKU）'!AJ:AJ)</f>
        <v>6</v>
      </c>
      <c r="AI20">
        <f>SUMIF('库存（子SKU）'!$C:$C,$A20,'库存（子SKU）'!AK:AK)</f>
        <v>10</v>
      </c>
      <c r="AJ20">
        <f>SUMIF('库存（子SKU）'!$C:$C,$A20,'库存（子SKU）'!AL:AL)</f>
        <v>7</v>
      </c>
      <c r="AK20">
        <f>SUMIF('库存（子SKU）'!$C:$C,$A20,'库存（子SKU）'!AM:AM)</f>
        <v>12</v>
      </c>
      <c r="AL20" s="23">
        <f t="shared" si="6"/>
        <v>0</v>
      </c>
      <c r="AM20" s="23">
        <f t="shared" si="7"/>
        <v>0</v>
      </c>
      <c r="AN20" s="23">
        <f t="shared" si="8"/>
        <v>0</v>
      </c>
      <c r="AO20" s="23">
        <f t="shared" si="9"/>
        <v>0</v>
      </c>
      <c r="AP20" s="7">
        <f t="shared" si="10"/>
        <v>0</v>
      </c>
      <c r="AQ20" s="7">
        <f t="shared" si="11"/>
        <v>0</v>
      </c>
      <c r="AR20" s="7">
        <f t="shared" si="12"/>
        <v>9</v>
      </c>
      <c r="AS20" t="str">
        <f t="shared" si="13"/>
        <v>库存为9</v>
      </c>
      <c r="AT20" s="2" t="str">
        <f>IFERROR($A$2+AS20,"上周无销量")</f>
        <v>上周无销量</v>
      </c>
    </row>
    <row r="21" spans="1:46">
      <c r="A21" t="s">
        <v>408</v>
      </c>
      <c r="B21" s="5">
        <f>SUMIF('库存（子SKU）'!$C:$C,$A21,'库存（子SKU）'!D:D)</f>
        <v>0</v>
      </c>
      <c r="C21" s="5">
        <f>SUMIF('库存（子SKU）'!$C:$C,$A21,'库存（子SKU）'!E:E)</f>
        <v>0</v>
      </c>
      <c r="D21" s="5">
        <f>SUMIF('库存（子SKU）'!$C:$C,$A21,'库存（子SKU）'!F:F)</f>
        <v>0</v>
      </c>
      <c r="E21" s="5">
        <f>SUMIF('库存（子SKU）'!$C:$C,$A21,'库存（子SKU）'!G:G)</f>
        <v>0</v>
      </c>
      <c r="F21" s="6" t="s">
        <v>54</v>
      </c>
      <c r="G21">
        <f>SUMIF('库存（子SKU）'!$C:$C,$A21,'库存（子SKU）'!I:I)</f>
        <v>0</v>
      </c>
      <c r="H21">
        <f>SUMIF('库存（子SKU）'!$C:$C,$A21,'库存（子SKU）'!J:J)</f>
        <v>0</v>
      </c>
      <c r="I21">
        <f>SUMIF('库存（子SKU）'!$C:$C,$A21,'库存（子SKU）'!K:K)</f>
        <v>0</v>
      </c>
      <c r="J21">
        <f>SUMIF('库存（子SKU）'!$C:$C,$A21,'库存（子SKU）'!L:L)</f>
        <v>0</v>
      </c>
      <c r="K21">
        <f t="shared" si="0"/>
        <v>0</v>
      </c>
      <c r="L21">
        <f>SUMIF('库存（子SKU）'!$C:$C,$A21,'库存（子SKU）'!N:N)</f>
        <v>0</v>
      </c>
      <c r="M21">
        <f>SUMIF('库存（子SKU）'!$C:$C,$A21,'库存（子SKU）'!O:O)</f>
        <v>0</v>
      </c>
      <c r="N21">
        <f>SUMIF('库存（子SKU）'!$C:$C,$A21,'库存（子SKU）'!P:P)</f>
        <v>0</v>
      </c>
      <c r="O21">
        <f>SUMIF('库存（子SKU）'!$C:$C,$A21,'库存（子SKU）'!Q:Q)</f>
        <v>0</v>
      </c>
      <c r="P21">
        <f>SUMIF('库存（子SKU）'!$C:$C,$A21,'库存（子SKU）'!R:R)</f>
        <v>0</v>
      </c>
      <c r="Q21">
        <f>SUMIF('库存（子SKU）'!$C:$C,$A21,'库存（子SKU）'!S:S)</f>
        <v>0</v>
      </c>
      <c r="R21">
        <f>SUMIF('库存（子SKU）'!$C:$C,$A21,'库存（子SKU）'!T:T)</f>
        <v>0</v>
      </c>
      <c r="S21">
        <f>SUMIF('库存（子SKU）'!$C:$C,$A21,'库存（子SKU）'!U:U)</f>
        <v>0</v>
      </c>
      <c r="T21">
        <f>SUMIF('库存（子SKU）'!$C:$C,$A21,'库存（子SKU）'!V:V)</f>
        <v>0</v>
      </c>
      <c r="U21">
        <f>SUMIF('库存（子SKU）'!$C:$C,$A21,'库存（子SKU）'!W:W)</f>
        <v>0</v>
      </c>
      <c r="V21" s="23" t="str">
        <f t="shared" si="15"/>
        <v/>
      </c>
      <c r="W21" s="23" t="str">
        <f t="shared" si="16"/>
        <v/>
      </c>
      <c r="X21" s="23" t="str">
        <f t="shared" si="17"/>
        <v/>
      </c>
      <c r="Y21" s="23" t="str">
        <f t="shared" si="18"/>
        <v/>
      </c>
      <c r="Z21">
        <f>SUMIF('库存（子SKU）'!$C:$C,$A21,'库存（子SKU）'!AB:AB)</f>
        <v>0</v>
      </c>
      <c r="AA21">
        <f>SUMIF('库存（子SKU）'!$C:$C,$A21,'库存（子SKU）'!AC:AC)</f>
        <v>0</v>
      </c>
      <c r="AB21">
        <f>SUMIF('库存（子SKU）'!$C:$C,$A21,'库存（子SKU）'!AD:AD)</f>
        <v>0</v>
      </c>
      <c r="AC21">
        <f>SUMIF('库存（子SKU）'!$C:$C,$A21,'库存（子SKU）'!AE:AE)</f>
        <v>0</v>
      </c>
      <c r="AD21" s="23" t="str">
        <f t="shared" si="2"/>
        <v/>
      </c>
      <c r="AE21" s="23" t="str">
        <f t="shared" si="3"/>
        <v/>
      </c>
      <c r="AF21" s="23" t="str">
        <f t="shared" si="4"/>
        <v/>
      </c>
      <c r="AG21" s="23" t="str">
        <f t="shared" si="5"/>
        <v/>
      </c>
      <c r="AH21">
        <f>SUMIF('库存（子SKU）'!$C:$C,$A21,'库存（子SKU）'!AJ:AJ)</f>
        <v>0</v>
      </c>
      <c r="AI21">
        <f>SUMIF('库存（子SKU）'!$C:$C,$A21,'库存（子SKU）'!AK:AK)</f>
        <v>0</v>
      </c>
      <c r="AJ21">
        <f>SUMIF('库存（子SKU）'!$C:$C,$A21,'库存（子SKU）'!AL:AL)</f>
        <v>0</v>
      </c>
      <c r="AK21">
        <f>SUMIF('库存（子SKU）'!$C:$C,$A21,'库存（子SKU）'!AM:AM)</f>
        <v>0</v>
      </c>
      <c r="AL21" s="23" t="str">
        <f t="shared" si="6"/>
        <v/>
      </c>
      <c r="AM21" s="23" t="str">
        <f t="shared" si="7"/>
        <v/>
      </c>
      <c r="AN21" s="23" t="str">
        <f t="shared" si="8"/>
        <v/>
      </c>
      <c r="AO21" s="23" t="str">
        <f t="shared" si="9"/>
        <v/>
      </c>
      <c r="AP21" s="7">
        <f t="shared" si="10"/>
        <v>0</v>
      </c>
      <c r="AQ21" s="7">
        <f t="shared" si="11"/>
        <v>0</v>
      </c>
      <c r="AR21" s="7">
        <f t="shared" si="12"/>
        <v>0</v>
      </c>
      <c r="AS21" t="str">
        <f t="shared" si="13"/>
        <v>库存为0</v>
      </c>
      <c r="AT21" s="2" t="str">
        <f>IFERROR($A$2+AS21,"上周无销量")</f>
        <v>上周无销量</v>
      </c>
    </row>
    <row r="22" spans="1:46">
      <c r="A22" t="s">
        <v>433</v>
      </c>
      <c r="B22" s="5">
        <f>SUMIF('库存（子SKU）'!$C:$C,$A22,'库存（子SKU）'!D:D)</f>
        <v>0</v>
      </c>
      <c r="C22" s="5">
        <f>SUMIF('库存（子SKU）'!$C:$C,$A22,'库存（子SKU）'!E:E)</f>
        <v>0</v>
      </c>
      <c r="D22" s="5">
        <f>SUMIF('库存（子SKU）'!$C:$C,$A22,'库存（子SKU）'!F:F)</f>
        <v>0</v>
      </c>
      <c r="E22" s="5">
        <f>SUMIF('库存（子SKU）'!$C:$C,$A22,'库存（子SKU）'!G:G)</f>
        <v>0</v>
      </c>
      <c r="F22" s="6" t="s">
        <v>54</v>
      </c>
      <c r="G22">
        <f>SUMIF('库存（子SKU）'!$C:$C,$A22,'库存（子SKU）'!I:I)</f>
        <v>0</v>
      </c>
      <c r="H22">
        <f>SUMIF('库存（子SKU）'!$C:$C,$A22,'库存（子SKU）'!J:J)</f>
        <v>765</v>
      </c>
      <c r="I22">
        <f>SUMIF('库存（子SKU）'!$C:$C,$A22,'库存（子SKU）'!K:K)</f>
        <v>0</v>
      </c>
      <c r="J22">
        <f>SUMIF('库存（子SKU）'!$C:$C,$A22,'库存（子SKU）'!L:L)</f>
        <v>0</v>
      </c>
      <c r="K22">
        <f t="shared" si="0"/>
        <v>765</v>
      </c>
      <c r="L22">
        <f>SUMIF('库存（子SKU）'!$C:$C,$A22,'库存（子SKU）'!N:N)</f>
        <v>0</v>
      </c>
      <c r="M22">
        <f>SUMIF('库存（子SKU）'!$C:$C,$A22,'库存（子SKU）'!O:O)</f>
        <v>0</v>
      </c>
      <c r="N22">
        <f>SUMIF('库存（子SKU）'!$C:$C,$A22,'库存（子SKU）'!P:P)</f>
        <v>0</v>
      </c>
      <c r="O22">
        <f>SUMIF('库存（子SKU）'!$C:$C,$A22,'库存（子SKU）'!Q:Q)</f>
        <v>0</v>
      </c>
      <c r="P22">
        <f>SUMIF('库存（子SKU）'!$C:$C,$A22,'库存（子SKU）'!R:R)</f>
        <v>0</v>
      </c>
      <c r="Q22">
        <f>SUMIF('库存（子SKU）'!$C:$C,$A22,'库存（子SKU）'!S:S)</f>
        <v>0</v>
      </c>
      <c r="R22">
        <f>SUMIF('库存（子SKU）'!$C:$C,$A22,'库存（子SKU）'!T:T)</f>
        <v>0</v>
      </c>
      <c r="S22">
        <f>SUMIF('库存（子SKU）'!$C:$C,$A22,'库存（子SKU）'!U:U)</f>
        <v>0</v>
      </c>
      <c r="T22">
        <f>SUMIF('库存（子SKU）'!$C:$C,$A22,'库存（子SKU）'!V:V)</f>
        <v>0</v>
      </c>
      <c r="U22">
        <f>SUMIF('库存（子SKU）'!$C:$C,$A22,'库存（子SKU）'!W:W)</f>
        <v>0</v>
      </c>
      <c r="V22" s="23" t="str">
        <f t="shared" si="15"/>
        <v/>
      </c>
      <c r="W22" s="23" t="str">
        <f t="shared" si="16"/>
        <v/>
      </c>
      <c r="X22" s="23" t="str">
        <f t="shared" si="17"/>
        <v/>
      </c>
      <c r="Y22" s="23" t="str">
        <f t="shared" si="18"/>
        <v/>
      </c>
      <c r="Z22">
        <f>SUMIF('库存（子SKU）'!$C:$C,$A22,'库存（子SKU）'!AB:AB)</f>
        <v>0</v>
      </c>
      <c r="AA22">
        <f>SUMIF('库存（子SKU）'!$C:$C,$A22,'库存（子SKU）'!AC:AC)</f>
        <v>0</v>
      </c>
      <c r="AB22">
        <f>SUMIF('库存（子SKU）'!$C:$C,$A22,'库存（子SKU）'!AD:AD)</f>
        <v>0</v>
      </c>
      <c r="AC22">
        <f>SUMIF('库存（子SKU）'!$C:$C,$A22,'库存（子SKU）'!AE:AE)</f>
        <v>0</v>
      </c>
      <c r="AD22" s="23" t="str">
        <f t="shared" si="2"/>
        <v/>
      </c>
      <c r="AE22" s="23" t="str">
        <f t="shared" si="3"/>
        <v/>
      </c>
      <c r="AF22" s="23" t="str">
        <f t="shared" si="4"/>
        <v/>
      </c>
      <c r="AG22" s="23" t="str">
        <f t="shared" si="5"/>
        <v/>
      </c>
      <c r="AH22">
        <f>SUMIF('库存（子SKU）'!$C:$C,$A22,'库存（子SKU）'!AJ:AJ)</f>
        <v>0</v>
      </c>
      <c r="AI22">
        <f>SUMIF('库存（子SKU）'!$C:$C,$A22,'库存（子SKU）'!AK:AK)</f>
        <v>0</v>
      </c>
      <c r="AJ22">
        <f>SUMIF('库存（子SKU）'!$C:$C,$A22,'库存（子SKU）'!AL:AL)</f>
        <v>0</v>
      </c>
      <c r="AK22">
        <f>SUMIF('库存（子SKU）'!$C:$C,$A22,'库存（子SKU）'!AM:AM)</f>
        <v>0</v>
      </c>
      <c r="AL22" s="23" t="str">
        <f t="shared" si="6"/>
        <v/>
      </c>
      <c r="AM22" s="23" t="str">
        <f t="shared" si="7"/>
        <v/>
      </c>
      <c r="AN22" s="23" t="str">
        <f t="shared" si="8"/>
        <v/>
      </c>
      <c r="AO22" s="23" t="str">
        <f t="shared" si="9"/>
        <v/>
      </c>
      <c r="AP22" s="7">
        <f t="shared" si="10"/>
        <v>0</v>
      </c>
      <c r="AQ22" s="7">
        <f t="shared" si="11"/>
        <v>0</v>
      </c>
      <c r="AR22" s="7">
        <f t="shared" si="12"/>
        <v>765</v>
      </c>
      <c r="AS22" t="str">
        <f t="shared" si="13"/>
        <v>库存为765</v>
      </c>
      <c r="AT22" s="2" t="str">
        <f>IFERROR($A$2+AS22,"上周无销量")</f>
        <v>上周无销量</v>
      </c>
    </row>
    <row r="23" spans="1:46">
      <c r="A23" t="s">
        <v>514</v>
      </c>
      <c r="B23" s="5">
        <f>SUMIF('库存（子SKU）'!$C:$C,$A23,'库存（子SKU）'!D:D)</f>
        <v>4</v>
      </c>
      <c r="C23" s="5">
        <f>SUMIF('库存（子SKU）'!$C:$C,$A23,'库存（子SKU）'!E:E)</f>
        <v>2</v>
      </c>
      <c r="D23" s="5">
        <f>SUMIF('库存（子SKU）'!$C:$C,$A23,'库存（子SKU）'!F:F)</f>
        <v>4</v>
      </c>
      <c r="E23" s="5">
        <f>SUMIF('库存（子SKU）'!$C:$C,$A23,'库存（子SKU）'!G:G)</f>
        <v>6</v>
      </c>
      <c r="F23" s="6">
        <v>9.309375</v>
      </c>
      <c r="G23">
        <f>SUMIF('库存（子SKU）'!$C:$C,$A23,'库存（子SKU）'!I:I)</f>
        <v>92</v>
      </c>
      <c r="H23">
        <f>SUMIF('库存（子SKU）'!$C:$C,$A23,'库存（子SKU）'!J:J)</f>
        <v>0</v>
      </c>
      <c r="I23">
        <f>SUMIF('库存（子SKU）'!$C:$C,$A23,'库存（子SKU）'!K:K)</f>
        <v>0</v>
      </c>
      <c r="J23">
        <f>SUMIF('库存（子SKU）'!$C:$C,$A23,'库存（子SKU）'!L:L)</f>
        <v>0</v>
      </c>
      <c r="K23">
        <f t="shared" si="0"/>
        <v>92</v>
      </c>
      <c r="L23">
        <f>SUMIF('库存（子SKU）'!$C:$C,$A23,'库存（子SKU）'!N:N)</f>
        <v>0</v>
      </c>
      <c r="M23">
        <f>SUMIF('库存（子SKU）'!$C:$C,$A23,'库存（子SKU）'!O:O)</f>
        <v>0</v>
      </c>
      <c r="N23">
        <f>SUMIF('库存（子SKU）'!$C:$C,$A23,'库存（子SKU）'!P:P)</f>
        <v>3189</v>
      </c>
      <c r="O23">
        <f>SUMIF('库存（子SKU）'!$C:$C,$A23,'库存（子SKU）'!Q:Q)</f>
        <v>1697</v>
      </c>
      <c r="P23">
        <f>SUMIF('库存（子SKU）'!$C:$C,$A23,'库存（子SKU）'!R:R)</f>
        <v>950</v>
      </c>
      <c r="Q23">
        <f>SUMIF('库存（子SKU）'!$C:$C,$A23,'库存（子SKU）'!S:S)</f>
        <v>169</v>
      </c>
      <c r="R23">
        <f>SUMIF('库存（子SKU）'!$C:$C,$A23,'库存（子SKU）'!T:T)</f>
        <v>35</v>
      </c>
      <c r="S23">
        <f>SUMIF('库存（子SKU）'!$C:$C,$A23,'库存（子SKU）'!U:U)</f>
        <v>15</v>
      </c>
      <c r="T23">
        <f>SUMIF('库存（子SKU）'!$C:$C,$A23,'库存（子SKU）'!V:V)</f>
        <v>10</v>
      </c>
      <c r="U23">
        <f>SUMIF('库存（子SKU）'!$C:$C,$A23,'库存（子SKU）'!W:W)</f>
        <v>2</v>
      </c>
      <c r="V23" s="23">
        <f t="shared" si="15"/>
        <v>0.010975227343995</v>
      </c>
      <c r="W23" s="23">
        <f t="shared" si="16"/>
        <v>0.00883912787271656</v>
      </c>
      <c r="X23" s="23">
        <f t="shared" si="17"/>
        <v>0.0105263157894737</v>
      </c>
      <c r="Y23" s="23">
        <f t="shared" si="18"/>
        <v>0.0118343195266272</v>
      </c>
      <c r="Z23">
        <f>SUMIF('库存（子SKU）'!$C:$C,$A23,'库存（子SKU）'!AB:AB)</f>
        <v>30.82</v>
      </c>
      <c r="AA23">
        <f>SUMIF('库存（子SKU）'!$C:$C,$A23,'库存（子SKU）'!AC:AC)</f>
        <v>11.43</v>
      </c>
      <c r="AB23">
        <f>SUMIF('库存（子SKU）'!$C:$C,$A23,'库存（子SKU）'!AD:AD)</f>
        <v>10.97</v>
      </c>
      <c r="AC23">
        <f>SUMIF('库存（子SKU）'!$C:$C,$A23,'库存（子SKU）'!AE:AE)</f>
        <v>0.69</v>
      </c>
      <c r="AD23" s="23">
        <f t="shared" si="2"/>
        <v>0.827660288687479</v>
      </c>
      <c r="AE23" s="23">
        <f t="shared" si="3"/>
        <v>0.613897280966767</v>
      </c>
      <c r="AF23" s="23">
        <f t="shared" si="4"/>
        <v>0.294595501846257</v>
      </c>
      <c r="AG23" s="23">
        <f t="shared" si="5"/>
        <v>0.0123531386371266</v>
      </c>
      <c r="AH23">
        <f>SUMIF('库存（子SKU）'!$C:$C,$A23,'库存（子SKU）'!AJ:AJ)</f>
        <v>74</v>
      </c>
      <c r="AI23">
        <f>SUMIF('库存（子SKU）'!$C:$C,$A23,'库存（子SKU）'!AK:AK)</f>
        <v>87</v>
      </c>
      <c r="AJ23">
        <f>SUMIF('库存（子SKU）'!$C:$C,$A23,'库存（子SKU）'!AL:AL)</f>
        <v>69</v>
      </c>
      <c r="AK23">
        <f>SUMIF('库存（子SKU）'!$C:$C,$A23,'库存（子SKU）'!AM:AM)</f>
        <v>39</v>
      </c>
      <c r="AL23" s="23">
        <f t="shared" si="6"/>
        <v>0.0540540540540541</v>
      </c>
      <c r="AM23" s="23">
        <f t="shared" si="7"/>
        <v>0.0229885057471264</v>
      </c>
      <c r="AN23" s="23">
        <f t="shared" si="8"/>
        <v>0.0579710144927536</v>
      </c>
      <c r="AO23" s="23">
        <f t="shared" si="9"/>
        <v>0.153846153846154</v>
      </c>
      <c r="AP23" s="7">
        <f t="shared" si="10"/>
        <v>0.571428571428571</v>
      </c>
      <c r="AQ23" s="7">
        <f t="shared" si="11"/>
        <v>34.2857142857143</v>
      </c>
      <c r="AR23" s="7">
        <f t="shared" si="12"/>
        <v>57.7142857142857</v>
      </c>
      <c r="AS23">
        <f t="shared" si="13"/>
        <v>161</v>
      </c>
      <c r="AT23" s="2">
        <f>IFERROR($A$2+AS23,"上周无销量")</f>
        <v>43451</v>
      </c>
    </row>
    <row r="24" spans="1:46">
      <c r="A24" t="s">
        <v>525</v>
      </c>
      <c r="B24" s="5">
        <f>SUMIF('库存（子SKU）'!$C:$C,$A24,'库存（子SKU）'!D:D)</f>
        <v>3</v>
      </c>
      <c r="C24" s="5">
        <f>SUMIF('库存（子SKU）'!$C:$C,$A24,'库存（子SKU）'!E:E)</f>
        <v>2</v>
      </c>
      <c r="D24" s="5">
        <f>SUMIF('库存（子SKU）'!$C:$C,$A24,'库存（子SKU）'!F:F)</f>
        <v>5</v>
      </c>
      <c r="E24" s="5">
        <f>SUMIF('库存（子SKU）'!$C:$C,$A24,'库存（子SKU）'!G:G)</f>
        <v>3</v>
      </c>
      <c r="F24" s="6">
        <v>30.2207692307692</v>
      </c>
      <c r="G24">
        <f>SUMIF('库存（子SKU）'!$C:$C,$A24,'库存（子SKU）'!I:I)</f>
        <v>0</v>
      </c>
      <c r="H24">
        <f>SUMIF('库存（子SKU）'!$C:$C,$A24,'库存（子SKU）'!J:J)</f>
        <v>0</v>
      </c>
      <c r="I24">
        <f>SUMIF('库存（子SKU）'!$C:$C,$A24,'库存（子SKU）'!K:K)</f>
        <v>0</v>
      </c>
      <c r="J24">
        <f>SUMIF('库存（子SKU）'!$C:$C,$A24,'库存（子SKU）'!L:L)</f>
        <v>0</v>
      </c>
      <c r="K24">
        <f t="shared" si="0"/>
        <v>0</v>
      </c>
      <c r="L24">
        <f>SUMIF('库存（子SKU）'!$C:$C,$A24,'库存（子SKU）'!N:N)</f>
        <v>0</v>
      </c>
      <c r="M24">
        <f>SUMIF('库存（子SKU）'!$C:$C,$A24,'库存（子SKU）'!O:O)</f>
        <v>0</v>
      </c>
      <c r="N24">
        <f>SUMIF('库存（子SKU）'!$C:$C,$A24,'库存（子SKU）'!P:P)</f>
        <v>526</v>
      </c>
      <c r="O24">
        <f>SUMIF('库存（子SKU）'!$C:$C,$A24,'库存（子SKU）'!Q:Q)</f>
        <v>1409</v>
      </c>
      <c r="P24">
        <f>SUMIF('库存（子SKU）'!$C:$C,$A24,'库存（子SKU）'!R:R)</f>
        <v>36597</v>
      </c>
      <c r="Q24">
        <f>SUMIF('库存（子SKU）'!$C:$C,$A24,'库存（子SKU）'!S:S)</f>
        <v>0</v>
      </c>
      <c r="R24">
        <f>SUMIF('库存（子SKU）'!$C:$C,$A24,'库存（子SKU）'!T:T)</f>
        <v>2</v>
      </c>
      <c r="S24">
        <f>SUMIF('库存（子SKU）'!$C:$C,$A24,'库存（子SKU）'!U:U)</f>
        <v>5</v>
      </c>
      <c r="T24">
        <f>SUMIF('库存（子SKU）'!$C:$C,$A24,'库存（子SKU）'!V:V)</f>
        <v>27</v>
      </c>
      <c r="U24">
        <f>SUMIF('库存（子SKU）'!$C:$C,$A24,'库存（子SKU）'!W:W)</f>
        <v>0</v>
      </c>
      <c r="V24" s="23">
        <f t="shared" si="15"/>
        <v>0.00380228136882129</v>
      </c>
      <c r="W24" s="23">
        <f t="shared" si="16"/>
        <v>0.0035486160397445</v>
      </c>
      <c r="X24" s="23">
        <f t="shared" si="17"/>
        <v>0.000737765390605787</v>
      </c>
      <c r="Y24" s="23" t="str">
        <f t="shared" si="18"/>
        <v/>
      </c>
      <c r="Z24">
        <f>SUMIF('库存（子SKU）'!$C:$C,$A24,'库存（子SKU）'!AB:AB)</f>
        <v>1.37</v>
      </c>
      <c r="AA24">
        <f>SUMIF('库存（子SKU）'!$C:$C,$A24,'库存（子SKU）'!AC:AC)</f>
        <v>4.67</v>
      </c>
      <c r="AB24">
        <f>SUMIF('库存（子SKU）'!$C:$C,$A24,'库存（子SKU）'!AD:AD)</f>
        <v>28.86</v>
      </c>
      <c r="AC24">
        <f>SUMIF('库存（子SKU）'!$C:$C,$A24,'库存（子SKU）'!AE:AE)</f>
        <v>0</v>
      </c>
      <c r="AD24" s="23">
        <f t="shared" si="2"/>
        <v>0.0151110206090225</v>
      </c>
      <c r="AE24" s="23">
        <f t="shared" si="3"/>
        <v>0.0772647440629217</v>
      </c>
      <c r="AF24" s="23">
        <f t="shared" si="4"/>
        <v>0.190994476544404</v>
      </c>
      <c r="AG24" s="23">
        <f t="shared" si="5"/>
        <v>0</v>
      </c>
      <c r="AH24">
        <f>SUMIF('库存（子SKU）'!$C:$C,$A24,'库存（子SKU）'!AJ:AJ)</f>
        <v>21</v>
      </c>
      <c r="AI24">
        <f>SUMIF('库存（子SKU）'!$C:$C,$A24,'库存（子SKU）'!AK:AK)</f>
        <v>33</v>
      </c>
      <c r="AJ24">
        <f>SUMIF('库存（子SKU）'!$C:$C,$A24,'库存（子SKU）'!AL:AL)</f>
        <v>40</v>
      </c>
      <c r="AK24">
        <f>SUMIF('库存（子SKU）'!$C:$C,$A24,'库存（子SKU）'!AM:AM)</f>
        <v>3</v>
      </c>
      <c r="AL24" s="23">
        <f t="shared" si="6"/>
        <v>0.142857142857143</v>
      </c>
      <c r="AM24" s="23">
        <f t="shared" si="7"/>
        <v>0.0606060606060606</v>
      </c>
      <c r="AN24" s="23">
        <f t="shared" si="8"/>
        <v>0.125</v>
      </c>
      <c r="AO24" s="23">
        <f t="shared" si="9"/>
        <v>1</v>
      </c>
      <c r="AP24" s="7">
        <f t="shared" si="10"/>
        <v>0.428571428571429</v>
      </c>
      <c r="AQ24" s="7">
        <f t="shared" si="11"/>
        <v>25.7142857142857</v>
      </c>
      <c r="AR24" s="7">
        <f t="shared" si="12"/>
        <v>-25.7142857142857</v>
      </c>
      <c r="AS24">
        <f t="shared" si="13"/>
        <v>0</v>
      </c>
      <c r="AT24" s="2">
        <f>IFERROR($A$2+AS24,"上周无销量")</f>
        <v>43290</v>
      </c>
    </row>
    <row r="25" spans="1:46">
      <c r="A25" t="s">
        <v>529</v>
      </c>
      <c r="B25" s="5">
        <f>SUMIF('库存（子SKU）'!$C:$C,$A25,'库存（子SKU）'!D:D)</f>
        <v>3</v>
      </c>
      <c r="C25" s="5">
        <f>SUMIF('库存（子SKU）'!$C:$C,$A25,'库存（子SKU）'!E:E)</f>
        <v>5</v>
      </c>
      <c r="D25" s="5">
        <f>SUMIF('库存（子SKU）'!$C:$C,$A25,'库存（子SKU）'!F:F)</f>
        <v>2</v>
      </c>
      <c r="E25" s="5">
        <f>SUMIF('库存（子SKU）'!$C:$C,$A25,'库存（子SKU）'!G:G)</f>
        <v>1</v>
      </c>
      <c r="F25" s="6">
        <v>12</v>
      </c>
      <c r="G25">
        <f>SUMIF('库存（子SKU）'!$C:$C,$A25,'库存（子SKU）'!I:I)</f>
        <v>59</v>
      </c>
      <c r="H25">
        <f>SUMIF('库存（子SKU）'!$C:$C,$A25,'库存（子SKU）'!J:J)</f>
        <v>0</v>
      </c>
      <c r="I25">
        <f>SUMIF('库存（子SKU）'!$C:$C,$A25,'库存（子SKU）'!K:K)</f>
        <v>0</v>
      </c>
      <c r="J25">
        <f>SUMIF('库存（子SKU）'!$C:$C,$A25,'库存（子SKU）'!L:L)</f>
        <v>0</v>
      </c>
      <c r="K25">
        <f t="shared" si="0"/>
        <v>59</v>
      </c>
      <c r="L25">
        <f>SUMIF('库存（子SKU）'!$C:$C,$A25,'库存（子SKU）'!N:N)</f>
        <v>0</v>
      </c>
      <c r="M25">
        <f>SUMIF('库存（子SKU）'!$C:$C,$A25,'库存（子SKU）'!O:O)</f>
        <v>57</v>
      </c>
      <c r="N25">
        <f>SUMIF('库存（子SKU）'!$C:$C,$A25,'库存（子SKU）'!P:P)</f>
        <v>0</v>
      </c>
      <c r="O25">
        <f>SUMIF('库存（子SKU）'!$C:$C,$A25,'库存（子SKU）'!Q:Q)</f>
        <v>0</v>
      </c>
      <c r="P25">
        <f>SUMIF('库存（子SKU）'!$C:$C,$A25,'库存（子SKU）'!R:R)</f>
        <v>0</v>
      </c>
      <c r="Q25">
        <f>SUMIF('库存（子SKU）'!$C:$C,$A25,'库存（子SKU）'!S:S)</f>
        <v>0</v>
      </c>
      <c r="R25">
        <f>SUMIF('库存（子SKU）'!$C:$C,$A25,'库存（子SKU）'!T:T)</f>
        <v>0</v>
      </c>
      <c r="S25">
        <f>SUMIF('库存（子SKU）'!$C:$C,$A25,'库存（子SKU）'!U:U)</f>
        <v>0</v>
      </c>
      <c r="T25">
        <f>SUMIF('库存（子SKU）'!$C:$C,$A25,'库存（子SKU）'!V:V)</f>
        <v>0</v>
      </c>
      <c r="U25">
        <f>SUMIF('库存（子SKU）'!$C:$C,$A25,'库存（子SKU）'!W:W)</f>
        <v>0</v>
      </c>
      <c r="V25" s="23" t="str">
        <f t="shared" si="15"/>
        <v/>
      </c>
      <c r="W25" s="23" t="str">
        <f t="shared" si="16"/>
        <v/>
      </c>
      <c r="X25" s="23" t="str">
        <f t="shared" si="17"/>
        <v/>
      </c>
      <c r="Y25" s="23" t="str">
        <f t="shared" si="18"/>
        <v/>
      </c>
      <c r="Z25">
        <f>SUMIF('库存（子SKU）'!$C:$C,$A25,'库存（子SKU）'!AB:AB)</f>
        <v>0</v>
      </c>
      <c r="AA25">
        <f>SUMIF('库存（子SKU）'!$C:$C,$A25,'库存（子SKU）'!AC:AC)</f>
        <v>0</v>
      </c>
      <c r="AB25">
        <f>SUMIF('库存（子SKU）'!$C:$C,$A25,'库存（子SKU）'!AD:AD)</f>
        <v>0</v>
      </c>
      <c r="AC25">
        <f>SUMIF('库存（子SKU）'!$C:$C,$A25,'库存（子SKU）'!AE:AE)</f>
        <v>0</v>
      </c>
      <c r="AD25" s="23">
        <f t="shared" si="2"/>
        <v>0</v>
      </c>
      <c r="AE25" s="23">
        <f t="shared" si="3"/>
        <v>0</v>
      </c>
      <c r="AF25" s="23">
        <f t="shared" si="4"/>
        <v>0</v>
      </c>
      <c r="AG25" s="23">
        <f t="shared" si="5"/>
        <v>0</v>
      </c>
      <c r="AH25">
        <f>SUMIF('库存（子SKU）'!$C:$C,$A25,'库存（子SKU）'!AJ:AJ)</f>
        <v>30</v>
      </c>
      <c r="AI25">
        <f>SUMIF('库存（子SKU）'!$C:$C,$A25,'库存（子SKU）'!AK:AK)</f>
        <v>49</v>
      </c>
      <c r="AJ25">
        <f>SUMIF('库存（子SKU）'!$C:$C,$A25,'库存（子SKU）'!AL:AL)</f>
        <v>37</v>
      </c>
      <c r="AK25">
        <f>SUMIF('库存（子SKU）'!$C:$C,$A25,'库存（子SKU）'!AM:AM)</f>
        <v>39</v>
      </c>
      <c r="AL25" s="23">
        <f t="shared" si="6"/>
        <v>0.1</v>
      </c>
      <c r="AM25" s="23">
        <f t="shared" si="7"/>
        <v>0.102040816326531</v>
      </c>
      <c r="AN25" s="23">
        <f t="shared" si="8"/>
        <v>0.0540540540540541</v>
      </c>
      <c r="AO25" s="23">
        <f t="shared" si="9"/>
        <v>0.0256410256410256</v>
      </c>
      <c r="AP25" s="7">
        <f t="shared" si="10"/>
        <v>0.428571428571429</v>
      </c>
      <c r="AQ25" s="7">
        <f t="shared" si="11"/>
        <v>25.7142857142857</v>
      </c>
      <c r="AR25" s="7">
        <f t="shared" si="12"/>
        <v>33.2857142857143</v>
      </c>
      <c r="AS25">
        <f t="shared" si="13"/>
        <v>137</v>
      </c>
      <c r="AT25" s="2">
        <f>IFERROR($A$2+AS25,"上周无销量")</f>
        <v>43427</v>
      </c>
    </row>
    <row r="26" spans="1:46">
      <c r="A26" t="s">
        <v>588</v>
      </c>
      <c r="B26" s="5">
        <f>SUMIF('库存（子SKU）'!$C:$C,$A26,'库存（子SKU）'!D:D)</f>
        <v>7</v>
      </c>
      <c r="C26" s="5">
        <f>SUMIF('库存（子SKU）'!$C:$C,$A26,'库存（子SKU）'!E:E)</f>
        <v>3</v>
      </c>
      <c r="D26" s="5">
        <f>SUMIF('库存（子SKU）'!$C:$C,$A26,'库存（子SKU）'!F:F)</f>
        <v>2</v>
      </c>
      <c r="E26" s="5">
        <f>SUMIF('库存（子SKU）'!$C:$C,$A26,'库存（子SKU）'!G:G)</f>
        <v>11</v>
      </c>
      <c r="F26" s="6">
        <v>18.1486956521739</v>
      </c>
      <c r="G26">
        <f>SUMIF('库存（子SKU）'!$C:$C,$A26,'库存（子SKU）'!I:I)</f>
        <v>54</v>
      </c>
      <c r="H26">
        <f>SUMIF('库存（子SKU）'!$C:$C,$A26,'库存（子SKU）'!J:J)</f>
        <v>28</v>
      </c>
      <c r="I26">
        <f>SUMIF('库存（子SKU）'!$C:$C,$A26,'库存（子SKU）'!K:K)</f>
        <v>0</v>
      </c>
      <c r="J26">
        <f>SUMIF('库存（子SKU）'!$C:$C,$A26,'库存（子SKU）'!L:L)</f>
        <v>0</v>
      </c>
      <c r="K26">
        <f t="shared" si="0"/>
        <v>82</v>
      </c>
      <c r="L26">
        <f>SUMIF('库存（子SKU）'!$C:$C,$A26,'库存（子SKU）'!N:N)</f>
        <v>0</v>
      </c>
      <c r="M26">
        <f>SUMIF('库存（子SKU）'!$C:$C,$A26,'库存（子SKU）'!O:O)</f>
        <v>9</v>
      </c>
      <c r="N26">
        <f>SUMIF('库存（子SKU）'!$C:$C,$A26,'库存（子SKU）'!P:P)</f>
        <v>9868</v>
      </c>
      <c r="O26">
        <f>SUMIF('库存（子SKU）'!$C:$C,$A26,'库存（子SKU）'!Q:Q)</f>
        <v>6204</v>
      </c>
      <c r="P26">
        <f>SUMIF('库存（子SKU）'!$C:$C,$A26,'库存（子SKU）'!R:R)</f>
        <v>11024</v>
      </c>
      <c r="Q26">
        <f>SUMIF('库存（子SKU）'!$C:$C,$A26,'库存（子SKU）'!S:S)</f>
        <v>25756</v>
      </c>
      <c r="R26">
        <f>SUMIF('库存（子SKU）'!$C:$C,$A26,'库存（子SKU）'!T:T)</f>
        <v>30</v>
      </c>
      <c r="S26">
        <f>SUMIF('库存（子SKU）'!$C:$C,$A26,'库存（子SKU）'!U:U)</f>
        <v>20</v>
      </c>
      <c r="T26">
        <f>SUMIF('库存（子SKU）'!$C:$C,$A26,'库存（子SKU）'!V:V)</f>
        <v>39</v>
      </c>
      <c r="U26">
        <f>SUMIF('库存（子SKU）'!$C:$C,$A26,'库存（子SKU）'!W:W)</f>
        <v>22</v>
      </c>
      <c r="V26" s="23">
        <f t="shared" si="15"/>
        <v>0.00304012971220105</v>
      </c>
      <c r="W26" s="23">
        <f t="shared" si="16"/>
        <v>0.00322372662798195</v>
      </c>
      <c r="X26" s="23">
        <f t="shared" si="17"/>
        <v>0.0035377358490566</v>
      </c>
      <c r="Y26" s="23">
        <f t="shared" si="18"/>
        <v>0.00085416990215872</v>
      </c>
      <c r="Z26">
        <f>SUMIF('库存（子SKU）'!$C:$C,$A26,'库存（子SKU）'!AB:AB)</f>
        <v>21.47</v>
      </c>
      <c r="AA26">
        <f>SUMIF('库存（子SKU）'!$C:$C,$A26,'库存（子SKU）'!AC:AC)</f>
        <v>14.23</v>
      </c>
      <c r="AB26">
        <f>SUMIF('库存（子SKU）'!$C:$C,$A26,'库存（子SKU）'!AD:AD)</f>
        <v>30.2</v>
      </c>
      <c r="AC26">
        <f>SUMIF('库存（子SKU）'!$C:$C,$A26,'库存（子SKU）'!AE:AE)</f>
        <v>16.07</v>
      </c>
      <c r="AD26" s="23">
        <f t="shared" si="2"/>
        <v>0.169000732390125</v>
      </c>
      <c r="AE26" s="23">
        <f t="shared" si="3"/>
        <v>0.261359462092537</v>
      </c>
      <c r="AF26" s="23">
        <f t="shared" si="4"/>
        <v>0.832015715586221</v>
      </c>
      <c r="AG26" s="23">
        <f t="shared" si="5"/>
        <v>0.0804966438860359</v>
      </c>
      <c r="AH26">
        <f>SUMIF('库存（子SKU）'!$C:$C,$A26,'库存（子SKU）'!AJ:AJ)</f>
        <v>57</v>
      </c>
      <c r="AI26">
        <f>SUMIF('库存（子SKU）'!$C:$C,$A26,'库存（子SKU）'!AK:AK)</f>
        <v>28</v>
      </c>
      <c r="AJ26">
        <f>SUMIF('库存（子SKU）'!$C:$C,$A26,'库存（子SKU）'!AL:AL)</f>
        <v>82</v>
      </c>
      <c r="AK26">
        <f>SUMIF('库存（子SKU）'!$C:$C,$A26,'库存（子SKU）'!AM:AM)</f>
        <v>54</v>
      </c>
      <c r="AL26" s="23">
        <f t="shared" si="6"/>
        <v>0.12280701754386</v>
      </c>
      <c r="AM26" s="23">
        <f t="shared" si="7"/>
        <v>0.107142857142857</v>
      </c>
      <c r="AN26" s="23">
        <f t="shared" si="8"/>
        <v>0.024390243902439</v>
      </c>
      <c r="AO26" s="23">
        <f t="shared" si="9"/>
        <v>0.203703703703704</v>
      </c>
      <c r="AP26" s="7">
        <f t="shared" si="10"/>
        <v>1</v>
      </c>
      <c r="AQ26" s="7">
        <f t="shared" si="11"/>
        <v>60</v>
      </c>
      <c r="AR26" s="7">
        <f t="shared" si="12"/>
        <v>22</v>
      </c>
      <c r="AS26">
        <f t="shared" si="13"/>
        <v>82</v>
      </c>
      <c r="AT26" s="2">
        <f>IFERROR($A$2+AS26,"上周无销量")</f>
        <v>43372</v>
      </c>
    </row>
    <row r="27" spans="1:46">
      <c r="A27" t="s">
        <v>601</v>
      </c>
      <c r="B27" s="5">
        <f>SUMIF('库存（子SKU）'!$C:$C,$A27,'库存（子SKU）'!D:D)</f>
        <v>5</v>
      </c>
      <c r="C27" s="5">
        <f>SUMIF('库存（子SKU）'!$C:$C,$A27,'库存（子SKU）'!E:E)</f>
        <v>1</v>
      </c>
      <c r="D27" s="5">
        <f>SUMIF('库存（子SKU）'!$C:$C,$A27,'库存（子SKU）'!F:F)</f>
        <v>3</v>
      </c>
      <c r="E27" s="5">
        <f>SUMIF('库存（子SKU）'!$C:$C,$A27,'库存（子SKU）'!G:G)</f>
        <v>0</v>
      </c>
      <c r="F27" s="6">
        <v>12</v>
      </c>
      <c r="G27">
        <f>SUMIF('库存（子SKU）'!$C:$C,$A27,'库存（子SKU）'!I:I)</f>
        <v>75</v>
      </c>
      <c r="H27">
        <f>SUMIF('库存（子SKU）'!$C:$C,$A27,'库存（子SKU）'!J:J)</f>
        <v>0</v>
      </c>
      <c r="I27">
        <f>SUMIF('库存（子SKU）'!$C:$C,$A27,'库存（子SKU）'!K:K)</f>
        <v>0</v>
      </c>
      <c r="J27">
        <f>SUMIF('库存（子SKU）'!$C:$C,$A27,'库存（子SKU）'!L:L)</f>
        <v>1</v>
      </c>
      <c r="K27">
        <f t="shared" si="0"/>
        <v>76</v>
      </c>
      <c r="L27">
        <f>SUMIF('库存（子SKU）'!$C:$C,$A27,'库存（子SKU）'!N:N)</f>
        <v>0</v>
      </c>
      <c r="M27">
        <f>SUMIF('库存（子SKU）'!$C:$C,$A27,'库存（子SKU）'!O:O)</f>
        <v>71</v>
      </c>
      <c r="N27">
        <f>SUMIF('库存（子SKU）'!$C:$C,$A27,'库存（子SKU）'!P:P)</f>
        <v>0</v>
      </c>
      <c r="O27">
        <f>SUMIF('库存（子SKU）'!$C:$C,$A27,'库存（子SKU）'!Q:Q)</f>
        <v>0</v>
      </c>
      <c r="P27">
        <f>SUMIF('库存（子SKU）'!$C:$C,$A27,'库存（子SKU）'!R:R)</f>
        <v>0</v>
      </c>
      <c r="Q27">
        <f>SUMIF('库存（子SKU）'!$C:$C,$A27,'库存（子SKU）'!S:S)</f>
        <v>0</v>
      </c>
      <c r="R27">
        <f>SUMIF('库存（子SKU）'!$C:$C,$A27,'库存（子SKU）'!T:T)</f>
        <v>0</v>
      </c>
      <c r="S27">
        <f>SUMIF('库存（子SKU）'!$C:$C,$A27,'库存（子SKU）'!U:U)</f>
        <v>0</v>
      </c>
      <c r="T27">
        <f>SUMIF('库存（子SKU）'!$C:$C,$A27,'库存（子SKU）'!V:V)</f>
        <v>0</v>
      </c>
      <c r="U27">
        <f>SUMIF('库存（子SKU）'!$C:$C,$A27,'库存（子SKU）'!W:W)</f>
        <v>0</v>
      </c>
      <c r="V27" s="23" t="str">
        <f t="shared" si="15"/>
        <v/>
      </c>
      <c r="W27" s="23" t="str">
        <f t="shared" si="16"/>
        <v/>
      </c>
      <c r="X27" s="23" t="str">
        <f t="shared" si="17"/>
        <v/>
      </c>
      <c r="Y27" s="23" t="str">
        <f t="shared" si="18"/>
        <v/>
      </c>
      <c r="Z27">
        <f>SUMIF('库存（子SKU）'!$C:$C,$A27,'库存（子SKU）'!AB:AB)</f>
        <v>0</v>
      </c>
      <c r="AA27">
        <f>SUMIF('库存（子SKU）'!$C:$C,$A27,'库存（子SKU）'!AC:AC)</f>
        <v>0</v>
      </c>
      <c r="AB27">
        <f>SUMIF('库存（子SKU）'!$C:$C,$A27,'库存（子SKU）'!AD:AD)</f>
        <v>0</v>
      </c>
      <c r="AC27">
        <f>SUMIF('库存（子SKU）'!$C:$C,$A27,'库存（子SKU）'!AE:AE)</f>
        <v>0</v>
      </c>
      <c r="AD27" s="23">
        <f t="shared" si="2"/>
        <v>0</v>
      </c>
      <c r="AE27" s="23">
        <f t="shared" si="3"/>
        <v>0</v>
      </c>
      <c r="AF27" s="23">
        <f t="shared" si="4"/>
        <v>0</v>
      </c>
      <c r="AG27" s="23" t="str">
        <f t="shared" si="5"/>
        <v/>
      </c>
      <c r="AH27">
        <f>SUMIF('库存（子SKU）'!$C:$C,$A27,'库存（子SKU）'!AJ:AJ)</f>
        <v>31</v>
      </c>
      <c r="AI27">
        <f>SUMIF('库存（子SKU）'!$C:$C,$A27,'库存（子SKU）'!AK:AK)</f>
        <v>46</v>
      </c>
      <c r="AJ27">
        <f>SUMIF('库存（子SKU）'!$C:$C,$A27,'库存（子SKU）'!AL:AL)</f>
        <v>41</v>
      </c>
      <c r="AK27">
        <f>SUMIF('库存（子SKU）'!$C:$C,$A27,'库存（子SKU）'!AM:AM)</f>
        <v>62</v>
      </c>
      <c r="AL27" s="23">
        <f t="shared" si="6"/>
        <v>0.161290322580645</v>
      </c>
      <c r="AM27" s="23">
        <f t="shared" si="7"/>
        <v>0.0217391304347826</v>
      </c>
      <c r="AN27" s="23">
        <f t="shared" si="8"/>
        <v>0.0731707317073171</v>
      </c>
      <c r="AO27" s="23">
        <f t="shared" si="9"/>
        <v>0</v>
      </c>
      <c r="AP27" s="7">
        <f t="shared" si="10"/>
        <v>0.714285714285714</v>
      </c>
      <c r="AQ27" s="7">
        <f t="shared" si="11"/>
        <v>42.8571428571429</v>
      </c>
      <c r="AR27" s="7">
        <f t="shared" si="12"/>
        <v>33.1428571428571</v>
      </c>
      <c r="AS27">
        <f t="shared" si="13"/>
        <v>106</v>
      </c>
      <c r="AT27" s="2">
        <f>IFERROR($A$2+AS27,"上周无销量")</f>
        <v>43396</v>
      </c>
    </row>
    <row r="28" spans="1:46">
      <c r="A28" t="s">
        <v>652</v>
      </c>
      <c r="B28" s="5">
        <f>SUMIF('库存（子SKU）'!$C:$C,$A28,'库存（子SKU）'!D:D)</f>
        <v>11</v>
      </c>
      <c r="C28" s="5">
        <f>SUMIF('库存（子SKU）'!$C:$C,$A28,'库存（子SKU）'!E:E)</f>
        <v>4</v>
      </c>
      <c r="D28" s="5">
        <f>SUMIF('库存（子SKU）'!$C:$C,$A28,'库存（子SKU）'!F:F)</f>
        <v>3</v>
      </c>
      <c r="E28" s="5">
        <f>SUMIF('库存（子SKU）'!$C:$C,$A28,'库存（子SKU）'!G:G)</f>
        <v>0</v>
      </c>
      <c r="F28" s="6">
        <v>12.1022222222222</v>
      </c>
      <c r="G28">
        <f>SUMIF('库存（子SKU）'!$C:$C,$A28,'库存（子SKU）'!I:I)</f>
        <v>37</v>
      </c>
      <c r="H28">
        <f>SUMIF('库存（子SKU）'!$C:$C,$A28,'库存（子SKU）'!J:J)</f>
        <v>0</v>
      </c>
      <c r="I28">
        <f>SUMIF('库存（子SKU）'!$C:$C,$A28,'库存（子SKU）'!K:K)</f>
        <v>20</v>
      </c>
      <c r="J28">
        <f>SUMIF('库存（子SKU）'!$C:$C,$A28,'库存（子SKU）'!L:L)</f>
        <v>1</v>
      </c>
      <c r="K28">
        <f t="shared" si="0"/>
        <v>58</v>
      </c>
      <c r="L28">
        <f>SUMIF('库存（子SKU）'!$C:$C,$A28,'库存（子SKU）'!N:N)</f>
        <v>0</v>
      </c>
      <c r="M28">
        <f>SUMIF('库存（子SKU）'!$C:$C,$A28,'库存（子SKU）'!O:O)</f>
        <v>9</v>
      </c>
      <c r="N28">
        <f>SUMIF('库存（子SKU）'!$C:$C,$A28,'库存（子SKU）'!P:P)</f>
        <v>4197</v>
      </c>
      <c r="O28">
        <f>SUMIF('库存（子SKU）'!$C:$C,$A28,'库存（子SKU）'!Q:Q)</f>
        <v>6234</v>
      </c>
      <c r="P28">
        <f>SUMIF('库存（子SKU）'!$C:$C,$A28,'库存（子SKU）'!R:R)</f>
        <v>3710</v>
      </c>
      <c r="Q28">
        <f>SUMIF('库存（子SKU）'!$C:$C,$A28,'库存（子SKU）'!S:S)</f>
        <v>266</v>
      </c>
      <c r="R28">
        <f>SUMIF('库存（子SKU）'!$C:$C,$A28,'库存（子SKU）'!T:T)</f>
        <v>23</v>
      </c>
      <c r="S28">
        <f>SUMIF('库存（子SKU）'!$C:$C,$A28,'库存（子SKU）'!U:U)</f>
        <v>37</v>
      </c>
      <c r="T28">
        <f>SUMIF('库存（子SKU）'!$C:$C,$A28,'库存（子SKU）'!V:V)</f>
        <v>36</v>
      </c>
      <c r="U28">
        <f>SUMIF('库存（子SKU）'!$C:$C,$A28,'库存（子SKU）'!W:W)</f>
        <v>0</v>
      </c>
      <c r="V28" s="23">
        <f t="shared" si="15"/>
        <v>0.00548010483678818</v>
      </c>
      <c r="W28" s="23">
        <f t="shared" si="16"/>
        <v>0.00593519409688803</v>
      </c>
      <c r="X28" s="23">
        <f t="shared" si="17"/>
        <v>0.00970350404312668</v>
      </c>
      <c r="Y28" s="23">
        <f t="shared" si="18"/>
        <v>0</v>
      </c>
      <c r="Z28">
        <f>SUMIF('库存（子SKU）'!$C:$C,$A28,'库存（子SKU）'!AB:AB)</f>
        <v>23.03</v>
      </c>
      <c r="AA28">
        <f>SUMIF('库存（子SKU）'!$C:$C,$A28,'库存（子SKU）'!AC:AC)</f>
        <v>46.36</v>
      </c>
      <c r="AB28">
        <f>SUMIF('库存（子SKU）'!$C:$C,$A28,'库存（子SKU）'!AD:AD)</f>
        <v>40.33</v>
      </c>
      <c r="AC28">
        <f>SUMIF('库存（子SKU）'!$C:$C,$A28,'库存（子SKU）'!AE:AE)</f>
        <v>0</v>
      </c>
      <c r="AD28" s="23">
        <f t="shared" si="2"/>
        <v>0.172996027109138</v>
      </c>
      <c r="AE28" s="23">
        <f t="shared" si="3"/>
        <v>0.957675358060964</v>
      </c>
      <c r="AF28" s="23">
        <f t="shared" si="4"/>
        <v>1.11081527726772</v>
      </c>
      <c r="AG28" s="23" t="str">
        <f t="shared" si="5"/>
        <v/>
      </c>
      <c r="AH28">
        <f>SUMIF('库存（子SKU）'!$C:$C,$A28,'库存（子SKU）'!AJ:AJ)</f>
        <v>57</v>
      </c>
      <c r="AI28">
        <f>SUMIF('库存（子SKU）'!$C:$C,$A28,'库存（子SKU）'!AK:AK)</f>
        <v>78</v>
      </c>
      <c r="AJ28">
        <f>SUMIF('库存（子SKU）'!$C:$C,$A28,'库存（子SKU）'!AL:AL)</f>
        <v>112</v>
      </c>
      <c r="AK28">
        <f>SUMIF('库存（子SKU）'!$C:$C,$A28,'库存（子SKU）'!AM:AM)</f>
        <v>67</v>
      </c>
      <c r="AL28" s="23">
        <f t="shared" si="6"/>
        <v>0.192982456140351</v>
      </c>
      <c r="AM28" s="23">
        <f t="shared" si="7"/>
        <v>0.0512820512820513</v>
      </c>
      <c r="AN28" s="23">
        <f t="shared" si="8"/>
        <v>0.0267857142857143</v>
      </c>
      <c r="AO28" s="23">
        <f t="shared" si="9"/>
        <v>0</v>
      </c>
      <c r="AP28" s="7">
        <f t="shared" si="10"/>
        <v>1.57142857142857</v>
      </c>
      <c r="AQ28" s="7">
        <f t="shared" si="11"/>
        <v>94.2857142857143</v>
      </c>
      <c r="AR28" s="7">
        <f t="shared" si="12"/>
        <v>-36.2857142857143</v>
      </c>
      <c r="AS28">
        <f t="shared" si="13"/>
        <v>36</v>
      </c>
      <c r="AT28" s="2">
        <f>IFERROR($A$2+AS28,"上周无销量")</f>
        <v>43326</v>
      </c>
    </row>
    <row r="29" spans="1:46">
      <c r="A29" t="s">
        <v>665</v>
      </c>
      <c r="B29" s="5">
        <f>SUMIF('库存（子SKU）'!$C:$C,$A29,'库存（子SKU）'!D:D)</f>
        <v>6</v>
      </c>
      <c r="C29" s="5">
        <f>SUMIF('库存（子SKU）'!$C:$C,$A29,'库存（子SKU）'!E:E)</f>
        <v>1</v>
      </c>
      <c r="D29" s="5">
        <f>SUMIF('库存（子SKU）'!$C:$C,$A29,'库存（子SKU）'!F:F)</f>
        <v>1</v>
      </c>
      <c r="E29" s="5">
        <f>SUMIF('库存（子SKU）'!$C:$C,$A29,'库存（子SKU）'!G:G)</f>
        <v>0</v>
      </c>
      <c r="F29" s="6">
        <v>10.99</v>
      </c>
      <c r="G29">
        <f>SUMIF('库存（子SKU）'!$C:$C,$A29,'库存（子SKU）'!I:I)</f>
        <v>6</v>
      </c>
      <c r="H29">
        <f>SUMIF('库存（子SKU）'!$C:$C,$A29,'库存（子SKU）'!J:J)</f>
        <v>10</v>
      </c>
      <c r="I29">
        <f>SUMIF('库存（子SKU）'!$C:$C,$A29,'库存（子SKU）'!K:K)</f>
        <v>0</v>
      </c>
      <c r="J29">
        <f>SUMIF('库存（子SKU）'!$C:$C,$A29,'库存（子SKU）'!L:L)</f>
        <v>0</v>
      </c>
      <c r="K29">
        <f t="shared" si="0"/>
        <v>16</v>
      </c>
      <c r="L29">
        <f>SUMIF('库存（子SKU）'!$C:$C,$A29,'库存（子SKU）'!N:N)</f>
        <v>0</v>
      </c>
      <c r="M29">
        <f>SUMIF('库存（子SKU）'!$C:$C,$A29,'库存（子SKU）'!O:O)</f>
        <v>0</v>
      </c>
      <c r="N29">
        <f>SUMIF('库存（子SKU）'!$C:$C,$A29,'库存（子SKU）'!P:P)</f>
        <v>2341</v>
      </c>
      <c r="O29">
        <f>SUMIF('库存（子SKU）'!$C:$C,$A29,'库存（子SKU）'!Q:Q)</f>
        <v>8099</v>
      </c>
      <c r="P29">
        <f>SUMIF('库存（子SKU）'!$C:$C,$A29,'库存（子SKU）'!R:R)</f>
        <v>6202</v>
      </c>
      <c r="Q29">
        <f>SUMIF('库存（子SKU）'!$C:$C,$A29,'库存（子SKU）'!S:S)</f>
        <v>0</v>
      </c>
      <c r="R29">
        <f>SUMIF('库存（子SKU）'!$C:$C,$A29,'库存（子SKU）'!T:T)</f>
        <v>32</v>
      </c>
      <c r="S29">
        <f>SUMIF('库存（子SKU）'!$C:$C,$A29,'库存（子SKU）'!U:U)</f>
        <v>55</v>
      </c>
      <c r="T29">
        <f>SUMIF('库存（子SKU）'!$C:$C,$A29,'库存（子SKU）'!V:V)</f>
        <v>37</v>
      </c>
      <c r="U29">
        <f>SUMIF('库存（子SKU）'!$C:$C,$A29,'库存（子SKU）'!W:W)</f>
        <v>0</v>
      </c>
      <c r="V29" s="23">
        <f t="shared" si="15"/>
        <v>0.0136693720632208</v>
      </c>
      <c r="W29" s="23">
        <f t="shared" si="16"/>
        <v>0.00679096184714162</v>
      </c>
      <c r="X29" s="23">
        <f t="shared" si="17"/>
        <v>0.00596581747823283</v>
      </c>
      <c r="Y29" s="23" t="str">
        <f t="shared" si="18"/>
        <v/>
      </c>
      <c r="Z29">
        <f>SUMIF('库存（子SKU）'!$C:$C,$A29,'库存（子SKU）'!AB:AB)</f>
        <v>24.28</v>
      </c>
      <c r="AA29">
        <f>SUMIF('库存（子SKU）'!$C:$C,$A29,'库存（子SKU）'!AC:AC)</f>
        <v>53.4</v>
      </c>
      <c r="AB29">
        <f>SUMIF('库存（子SKU）'!$C:$C,$A29,'库存（子SKU）'!AD:AD)</f>
        <v>44.79</v>
      </c>
      <c r="AC29">
        <f>SUMIF('库存（子SKU）'!$C:$C,$A29,'库存（子SKU）'!AE:AE)</f>
        <v>0</v>
      </c>
      <c r="AD29" s="23">
        <f t="shared" si="2"/>
        <v>0.368213527449196</v>
      </c>
      <c r="AE29" s="23">
        <f t="shared" si="3"/>
        <v>4.8589626933576</v>
      </c>
      <c r="AF29" s="23">
        <f t="shared" si="4"/>
        <v>4.07552320291174</v>
      </c>
      <c r="AG29" s="23" t="str">
        <f t="shared" si="5"/>
        <v/>
      </c>
      <c r="AH29">
        <f>SUMIF('库存（子SKU）'!$C:$C,$A29,'库存（子SKU）'!AJ:AJ)</f>
        <v>48</v>
      </c>
      <c r="AI29">
        <f>SUMIF('库存（子SKU）'!$C:$C,$A29,'库存（子SKU）'!AK:AK)</f>
        <v>41</v>
      </c>
      <c r="AJ29">
        <f>SUMIF('库存（子SKU）'!$C:$C,$A29,'库存（子SKU）'!AL:AL)</f>
        <v>25</v>
      </c>
      <c r="AK29">
        <f>SUMIF('库存（子SKU）'!$C:$C,$A29,'库存（子SKU）'!AM:AM)</f>
        <v>0</v>
      </c>
      <c r="AL29" s="23">
        <f t="shared" si="6"/>
        <v>0.125</v>
      </c>
      <c r="AM29" s="23">
        <f t="shared" si="7"/>
        <v>0.024390243902439</v>
      </c>
      <c r="AN29" s="23">
        <f t="shared" si="8"/>
        <v>0.04</v>
      </c>
      <c r="AO29" s="23" t="str">
        <f t="shared" si="9"/>
        <v/>
      </c>
      <c r="AP29" s="7">
        <f t="shared" si="10"/>
        <v>0.857142857142857</v>
      </c>
      <c r="AQ29" s="7">
        <f t="shared" si="11"/>
        <v>51.4285714285714</v>
      </c>
      <c r="AR29" s="7">
        <f t="shared" si="12"/>
        <v>-35.4285714285714</v>
      </c>
      <c r="AS29">
        <f t="shared" si="13"/>
        <v>18</v>
      </c>
      <c r="AT29" s="2">
        <f>IFERROR($A$2+AS29,"上周无销量")</f>
        <v>43308</v>
      </c>
    </row>
    <row r="30" spans="1:46">
      <c r="A30" t="s">
        <v>672</v>
      </c>
      <c r="B30" s="5">
        <f>SUMIF('库存（子SKU）'!$C:$C,$A30,'库存（子SKU）'!D:D)</f>
        <v>0</v>
      </c>
      <c r="C30" s="5">
        <f>SUMIF('库存（子SKU）'!$C:$C,$A30,'库存（子SKU）'!E:E)</f>
        <v>0</v>
      </c>
      <c r="D30" s="5">
        <f>SUMIF('库存（子SKU）'!$C:$C,$A30,'库存（子SKU）'!F:F)</f>
        <v>0</v>
      </c>
      <c r="E30" s="5">
        <f>SUMIF('库存（子SKU）'!$C:$C,$A30,'库存（子SKU）'!G:G)</f>
        <v>0</v>
      </c>
      <c r="F30" s="6" t="s">
        <v>54</v>
      </c>
      <c r="G30">
        <f>SUMIF('库存（子SKU）'!$C:$C,$A30,'库存（子SKU）'!I:I)</f>
        <v>0</v>
      </c>
      <c r="H30">
        <f>SUMIF('库存（子SKU）'!$C:$C,$A30,'库存（子SKU）'!J:J)</f>
        <v>0</v>
      </c>
      <c r="I30">
        <f>SUMIF('库存（子SKU）'!$C:$C,$A30,'库存（子SKU）'!K:K)</f>
        <v>0</v>
      </c>
      <c r="J30">
        <f>SUMIF('库存（子SKU）'!$C:$C,$A30,'库存（子SKU）'!L:L)</f>
        <v>0</v>
      </c>
      <c r="K30">
        <f t="shared" si="0"/>
        <v>0</v>
      </c>
      <c r="L30">
        <f>SUMIF('库存（子SKU）'!$C:$C,$A30,'库存（子SKU）'!N:N)</f>
        <v>0</v>
      </c>
      <c r="M30">
        <f>SUMIF('库存（子SKU）'!$C:$C,$A30,'库存（子SKU）'!O:O)</f>
        <v>0</v>
      </c>
      <c r="N30">
        <f>SUMIF('库存（子SKU）'!$C:$C,$A30,'库存（子SKU）'!P:P)</f>
        <v>0</v>
      </c>
      <c r="O30">
        <f>SUMIF('库存（子SKU）'!$C:$C,$A30,'库存（子SKU）'!Q:Q)</f>
        <v>0</v>
      </c>
      <c r="P30">
        <f>SUMIF('库存（子SKU）'!$C:$C,$A30,'库存（子SKU）'!R:R)</f>
        <v>0</v>
      </c>
      <c r="Q30">
        <f>SUMIF('库存（子SKU）'!$C:$C,$A30,'库存（子SKU）'!S:S)</f>
        <v>0</v>
      </c>
      <c r="R30">
        <f>SUMIF('库存（子SKU）'!$C:$C,$A30,'库存（子SKU）'!T:T)</f>
        <v>0</v>
      </c>
      <c r="S30">
        <f>SUMIF('库存（子SKU）'!$C:$C,$A30,'库存（子SKU）'!U:U)</f>
        <v>0</v>
      </c>
      <c r="T30">
        <f>SUMIF('库存（子SKU）'!$C:$C,$A30,'库存（子SKU）'!V:V)</f>
        <v>0</v>
      </c>
      <c r="U30">
        <f>SUMIF('库存（子SKU）'!$C:$C,$A30,'库存（子SKU）'!W:W)</f>
        <v>0</v>
      </c>
      <c r="V30" s="23" t="str">
        <f t="shared" si="15"/>
        <v/>
      </c>
      <c r="W30" s="23" t="str">
        <f t="shared" si="16"/>
        <v/>
      </c>
      <c r="X30" s="23" t="str">
        <f t="shared" si="17"/>
        <v/>
      </c>
      <c r="Y30" s="23" t="str">
        <f t="shared" si="18"/>
        <v/>
      </c>
      <c r="Z30">
        <f>SUMIF('库存（子SKU）'!$C:$C,$A30,'库存（子SKU）'!AB:AB)</f>
        <v>0</v>
      </c>
      <c r="AA30">
        <f>SUMIF('库存（子SKU）'!$C:$C,$A30,'库存（子SKU）'!AC:AC)</f>
        <v>0</v>
      </c>
      <c r="AB30">
        <f>SUMIF('库存（子SKU）'!$C:$C,$A30,'库存（子SKU）'!AD:AD)</f>
        <v>0</v>
      </c>
      <c r="AC30">
        <f>SUMIF('库存（子SKU）'!$C:$C,$A30,'库存（子SKU）'!AE:AE)</f>
        <v>0</v>
      </c>
      <c r="AD30" s="23" t="str">
        <f t="shared" si="2"/>
        <v/>
      </c>
      <c r="AE30" s="23" t="str">
        <f t="shared" si="3"/>
        <v/>
      </c>
      <c r="AF30" s="23" t="str">
        <f t="shared" si="4"/>
        <v/>
      </c>
      <c r="AG30" s="23" t="str">
        <f t="shared" si="5"/>
        <v/>
      </c>
      <c r="AH30">
        <f>SUMIF('库存（子SKU）'!$C:$C,$A30,'库存（子SKU）'!AJ:AJ)</f>
        <v>0</v>
      </c>
      <c r="AI30">
        <f>SUMIF('库存（子SKU）'!$C:$C,$A30,'库存（子SKU）'!AK:AK)</f>
        <v>0</v>
      </c>
      <c r="AJ30">
        <f>SUMIF('库存（子SKU）'!$C:$C,$A30,'库存（子SKU）'!AL:AL)</f>
        <v>0</v>
      </c>
      <c r="AK30">
        <f>SUMIF('库存（子SKU）'!$C:$C,$A30,'库存（子SKU）'!AM:AM)</f>
        <v>0</v>
      </c>
      <c r="AL30" s="23" t="str">
        <f t="shared" si="6"/>
        <v/>
      </c>
      <c r="AM30" s="23" t="str">
        <f t="shared" si="7"/>
        <v/>
      </c>
      <c r="AN30" s="23" t="str">
        <f t="shared" si="8"/>
        <v/>
      </c>
      <c r="AO30" s="23" t="str">
        <f t="shared" si="9"/>
        <v/>
      </c>
      <c r="AP30" s="7">
        <f t="shared" si="10"/>
        <v>0</v>
      </c>
      <c r="AQ30" s="7">
        <f t="shared" si="11"/>
        <v>0</v>
      </c>
      <c r="AR30" s="7">
        <f t="shared" si="12"/>
        <v>0</v>
      </c>
      <c r="AS30" t="str">
        <f t="shared" si="13"/>
        <v>库存为0</v>
      </c>
      <c r="AT30" s="2" t="str">
        <f>IFERROR($A$2+AS30,"上周无销量")</f>
        <v>上周无销量</v>
      </c>
    </row>
    <row r="31" spans="1:46">
      <c r="A31" t="s">
        <v>721</v>
      </c>
      <c r="B31" s="5">
        <f>SUMIF('库存（子SKU）'!$C:$C,$A31,'库存（子SKU）'!D:D)</f>
        <v>0</v>
      </c>
      <c r="C31" s="5">
        <f>SUMIF('库存（子SKU）'!$C:$C,$A31,'库存（子SKU）'!E:E)</f>
        <v>0</v>
      </c>
      <c r="D31" s="5">
        <f>SUMIF('库存（子SKU）'!$C:$C,$A31,'库存（子SKU）'!F:F)</f>
        <v>0</v>
      </c>
      <c r="E31" s="5">
        <f>SUMIF('库存（子SKU）'!$C:$C,$A31,'库存（子SKU）'!G:G)</f>
        <v>0</v>
      </c>
      <c r="F31" s="6" t="s">
        <v>54</v>
      </c>
      <c r="G31">
        <f>SUMIF('库存（子SKU）'!$C:$C,$A31,'库存（子SKU）'!I:I)</f>
        <v>0</v>
      </c>
      <c r="H31">
        <f>SUMIF('库存（子SKU）'!$C:$C,$A31,'库存（子SKU）'!J:J)</f>
        <v>0</v>
      </c>
      <c r="I31">
        <f>SUMIF('库存（子SKU）'!$C:$C,$A31,'库存（子SKU）'!K:K)</f>
        <v>0</v>
      </c>
      <c r="J31">
        <f>SUMIF('库存（子SKU）'!$C:$C,$A31,'库存（子SKU）'!L:L)</f>
        <v>0</v>
      </c>
      <c r="K31">
        <f t="shared" si="0"/>
        <v>0</v>
      </c>
      <c r="L31">
        <f>SUMIF('库存（子SKU）'!$C:$C,$A31,'库存（子SKU）'!N:N)</f>
        <v>0</v>
      </c>
      <c r="M31">
        <f>SUMIF('库存（子SKU）'!$C:$C,$A31,'库存（子SKU）'!O:O)</f>
        <v>0</v>
      </c>
      <c r="N31">
        <f>SUMIF('库存（子SKU）'!$C:$C,$A31,'库存（子SKU）'!P:P)</f>
        <v>0</v>
      </c>
      <c r="O31">
        <f>SUMIF('库存（子SKU）'!$C:$C,$A31,'库存（子SKU）'!Q:Q)</f>
        <v>0</v>
      </c>
      <c r="P31">
        <f>SUMIF('库存（子SKU）'!$C:$C,$A31,'库存（子SKU）'!R:R)</f>
        <v>0</v>
      </c>
      <c r="Q31">
        <f>SUMIF('库存（子SKU）'!$C:$C,$A31,'库存（子SKU）'!S:S)</f>
        <v>0</v>
      </c>
      <c r="R31">
        <f>SUMIF('库存（子SKU）'!$C:$C,$A31,'库存（子SKU）'!T:T)</f>
        <v>0</v>
      </c>
      <c r="S31">
        <f>SUMIF('库存（子SKU）'!$C:$C,$A31,'库存（子SKU）'!U:U)</f>
        <v>0</v>
      </c>
      <c r="T31">
        <f>SUMIF('库存（子SKU）'!$C:$C,$A31,'库存（子SKU）'!V:V)</f>
        <v>0</v>
      </c>
      <c r="U31">
        <f>SUMIF('库存（子SKU）'!$C:$C,$A31,'库存（子SKU）'!W:W)</f>
        <v>0</v>
      </c>
      <c r="V31" s="23" t="str">
        <f t="shared" si="15"/>
        <v/>
      </c>
      <c r="W31" s="23" t="str">
        <f t="shared" si="16"/>
        <v/>
      </c>
      <c r="X31" s="23" t="str">
        <f t="shared" si="17"/>
        <v/>
      </c>
      <c r="Y31" s="23" t="str">
        <f t="shared" si="18"/>
        <v/>
      </c>
      <c r="Z31">
        <f>SUMIF('库存（子SKU）'!$C:$C,$A31,'库存（子SKU）'!AB:AB)</f>
        <v>0</v>
      </c>
      <c r="AA31">
        <f>SUMIF('库存（子SKU）'!$C:$C,$A31,'库存（子SKU）'!AC:AC)</f>
        <v>0</v>
      </c>
      <c r="AB31">
        <f>SUMIF('库存（子SKU）'!$C:$C,$A31,'库存（子SKU）'!AD:AD)</f>
        <v>0</v>
      </c>
      <c r="AC31">
        <f>SUMIF('库存（子SKU）'!$C:$C,$A31,'库存（子SKU）'!AE:AE)</f>
        <v>0</v>
      </c>
      <c r="AD31" s="23" t="str">
        <f t="shared" si="2"/>
        <v/>
      </c>
      <c r="AE31" s="23" t="str">
        <f t="shared" si="3"/>
        <v/>
      </c>
      <c r="AF31" s="23" t="str">
        <f t="shared" si="4"/>
        <v/>
      </c>
      <c r="AG31" s="23" t="str">
        <f t="shared" si="5"/>
        <v/>
      </c>
      <c r="AH31">
        <f>SUMIF('库存（子SKU）'!$C:$C,$A31,'库存（子SKU）'!AJ:AJ)</f>
        <v>0</v>
      </c>
      <c r="AI31">
        <f>SUMIF('库存（子SKU）'!$C:$C,$A31,'库存（子SKU）'!AK:AK)</f>
        <v>0</v>
      </c>
      <c r="AJ31">
        <f>SUMIF('库存（子SKU）'!$C:$C,$A31,'库存（子SKU）'!AL:AL)</f>
        <v>0</v>
      </c>
      <c r="AK31">
        <f>SUMIF('库存（子SKU）'!$C:$C,$A31,'库存（子SKU）'!AM:AM)</f>
        <v>0</v>
      </c>
      <c r="AL31" s="23" t="str">
        <f t="shared" si="6"/>
        <v/>
      </c>
      <c r="AM31" s="23" t="str">
        <f t="shared" si="7"/>
        <v/>
      </c>
      <c r="AN31" s="23" t="str">
        <f t="shared" si="8"/>
        <v/>
      </c>
      <c r="AO31" s="23" t="str">
        <f t="shared" si="9"/>
        <v/>
      </c>
      <c r="AP31" s="7">
        <f t="shared" si="10"/>
        <v>0</v>
      </c>
      <c r="AQ31" s="7">
        <f t="shared" si="11"/>
        <v>0</v>
      </c>
      <c r="AR31" s="7">
        <f t="shared" si="12"/>
        <v>0</v>
      </c>
      <c r="AS31" t="str">
        <f t="shared" si="13"/>
        <v>库存为0</v>
      </c>
      <c r="AT31" s="2" t="str">
        <f>IFERROR($A$2+AS31,"上周无销量")</f>
        <v>上周无销量</v>
      </c>
    </row>
    <row r="32" spans="1:46">
      <c r="A32" t="s">
        <v>732</v>
      </c>
      <c r="B32" s="5">
        <f>SUMIF('库存（子SKU）'!$C:$C,$A32,'库存（子SKU）'!D:D)</f>
        <v>0</v>
      </c>
      <c r="C32" s="5">
        <f>SUMIF('库存（子SKU）'!$C:$C,$A32,'库存（子SKU）'!E:E)</f>
        <v>0</v>
      </c>
      <c r="D32" s="5">
        <f>SUMIF('库存（子SKU）'!$C:$C,$A32,'库存（子SKU）'!F:F)</f>
        <v>0</v>
      </c>
      <c r="E32" s="5">
        <f>SUMIF('库存（子SKU）'!$C:$C,$A32,'库存（子SKU）'!G:G)</f>
        <v>0</v>
      </c>
      <c r="F32" s="6" t="s">
        <v>54</v>
      </c>
      <c r="G32">
        <f>SUMIF('库存（子SKU）'!$C:$C,$A32,'库存（子SKU）'!I:I)</f>
        <v>0</v>
      </c>
      <c r="H32">
        <f>SUMIF('库存（子SKU）'!$C:$C,$A32,'库存（子SKU）'!J:J)</f>
        <v>0</v>
      </c>
      <c r="I32">
        <f>SUMIF('库存（子SKU）'!$C:$C,$A32,'库存（子SKU）'!K:K)</f>
        <v>0</v>
      </c>
      <c r="J32">
        <f>SUMIF('库存（子SKU）'!$C:$C,$A32,'库存（子SKU）'!L:L)</f>
        <v>0</v>
      </c>
      <c r="K32">
        <f t="shared" si="0"/>
        <v>0</v>
      </c>
      <c r="L32">
        <f>SUMIF('库存（子SKU）'!$C:$C,$A32,'库存（子SKU）'!N:N)</f>
        <v>0</v>
      </c>
      <c r="M32">
        <f>SUMIF('库存（子SKU）'!$C:$C,$A32,'库存（子SKU）'!O:O)</f>
        <v>0</v>
      </c>
      <c r="N32">
        <f>SUMIF('库存（子SKU）'!$C:$C,$A32,'库存（子SKU）'!P:P)</f>
        <v>0</v>
      </c>
      <c r="O32">
        <f>SUMIF('库存（子SKU）'!$C:$C,$A32,'库存（子SKU）'!Q:Q)</f>
        <v>0</v>
      </c>
      <c r="P32">
        <f>SUMIF('库存（子SKU）'!$C:$C,$A32,'库存（子SKU）'!R:R)</f>
        <v>0</v>
      </c>
      <c r="Q32">
        <f>SUMIF('库存（子SKU）'!$C:$C,$A32,'库存（子SKU）'!S:S)</f>
        <v>0</v>
      </c>
      <c r="R32">
        <f>SUMIF('库存（子SKU）'!$C:$C,$A32,'库存（子SKU）'!T:T)</f>
        <v>0</v>
      </c>
      <c r="S32">
        <f>SUMIF('库存（子SKU）'!$C:$C,$A32,'库存（子SKU）'!U:U)</f>
        <v>0</v>
      </c>
      <c r="T32">
        <f>SUMIF('库存（子SKU）'!$C:$C,$A32,'库存（子SKU）'!V:V)</f>
        <v>0</v>
      </c>
      <c r="U32">
        <f>SUMIF('库存（子SKU）'!$C:$C,$A32,'库存（子SKU）'!W:W)</f>
        <v>0</v>
      </c>
      <c r="V32" s="23" t="str">
        <f t="shared" si="15"/>
        <v/>
      </c>
      <c r="W32" s="23" t="str">
        <f t="shared" si="16"/>
        <v/>
      </c>
      <c r="X32" s="23" t="str">
        <f t="shared" si="17"/>
        <v/>
      </c>
      <c r="Y32" s="23" t="str">
        <f t="shared" si="18"/>
        <v/>
      </c>
      <c r="Z32">
        <f>SUMIF('库存（子SKU）'!$C:$C,$A32,'库存（子SKU）'!AB:AB)</f>
        <v>0</v>
      </c>
      <c r="AA32">
        <f>SUMIF('库存（子SKU）'!$C:$C,$A32,'库存（子SKU）'!AC:AC)</f>
        <v>0</v>
      </c>
      <c r="AB32">
        <f>SUMIF('库存（子SKU）'!$C:$C,$A32,'库存（子SKU）'!AD:AD)</f>
        <v>0</v>
      </c>
      <c r="AC32">
        <f>SUMIF('库存（子SKU）'!$C:$C,$A32,'库存（子SKU）'!AE:AE)</f>
        <v>0</v>
      </c>
      <c r="AD32" s="23" t="str">
        <f t="shared" si="2"/>
        <v/>
      </c>
      <c r="AE32" s="23" t="str">
        <f t="shared" si="3"/>
        <v/>
      </c>
      <c r="AF32" s="23" t="str">
        <f t="shared" si="4"/>
        <v/>
      </c>
      <c r="AG32" s="23" t="str">
        <f t="shared" si="5"/>
        <v/>
      </c>
      <c r="AH32">
        <f>SUMIF('库存（子SKU）'!$C:$C,$A32,'库存（子SKU）'!AJ:AJ)</f>
        <v>0</v>
      </c>
      <c r="AI32">
        <f>SUMIF('库存（子SKU）'!$C:$C,$A32,'库存（子SKU）'!AK:AK)</f>
        <v>0</v>
      </c>
      <c r="AJ32">
        <f>SUMIF('库存（子SKU）'!$C:$C,$A32,'库存（子SKU）'!AL:AL)</f>
        <v>0</v>
      </c>
      <c r="AK32">
        <f>SUMIF('库存（子SKU）'!$C:$C,$A32,'库存（子SKU）'!AM:AM)</f>
        <v>0</v>
      </c>
      <c r="AL32" s="23" t="str">
        <f t="shared" si="6"/>
        <v/>
      </c>
      <c r="AM32" s="23" t="str">
        <f t="shared" si="7"/>
        <v/>
      </c>
      <c r="AN32" s="23" t="str">
        <f t="shared" si="8"/>
        <v/>
      </c>
      <c r="AO32" s="23" t="str">
        <f t="shared" si="9"/>
        <v/>
      </c>
      <c r="AP32" s="7">
        <f t="shared" si="10"/>
        <v>0</v>
      </c>
      <c r="AQ32" s="7">
        <f t="shared" si="11"/>
        <v>0</v>
      </c>
      <c r="AR32" s="7">
        <f t="shared" si="12"/>
        <v>0</v>
      </c>
      <c r="AS32" t="str">
        <f t="shared" si="13"/>
        <v>库存为0</v>
      </c>
      <c r="AT32" s="2" t="str">
        <f>IFERROR($A$2+AS32,"上周无销量")</f>
        <v>上周无销量</v>
      </c>
    </row>
    <row r="33" spans="1:46">
      <c r="A33" t="s">
        <v>743</v>
      </c>
      <c r="B33" s="5">
        <f>SUMIF('库存（子SKU）'!$C:$C,$A33,'库存（子SKU）'!D:D)</f>
        <v>0</v>
      </c>
      <c r="C33" s="5">
        <f>SUMIF('库存（子SKU）'!$C:$C,$A33,'库存（子SKU）'!E:E)</f>
        <v>0</v>
      </c>
      <c r="D33" s="5">
        <f>SUMIF('库存（子SKU）'!$C:$C,$A33,'库存（子SKU）'!F:F)</f>
        <v>0</v>
      </c>
      <c r="E33" s="5">
        <f>SUMIF('库存（子SKU）'!$C:$C,$A33,'库存（子SKU）'!G:G)</f>
        <v>0</v>
      </c>
      <c r="F33" s="6" t="s">
        <v>54</v>
      </c>
      <c r="G33">
        <f>SUMIF('库存（子SKU）'!$C:$C,$A33,'库存（子SKU）'!I:I)</f>
        <v>0</v>
      </c>
      <c r="H33">
        <f>SUMIF('库存（子SKU）'!$C:$C,$A33,'库存（子SKU）'!J:J)</f>
        <v>0</v>
      </c>
      <c r="I33">
        <f>SUMIF('库存（子SKU）'!$C:$C,$A33,'库存（子SKU）'!K:K)</f>
        <v>0</v>
      </c>
      <c r="J33">
        <f>SUMIF('库存（子SKU）'!$C:$C,$A33,'库存（子SKU）'!L:L)</f>
        <v>0</v>
      </c>
      <c r="K33">
        <f t="shared" si="0"/>
        <v>0</v>
      </c>
      <c r="L33">
        <f>SUMIF('库存（子SKU）'!$C:$C,$A33,'库存（子SKU）'!N:N)</f>
        <v>0</v>
      </c>
      <c r="M33">
        <f>SUMIF('库存（子SKU）'!$C:$C,$A33,'库存（子SKU）'!O:O)</f>
        <v>0</v>
      </c>
      <c r="N33">
        <f>SUMIF('库存（子SKU）'!$C:$C,$A33,'库存（子SKU）'!P:P)</f>
        <v>0</v>
      </c>
      <c r="O33">
        <f>SUMIF('库存（子SKU）'!$C:$C,$A33,'库存（子SKU）'!Q:Q)</f>
        <v>0</v>
      </c>
      <c r="P33">
        <f>SUMIF('库存（子SKU）'!$C:$C,$A33,'库存（子SKU）'!R:R)</f>
        <v>0</v>
      </c>
      <c r="Q33">
        <f>SUMIF('库存（子SKU）'!$C:$C,$A33,'库存（子SKU）'!S:S)</f>
        <v>0</v>
      </c>
      <c r="R33">
        <f>SUMIF('库存（子SKU）'!$C:$C,$A33,'库存（子SKU）'!T:T)</f>
        <v>0</v>
      </c>
      <c r="S33">
        <f>SUMIF('库存（子SKU）'!$C:$C,$A33,'库存（子SKU）'!U:U)</f>
        <v>0</v>
      </c>
      <c r="T33">
        <f>SUMIF('库存（子SKU）'!$C:$C,$A33,'库存（子SKU）'!V:V)</f>
        <v>0</v>
      </c>
      <c r="U33">
        <f>SUMIF('库存（子SKU）'!$C:$C,$A33,'库存（子SKU）'!W:W)</f>
        <v>0</v>
      </c>
      <c r="V33" s="23" t="str">
        <f t="shared" si="15"/>
        <v/>
      </c>
      <c r="W33" s="23" t="str">
        <f t="shared" si="16"/>
        <v/>
      </c>
      <c r="X33" s="23" t="str">
        <f t="shared" si="17"/>
        <v/>
      </c>
      <c r="Y33" s="23" t="str">
        <f t="shared" si="18"/>
        <v/>
      </c>
      <c r="Z33">
        <f>SUMIF('库存（子SKU）'!$C:$C,$A33,'库存（子SKU）'!AB:AB)</f>
        <v>0</v>
      </c>
      <c r="AA33">
        <f>SUMIF('库存（子SKU）'!$C:$C,$A33,'库存（子SKU）'!AC:AC)</f>
        <v>0</v>
      </c>
      <c r="AB33">
        <f>SUMIF('库存（子SKU）'!$C:$C,$A33,'库存（子SKU）'!AD:AD)</f>
        <v>0</v>
      </c>
      <c r="AC33">
        <f>SUMIF('库存（子SKU）'!$C:$C,$A33,'库存（子SKU）'!AE:AE)</f>
        <v>0</v>
      </c>
      <c r="AD33" s="23" t="str">
        <f t="shared" si="2"/>
        <v/>
      </c>
      <c r="AE33" s="23" t="str">
        <f t="shared" si="3"/>
        <v/>
      </c>
      <c r="AF33" s="23" t="str">
        <f t="shared" si="4"/>
        <v/>
      </c>
      <c r="AG33" s="23" t="str">
        <f t="shared" si="5"/>
        <v/>
      </c>
      <c r="AH33">
        <f>SUMIF('库存（子SKU）'!$C:$C,$A33,'库存（子SKU）'!AJ:AJ)</f>
        <v>0</v>
      </c>
      <c r="AI33">
        <f>SUMIF('库存（子SKU）'!$C:$C,$A33,'库存（子SKU）'!AK:AK)</f>
        <v>0</v>
      </c>
      <c r="AJ33">
        <f>SUMIF('库存（子SKU）'!$C:$C,$A33,'库存（子SKU）'!AL:AL)</f>
        <v>0</v>
      </c>
      <c r="AK33">
        <f>SUMIF('库存（子SKU）'!$C:$C,$A33,'库存（子SKU）'!AM:AM)</f>
        <v>0</v>
      </c>
      <c r="AL33" s="23" t="str">
        <f t="shared" si="6"/>
        <v/>
      </c>
      <c r="AM33" s="23" t="str">
        <f t="shared" si="7"/>
        <v/>
      </c>
      <c r="AN33" s="23" t="str">
        <f t="shared" si="8"/>
        <v/>
      </c>
      <c r="AO33" s="23" t="str">
        <f t="shared" si="9"/>
        <v/>
      </c>
      <c r="AP33" s="7">
        <f t="shared" si="10"/>
        <v>0</v>
      </c>
      <c r="AQ33" s="7">
        <f t="shared" si="11"/>
        <v>0</v>
      </c>
      <c r="AR33" s="7">
        <f t="shared" si="12"/>
        <v>0</v>
      </c>
      <c r="AS33" t="str">
        <f t="shared" si="13"/>
        <v>库存为0</v>
      </c>
      <c r="AT33" s="2" t="str">
        <f>IFERROR($A$2+AS33,"上周无销量")</f>
        <v>上周无销量</v>
      </c>
    </row>
    <row r="34" spans="1:46">
      <c r="A34" t="s">
        <v>764</v>
      </c>
      <c r="B34" s="5">
        <f>SUMIF('库存（子SKU）'!$C:$C,$A34,'库存（子SKU）'!D:D)</f>
        <v>0</v>
      </c>
      <c r="C34" s="5">
        <f>SUMIF('库存（子SKU）'!$C:$C,$A34,'库存（子SKU）'!E:E)</f>
        <v>0</v>
      </c>
      <c r="D34" s="5">
        <f>SUMIF('库存（子SKU）'!$C:$C,$A34,'库存（子SKU）'!F:F)</f>
        <v>0</v>
      </c>
      <c r="E34" s="5">
        <f>SUMIF('库存（子SKU）'!$C:$C,$A34,'库存（子SKU）'!G:G)</f>
        <v>0</v>
      </c>
      <c r="F34" s="6" t="s">
        <v>54</v>
      </c>
      <c r="G34">
        <f>SUMIF('库存（子SKU）'!$C:$C,$A34,'库存（子SKU）'!I:I)</f>
        <v>0</v>
      </c>
      <c r="H34">
        <f>SUMIF('库存（子SKU）'!$C:$C,$A34,'库存（子SKU）'!J:J)</f>
        <v>0</v>
      </c>
      <c r="I34">
        <f>SUMIF('库存（子SKU）'!$C:$C,$A34,'库存（子SKU）'!K:K)</f>
        <v>0</v>
      </c>
      <c r="J34">
        <f>SUMIF('库存（子SKU）'!$C:$C,$A34,'库存（子SKU）'!L:L)</f>
        <v>0</v>
      </c>
      <c r="K34">
        <f t="shared" si="0"/>
        <v>0</v>
      </c>
      <c r="L34">
        <f>SUMIF('库存（子SKU）'!$C:$C,$A34,'库存（子SKU）'!N:N)</f>
        <v>5</v>
      </c>
      <c r="M34">
        <f>SUMIF('库存（子SKU）'!$C:$C,$A34,'库存（子SKU）'!O:O)</f>
        <v>0</v>
      </c>
      <c r="N34">
        <f>SUMIF('库存（子SKU）'!$C:$C,$A34,'库存（子SKU）'!P:P)</f>
        <v>0</v>
      </c>
      <c r="O34">
        <f>SUMIF('库存（子SKU）'!$C:$C,$A34,'库存（子SKU）'!Q:Q)</f>
        <v>0</v>
      </c>
      <c r="P34">
        <f>SUMIF('库存（子SKU）'!$C:$C,$A34,'库存（子SKU）'!R:R)</f>
        <v>0</v>
      </c>
      <c r="Q34">
        <f>SUMIF('库存（子SKU）'!$C:$C,$A34,'库存（子SKU）'!S:S)</f>
        <v>0</v>
      </c>
      <c r="R34">
        <f>SUMIF('库存（子SKU）'!$C:$C,$A34,'库存（子SKU）'!T:T)</f>
        <v>0</v>
      </c>
      <c r="S34">
        <f>SUMIF('库存（子SKU）'!$C:$C,$A34,'库存（子SKU）'!U:U)</f>
        <v>0</v>
      </c>
      <c r="T34">
        <f>SUMIF('库存（子SKU）'!$C:$C,$A34,'库存（子SKU）'!V:V)</f>
        <v>0</v>
      </c>
      <c r="U34">
        <f>SUMIF('库存（子SKU）'!$C:$C,$A34,'库存（子SKU）'!W:W)</f>
        <v>0</v>
      </c>
      <c r="V34" s="23" t="str">
        <f t="shared" si="15"/>
        <v/>
      </c>
      <c r="W34" s="23" t="str">
        <f t="shared" si="16"/>
        <v/>
      </c>
      <c r="X34" s="23" t="str">
        <f t="shared" si="17"/>
        <v/>
      </c>
      <c r="Y34" s="23" t="str">
        <f t="shared" si="18"/>
        <v/>
      </c>
      <c r="Z34">
        <f>SUMIF('库存（子SKU）'!$C:$C,$A34,'库存（子SKU）'!AB:AB)</f>
        <v>0</v>
      </c>
      <c r="AA34">
        <f>SUMIF('库存（子SKU）'!$C:$C,$A34,'库存（子SKU）'!AC:AC)</f>
        <v>0</v>
      </c>
      <c r="AB34">
        <f>SUMIF('库存（子SKU）'!$C:$C,$A34,'库存（子SKU）'!AD:AD)</f>
        <v>0</v>
      </c>
      <c r="AC34">
        <f>SUMIF('库存（子SKU）'!$C:$C,$A34,'库存（子SKU）'!AE:AE)</f>
        <v>0</v>
      </c>
      <c r="AD34" s="23" t="str">
        <f t="shared" si="2"/>
        <v/>
      </c>
      <c r="AE34" s="23" t="str">
        <f t="shared" si="3"/>
        <v/>
      </c>
      <c r="AF34" s="23" t="str">
        <f t="shared" si="4"/>
        <v/>
      </c>
      <c r="AG34" s="23" t="str">
        <f t="shared" si="5"/>
        <v/>
      </c>
      <c r="AH34">
        <f>SUMIF('库存（子SKU）'!$C:$C,$A34,'库存（子SKU）'!AJ:AJ)</f>
        <v>0</v>
      </c>
      <c r="AI34">
        <f>SUMIF('库存（子SKU）'!$C:$C,$A34,'库存（子SKU）'!AK:AK)</f>
        <v>0</v>
      </c>
      <c r="AJ34">
        <f>SUMIF('库存（子SKU）'!$C:$C,$A34,'库存（子SKU）'!AL:AL)</f>
        <v>0</v>
      </c>
      <c r="AK34">
        <f>SUMIF('库存（子SKU）'!$C:$C,$A34,'库存（子SKU）'!AM:AM)</f>
        <v>2</v>
      </c>
      <c r="AL34" s="23" t="str">
        <f t="shared" si="6"/>
        <v/>
      </c>
      <c r="AM34" s="23" t="str">
        <f t="shared" si="7"/>
        <v/>
      </c>
      <c r="AN34" s="23" t="str">
        <f t="shared" si="8"/>
        <v/>
      </c>
      <c r="AO34" s="23">
        <f t="shared" si="9"/>
        <v>0</v>
      </c>
      <c r="AP34" s="7">
        <f t="shared" si="10"/>
        <v>0</v>
      </c>
      <c r="AQ34" s="7">
        <f t="shared" si="11"/>
        <v>0</v>
      </c>
      <c r="AR34" s="7">
        <f t="shared" si="12"/>
        <v>0</v>
      </c>
      <c r="AS34" t="str">
        <f t="shared" si="13"/>
        <v>库存为0</v>
      </c>
      <c r="AT34" s="2" t="str">
        <f>IFERROR($A$2+AS34,"上周无销量")</f>
        <v>上周无销量</v>
      </c>
    </row>
    <row r="35" spans="1:46">
      <c r="A35" t="s">
        <v>783</v>
      </c>
      <c r="B35" s="5">
        <f>SUMIF('库存（子SKU）'!$C:$C,$A35,'库存（子SKU）'!D:D)</f>
        <v>0</v>
      </c>
      <c r="C35" s="5">
        <f>SUMIF('库存（子SKU）'!$C:$C,$A35,'库存（子SKU）'!E:E)</f>
        <v>0</v>
      </c>
      <c r="D35" s="5">
        <f>SUMIF('库存（子SKU）'!$C:$C,$A35,'库存（子SKU）'!F:F)</f>
        <v>0</v>
      </c>
      <c r="E35" s="5">
        <f>SUMIF('库存（子SKU）'!$C:$C,$A35,'库存（子SKU）'!G:G)</f>
        <v>0</v>
      </c>
      <c r="F35" s="6" t="s">
        <v>54</v>
      </c>
      <c r="G35">
        <f>SUMIF('库存（子SKU）'!$C:$C,$A35,'库存（子SKU）'!I:I)</f>
        <v>0</v>
      </c>
      <c r="H35">
        <f>SUMIF('库存（子SKU）'!$C:$C,$A35,'库存（子SKU）'!J:J)</f>
        <v>0</v>
      </c>
      <c r="I35">
        <f>SUMIF('库存（子SKU）'!$C:$C,$A35,'库存（子SKU）'!K:K)</f>
        <v>0</v>
      </c>
      <c r="J35">
        <f>SUMIF('库存（子SKU）'!$C:$C,$A35,'库存（子SKU）'!L:L)</f>
        <v>0</v>
      </c>
      <c r="K35">
        <f t="shared" si="0"/>
        <v>0</v>
      </c>
      <c r="L35">
        <f>SUMIF('库存（子SKU）'!$C:$C,$A35,'库存（子SKU）'!N:N)</f>
        <v>0</v>
      </c>
      <c r="M35">
        <f>SUMIF('库存（子SKU）'!$C:$C,$A35,'库存（子SKU）'!O:O)</f>
        <v>0</v>
      </c>
      <c r="N35">
        <f>SUMIF('库存（子SKU）'!$C:$C,$A35,'库存（子SKU）'!P:P)</f>
        <v>0</v>
      </c>
      <c r="O35">
        <f>SUMIF('库存（子SKU）'!$C:$C,$A35,'库存（子SKU）'!Q:Q)</f>
        <v>0</v>
      </c>
      <c r="P35">
        <f>SUMIF('库存（子SKU）'!$C:$C,$A35,'库存（子SKU）'!R:R)</f>
        <v>0</v>
      </c>
      <c r="Q35">
        <f>SUMIF('库存（子SKU）'!$C:$C,$A35,'库存（子SKU）'!S:S)</f>
        <v>0</v>
      </c>
      <c r="R35">
        <f>SUMIF('库存（子SKU）'!$C:$C,$A35,'库存（子SKU）'!T:T)</f>
        <v>0</v>
      </c>
      <c r="S35">
        <f>SUMIF('库存（子SKU）'!$C:$C,$A35,'库存（子SKU）'!U:U)</f>
        <v>0</v>
      </c>
      <c r="T35">
        <f>SUMIF('库存（子SKU）'!$C:$C,$A35,'库存（子SKU）'!V:V)</f>
        <v>0</v>
      </c>
      <c r="U35">
        <f>SUMIF('库存（子SKU）'!$C:$C,$A35,'库存（子SKU）'!W:W)</f>
        <v>0</v>
      </c>
      <c r="V35" s="23" t="str">
        <f t="shared" si="15"/>
        <v/>
      </c>
      <c r="W35" s="23" t="str">
        <f t="shared" si="16"/>
        <v/>
      </c>
      <c r="X35" s="23" t="str">
        <f t="shared" si="17"/>
        <v/>
      </c>
      <c r="Y35" s="23" t="str">
        <f t="shared" si="18"/>
        <v/>
      </c>
      <c r="Z35">
        <f>SUMIF('库存（子SKU）'!$C:$C,$A35,'库存（子SKU）'!AB:AB)</f>
        <v>0</v>
      </c>
      <c r="AA35">
        <f>SUMIF('库存（子SKU）'!$C:$C,$A35,'库存（子SKU）'!AC:AC)</f>
        <v>0</v>
      </c>
      <c r="AB35">
        <f>SUMIF('库存（子SKU）'!$C:$C,$A35,'库存（子SKU）'!AD:AD)</f>
        <v>0</v>
      </c>
      <c r="AC35">
        <f>SUMIF('库存（子SKU）'!$C:$C,$A35,'库存（子SKU）'!AE:AE)</f>
        <v>0</v>
      </c>
      <c r="AD35" s="23" t="str">
        <f t="shared" si="2"/>
        <v/>
      </c>
      <c r="AE35" s="23" t="str">
        <f t="shared" si="3"/>
        <v/>
      </c>
      <c r="AF35" s="23" t="str">
        <f t="shared" si="4"/>
        <v/>
      </c>
      <c r="AG35" s="23" t="str">
        <f t="shared" si="5"/>
        <v/>
      </c>
      <c r="AH35">
        <f>SUMIF('库存（子SKU）'!$C:$C,$A35,'库存（子SKU）'!AJ:AJ)</f>
        <v>0</v>
      </c>
      <c r="AI35">
        <f>SUMIF('库存（子SKU）'!$C:$C,$A35,'库存（子SKU）'!AK:AK)</f>
        <v>0</v>
      </c>
      <c r="AJ35">
        <f>SUMIF('库存（子SKU）'!$C:$C,$A35,'库存（子SKU）'!AL:AL)</f>
        <v>0</v>
      </c>
      <c r="AK35">
        <f>SUMIF('库存（子SKU）'!$C:$C,$A35,'库存（子SKU）'!AM:AM)</f>
        <v>0</v>
      </c>
      <c r="AL35" s="23" t="str">
        <f t="shared" si="6"/>
        <v/>
      </c>
      <c r="AM35" s="23" t="str">
        <f t="shared" si="7"/>
        <v/>
      </c>
      <c r="AN35" s="23" t="str">
        <f t="shared" si="8"/>
        <v/>
      </c>
      <c r="AO35" s="23" t="str">
        <f t="shared" si="9"/>
        <v/>
      </c>
      <c r="AP35" s="7">
        <f t="shared" si="10"/>
        <v>0</v>
      </c>
      <c r="AQ35" s="7">
        <f t="shared" si="11"/>
        <v>0</v>
      </c>
      <c r="AR35" s="7">
        <f t="shared" si="12"/>
        <v>0</v>
      </c>
      <c r="AS35" t="str">
        <f t="shared" si="13"/>
        <v>库存为0</v>
      </c>
      <c r="AT35" s="2" t="str">
        <f>IFERROR($A$2+AS35,"上周无销量")</f>
        <v>上周无销量</v>
      </c>
    </row>
    <row r="36" spans="1:46">
      <c r="A36" t="s">
        <v>814</v>
      </c>
      <c r="B36" s="5">
        <f>SUMIF('库存（子SKU）'!$C:$C,$A36,'库存（子SKU）'!D:D)</f>
        <v>0</v>
      </c>
      <c r="C36" s="5">
        <f>SUMIF('库存（子SKU）'!$C:$C,$A36,'库存（子SKU）'!E:E)</f>
        <v>0</v>
      </c>
      <c r="D36" s="5">
        <f>SUMIF('库存（子SKU）'!$C:$C,$A36,'库存（子SKU）'!F:F)</f>
        <v>0</v>
      </c>
      <c r="E36" s="5">
        <f>SUMIF('库存（子SKU）'!$C:$C,$A36,'库存（子SKU）'!G:G)</f>
        <v>0</v>
      </c>
      <c r="F36" s="6" t="s">
        <v>54</v>
      </c>
      <c r="G36">
        <f>SUMIF('库存（子SKU）'!$C:$C,$A36,'库存（子SKU）'!I:I)</f>
        <v>24</v>
      </c>
      <c r="H36">
        <f>SUMIF('库存（子SKU）'!$C:$C,$A36,'库存（子SKU）'!J:J)</f>
        <v>0</v>
      </c>
      <c r="I36">
        <f>SUMIF('库存（子SKU）'!$C:$C,$A36,'库存（子SKU）'!K:K)</f>
        <v>0</v>
      </c>
      <c r="J36">
        <f>SUMIF('库存（子SKU）'!$C:$C,$A36,'库存（子SKU）'!L:L)</f>
        <v>0</v>
      </c>
      <c r="K36">
        <f t="shared" si="0"/>
        <v>24</v>
      </c>
      <c r="L36">
        <f>SUMIF('库存（子SKU）'!$C:$C,$A36,'库存（子SKU）'!N:N)</f>
        <v>0</v>
      </c>
      <c r="M36">
        <f>SUMIF('库存（子SKU）'!$C:$C,$A36,'库存（子SKU）'!O:O)</f>
        <v>24</v>
      </c>
      <c r="N36">
        <f>SUMIF('库存（子SKU）'!$C:$C,$A36,'库存（子SKU）'!P:P)</f>
        <v>0</v>
      </c>
      <c r="O36">
        <f>SUMIF('库存（子SKU）'!$C:$C,$A36,'库存（子SKU）'!Q:Q)</f>
        <v>0</v>
      </c>
      <c r="P36">
        <f>SUMIF('库存（子SKU）'!$C:$C,$A36,'库存（子SKU）'!R:R)</f>
        <v>0</v>
      </c>
      <c r="Q36">
        <f>SUMIF('库存（子SKU）'!$C:$C,$A36,'库存（子SKU）'!S:S)</f>
        <v>0</v>
      </c>
      <c r="R36">
        <f>SUMIF('库存（子SKU）'!$C:$C,$A36,'库存（子SKU）'!T:T)</f>
        <v>0</v>
      </c>
      <c r="S36">
        <f>SUMIF('库存（子SKU）'!$C:$C,$A36,'库存（子SKU）'!U:U)</f>
        <v>0</v>
      </c>
      <c r="T36">
        <f>SUMIF('库存（子SKU）'!$C:$C,$A36,'库存（子SKU）'!V:V)</f>
        <v>0</v>
      </c>
      <c r="U36">
        <f>SUMIF('库存（子SKU）'!$C:$C,$A36,'库存（子SKU）'!W:W)</f>
        <v>0</v>
      </c>
      <c r="V36" s="23" t="str">
        <f t="shared" si="15"/>
        <v/>
      </c>
      <c r="W36" s="23" t="str">
        <f t="shared" si="16"/>
        <v/>
      </c>
      <c r="X36" s="23" t="str">
        <f t="shared" si="17"/>
        <v/>
      </c>
      <c r="Y36" s="23" t="str">
        <f t="shared" si="18"/>
        <v/>
      </c>
      <c r="Z36">
        <f>SUMIF('库存（子SKU）'!$C:$C,$A36,'库存（子SKU）'!AB:AB)</f>
        <v>0</v>
      </c>
      <c r="AA36">
        <f>SUMIF('库存（子SKU）'!$C:$C,$A36,'库存（子SKU）'!AC:AC)</f>
        <v>0</v>
      </c>
      <c r="AB36">
        <f>SUMIF('库存（子SKU）'!$C:$C,$A36,'库存（子SKU）'!AD:AD)</f>
        <v>0</v>
      </c>
      <c r="AC36">
        <f>SUMIF('库存（子SKU）'!$C:$C,$A36,'库存（子SKU）'!AE:AE)</f>
        <v>0</v>
      </c>
      <c r="AD36" s="23" t="str">
        <f t="shared" si="2"/>
        <v/>
      </c>
      <c r="AE36" s="23" t="str">
        <f t="shared" si="3"/>
        <v/>
      </c>
      <c r="AF36" s="23" t="str">
        <f t="shared" si="4"/>
        <v/>
      </c>
      <c r="AG36" s="23" t="str">
        <f t="shared" si="5"/>
        <v/>
      </c>
      <c r="AH36">
        <f>SUMIF('库存（子SKU）'!$C:$C,$A36,'库存（子SKU）'!AJ:AJ)</f>
        <v>37</v>
      </c>
      <c r="AI36">
        <f>SUMIF('库存（子SKU）'!$C:$C,$A36,'库存（子SKU）'!AK:AK)</f>
        <v>31</v>
      </c>
      <c r="AJ36">
        <f>SUMIF('库存（子SKU）'!$C:$C,$A36,'库存（子SKU）'!AL:AL)</f>
        <v>30</v>
      </c>
      <c r="AK36">
        <f>SUMIF('库存（子SKU）'!$C:$C,$A36,'库存（子SKU）'!AM:AM)</f>
        <v>23</v>
      </c>
      <c r="AL36" s="23">
        <f t="shared" si="6"/>
        <v>0</v>
      </c>
      <c r="AM36" s="23">
        <f t="shared" si="7"/>
        <v>0</v>
      </c>
      <c r="AN36" s="23">
        <f t="shared" si="8"/>
        <v>0</v>
      </c>
      <c r="AO36" s="23">
        <f t="shared" si="9"/>
        <v>0</v>
      </c>
      <c r="AP36" s="7">
        <f t="shared" si="10"/>
        <v>0</v>
      </c>
      <c r="AQ36" s="7">
        <f t="shared" si="11"/>
        <v>0</v>
      </c>
      <c r="AR36" s="7">
        <f t="shared" si="12"/>
        <v>24</v>
      </c>
      <c r="AS36" t="str">
        <f t="shared" si="13"/>
        <v>库存为24</v>
      </c>
      <c r="AT36" s="2" t="str">
        <f>IFERROR($A$2+AS36,"上周无销量")</f>
        <v>上周无销量</v>
      </c>
    </row>
    <row r="37" spans="1:46">
      <c r="A37" t="s">
        <v>829</v>
      </c>
      <c r="B37" s="5">
        <f>SUMIF('库存（子SKU）'!$C:$C,$A37,'库存（子SKU）'!D:D)</f>
        <v>0</v>
      </c>
      <c r="C37" s="5">
        <f>SUMIF('库存（子SKU）'!$C:$C,$A37,'库存（子SKU）'!E:E)</f>
        <v>0</v>
      </c>
      <c r="D37" s="5">
        <f>SUMIF('库存（子SKU）'!$C:$C,$A37,'库存（子SKU）'!F:F)</f>
        <v>0</v>
      </c>
      <c r="E37" s="5">
        <f>SUMIF('库存（子SKU）'!$C:$C,$A37,'库存（子SKU）'!G:G)</f>
        <v>1</v>
      </c>
      <c r="F37" s="6">
        <v>20</v>
      </c>
      <c r="G37">
        <f>SUMIF('库存（子SKU）'!$C:$C,$A37,'库存（子SKU）'!I:I)</f>
        <v>119</v>
      </c>
      <c r="H37">
        <f>SUMIF('库存（子SKU）'!$C:$C,$A37,'库存（子SKU）'!J:J)</f>
        <v>0</v>
      </c>
      <c r="I37">
        <f>SUMIF('库存（子SKU）'!$C:$C,$A37,'库存（子SKU）'!K:K)</f>
        <v>0</v>
      </c>
      <c r="J37">
        <f>SUMIF('库存（子SKU）'!$C:$C,$A37,'库存（子SKU）'!L:L)</f>
        <v>2</v>
      </c>
      <c r="K37">
        <f t="shared" si="0"/>
        <v>121</v>
      </c>
      <c r="L37">
        <f>SUMIF('库存（子SKU）'!$C:$C,$A37,'库存（子SKU）'!N:N)</f>
        <v>0</v>
      </c>
      <c r="M37">
        <f>SUMIF('库存（子SKU）'!$C:$C,$A37,'库存（子SKU）'!O:O)</f>
        <v>116</v>
      </c>
      <c r="N37">
        <f>SUMIF('库存（子SKU）'!$C:$C,$A37,'库存（子SKU）'!P:P)</f>
        <v>2918</v>
      </c>
      <c r="O37">
        <f>SUMIF('库存（子SKU）'!$C:$C,$A37,'库存（子SKU）'!Q:Q)</f>
        <v>1396</v>
      </c>
      <c r="P37">
        <f>SUMIF('库存（子SKU）'!$C:$C,$A37,'库存（子SKU）'!R:R)</f>
        <v>638</v>
      </c>
      <c r="Q37">
        <f>SUMIF('库存（子SKU）'!$C:$C,$A37,'库存（子SKU）'!S:S)</f>
        <v>524</v>
      </c>
      <c r="R37">
        <f>SUMIF('库存（子SKU）'!$C:$C,$A37,'库存（子SKU）'!T:T)</f>
        <v>5</v>
      </c>
      <c r="S37">
        <f>SUMIF('库存（子SKU）'!$C:$C,$A37,'库存（子SKU）'!U:U)</f>
        <v>7</v>
      </c>
      <c r="T37">
        <f>SUMIF('库存（子SKU）'!$C:$C,$A37,'库存（子SKU）'!V:V)</f>
        <v>3</v>
      </c>
      <c r="U37">
        <f>SUMIF('库存（子SKU）'!$C:$C,$A37,'库存（子SKU）'!W:W)</f>
        <v>1</v>
      </c>
      <c r="V37" s="23">
        <f t="shared" si="15"/>
        <v>0.00171350239890336</v>
      </c>
      <c r="W37" s="23">
        <f t="shared" si="16"/>
        <v>0.00501432664756447</v>
      </c>
      <c r="X37" s="23">
        <f t="shared" si="17"/>
        <v>0.00470219435736677</v>
      </c>
      <c r="Y37" s="23">
        <f t="shared" si="18"/>
        <v>0.00190839694656489</v>
      </c>
      <c r="Z37">
        <f>SUMIF('库存（子SKU）'!$C:$C,$A37,'库存（子SKU）'!AB:AB)</f>
        <v>1.75</v>
      </c>
      <c r="AA37">
        <f>SUMIF('库存（子SKU）'!$C:$C,$A37,'库存（子SKU）'!AC:AC)</f>
        <v>2.02</v>
      </c>
      <c r="AB37">
        <f>SUMIF('库存（子SKU）'!$C:$C,$A37,'库存（子SKU）'!AD:AD)</f>
        <v>1.11</v>
      </c>
      <c r="AC37">
        <f>SUMIF('库存（子SKU）'!$C:$C,$A37,'库存（子SKU）'!AE:AE)</f>
        <v>0.5</v>
      </c>
      <c r="AD37" s="23" t="str">
        <f t="shared" si="2"/>
        <v>无销量广告费为1.75</v>
      </c>
      <c r="AE37" s="23" t="str">
        <f t="shared" si="3"/>
        <v>无销量广告费为2.02</v>
      </c>
      <c r="AF37" s="23" t="str">
        <f t="shared" si="4"/>
        <v>无销量广告费为1.11</v>
      </c>
      <c r="AG37" s="23">
        <f t="shared" si="5"/>
        <v>0.025</v>
      </c>
      <c r="AH37">
        <f>SUMIF('库存（子SKU）'!$C:$C,$A37,'库存（子SKU）'!AJ:AJ)</f>
        <v>57</v>
      </c>
      <c r="AI37">
        <f>SUMIF('库存（子SKU）'!$C:$C,$A37,'库存（子SKU）'!AK:AK)</f>
        <v>48</v>
      </c>
      <c r="AJ37">
        <f>SUMIF('库存（子SKU）'!$C:$C,$A37,'库存（子SKU）'!AL:AL)</f>
        <v>66</v>
      </c>
      <c r="AK37">
        <f>SUMIF('库存（子SKU）'!$C:$C,$A37,'库存（子SKU）'!AM:AM)</f>
        <v>50</v>
      </c>
      <c r="AL37" s="23">
        <f t="shared" si="6"/>
        <v>0</v>
      </c>
      <c r="AM37" s="23">
        <f t="shared" si="7"/>
        <v>0</v>
      </c>
      <c r="AN37" s="23">
        <f t="shared" si="8"/>
        <v>0</v>
      </c>
      <c r="AO37" s="23">
        <f t="shared" si="9"/>
        <v>0.02</v>
      </c>
      <c r="AP37" s="7">
        <f t="shared" si="10"/>
        <v>0</v>
      </c>
      <c r="AQ37" s="7">
        <f t="shared" si="11"/>
        <v>0</v>
      </c>
      <c r="AR37" s="7">
        <f t="shared" si="12"/>
        <v>121</v>
      </c>
      <c r="AS37" t="str">
        <f t="shared" si="13"/>
        <v>库存为121</v>
      </c>
      <c r="AT37" s="2" t="str">
        <f>IFERROR($A$2+AS37,"上周无销量")</f>
        <v>上周无销量</v>
      </c>
    </row>
    <row r="38" spans="1:46">
      <c r="A38" t="s">
        <v>872</v>
      </c>
      <c r="B38" s="5">
        <f>SUMIF('库存（子SKU）'!$C:$C,$A38,'库存（子SKU）'!D:D)</f>
        <v>0</v>
      </c>
      <c r="C38" s="5">
        <f>SUMIF('库存（子SKU）'!$C:$C,$A38,'库存（子SKU）'!E:E)</f>
        <v>0</v>
      </c>
      <c r="D38" s="5">
        <f>SUMIF('库存（子SKU）'!$C:$C,$A38,'库存（子SKU）'!F:F)</f>
        <v>0</v>
      </c>
      <c r="E38" s="5">
        <f>SUMIF('库存（子SKU）'!$C:$C,$A38,'库存（子SKU）'!G:G)</f>
        <v>0</v>
      </c>
      <c r="F38" s="6" t="s">
        <v>54</v>
      </c>
      <c r="G38">
        <f>SUMIF('库存（子SKU）'!$C:$C,$A38,'库存（子SKU）'!I:I)</f>
        <v>57</v>
      </c>
      <c r="H38">
        <f>SUMIF('库存（子SKU）'!$C:$C,$A38,'库存（子SKU）'!J:J)</f>
        <v>0</v>
      </c>
      <c r="I38">
        <f>SUMIF('库存（子SKU）'!$C:$C,$A38,'库存（子SKU）'!K:K)</f>
        <v>0</v>
      </c>
      <c r="J38">
        <f>SUMIF('库存（子SKU）'!$C:$C,$A38,'库存（子SKU）'!L:L)</f>
        <v>0</v>
      </c>
      <c r="K38">
        <f t="shared" si="0"/>
        <v>57</v>
      </c>
      <c r="L38">
        <f>SUMIF('库存（子SKU）'!$C:$C,$A38,'库存（子SKU）'!N:N)</f>
        <v>0</v>
      </c>
      <c r="M38">
        <f>SUMIF('库存（子SKU）'!$C:$C,$A38,'库存（子SKU）'!O:O)</f>
        <v>56</v>
      </c>
      <c r="N38">
        <f>SUMIF('库存（子SKU）'!$C:$C,$A38,'库存（子SKU）'!P:P)</f>
        <v>1627</v>
      </c>
      <c r="O38">
        <f>SUMIF('库存（子SKU）'!$C:$C,$A38,'库存（子SKU）'!Q:Q)</f>
        <v>1388</v>
      </c>
      <c r="P38">
        <f>SUMIF('库存（子SKU）'!$C:$C,$A38,'库存（子SKU）'!R:R)</f>
        <v>851</v>
      </c>
      <c r="Q38">
        <f>SUMIF('库存（子SKU）'!$C:$C,$A38,'库存（子SKU）'!S:S)</f>
        <v>1085</v>
      </c>
      <c r="R38">
        <f>SUMIF('库存（子SKU）'!$C:$C,$A38,'库存（子SKU）'!T:T)</f>
        <v>5</v>
      </c>
      <c r="S38">
        <f>SUMIF('库存（子SKU）'!$C:$C,$A38,'库存（子SKU）'!U:U)</f>
        <v>7</v>
      </c>
      <c r="T38">
        <f>SUMIF('库存（子SKU）'!$C:$C,$A38,'库存（子SKU）'!V:V)</f>
        <v>6</v>
      </c>
      <c r="U38">
        <f>SUMIF('库存（子SKU）'!$C:$C,$A38,'库存（子SKU）'!W:W)</f>
        <v>3</v>
      </c>
      <c r="V38" s="23">
        <f t="shared" si="15"/>
        <v>0.00307314074984634</v>
      </c>
      <c r="W38" s="23">
        <f t="shared" si="16"/>
        <v>0.00504322766570605</v>
      </c>
      <c r="X38" s="23">
        <f t="shared" si="17"/>
        <v>0.00705052878965922</v>
      </c>
      <c r="Y38" s="23">
        <f t="shared" si="18"/>
        <v>0.00276497695852535</v>
      </c>
      <c r="Z38">
        <f>SUMIF('库存（子SKU）'!$C:$C,$A38,'库存（子SKU）'!AB:AB)</f>
        <v>0.87</v>
      </c>
      <c r="AA38">
        <f>SUMIF('库存（子SKU）'!$C:$C,$A38,'库存（子SKU）'!AC:AC)</f>
        <v>2.33</v>
      </c>
      <c r="AB38">
        <f>SUMIF('库存（子SKU）'!$C:$C,$A38,'库存（子SKU）'!AD:AD)</f>
        <v>1.61</v>
      </c>
      <c r="AC38">
        <f>SUMIF('库存（子SKU）'!$C:$C,$A38,'库存（子SKU）'!AE:AE)</f>
        <v>0.82</v>
      </c>
      <c r="AD38" s="23" t="str">
        <f t="shared" si="2"/>
        <v>无销量广告费为0.87</v>
      </c>
      <c r="AE38" s="23" t="str">
        <f t="shared" si="3"/>
        <v>无销量广告费为2.33</v>
      </c>
      <c r="AF38" s="23" t="str">
        <f t="shared" si="4"/>
        <v>无销量广告费为1.61</v>
      </c>
      <c r="AG38" s="23" t="str">
        <f t="shared" si="5"/>
        <v>无销量广告费为0.82</v>
      </c>
      <c r="AH38">
        <f>SUMIF('库存（子SKU）'!$C:$C,$A38,'库存（子SKU）'!AJ:AJ)</f>
        <v>58</v>
      </c>
      <c r="AI38">
        <f>SUMIF('库存（子SKU）'!$C:$C,$A38,'库存（子SKU）'!AK:AK)</f>
        <v>29</v>
      </c>
      <c r="AJ38">
        <f>SUMIF('库存（子SKU）'!$C:$C,$A38,'库存（子SKU）'!AL:AL)</f>
        <v>42</v>
      </c>
      <c r="AK38">
        <f>SUMIF('库存（子SKU）'!$C:$C,$A38,'库存（子SKU）'!AM:AM)</f>
        <v>45</v>
      </c>
      <c r="AL38" s="23">
        <f t="shared" si="6"/>
        <v>0</v>
      </c>
      <c r="AM38" s="23">
        <f t="shared" si="7"/>
        <v>0</v>
      </c>
      <c r="AN38" s="23">
        <f t="shared" si="8"/>
        <v>0</v>
      </c>
      <c r="AO38" s="23">
        <f t="shared" si="9"/>
        <v>0</v>
      </c>
      <c r="AP38" s="7">
        <f t="shared" si="10"/>
        <v>0</v>
      </c>
      <c r="AQ38" s="7">
        <f t="shared" si="11"/>
        <v>0</v>
      </c>
      <c r="AR38" s="7">
        <f t="shared" si="12"/>
        <v>57</v>
      </c>
      <c r="AS38" t="str">
        <f t="shared" si="13"/>
        <v>库存为57</v>
      </c>
      <c r="AT38" s="2" t="str">
        <f>IFERROR($A$2+AS38,"上周无销量")</f>
        <v>上周无销量</v>
      </c>
    </row>
    <row r="39" spans="1:46">
      <c r="A39" t="s">
        <v>903</v>
      </c>
      <c r="B39" s="5">
        <f>SUMIF('库存（子SKU）'!$C:$C,$A39,'库存（子SKU）'!D:D)</f>
        <v>0</v>
      </c>
      <c r="C39" s="5">
        <f>SUMIF('库存（子SKU）'!$C:$C,$A39,'库存（子SKU）'!E:E)</f>
        <v>1</v>
      </c>
      <c r="D39" s="5">
        <f>SUMIF('库存（子SKU）'!$C:$C,$A39,'库存（子SKU）'!F:F)</f>
        <v>4</v>
      </c>
      <c r="E39" s="5">
        <f>SUMIF('库存（子SKU）'!$C:$C,$A39,'库存（子SKU）'!G:G)</f>
        <v>2</v>
      </c>
      <c r="F39" s="6">
        <v>10</v>
      </c>
      <c r="G39">
        <f>SUMIF('库存（子SKU）'!$C:$C,$A39,'库存（子SKU）'!I:I)</f>
        <v>13</v>
      </c>
      <c r="H39">
        <f>SUMIF('库存（子SKU）'!$C:$C,$A39,'库存（子SKU）'!J:J)</f>
        <v>0</v>
      </c>
      <c r="I39">
        <f>SUMIF('库存（子SKU）'!$C:$C,$A39,'库存（子SKU）'!K:K)</f>
        <v>0</v>
      </c>
      <c r="J39">
        <f>SUMIF('库存（子SKU）'!$C:$C,$A39,'库存（子SKU）'!L:L)</f>
        <v>1</v>
      </c>
      <c r="K39">
        <f t="shared" si="0"/>
        <v>14</v>
      </c>
      <c r="L39">
        <f>SUMIF('库存（子SKU）'!$C:$C,$A39,'库存（子SKU）'!N:N)</f>
        <v>0</v>
      </c>
      <c r="M39">
        <f>SUMIF('库存（子SKU）'!$C:$C,$A39,'库存（子SKU）'!O:O)</f>
        <v>12</v>
      </c>
      <c r="N39">
        <f>SUMIF('库存（子SKU）'!$C:$C,$A39,'库存（子SKU）'!P:P)</f>
        <v>0</v>
      </c>
      <c r="O39">
        <f>SUMIF('库存（子SKU）'!$C:$C,$A39,'库存（子SKU）'!Q:Q)</f>
        <v>0</v>
      </c>
      <c r="P39">
        <f>SUMIF('库存（子SKU）'!$C:$C,$A39,'库存（子SKU）'!R:R)</f>
        <v>0</v>
      </c>
      <c r="Q39">
        <f>SUMIF('库存（子SKU）'!$C:$C,$A39,'库存（子SKU）'!S:S)</f>
        <v>0</v>
      </c>
      <c r="R39">
        <f>SUMIF('库存（子SKU）'!$C:$C,$A39,'库存（子SKU）'!T:T)</f>
        <v>0</v>
      </c>
      <c r="S39">
        <f>SUMIF('库存（子SKU）'!$C:$C,$A39,'库存（子SKU）'!U:U)</f>
        <v>0</v>
      </c>
      <c r="T39">
        <f>SUMIF('库存（子SKU）'!$C:$C,$A39,'库存（子SKU）'!V:V)</f>
        <v>0</v>
      </c>
      <c r="U39">
        <f>SUMIF('库存（子SKU）'!$C:$C,$A39,'库存（子SKU）'!W:W)</f>
        <v>0</v>
      </c>
      <c r="V39" s="23" t="str">
        <f t="shared" si="15"/>
        <v/>
      </c>
      <c r="W39" s="23" t="str">
        <f t="shared" si="16"/>
        <v/>
      </c>
      <c r="X39" s="23" t="str">
        <f t="shared" si="17"/>
        <v/>
      </c>
      <c r="Y39" s="23" t="str">
        <f t="shared" si="18"/>
        <v/>
      </c>
      <c r="Z39">
        <f>SUMIF('库存（子SKU）'!$C:$C,$A39,'库存（子SKU）'!AB:AB)</f>
        <v>0</v>
      </c>
      <c r="AA39">
        <f>SUMIF('库存（子SKU）'!$C:$C,$A39,'库存（子SKU）'!AC:AC)</f>
        <v>0</v>
      </c>
      <c r="AB39">
        <f>SUMIF('库存（子SKU）'!$C:$C,$A39,'库存（子SKU）'!AD:AD)</f>
        <v>0</v>
      </c>
      <c r="AC39">
        <f>SUMIF('库存（子SKU）'!$C:$C,$A39,'库存（子SKU）'!AE:AE)</f>
        <v>0</v>
      </c>
      <c r="AD39" s="23" t="str">
        <f t="shared" si="2"/>
        <v/>
      </c>
      <c r="AE39" s="23">
        <f t="shared" si="3"/>
        <v>0</v>
      </c>
      <c r="AF39" s="23">
        <f t="shared" si="4"/>
        <v>0</v>
      </c>
      <c r="AG39" s="23">
        <f t="shared" si="5"/>
        <v>0</v>
      </c>
      <c r="AH39">
        <f>SUMIF('库存（子SKU）'!$C:$C,$A39,'库存（子SKU）'!AJ:AJ)</f>
        <v>17</v>
      </c>
      <c r="AI39">
        <f>SUMIF('库存（子SKU）'!$C:$C,$A39,'库存（子SKU）'!AK:AK)</f>
        <v>9</v>
      </c>
      <c r="AJ39">
        <f>SUMIF('库存（子SKU）'!$C:$C,$A39,'库存（子SKU）'!AL:AL)</f>
        <v>16</v>
      </c>
      <c r="AK39">
        <f>SUMIF('库存（子SKU）'!$C:$C,$A39,'库存（子SKU）'!AM:AM)</f>
        <v>24</v>
      </c>
      <c r="AL39" s="23">
        <f t="shared" si="6"/>
        <v>0</v>
      </c>
      <c r="AM39" s="23">
        <f t="shared" si="7"/>
        <v>0.111111111111111</v>
      </c>
      <c r="AN39" s="23">
        <f t="shared" si="8"/>
        <v>0.25</v>
      </c>
      <c r="AO39" s="23">
        <f t="shared" si="9"/>
        <v>0.0833333333333333</v>
      </c>
      <c r="AP39" s="7">
        <f t="shared" si="10"/>
        <v>0</v>
      </c>
      <c r="AQ39" s="7">
        <f t="shared" si="11"/>
        <v>0</v>
      </c>
      <c r="AR39" s="7">
        <f t="shared" si="12"/>
        <v>14</v>
      </c>
      <c r="AS39" t="str">
        <f t="shared" si="13"/>
        <v>库存为14</v>
      </c>
      <c r="AT39" s="2" t="str">
        <f>IFERROR($A$2+AS39,"上周无销量")</f>
        <v>上周无销量</v>
      </c>
    </row>
    <row r="40" spans="1:46">
      <c r="A40" t="s">
        <v>920</v>
      </c>
      <c r="B40" s="5">
        <f>SUMIF('库存（子SKU）'!$C:$C,$A40,'库存（子SKU）'!D:D)</f>
        <v>0</v>
      </c>
      <c r="C40" s="5">
        <f>SUMIF('库存（子SKU）'!$C:$C,$A40,'库存（子SKU）'!E:E)</f>
        <v>0</v>
      </c>
      <c r="D40" s="5">
        <f>SUMIF('库存（子SKU）'!$C:$C,$A40,'库存（子SKU）'!F:F)</f>
        <v>0</v>
      </c>
      <c r="E40" s="5">
        <f>SUMIF('库存（子SKU）'!$C:$C,$A40,'库存（子SKU）'!G:G)</f>
        <v>0</v>
      </c>
      <c r="F40" s="6" t="s">
        <v>54</v>
      </c>
      <c r="G40">
        <f>SUMIF('库存（子SKU）'!$C:$C,$A40,'库存（子SKU）'!I:I)</f>
        <v>0</v>
      </c>
      <c r="H40">
        <f>SUMIF('库存（子SKU）'!$C:$C,$A40,'库存（子SKU）'!J:J)</f>
        <v>0</v>
      </c>
      <c r="I40">
        <f>SUMIF('库存（子SKU）'!$C:$C,$A40,'库存（子SKU）'!K:K)</f>
        <v>0</v>
      </c>
      <c r="J40">
        <f>SUMIF('库存（子SKU）'!$C:$C,$A40,'库存（子SKU）'!L:L)</f>
        <v>0</v>
      </c>
      <c r="K40">
        <f t="shared" si="0"/>
        <v>0</v>
      </c>
      <c r="L40">
        <f>SUMIF('库存（子SKU）'!$C:$C,$A40,'库存（子SKU）'!N:N)</f>
        <v>0</v>
      </c>
      <c r="M40">
        <f>SUMIF('库存（子SKU）'!$C:$C,$A40,'库存（子SKU）'!O:O)</f>
        <v>0</v>
      </c>
      <c r="N40">
        <f>SUMIF('库存（子SKU）'!$C:$C,$A40,'库存（子SKU）'!P:P)</f>
        <v>0</v>
      </c>
      <c r="O40">
        <f>SUMIF('库存（子SKU）'!$C:$C,$A40,'库存（子SKU）'!Q:Q)</f>
        <v>0</v>
      </c>
      <c r="P40">
        <f>SUMIF('库存（子SKU）'!$C:$C,$A40,'库存（子SKU）'!R:R)</f>
        <v>0</v>
      </c>
      <c r="Q40">
        <f>SUMIF('库存（子SKU）'!$C:$C,$A40,'库存（子SKU）'!S:S)</f>
        <v>0</v>
      </c>
      <c r="R40">
        <f>SUMIF('库存（子SKU）'!$C:$C,$A40,'库存（子SKU）'!T:T)</f>
        <v>0</v>
      </c>
      <c r="S40">
        <f>SUMIF('库存（子SKU）'!$C:$C,$A40,'库存（子SKU）'!U:U)</f>
        <v>0</v>
      </c>
      <c r="T40">
        <f>SUMIF('库存（子SKU）'!$C:$C,$A40,'库存（子SKU）'!V:V)</f>
        <v>0</v>
      </c>
      <c r="U40">
        <f>SUMIF('库存（子SKU）'!$C:$C,$A40,'库存（子SKU）'!W:W)</f>
        <v>0</v>
      </c>
      <c r="V40" s="23" t="str">
        <f t="shared" si="15"/>
        <v/>
      </c>
      <c r="W40" s="23" t="str">
        <f t="shared" si="16"/>
        <v/>
      </c>
      <c r="X40" s="23" t="str">
        <f t="shared" si="17"/>
        <v/>
      </c>
      <c r="Y40" s="23" t="str">
        <f t="shared" si="18"/>
        <v/>
      </c>
      <c r="Z40">
        <f>SUMIF('库存（子SKU）'!$C:$C,$A40,'库存（子SKU）'!AB:AB)</f>
        <v>0</v>
      </c>
      <c r="AA40">
        <f>SUMIF('库存（子SKU）'!$C:$C,$A40,'库存（子SKU）'!AC:AC)</f>
        <v>0</v>
      </c>
      <c r="AB40">
        <f>SUMIF('库存（子SKU）'!$C:$C,$A40,'库存（子SKU）'!AD:AD)</f>
        <v>0</v>
      </c>
      <c r="AC40">
        <f>SUMIF('库存（子SKU）'!$C:$C,$A40,'库存（子SKU）'!AE:AE)</f>
        <v>0</v>
      </c>
      <c r="AD40" s="23" t="str">
        <f t="shared" si="2"/>
        <v/>
      </c>
      <c r="AE40" s="23" t="str">
        <f t="shared" si="3"/>
        <v/>
      </c>
      <c r="AF40" s="23" t="str">
        <f t="shared" si="4"/>
        <v/>
      </c>
      <c r="AG40" s="23" t="str">
        <f t="shared" si="5"/>
        <v/>
      </c>
      <c r="AH40">
        <f>SUMIF('库存（子SKU）'!$C:$C,$A40,'库存（子SKU）'!AJ:AJ)</f>
        <v>0</v>
      </c>
      <c r="AI40">
        <f>SUMIF('库存（子SKU）'!$C:$C,$A40,'库存（子SKU）'!AK:AK)</f>
        <v>0</v>
      </c>
      <c r="AJ40">
        <f>SUMIF('库存（子SKU）'!$C:$C,$A40,'库存（子SKU）'!AL:AL)</f>
        <v>0</v>
      </c>
      <c r="AK40">
        <f>SUMIF('库存（子SKU）'!$C:$C,$A40,'库存（子SKU）'!AM:AM)</f>
        <v>0</v>
      </c>
      <c r="AL40" s="23" t="str">
        <f t="shared" si="6"/>
        <v/>
      </c>
      <c r="AM40" s="23" t="str">
        <f t="shared" si="7"/>
        <v/>
      </c>
      <c r="AN40" s="23" t="str">
        <f t="shared" si="8"/>
        <v/>
      </c>
      <c r="AO40" s="23" t="str">
        <f t="shared" si="9"/>
        <v/>
      </c>
      <c r="AP40" s="7">
        <f t="shared" si="10"/>
        <v>0</v>
      </c>
      <c r="AQ40" s="7">
        <f t="shared" si="11"/>
        <v>0</v>
      </c>
      <c r="AR40" s="7">
        <f t="shared" si="12"/>
        <v>0</v>
      </c>
      <c r="AS40" t="str">
        <f t="shared" si="13"/>
        <v>库存为0</v>
      </c>
      <c r="AT40" s="2" t="str">
        <f>IFERROR($A$2+AS40,"上周无销量")</f>
        <v>上周无销量</v>
      </c>
    </row>
    <row r="41" spans="1:46">
      <c r="A41" t="s">
        <v>923</v>
      </c>
      <c r="B41" s="5">
        <f>SUMIF('库存（子SKU）'!$C:$C,$A41,'库存（子SKU）'!D:D)</f>
        <v>0</v>
      </c>
      <c r="C41" s="5">
        <f>SUMIF('库存（子SKU）'!$C:$C,$A41,'库存（子SKU）'!E:E)</f>
        <v>0</v>
      </c>
      <c r="D41" s="5">
        <f>SUMIF('库存（子SKU）'!$C:$C,$A41,'库存（子SKU）'!F:F)</f>
        <v>0</v>
      </c>
      <c r="E41" s="5">
        <f>SUMIF('库存（子SKU）'!$C:$C,$A41,'库存（子SKU）'!G:G)</f>
        <v>0</v>
      </c>
      <c r="F41" s="6" t="s">
        <v>54</v>
      </c>
      <c r="G41">
        <f>SUMIF('库存（子SKU）'!$C:$C,$A41,'库存（子SKU）'!I:I)</f>
        <v>0</v>
      </c>
      <c r="H41">
        <f>SUMIF('库存（子SKU）'!$C:$C,$A41,'库存（子SKU）'!J:J)</f>
        <v>0</v>
      </c>
      <c r="I41">
        <f>SUMIF('库存（子SKU）'!$C:$C,$A41,'库存（子SKU）'!K:K)</f>
        <v>0</v>
      </c>
      <c r="J41">
        <f>SUMIF('库存（子SKU）'!$C:$C,$A41,'库存（子SKU）'!L:L)</f>
        <v>0</v>
      </c>
      <c r="K41">
        <f t="shared" si="0"/>
        <v>0</v>
      </c>
      <c r="L41">
        <f>SUMIF('库存（子SKU）'!$C:$C,$A41,'库存（子SKU）'!N:N)</f>
        <v>0</v>
      </c>
      <c r="M41">
        <f>SUMIF('库存（子SKU）'!$C:$C,$A41,'库存（子SKU）'!O:O)</f>
        <v>0</v>
      </c>
      <c r="N41">
        <f>SUMIF('库存（子SKU）'!$C:$C,$A41,'库存（子SKU）'!P:P)</f>
        <v>0</v>
      </c>
      <c r="O41">
        <f>SUMIF('库存（子SKU）'!$C:$C,$A41,'库存（子SKU）'!Q:Q)</f>
        <v>0</v>
      </c>
      <c r="P41">
        <f>SUMIF('库存（子SKU）'!$C:$C,$A41,'库存（子SKU）'!R:R)</f>
        <v>0</v>
      </c>
      <c r="Q41">
        <f>SUMIF('库存（子SKU）'!$C:$C,$A41,'库存（子SKU）'!S:S)</f>
        <v>0</v>
      </c>
      <c r="R41">
        <f>SUMIF('库存（子SKU）'!$C:$C,$A41,'库存（子SKU）'!T:T)</f>
        <v>0</v>
      </c>
      <c r="S41">
        <f>SUMIF('库存（子SKU）'!$C:$C,$A41,'库存（子SKU）'!U:U)</f>
        <v>0</v>
      </c>
      <c r="T41">
        <f>SUMIF('库存（子SKU）'!$C:$C,$A41,'库存（子SKU）'!V:V)</f>
        <v>0</v>
      </c>
      <c r="U41">
        <f>SUMIF('库存（子SKU）'!$C:$C,$A41,'库存（子SKU）'!W:W)</f>
        <v>0</v>
      </c>
      <c r="V41" s="23" t="str">
        <f t="shared" si="15"/>
        <v/>
      </c>
      <c r="W41" s="23" t="str">
        <f t="shared" si="16"/>
        <v/>
      </c>
      <c r="X41" s="23" t="str">
        <f t="shared" si="17"/>
        <v/>
      </c>
      <c r="Y41" s="23" t="str">
        <f t="shared" si="18"/>
        <v/>
      </c>
      <c r="Z41">
        <f>SUMIF('库存（子SKU）'!$C:$C,$A41,'库存（子SKU）'!AB:AB)</f>
        <v>0</v>
      </c>
      <c r="AA41">
        <f>SUMIF('库存（子SKU）'!$C:$C,$A41,'库存（子SKU）'!AC:AC)</f>
        <v>0</v>
      </c>
      <c r="AB41">
        <f>SUMIF('库存（子SKU）'!$C:$C,$A41,'库存（子SKU）'!AD:AD)</f>
        <v>0</v>
      </c>
      <c r="AC41">
        <f>SUMIF('库存（子SKU）'!$C:$C,$A41,'库存（子SKU）'!AE:AE)</f>
        <v>0</v>
      </c>
      <c r="AD41" s="23" t="str">
        <f t="shared" si="2"/>
        <v/>
      </c>
      <c r="AE41" s="23" t="str">
        <f t="shared" si="3"/>
        <v/>
      </c>
      <c r="AF41" s="23" t="str">
        <f t="shared" si="4"/>
        <v/>
      </c>
      <c r="AG41" s="23" t="str">
        <f t="shared" si="5"/>
        <v/>
      </c>
      <c r="AH41">
        <f>SUMIF('库存（子SKU）'!$C:$C,$A41,'库存（子SKU）'!AJ:AJ)</f>
        <v>0</v>
      </c>
      <c r="AI41">
        <f>SUMIF('库存（子SKU）'!$C:$C,$A41,'库存（子SKU）'!AK:AK)</f>
        <v>0</v>
      </c>
      <c r="AJ41">
        <f>SUMIF('库存（子SKU）'!$C:$C,$A41,'库存（子SKU）'!AL:AL)</f>
        <v>0</v>
      </c>
      <c r="AK41">
        <f>SUMIF('库存（子SKU）'!$C:$C,$A41,'库存（子SKU）'!AM:AM)</f>
        <v>0</v>
      </c>
      <c r="AL41" s="23" t="str">
        <f t="shared" si="6"/>
        <v/>
      </c>
      <c r="AM41" s="23" t="str">
        <f t="shared" si="7"/>
        <v/>
      </c>
      <c r="AN41" s="23" t="str">
        <f t="shared" si="8"/>
        <v/>
      </c>
      <c r="AO41" s="23" t="str">
        <f t="shared" si="9"/>
        <v/>
      </c>
      <c r="AP41" s="7">
        <f t="shared" si="10"/>
        <v>0</v>
      </c>
      <c r="AQ41" s="7">
        <f t="shared" si="11"/>
        <v>0</v>
      </c>
      <c r="AR41" s="7">
        <f t="shared" si="12"/>
        <v>0</v>
      </c>
      <c r="AS41" t="str">
        <f t="shared" si="13"/>
        <v>库存为0</v>
      </c>
      <c r="AT41" s="2" t="str">
        <f>IFERROR($A$2+AS41,"上周无销量")</f>
        <v>上周无销量</v>
      </c>
    </row>
    <row r="42" spans="1:46">
      <c r="A42" t="s">
        <v>928</v>
      </c>
      <c r="B42" s="5">
        <f>SUMIF('库存（子SKU）'!$C:$C,$A42,'库存（子SKU）'!D:D)</f>
        <v>0</v>
      </c>
      <c r="C42" s="5">
        <f>SUMIF('库存（子SKU）'!$C:$C,$A42,'库存（子SKU）'!E:E)</f>
        <v>0</v>
      </c>
      <c r="D42" s="5">
        <f>SUMIF('库存（子SKU）'!$C:$C,$A42,'库存（子SKU）'!F:F)</f>
        <v>0</v>
      </c>
      <c r="E42" s="5">
        <f>SUMIF('库存（子SKU）'!$C:$C,$A42,'库存（子SKU）'!G:G)</f>
        <v>0</v>
      </c>
      <c r="F42" s="6" t="s">
        <v>54</v>
      </c>
      <c r="G42">
        <f>SUMIF('库存（子SKU）'!$C:$C,$A42,'库存（子SKU）'!I:I)</f>
        <v>1</v>
      </c>
      <c r="H42">
        <f>SUMIF('库存（子SKU）'!$C:$C,$A42,'库存（子SKU）'!J:J)</f>
        <v>0</v>
      </c>
      <c r="I42">
        <f>SUMIF('库存（子SKU）'!$C:$C,$A42,'库存（子SKU）'!K:K)</f>
        <v>0</v>
      </c>
      <c r="J42">
        <f>SUMIF('库存（子SKU）'!$C:$C,$A42,'库存（子SKU）'!L:L)</f>
        <v>0</v>
      </c>
      <c r="K42">
        <f t="shared" si="0"/>
        <v>1</v>
      </c>
      <c r="L42">
        <f>SUMIF('库存（子SKU）'!$C:$C,$A42,'库存（子SKU）'!N:N)</f>
        <v>0</v>
      </c>
      <c r="M42">
        <f>SUMIF('库存（子SKU）'!$C:$C,$A42,'库存（子SKU）'!O:O)</f>
        <v>1</v>
      </c>
      <c r="N42">
        <f>SUMIF('库存（子SKU）'!$C:$C,$A42,'库存（子SKU）'!P:P)</f>
        <v>0</v>
      </c>
      <c r="O42">
        <f>SUMIF('库存（子SKU）'!$C:$C,$A42,'库存（子SKU）'!Q:Q)</f>
        <v>0</v>
      </c>
      <c r="P42">
        <f>SUMIF('库存（子SKU）'!$C:$C,$A42,'库存（子SKU）'!R:R)</f>
        <v>0</v>
      </c>
      <c r="Q42">
        <f>SUMIF('库存（子SKU）'!$C:$C,$A42,'库存（子SKU）'!S:S)</f>
        <v>0</v>
      </c>
      <c r="R42">
        <f>SUMIF('库存（子SKU）'!$C:$C,$A42,'库存（子SKU）'!T:T)</f>
        <v>0</v>
      </c>
      <c r="S42">
        <f>SUMIF('库存（子SKU）'!$C:$C,$A42,'库存（子SKU）'!U:U)</f>
        <v>0</v>
      </c>
      <c r="T42">
        <f>SUMIF('库存（子SKU）'!$C:$C,$A42,'库存（子SKU）'!V:V)</f>
        <v>0</v>
      </c>
      <c r="U42">
        <f>SUMIF('库存（子SKU）'!$C:$C,$A42,'库存（子SKU）'!W:W)</f>
        <v>0</v>
      </c>
      <c r="V42" s="23" t="str">
        <f t="shared" si="15"/>
        <v/>
      </c>
      <c r="W42" s="23" t="str">
        <f t="shared" si="16"/>
        <v/>
      </c>
      <c r="X42" s="23" t="str">
        <f t="shared" si="17"/>
        <v/>
      </c>
      <c r="Y42" s="23" t="str">
        <f t="shared" si="18"/>
        <v/>
      </c>
      <c r="Z42">
        <f>SUMIF('库存（子SKU）'!$C:$C,$A42,'库存（子SKU）'!AB:AB)</f>
        <v>0</v>
      </c>
      <c r="AA42">
        <f>SUMIF('库存（子SKU）'!$C:$C,$A42,'库存（子SKU）'!AC:AC)</f>
        <v>0</v>
      </c>
      <c r="AB42">
        <f>SUMIF('库存（子SKU）'!$C:$C,$A42,'库存（子SKU）'!AD:AD)</f>
        <v>0</v>
      </c>
      <c r="AC42">
        <f>SUMIF('库存（子SKU）'!$C:$C,$A42,'库存（子SKU）'!AE:AE)</f>
        <v>0</v>
      </c>
      <c r="AD42" s="23" t="str">
        <f t="shared" si="2"/>
        <v/>
      </c>
      <c r="AE42" s="23" t="str">
        <f t="shared" si="3"/>
        <v/>
      </c>
      <c r="AF42" s="23" t="str">
        <f t="shared" si="4"/>
        <v/>
      </c>
      <c r="AG42" s="23" t="str">
        <f t="shared" si="5"/>
        <v/>
      </c>
      <c r="AH42">
        <f>SUMIF('库存（子SKU）'!$C:$C,$A42,'库存（子SKU）'!AJ:AJ)</f>
        <v>7</v>
      </c>
      <c r="AI42">
        <f>SUMIF('库存（子SKU）'!$C:$C,$A42,'库存（子SKU）'!AK:AK)</f>
        <v>5</v>
      </c>
      <c r="AJ42">
        <f>SUMIF('库存（子SKU）'!$C:$C,$A42,'库存（子SKU）'!AL:AL)</f>
        <v>8</v>
      </c>
      <c r="AK42">
        <f>SUMIF('库存（子SKU）'!$C:$C,$A42,'库存（子SKU）'!AM:AM)</f>
        <v>7</v>
      </c>
      <c r="AL42" s="23">
        <f t="shared" si="6"/>
        <v>0</v>
      </c>
      <c r="AM42" s="23">
        <f t="shared" si="7"/>
        <v>0</v>
      </c>
      <c r="AN42" s="23">
        <f t="shared" si="8"/>
        <v>0</v>
      </c>
      <c r="AO42" s="23">
        <f t="shared" si="9"/>
        <v>0</v>
      </c>
      <c r="AP42" s="7">
        <f t="shared" si="10"/>
        <v>0</v>
      </c>
      <c r="AQ42" s="7">
        <f t="shared" si="11"/>
        <v>0</v>
      </c>
      <c r="AR42" s="7">
        <f t="shared" si="12"/>
        <v>1</v>
      </c>
      <c r="AS42" t="str">
        <f t="shared" si="13"/>
        <v>库存为1</v>
      </c>
      <c r="AT42" s="2" t="str">
        <f>IFERROR($A$2+AS42,"上周无销量")</f>
        <v>上周无销量</v>
      </c>
    </row>
    <row r="43" spans="1:46">
      <c r="A43" t="s">
        <v>933</v>
      </c>
      <c r="B43" s="5">
        <f>SUMIF('库存（子SKU）'!$C:$C,$A43,'库存（子SKU）'!D:D)</f>
        <v>0</v>
      </c>
      <c r="C43" s="5">
        <f>SUMIF('库存（子SKU）'!$C:$C,$A43,'库存（子SKU）'!E:E)</f>
        <v>0</v>
      </c>
      <c r="D43" s="5">
        <f>SUMIF('库存（子SKU）'!$C:$C,$A43,'库存（子SKU）'!F:F)</f>
        <v>0</v>
      </c>
      <c r="E43" s="5">
        <f>SUMIF('库存（子SKU）'!$C:$C,$A43,'库存（子SKU）'!G:G)</f>
        <v>0</v>
      </c>
      <c r="F43" s="6" t="s">
        <v>54</v>
      </c>
      <c r="G43">
        <f>SUMIF('库存（子SKU）'!$C:$C,$A43,'库存（子SKU）'!I:I)</f>
        <v>17</v>
      </c>
      <c r="H43">
        <f>SUMIF('库存（子SKU）'!$C:$C,$A43,'库存（子SKU）'!J:J)</f>
        <v>0</v>
      </c>
      <c r="I43">
        <f>SUMIF('库存（子SKU）'!$C:$C,$A43,'库存（子SKU）'!K:K)</f>
        <v>0</v>
      </c>
      <c r="J43">
        <f>SUMIF('库存（子SKU）'!$C:$C,$A43,'库存（子SKU）'!L:L)</f>
        <v>0</v>
      </c>
      <c r="K43">
        <f t="shared" si="0"/>
        <v>17</v>
      </c>
      <c r="L43">
        <f>SUMIF('库存（子SKU）'!$C:$C,$A43,'库存（子SKU）'!N:N)</f>
        <v>0</v>
      </c>
      <c r="M43">
        <f>SUMIF('库存（子SKU）'!$C:$C,$A43,'库存（子SKU）'!O:O)</f>
        <v>17</v>
      </c>
      <c r="N43">
        <f>SUMIF('库存（子SKU）'!$C:$C,$A43,'库存（子SKU）'!P:P)</f>
        <v>0</v>
      </c>
      <c r="O43">
        <f>SUMIF('库存（子SKU）'!$C:$C,$A43,'库存（子SKU）'!Q:Q)</f>
        <v>0</v>
      </c>
      <c r="P43">
        <f>SUMIF('库存（子SKU）'!$C:$C,$A43,'库存（子SKU）'!R:R)</f>
        <v>0</v>
      </c>
      <c r="Q43">
        <f>SUMIF('库存（子SKU）'!$C:$C,$A43,'库存（子SKU）'!S:S)</f>
        <v>0</v>
      </c>
      <c r="R43">
        <f>SUMIF('库存（子SKU）'!$C:$C,$A43,'库存（子SKU）'!T:T)</f>
        <v>0</v>
      </c>
      <c r="S43">
        <f>SUMIF('库存（子SKU）'!$C:$C,$A43,'库存（子SKU）'!U:U)</f>
        <v>0</v>
      </c>
      <c r="T43">
        <f>SUMIF('库存（子SKU）'!$C:$C,$A43,'库存（子SKU）'!V:V)</f>
        <v>0</v>
      </c>
      <c r="U43">
        <f>SUMIF('库存（子SKU）'!$C:$C,$A43,'库存（子SKU）'!W:W)</f>
        <v>0</v>
      </c>
      <c r="V43" s="23" t="str">
        <f t="shared" si="15"/>
        <v/>
      </c>
      <c r="W43" s="23" t="str">
        <f t="shared" si="16"/>
        <v/>
      </c>
      <c r="X43" s="23" t="str">
        <f t="shared" si="17"/>
        <v/>
      </c>
      <c r="Y43" s="23" t="str">
        <f t="shared" si="18"/>
        <v/>
      </c>
      <c r="Z43">
        <f>SUMIF('库存（子SKU）'!$C:$C,$A43,'库存（子SKU）'!AB:AB)</f>
        <v>0</v>
      </c>
      <c r="AA43">
        <f>SUMIF('库存（子SKU）'!$C:$C,$A43,'库存（子SKU）'!AC:AC)</f>
        <v>0</v>
      </c>
      <c r="AB43">
        <f>SUMIF('库存（子SKU）'!$C:$C,$A43,'库存（子SKU）'!AD:AD)</f>
        <v>0</v>
      </c>
      <c r="AC43">
        <f>SUMIF('库存（子SKU）'!$C:$C,$A43,'库存（子SKU）'!AE:AE)</f>
        <v>0</v>
      </c>
      <c r="AD43" s="23" t="str">
        <f t="shared" si="2"/>
        <v/>
      </c>
      <c r="AE43" s="23" t="str">
        <f t="shared" si="3"/>
        <v/>
      </c>
      <c r="AF43" s="23" t="str">
        <f t="shared" si="4"/>
        <v/>
      </c>
      <c r="AG43" s="23" t="str">
        <f t="shared" si="5"/>
        <v/>
      </c>
      <c r="AH43">
        <f>SUMIF('库存（子SKU）'!$C:$C,$A43,'库存（子SKU）'!AJ:AJ)</f>
        <v>26</v>
      </c>
      <c r="AI43">
        <f>SUMIF('库存（子SKU）'!$C:$C,$A43,'库存（子SKU）'!AK:AK)</f>
        <v>27</v>
      </c>
      <c r="AJ43">
        <f>SUMIF('库存（子SKU）'!$C:$C,$A43,'库存（子SKU）'!AL:AL)</f>
        <v>18</v>
      </c>
      <c r="AK43">
        <f>SUMIF('库存（子SKU）'!$C:$C,$A43,'库存（子SKU）'!AM:AM)</f>
        <v>13</v>
      </c>
      <c r="AL43" s="23">
        <f t="shared" si="6"/>
        <v>0</v>
      </c>
      <c r="AM43" s="23">
        <f t="shared" si="7"/>
        <v>0</v>
      </c>
      <c r="AN43" s="23">
        <f t="shared" si="8"/>
        <v>0</v>
      </c>
      <c r="AO43" s="23">
        <f t="shared" si="9"/>
        <v>0</v>
      </c>
      <c r="AP43" s="7">
        <f t="shared" si="10"/>
        <v>0</v>
      </c>
      <c r="AQ43" s="7">
        <f t="shared" si="11"/>
        <v>0</v>
      </c>
      <c r="AR43" s="7">
        <f t="shared" si="12"/>
        <v>17</v>
      </c>
      <c r="AS43" t="str">
        <f t="shared" si="13"/>
        <v>库存为17</v>
      </c>
      <c r="AT43" s="2" t="str">
        <f>IFERROR($A$2+AS43,"上周无销量")</f>
        <v>上周无销量</v>
      </c>
    </row>
    <row r="44" spans="1:46">
      <c r="A44" t="s">
        <v>946</v>
      </c>
      <c r="B44" s="5">
        <f>SUMIF('库存（子SKU）'!$C:$C,$A44,'库存（子SKU）'!D:D)</f>
        <v>3</v>
      </c>
      <c r="C44" s="5">
        <f>SUMIF('库存（子SKU）'!$C:$C,$A44,'库存（子SKU）'!E:E)</f>
        <v>2</v>
      </c>
      <c r="D44" s="5">
        <f>SUMIF('库存（子SKU）'!$C:$C,$A44,'库存（子SKU）'!F:F)</f>
        <v>3</v>
      </c>
      <c r="E44" s="5">
        <f>SUMIF('库存（子SKU）'!$C:$C,$A44,'库存（子SKU）'!G:G)</f>
        <v>2</v>
      </c>
      <c r="F44" s="6">
        <v>16.48</v>
      </c>
      <c r="G44">
        <f>SUMIF('库存（子SKU）'!$C:$C,$A44,'库存（子SKU）'!I:I)</f>
        <v>19</v>
      </c>
      <c r="H44">
        <f>SUMIF('库存（子SKU）'!$C:$C,$A44,'库存（子SKU）'!J:J)</f>
        <v>0</v>
      </c>
      <c r="I44">
        <f>SUMIF('库存（子SKU）'!$C:$C,$A44,'库存（子SKU）'!K:K)</f>
        <v>0</v>
      </c>
      <c r="J44">
        <f>SUMIF('库存（子SKU）'!$C:$C,$A44,'库存（子SKU）'!L:L)</f>
        <v>0</v>
      </c>
      <c r="K44">
        <f t="shared" si="0"/>
        <v>19</v>
      </c>
      <c r="L44">
        <f>SUMIF('库存（子SKU）'!$C:$C,$A44,'库存（子SKU）'!N:N)</f>
        <v>0</v>
      </c>
      <c r="M44">
        <f>SUMIF('库存（子SKU）'!$C:$C,$A44,'库存（子SKU）'!O:O)</f>
        <v>17</v>
      </c>
      <c r="N44">
        <f>SUMIF('库存（子SKU）'!$C:$C,$A44,'库存（子SKU）'!P:P)</f>
        <v>0</v>
      </c>
      <c r="O44">
        <f>SUMIF('库存（子SKU）'!$C:$C,$A44,'库存（子SKU）'!Q:Q)</f>
        <v>0</v>
      </c>
      <c r="P44">
        <f>SUMIF('库存（子SKU）'!$C:$C,$A44,'库存（子SKU）'!R:R)</f>
        <v>0</v>
      </c>
      <c r="Q44">
        <f>SUMIF('库存（子SKU）'!$C:$C,$A44,'库存（子SKU）'!S:S)</f>
        <v>0</v>
      </c>
      <c r="R44">
        <f>SUMIF('库存（子SKU）'!$C:$C,$A44,'库存（子SKU）'!T:T)</f>
        <v>0</v>
      </c>
      <c r="S44">
        <f>SUMIF('库存（子SKU）'!$C:$C,$A44,'库存（子SKU）'!U:U)</f>
        <v>0</v>
      </c>
      <c r="T44">
        <f>SUMIF('库存（子SKU）'!$C:$C,$A44,'库存（子SKU）'!V:V)</f>
        <v>0</v>
      </c>
      <c r="U44">
        <f>SUMIF('库存（子SKU）'!$C:$C,$A44,'库存（子SKU）'!W:W)</f>
        <v>0</v>
      </c>
      <c r="V44" s="23" t="str">
        <f t="shared" si="15"/>
        <v/>
      </c>
      <c r="W44" s="23" t="str">
        <f t="shared" si="16"/>
        <v/>
      </c>
      <c r="X44" s="23" t="str">
        <f t="shared" si="17"/>
        <v/>
      </c>
      <c r="Y44" s="23" t="str">
        <f t="shared" si="18"/>
        <v/>
      </c>
      <c r="Z44">
        <f>SUMIF('库存（子SKU）'!$C:$C,$A44,'库存（子SKU）'!AB:AB)</f>
        <v>0</v>
      </c>
      <c r="AA44">
        <f>SUMIF('库存（子SKU）'!$C:$C,$A44,'库存（子SKU）'!AC:AC)</f>
        <v>0</v>
      </c>
      <c r="AB44">
        <f>SUMIF('库存（子SKU）'!$C:$C,$A44,'库存（子SKU）'!AD:AD)</f>
        <v>0</v>
      </c>
      <c r="AC44">
        <f>SUMIF('库存（子SKU）'!$C:$C,$A44,'库存（子SKU）'!AE:AE)</f>
        <v>0</v>
      </c>
      <c r="AD44" s="23">
        <f t="shared" si="2"/>
        <v>0</v>
      </c>
      <c r="AE44" s="23">
        <f t="shared" si="3"/>
        <v>0</v>
      </c>
      <c r="AF44" s="23">
        <f t="shared" si="4"/>
        <v>0</v>
      </c>
      <c r="AG44" s="23">
        <f t="shared" si="5"/>
        <v>0</v>
      </c>
      <c r="AH44">
        <f>SUMIF('库存（子SKU）'!$C:$C,$A44,'库存（子SKU）'!AJ:AJ)</f>
        <v>48</v>
      </c>
      <c r="AI44">
        <f>SUMIF('库存（子SKU）'!$C:$C,$A44,'库存（子SKU）'!AK:AK)</f>
        <v>26</v>
      </c>
      <c r="AJ44">
        <f>SUMIF('库存（子SKU）'!$C:$C,$A44,'库存（子SKU）'!AL:AL)</f>
        <v>41</v>
      </c>
      <c r="AK44">
        <f>SUMIF('库存（子SKU）'!$C:$C,$A44,'库存（子SKU）'!AM:AM)</f>
        <v>36</v>
      </c>
      <c r="AL44" s="23">
        <f t="shared" si="6"/>
        <v>0.0625</v>
      </c>
      <c r="AM44" s="23">
        <f t="shared" si="7"/>
        <v>0.0769230769230769</v>
      </c>
      <c r="AN44" s="23">
        <f t="shared" si="8"/>
        <v>0.0731707317073171</v>
      </c>
      <c r="AO44" s="23">
        <f t="shared" si="9"/>
        <v>0.0555555555555556</v>
      </c>
      <c r="AP44" s="7">
        <f t="shared" si="10"/>
        <v>0.428571428571429</v>
      </c>
      <c r="AQ44" s="7">
        <f t="shared" si="11"/>
        <v>25.7142857142857</v>
      </c>
      <c r="AR44" s="7">
        <f t="shared" si="12"/>
        <v>-6.71428571428571</v>
      </c>
      <c r="AS44">
        <f t="shared" si="13"/>
        <v>44</v>
      </c>
      <c r="AT44" s="2">
        <f>IFERROR($A$2+AS44,"上周无销量")</f>
        <v>43334</v>
      </c>
    </row>
    <row r="45" spans="1:46">
      <c r="A45" t="s">
        <v>965</v>
      </c>
      <c r="B45" s="5">
        <f>SUMIF('库存（子SKU）'!$C:$C,$A45,'库存（子SKU）'!D:D)</f>
        <v>0</v>
      </c>
      <c r="C45" s="5">
        <f>SUMIF('库存（子SKU）'!$C:$C,$A45,'库存（子SKU）'!E:E)</f>
        <v>0</v>
      </c>
      <c r="D45" s="5">
        <f>SUMIF('库存（子SKU）'!$C:$C,$A45,'库存（子SKU）'!F:F)</f>
        <v>0</v>
      </c>
      <c r="E45" s="5">
        <f>SUMIF('库存（子SKU）'!$C:$C,$A45,'库存（子SKU）'!G:G)</f>
        <v>0</v>
      </c>
      <c r="F45" s="6" t="s">
        <v>54</v>
      </c>
      <c r="G45">
        <f>SUMIF('库存（子SKU）'!$C:$C,$A45,'库存（子SKU）'!I:I)</f>
        <v>0</v>
      </c>
      <c r="H45">
        <f>SUMIF('库存（子SKU）'!$C:$C,$A45,'库存（子SKU）'!J:J)</f>
        <v>0</v>
      </c>
      <c r="I45">
        <f>SUMIF('库存（子SKU）'!$C:$C,$A45,'库存（子SKU）'!K:K)</f>
        <v>0</v>
      </c>
      <c r="J45">
        <f>SUMIF('库存（子SKU）'!$C:$C,$A45,'库存（子SKU）'!L:L)</f>
        <v>0</v>
      </c>
      <c r="K45">
        <f t="shared" si="0"/>
        <v>0</v>
      </c>
      <c r="L45">
        <f>SUMIF('库存（子SKU）'!$C:$C,$A45,'库存（子SKU）'!N:N)</f>
        <v>0</v>
      </c>
      <c r="M45">
        <f>SUMIF('库存（子SKU）'!$C:$C,$A45,'库存（子SKU）'!O:O)</f>
        <v>0</v>
      </c>
      <c r="N45">
        <f>SUMIF('库存（子SKU）'!$C:$C,$A45,'库存（子SKU）'!P:P)</f>
        <v>0</v>
      </c>
      <c r="O45">
        <f>SUMIF('库存（子SKU）'!$C:$C,$A45,'库存（子SKU）'!Q:Q)</f>
        <v>0</v>
      </c>
      <c r="P45">
        <f>SUMIF('库存（子SKU）'!$C:$C,$A45,'库存（子SKU）'!R:R)</f>
        <v>0</v>
      </c>
      <c r="Q45">
        <f>SUMIF('库存（子SKU）'!$C:$C,$A45,'库存（子SKU）'!S:S)</f>
        <v>0</v>
      </c>
      <c r="R45">
        <f>SUMIF('库存（子SKU）'!$C:$C,$A45,'库存（子SKU）'!T:T)</f>
        <v>0</v>
      </c>
      <c r="S45">
        <f>SUMIF('库存（子SKU）'!$C:$C,$A45,'库存（子SKU）'!U:U)</f>
        <v>0</v>
      </c>
      <c r="T45">
        <f>SUMIF('库存（子SKU）'!$C:$C,$A45,'库存（子SKU）'!V:V)</f>
        <v>0</v>
      </c>
      <c r="U45">
        <f>SUMIF('库存（子SKU）'!$C:$C,$A45,'库存（子SKU）'!W:W)</f>
        <v>0</v>
      </c>
      <c r="V45" s="23" t="str">
        <f t="shared" si="15"/>
        <v/>
      </c>
      <c r="W45" s="23" t="str">
        <f t="shared" si="16"/>
        <v/>
      </c>
      <c r="X45" s="23" t="str">
        <f t="shared" si="17"/>
        <v/>
      </c>
      <c r="Y45" s="23" t="str">
        <f t="shared" si="18"/>
        <v/>
      </c>
      <c r="Z45">
        <f>SUMIF('库存（子SKU）'!$C:$C,$A45,'库存（子SKU）'!AB:AB)</f>
        <v>0</v>
      </c>
      <c r="AA45">
        <f>SUMIF('库存（子SKU）'!$C:$C,$A45,'库存（子SKU）'!AC:AC)</f>
        <v>0</v>
      </c>
      <c r="AB45">
        <f>SUMIF('库存（子SKU）'!$C:$C,$A45,'库存（子SKU）'!AD:AD)</f>
        <v>0</v>
      </c>
      <c r="AC45">
        <f>SUMIF('库存（子SKU）'!$C:$C,$A45,'库存（子SKU）'!AE:AE)</f>
        <v>0</v>
      </c>
      <c r="AD45" s="23" t="str">
        <f t="shared" si="2"/>
        <v/>
      </c>
      <c r="AE45" s="23" t="str">
        <f t="shared" si="3"/>
        <v/>
      </c>
      <c r="AF45" s="23" t="str">
        <f t="shared" si="4"/>
        <v/>
      </c>
      <c r="AG45" s="23" t="str">
        <f t="shared" si="5"/>
        <v/>
      </c>
      <c r="AH45">
        <f>SUMIF('库存（子SKU）'!$C:$C,$A45,'库存（子SKU）'!AJ:AJ)</f>
        <v>0</v>
      </c>
      <c r="AI45">
        <f>SUMIF('库存（子SKU）'!$C:$C,$A45,'库存（子SKU）'!AK:AK)</f>
        <v>0</v>
      </c>
      <c r="AJ45">
        <f>SUMIF('库存（子SKU）'!$C:$C,$A45,'库存（子SKU）'!AL:AL)</f>
        <v>0</v>
      </c>
      <c r="AK45">
        <f>SUMIF('库存（子SKU）'!$C:$C,$A45,'库存（子SKU）'!AM:AM)</f>
        <v>0</v>
      </c>
      <c r="AL45" s="23" t="str">
        <f t="shared" si="6"/>
        <v/>
      </c>
      <c r="AM45" s="23" t="str">
        <f t="shared" si="7"/>
        <v/>
      </c>
      <c r="AN45" s="23" t="str">
        <f t="shared" si="8"/>
        <v/>
      </c>
      <c r="AO45" s="23" t="str">
        <f t="shared" si="9"/>
        <v/>
      </c>
      <c r="AP45" s="7">
        <f t="shared" si="10"/>
        <v>0</v>
      </c>
      <c r="AQ45" s="7">
        <f t="shared" si="11"/>
        <v>0</v>
      </c>
      <c r="AR45" s="7">
        <f t="shared" si="12"/>
        <v>0</v>
      </c>
      <c r="AS45" t="str">
        <f t="shared" si="13"/>
        <v>库存为0</v>
      </c>
      <c r="AT45" s="2" t="str">
        <f>IFERROR($A$2+AS45,"上周无销量")</f>
        <v>上周无销量</v>
      </c>
    </row>
    <row r="46" spans="1:46">
      <c r="A46" t="s">
        <v>970</v>
      </c>
      <c r="B46" s="5">
        <f>SUMIF('库存（子SKU）'!$C:$C,$A46,'库存（子SKU）'!D:D)</f>
        <v>0</v>
      </c>
      <c r="C46" s="5">
        <f>SUMIF('库存（子SKU）'!$C:$C,$A46,'库存（子SKU）'!E:E)</f>
        <v>0</v>
      </c>
      <c r="D46" s="5">
        <f>SUMIF('库存（子SKU）'!$C:$C,$A46,'库存（子SKU）'!F:F)</f>
        <v>1</v>
      </c>
      <c r="E46" s="5">
        <f>SUMIF('库存（子SKU）'!$C:$C,$A46,'库存（子SKU）'!G:G)</f>
        <v>1</v>
      </c>
      <c r="F46" s="6">
        <v>10</v>
      </c>
      <c r="G46">
        <f>SUMIF('库存（子SKU）'!$C:$C,$A46,'库存（子SKU）'!I:I)</f>
        <v>0</v>
      </c>
      <c r="H46">
        <f>SUMIF('库存（子SKU）'!$C:$C,$A46,'库存（子SKU）'!J:J)</f>
        <v>0</v>
      </c>
      <c r="I46">
        <f>SUMIF('库存（子SKU）'!$C:$C,$A46,'库存（子SKU）'!K:K)</f>
        <v>0</v>
      </c>
      <c r="J46">
        <f>SUMIF('库存（子SKU）'!$C:$C,$A46,'库存（子SKU）'!L:L)</f>
        <v>0</v>
      </c>
      <c r="K46">
        <f t="shared" si="0"/>
        <v>0</v>
      </c>
      <c r="L46">
        <f>SUMIF('库存（子SKU）'!$C:$C,$A46,'库存（子SKU）'!N:N)</f>
        <v>0</v>
      </c>
      <c r="M46">
        <f>SUMIF('库存（子SKU）'!$C:$C,$A46,'库存（子SKU）'!O:O)</f>
        <v>0</v>
      </c>
      <c r="N46">
        <f>SUMIF('库存（子SKU）'!$C:$C,$A46,'库存（子SKU）'!P:P)</f>
        <v>0</v>
      </c>
      <c r="O46">
        <f>SUMIF('库存（子SKU）'!$C:$C,$A46,'库存（子SKU）'!Q:Q)</f>
        <v>0</v>
      </c>
      <c r="P46">
        <f>SUMIF('库存（子SKU）'!$C:$C,$A46,'库存（子SKU）'!R:R)</f>
        <v>0</v>
      </c>
      <c r="Q46">
        <f>SUMIF('库存（子SKU）'!$C:$C,$A46,'库存（子SKU）'!S:S)</f>
        <v>0</v>
      </c>
      <c r="R46">
        <f>SUMIF('库存（子SKU）'!$C:$C,$A46,'库存（子SKU）'!T:T)</f>
        <v>0</v>
      </c>
      <c r="S46">
        <f>SUMIF('库存（子SKU）'!$C:$C,$A46,'库存（子SKU）'!U:U)</f>
        <v>0</v>
      </c>
      <c r="T46">
        <f>SUMIF('库存（子SKU）'!$C:$C,$A46,'库存（子SKU）'!V:V)</f>
        <v>0</v>
      </c>
      <c r="U46">
        <f>SUMIF('库存（子SKU）'!$C:$C,$A46,'库存（子SKU）'!W:W)</f>
        <v>0</v>
      </c>
      <c r="V46" s="23" t="str">
        <f t="shared" si="15"/>
        <v/>
      </c>
      <c r="W46" s="23" t="str">
        <f t="shared" si="16"/>
        <v/>
      </c>
      <c r="X46" s="23" t="str">
        <f t="shared" si="17"/>
        <v/>
      </c>
      <c r="Y46" s="23" t="str">
        <f t="shared" si="18"/>
        <v/>
      </c>
      <c r="Z46">
        <f>SUMIF('库存（子SKU）'!$C:$C,$A46,'库存（子SKU）'!AB:AB)</f>
        <v>0</v>
      </c>
      <c r="AA46">
        <f>SUMIF('库存（子SKU）'!$C:$C,$A46,'库存（子SKU）'!AC:AC)</f>
        <v>0</v>
      </c>
      <c r="AB46">
        <f>SUMIF('库存（子SKU）'!$C:$C,$A46,'库存（子SKU）'!AD:AD)</f>
        <v>0</v>
      </c>
      <c r="AC46">
        <f>SUMIF('库存（子SKU）'!$C:$C,$A46,'库存（子SKU）'!AE:AE)</f>
        <v>0</v>
      </c>
      <c r="AD46" s="23" t="str">
        <f t="shared" si="2"/>
        <v/>
      </c>
      <c r="AE46" s="23" t="str">
        <f t="shared" si="3"/>
        <v/>
      </c>
      <c r="AF46" s="23">
        <f t="shared" si="4"/>
        <v>0</v>
      </c>
      <c r="AG46" s="23">
        <f t="shared" si="5"/>
        <v>0</v>
      </c>
      <c r="AH46">
        <f>SUMIF('库存（子SKU）'!$C:$C,$A46,'库存（子SKU）'!AJ:AJ)</f>
        <v>0</v>
      </c>
      <c r="AI46">
        <f>SUMIF('库存（子SKU）'!$C:$C,$A46,'库存（子SKU）'!AK:AK)</f>
        <v>0</v>
      </c>
      <c r="AJ46">
        <f>SUMIF('库存（子SKU）'!$C:$C,$A46,'库存（子SKU）'!AL:AL)</f>
        <v>2</v>
      </c>
      <c r="AK46">
        <f>SUMIF('库存（子SKU）'!$C:$C,$A46,'库存（子SKU）'!AM:AM)</f>
        <v>22</v>
      </c>
      <c r="AL46" s="23" t="str">
        <f t="shared" si="6"/>
        <v/>
      </c>
      <c r="AM46" s="23" t="str">
        <f t="shared" si="7"/>
        <v/>
      </c>
      <c r="AN46" s="23">
        <f t="shared" si="8"/>
        <v>0.5</v>
      </c>
      <c r="AO46" s="23">
        <f t="shared" si="9"/>
        <v>0.0454545454545455</v>
      </c>
      <c r="AP46" s="7">
        <f t="shared" si="10"/>
        <v>0</v>
      </c>
      <c r="AQ46" s="7">
        <f t="shared" si="11"/>
        <v>0</v>
      </c>
      <c r="AR46" s="7">
        <f t="shared" si="12"/>
        <v>0</v>
      </c>
      <c r="AS46" t="str">
        <f t="shared" si="13"/>
        <v>库存为0</v>
      </c>
      <c r="AT46" s="2" t="str">
        <f>IFERROR($A$2+AS46,"上周无销量")</f>
        <v>上周无销量</v>
      </c>
    </row>
    <row r="47" spans="1:46">
      <c r="A47" t="s">
        <v>975</v>
      </c>
      <c r="B47" s="5">
        <f>SUMIF('库存（子SKU）'!$C:$C,$A47,'库存（子SKU）'!D:D)</f>
        <v>0</v>
      </c>
      <c r="C47" s="5">
        <f>SUMIF('库存（子SKU）'!$C:$C,$A47,'库存（子SKU）'!E:E)</f>
        <v>0</v>
      </c>
      <c r="D47" s="5">
        <f>SUMIF('库存（子SKU）'!$C:$C,$A47,'库存（子SKU）'!F:F)</f>
        <v>0</v>
      </c>
      <c r="E47" s="5">
        <f>SUMIF('库存（子SKU）'!$C:$C,$A47,'库存（子SKU）'!G:G)</f>
        <v>0</v>
      </c>
      <c r="F47" s="6" t="s">
        <v>54</v>
      </c>
      <c r="G47">
        <f>SUMIF('库存（子SKU）'!$C:$C,$A47,'库存（子SKU）'!I:I)</f>
        <v>0</v>
      </c>
      <c r="H47">
        <f>SUMIF('库存（子SKU）'!$C:$C,$A47,'库存（子SKU）'!J:J)</f>
        <v>0</v>
      </c>
      <c r="I47">
        <f>SUMIF('库存（子SKU）'!$C:$C,$A47,'库存（子SKU）'!K:K)</f>
        <v>0</v>
      </c>
      <c r="J47">
        <f>SUMIF('库存（子SKU）'!$C:$C,$A47,'库存（子SKU）'!L:L)</f>
        <v>0</v>
      </c>
      <c r="K47">
        <f t="shared" si="0"/>
        <v>0</v>
      </c>
      <c r="L47">
        <f>SUMIF('库存（子SKU）'!$C:$C,$A47,'库存（子SKU）'!N:N)</f>
        <v>0</v>
      </c>
      <c r="M47">
        <f>SUMIF('库存（子SKU）'!$C:$C,$A47,'库存（子SKU）'!O:O)</f>
        <v>0</v>
      </c>
      <c r="N47">
        <f>SUMIF('库存（子SKU）'!$C:$C,$A47,'库存（子SKU）'!P:P)</f>
        <v>0</v>
      </c>
      <c r="O47">
        <f>SUMIF('库存（子SKU）'!$C:$C,$A47,'库存（子SKU）'!Q:Q)</f>
        <v>0</v>
      </c>
      <c r="P47">
        <f>SUMIF('库存（子SKU）'!$C:$C,$A47,'库存（子SKU）'!R:R)</f>
        <v>0</v>
      </c>
      <c r="Q47">
        <f>SUMIF('库存（子SKU）'!$C:$C,$A47,'库存（子SKU）'!S:S)</f>
        <v>0</v>
      </c>
      <c r="R47">
        <f>SUMIF('库存（子SKU）'!$C:$C,$A47,'库存（子SKU）'!T:T)</f>
        <v>0</v>
      </c>
      <c r="S47">
        <f>SUMIF('库存（子SKU）'!$C:$C,$A47,'库存（子SKU）'!U:U)</f>
        <v>0</v>
      </c>
      <c r="T47">
        <f>SUMIF('库存（子SKU）'!$C:$C,$A47,'库存（子SKU）'!V:V)</f>
        <v>0</v>
      </c>
      <c r="U47">
        <f>SUMIF('库存（子SKU）'!$C:$C,$A47,'库存（子SKU）'!W:W)</f>
        <v>0</v>
      </c>
      <c r="V47" s="23" t="str">
        <f t="shared" si="15"/>
        <v/>
      </c>
      <c r="W47" s="23" t="str">
        <f t="shared" si="16"/>
        <v/>
      </c>
      <c r="X47" s="23" t="str">
        <f t="shared" si="17"/>
        <v/>
      </c>
      <c r="Y47" s="23" t="str">
        <f t="shared" si="18"/>
        <v/>
      </c>
      <c r="Z47">
        <f>SUMIF('库存（子SKU）'!$C:$C,$A47,'库存（子SKU）'!AB:AB)</f>
        <v>0</v>
      </c>
      <c r="AA47">
        <f>SUMIF('库存（子SKU）'!$C:$C,$A47,'库存（子SKU）'!AC:AC)</f>
        <v>0</v>
      </c>
      <c r="AB47">
        <f>SUMIF('库存（子SKU）'!$C:$C,$A47,'库存（子SKU）'!AD:AD)</f>
        <v>0</v>
      </c>
      <c r="AC47">
        <f>SUMIF('库存（子SKU）'!$C:$C,$A47,'库存（子SKU）'!AE:AE)</f>
        <v>0</v>
      </c>
      <c r="AD47" s="23" t="str">
        <f t="shared" si="2"/>
        <v/>
      </c>
      <c r="AE47" s="23" t="str">
        <f t="shared" si="3"/>
        <v/>
      </c>
      <c r="AF47" s="23" t="str">
        <f t="shared" si="4"/>
        <v/>
      </c>
      <c r="AG47" s="23" t="str">
        <f t="shared" si="5"/>
        <v/>
      </c>
      <c r="AH47">
        <f>SUMIF('库存（子SKU）'!$C:$C,$A47,'库存（子SKU）'!AJ:AJ)</f>
        <v>0</v>
      </c>
      <c r="AI47">
        <f>SUMIF('库存（子SKU）'!$C:$C,$A47,'库存（子SKU）'!AK:AK)</f>
        <v>0</v>
      </c>
      <c r="AJ47">
        <f>SUMIF('库存（子SKU）'!$C:$C,$A47,'库存（子SKU）'!AL:AL)</f>
        <v>0</v>
      </c>
      <c r="AK47">
        <f>SUMIF('库存（子SKU）'!$C:$C,$A47,'库存（子SKU）'!AM:AM)</f>
        <v>0</v>
      </c>
      <c r="AL47" s="23" t="str">
        <f t="shared" si="6"/>
        <v/>
      </c>
      <c r="AM47" s="23" t="str">
        <f t="shared" si="7"/>
        <v/>
      </c>
      <c r="AN47" s="23" t="str">
        <f t="shared" si="8"/>
        <v/>
      </c>
      <c r="AO47" s="23" t="str">
        <f t="shared" si="9"/>
        <v/>
      </c>
      <c r="AP47" s="7">
        <f t="shared" si="10"/>
        <v>0</v>
      </c>
      <c r="AQ47" s="7">
        <f t="shared" si="11"/>
        <v>0</v>
      </c>
      <c r="AR47" s="7">
        <f t="shared" si="12"/>
        <v>0</v>
      </c>
      <c r="AS47" t="str">
        <f t="shared" si="13"/>
        <v>库存为0</v>
      </c>
      <c r="AT47" s="2" t="str">
        <f>IFERROR($A$2+AS47,"上周无销量")</f>
        <v>上周无销量</v>
      </c>
    </row>
    <row r="48" spans="1:46">
      <c r="A48" t="s">
        <v>978</v>
      </c>
      <c r="B48" s="5">
        <f>SUMIF('库存（子SKU）'!$C:$C,$A48,'库存（子SKU）'!D:D)</f>
        <v>0</v>
      </c>
      <c r="C48" s="5">
        <f>SUMIF('库存（子SKU）'!$C:$C,$A48,'库存（子SKU）'!E:E)</f>
        <v>0</v>
      </c>
      <c r="D48" s="5">
        <f>SUMIF('库存（子SKU）'!$C:$C,$A48,'库存（子SKU）'!F:F)</f>
        <v>0</v>
      </c>
      <c r="E48" s="5">
        <f>SUMIF('库存（子SKU）'!$C:$C,$A48,'库存（子SKU）'!G:G)</f>
        <v>0</v>
      </c>
      <c r="F48" s="6" t="s">
        <v>54</v>
      </c>
      <c r="G48">
        <f>SUMIF('库存（子SKU）'!$C:$C,$A48,'库存（子SKU）'!I:I)</f>
        <v>4</v>
      </c>
      <c r="H48">
        <f>SUMIF('库存（子SKU）'!$C:$C,$A48,'库存（子SKU）'!J:J)</f>
        <v>0</v>
      </c>
      <c r="I48">
        <f>SUMIF('库存（子SKU）'!$C:$C,$A48,'库存（子SKU）'!K:K)</f>
        <v>0</v>
      </c>
      <c r="J48">
        <f>SUMIF('库存（子SKU）'!$C:$C,$A48,'库存（子SKU）'!L:L)</f>
        <v>0</v>
      </c>
      <c r="K48">
        <f t="shared" si="0"/>
        <v>4</v>
      </c>
      <c r="L48">
        <f>SUMIF('库存（子SKU）'!$C:$C,$A48,'库存（子SKU）'!N:N)</f>
        <v>0</v>
      </c>
      <c r="M48">
        <f>SUMIF('库存（子SKU）'!$C:$C,$A48,'库存（子SKU）'!O:O)</f>
        <v>2</v>
      </c>
      <c r="N48">
        <f>SUMIF('库存（子SKU）'!$C:$C,$A48,'库存（子SKU）'!P:P)</f>
        <v>0</v>
      </c>
      <c r="O48">
        <f>SUMIF('库存（子SKU）'!$C:$C,$A48,'库存（子SKU）'!Q:Q)</f>
        <v>0</v>
      </c>
      <c r="P48">
        <f>SUMIF('库存（子SKU）'!$C:$C,$A48,'库存（子SKU）'!R:R)</f>
        <v>0</v>
      </c>
      <c r="Q48">
        <f>SUMIF('库存（子SKU）'!$C:$C,$A48,'库存（子SKU）'!S:S)</f>
        <v>0</v>
      </c>
      <c r="R48">
        <f>SUMIF('库存（子SKU）'!$C:$C,$A48,'库存（子SKU）'!T:T)</f>
        <v>0</v>
      </c>
      <c r="S48">
        <f>SUMIF('库存（子SKU）'!$C:$C,$A48,'库存（子SKU）'!U:U)</f>
        <v>0</v>
      </c>
      <c r="T48">
        <f>SUMIF('库存（子SKU）'!$C:$C,$A48,'库存（子SKU）'!V:V)</f>
        <v>0</v>
      </c>
      <c r="U48">
        <f>SUMIF('库存（子SKU）'!$C:$C,$A48,'库存（子SKU）'!W:W)</f>
        <v>0</v>
      </c>
      <c r="V48" s="23" t="str">
        <f t="shared" si="15"/>
        <v/>
      </c>
      <c r="W48" s="23" t="str">
        <f t="shared" si="16"/>
        <v/>
      </c>
      <c r="X48" s="23" t="str">
        <f t="shared" si="17"/>
        <v/>
      </c>
      <c r="Y48" s="23" t="str">
        <f t="shared" si="18"/>
        <v/>
      </c>
      <c r="Z48">
        <f>SUMIF('库存（子SKU）'!$C:$C,$A48,'库存（子SKU）'!AB:AB)</f>
        <v>0</v>
      </c>
      <c r="AA48">
        <f>SUMIF('库存（子SKU）'!$C:$C,$A48,'库存（子SKU）'!AC:AC)</f>
        <v>0</v>
      </c>
      <c r="AB48">
        <f>SUMIF('库存（子SKU）'!$C:$C,$A48,'库存（子SKU）'!AD:AD)</f>
        <v>0</v>
      </c>
      <c r="AC48">
        <f>SUMIF('库存（子SKU）'!$C:$C,$A48,'库存（子SKU）'!AE:AE)</f>
        <v>0</v>
      </c>
      <c r="AD48" s="23" t="str">
        <f t="shared" si="2"/>
        <v/>
      </c>
      <c r="AE48" s="23" t="str">
        <f t="shared" si="3"/>
        <v/>
      </c>
      <c r="AF48" s="23" t="str">
        <f t="shared" si="4"/>
        <v/>
      </c>
      <c r="AG48" s="23" t="str">
        <f t="shared" si="5"/>
        <v/>
      </c>
      <c r="AH48">
        <f>SUMIF('库存（子SKU）'!$C:$C,$A48,'库存（子SKU）'!AJ:AJ)</f>
        <v>13</v>
      </c>
      <c r="AI48">
        <f>SUMIF('库存（子SKU）'!$C:$C,$A48,'库存（子SKU）'!AK:AK)</f>
        <v>4</v>
      </c>
      <c r="AJ48">
        <f>SUMIF('库存（子SKU）'!$C:$C,$A48,'库存（子SKU）'!AL:AL)</f>
        <v>16</v>
      </c>
      <c r="AK48">
        <f>SUMIF('库存（子SKU）'!$C:$C,$A48,'库存（子SKU）'!AM:AM)</f>
        <v>3</v>
      </c>
      <c r="AL48" s="23">
        <f t="shared" si="6"/>
        <v>0</v>
      </c>
      <c r="AM48" s="23">
        <f t="shared" si="7"/>
        <v>0</v>
      </c>
      <c r="AN48" s="23">
        <f t="shared" si="8"/>
        <v>0</v>
      </c>
      <c r="AO48" s="23">
        <f t="shared" si="9"/>
        <v>0</v>
      </c>
      <c r="AP48" s="7">
        <f t="shared" si="10"/>
        <v>0</v>
      </c>
      <c r="AQ48" s="7">
        <f t="shared" si="11"/>
        <v>0</v>
      </c>
      <c r="AR48" s="7">
        <f t="shared" si="12"/>
        <v>4</v>
      </c>
      <c r="AS48" t="str">
        <f t="shared" si="13"/>
        <v>库存为4</v>
      </c>
      <c r="AT48" s="2" t="str">
        <f>IFERROR($A$2+AS48,"上周无销量")</f>
        <v>上周无销量</v>
      </c>
    </row>
    <row r="49" spans="1:46">
      <c r="A49" t="s">
        <v>985</v>
      </c>
      <c r="B49" s="5">
        <f>SUMIF('库存（子SKU）'!$C:$C,$A49,'库存（子SKU）'!D:D)</f>
        <v>0</v>
      </c>
      <c r="C49" s="5">
        <f>SUMIF('库存（子SKU）'!$C:$C,$A49,'库存（子SKU）'!E:E)</f>
        <v>0</v>
      </c>
      <c r="D49" s="5">
        <f>SUMIF('库存（子SKU）'!$C:$C,$A49,'库存（子SKU）'!F:F)</f>
        <v>0</v>
      </c>
      <c r="E49" s="5">
        <f>SUMIF('库存（子SKU）'!$C:$C,$A49,'库存（子SKU）'!G:G)</f>
        <v>0</v>
      </c>
      <c r="F49" s="6" t="s">
        <v>54</v>
      </c>
      <c r="G49">
        <f>SUMIF('库存（子SKU）'!$C:$C,$A49,'库存（子SKU）'!I:I)</f>
        <v>5</v>
      </c>
      <c r="H49">
        <f>SUMIF('库存（子SKU）'!$C:$C,$A49,'库存（子SKU）'!J:J)</f>
        <v>0</v>
      </c>
      <c r="I49">
        <f>SUMIF('库存（子SKU）'!$C:$C,$A49,'库存（子SKU）'!K:K)</f>
        <v>0</v>
      </c>
      <c r="J49">
        <f>SUMIF('库存（子SKU）'!$C:$C,$A49,'库存（子SKU）'!L:L)</f>
        <v>0</v>
      </c>
      <c r="K49">
        <f t="shared" si="0"/>
        <v>5</v>
      </c>
      <c r="L49">
        <f>SUMIF('库存（子SKU）'!$C:$C,$A49,'库存（子SKU）'!N:N)</f>
        <v>0</v>
      </c>
      <c r="M49">
        <f>SUMIF('库存（子SKU）'!$C:$C,$A49,'库存（子SKU）'!O:O)</f>
        <v>5</v>
      </c>
      <c r="N49">
        <f>SUMIF('库存（子SKU）'!$C:$C,$A49,'库存（子SKU）'!P:P)</f>
        <v>0</v>
      </c>
      <c r="O49">
        <f>SUMIF('库存（子SKU）'!$C:$C,$A49,'库存（子SKU）'!Q:Q)</f>
        <v>0</v>
      </c>
      <c r="P49">
        <f>SUMIF('库存（子SKU）'!$C:$C,$A49,'库存（子SKU）'!R:R)</f>
        <v>0</v>
      </c>
      <c r="Q49">
        <f>SUMIF('库存（子SKU）'!$C:$C,$A49,'库存（子SKU）'!S:S)</f>
        <v>0</v>
      </c>
      <c r="R49">
        <f>SUMIF('库存（子SKU）'!$C:$C,$A49,'库存（子SKU）'!T:T)</f>
        <v>0</v>
      </c>
      <c r="S49">
        <f>SUMIF('库存（子SKU）'!$C:$C,$A49,'库存（子SKU）'!U:U)</f>
        <v>0</v>
      </c>
      <c r="T49">
        <f>SUMIF('库存（子SKU）'!$C:$C,$A49,'库存（子SKU）'!V:V)</f>
        <v>0</v>
      </c>
      <c r="U49">
        <f>SUMIF('库存（子SKU）'!$C:$C,$A49,'库存（子SKU）'!W:W)</f>
        <v>0</v>
      </c>
      <c r="V49" s="23" t="str">
        <f t="shared" si="15"/>
        <v/>
      </c>
      <c r="W49" s="23" t="str">
        <f t="shared" si="16"/>
        <v/>
      </c>
      <c r="X49" s="23" t="str">
        <f t="shared" si="17"/>
        <v/>
      </c>
      <c r="Y49" s="23" t="str">
        <f t="shared" si="18"/>
        <v/>
      </c>
      <c r="Z49">
        <f>SUMIF('库存（子SKU）'!$C:$C,$A49,'库存（子SKU）'!AB:AB)</f>
        <v>0</v>
      </c>
      <c r="AA49">
        <f>SUMIF('库存（子SKU）'!$C:$C,$A49,'库存（子SKU）'!AC:AC)</f>
        <v>0</v>
      </c>
      <c r="AB49">
        <f>SUMIF('库存（子SKU）'!$C:$C,$A49,'库存（子SKU）'!AD:AD)</f>
        <v>0</v>
      </c>
      <c r="AC49">
        <f>SUMIF('库存（子SKU）'!$C:$C,$A49,'库存（子SKU）'!AE:AE)</f>
        <v>0</v>
      </c>
      <c r="AD49" s="23" t="str">
        <f t="shared" si="2"/>
        <v/>
      </c>
      <c r="AE49" s="23" t="str">
        <f t="shared" si="3"/>
        <v/>
      </c>
      <c r="AF49" s="23" t="str">
        <f t="shared" si="4"/>
        <v/>
      </c>
      <c r="AG49" s="23" t="str">
        <f t="shared" si="5"/>
        <v/>
      </c>
      <c r="AH49">
        <f>SUMIF('库存（子SKU）'!$C:$C,$A49,'库存（子SKU）'!AJ:AJ)</f>
        <v>7</v>
      </c>
      <c r="AI49">
        <f>SUMIF('库存（子SKU）'!$C:$C,$A49,'库存（子SKU）'!AK:AK)</f>
        <v>11</v>
      </c>
      <c r="AJ49">
        <f>SUMIF('库存（子SKU）'!$C:$C,$A49,'库存（子SKU）'!AL:AL)</f>
        <v>8</v>
      </c>
      <c r="AK49">
        <f>SUMIF('库存（子SKU）'!$C:$C,$A49,'库存（子SKU）'!AM:AM)</f>
        <v>5</v>
      </c>
      <c r="AL49" s="23">
        <f t="shared" si="6"/>
        <v>0</v>
      </c>
      <c r="AM49" s="23">
        <f t="shared" si="7"/>
        <v>0</v>
      </c>
      <c r="AN49" s="23">
        <f t="shared" si="8"/>
        <v>0</v>
      </c>
      <c r="AO49" s="23">
        <f t="shared" si="9"/>
        <v>0</v>
      </c>
      <c r="AP49" s="7">
        <f t="shared" si="10"/>
        <v>0</v>
      </c>
      <c r="AQ49" s="7">
        <f t="shared" si="11"/>
        <v>0</v>
      </c>
      <c r="AR49" s="7">
        <f t="shared" si="12"/>
        <v>5</v>
      </c>
      <c r="AS49" t="str">
        <f t="shared" si="13"/>
        <v>库存为5</v>
      </c>
      <c r="AT49" s="2" t="str">
        <f>IFERROR($A$2+AS49,"上周无销量")</f>
        <v>上周无销量</v>
      </c>
    </row>
    <row r="50" spans="1:46">
      <c r="A50" t="s">
        <v>1002</v>
      </c>
      <c r="B50" s="5">
        <f>SUMIF('库存（子SKU）'!$C:$C,$A50,'库存（子SKU）'!D:D)</f>
        <v>0</v>
      </c>
      <c r="C50" s="5">
        <f>SUMIF('库存（子SKU）'!$C:$C,$A50,'库存（子SKU）'!E:E)</f>
        <v>0</v>
      </c>
      <c r="D50" s="5">
        <f>SUMIF('库存（子SKU）'!$C:$C,$A50,'库存（子SKU）'!F:F)</f>
        <v>0</v>
      </c>
      <c r="E50" s="5">
        <f>SUMIF('库存（子SKU）'!$C:$C,$A50,'库存（子SKU）'!G:G)</f>
        <v>0</v>
      </c>
      <c r="F50" s="6" t="s">
        <v>54</v>
      </c>
      <c r="G50">
        <f>SUMIF('库存（子SKU）'!$C:$C,$A50,'库存（子SKU）'!I:I)</f>
        <v>0</v>
      </c>
      <c r="H50">
        <f>SUMIF('库存（子SKU）'!$C:$C,$A50,'库存（子SKU）'!J:J)</f>
        <v>0</v>
      </c>
      <c r="I50">
        <f>SUMIF('库存（子SKU）'!$C:$C,$A50,'库存（子SKU）'!K:K)</f>
        <v>0</v>
      </c>
      <c r="J50">
        <f>SUMIF('库存（子SKU）'!$C:$C,$A50,'库存（子SKU）'!L:L)</f>
        <v>0</v>
      </c>
      <c r="K50">
        <f t="shared" si="0"/>
        <v>0</v>
      </c>
      <c r="L50">
        <f>SUMIF('库存（子SKU）'!$C:$C,$A50,'库存（子SKU）'!N:N)</f>
        <v>0</v>
      </c>
      <c r="M50">
        <f>SUMIF('库存（子SKU）'!$C:$C,$A50,'库存（子SKU）'!O:O)</f>
        <v>0</v>
      </c>
      <c r="N50">
        <f>SUMIF('库存（子SKU）'!$C:$C,$A50,'库存（子SKU）'!P:P)</f>
        <v>0</v>
      </c>
      <c r="O50">
        <f>SUMIF('库存（子SKU）'!$C:$C,$A50,'库存（子SKU）'!Q:Q)</f>
        <v>0</v>
      </c>
      <c r="P50">
        <f>SUMIF('库存（子SKU）'!$C:$C,$A50,'库存（子SKU）'!R:R)</f>
        <v>0</v>
      </c>
      <c r="Q50">
        <f>SUMIF('库存（子SKU）'!$C:$C,$A50,'库存（子SKU）'!S:S)</f>
        <v>0</v>
      </c>
      <c r="R50">
        <f>SUMIF('库存（子SKU）'!$C:$C,$A50,'库存（子SKU）'!T:T)</f>
        <v>0</v>
      </c>
      <c r="S50">
        <f>SUMIF('库存（子SKU）'!$C:$C,$A50,'库存（子SKU）'!U:U)</f>
        <v>0</v>
      </c>
      <c r="T50">
        <f>SUMIF('库存（子SKU）'!$C:$C,$A50,'库存（子SKU）'!V:V)</f>
        <v>0</v>
      </c>
      <c r="U50">
        <f>SUMIF('库存（子SKU）'!$C:$C,$A50,'库存（子SKU）'!W:W)</f>
        <v>0</v>
      </c>
      <c r="V50" s="23" t="str">
        <f t="shared" si="15"/>
        <v/>
      </c>
      <c r="W50" s="23" t="str">
        <f t="shared" si="16"/>
        <v/>
      </c>
      <c r="X50" s="23" t="str">
        <f t="shared" si="17"/>
        <v/>
      </c>
      <c r="Y50" s="23" t="str">
        <f t="shared" si="18"/>
        <v/>
      </c>
      <c r="Z50">
        <f>SUMIF('库存（子SKU）'!$C:$C,$A50,'库存（子SKU）'!AB:AB)</f>
        <v>0</v>
      </c>
      <c r="AA50">
        <f>SUMIF('库存（子SKU）'!$C:$C,$A50,'库存（子SKU）'!AC:AC)</f>
        <v>0</v>
      </c>
      <c r="AB50">
        <f>SUMIF('库存（子SKU）'!$C:$C,$A50,'库存（子SKU）'!AD:AD)</f>
        <v>0</v>
      </c>
      <c r="AC50">
        <f>SUMIF('库存（子SKU）'!$C:$C,$A50,'库存（子SKU）'!AE:AE)</f>
        <v>0</v>
      </c>
      <c r="AD50" s="23" t="str">
        <f t="shared" si="2"/>
        <v/>
      </c>
      <c r="AE50" s="23" t="str">
        <f t="shared" si="3"/>
        <v/>
      </c>
      <c r="AF50" s="23" t="str">
        <f t="shared" si="4"/>
        <v/>
      </c>
      <c r="AG50" s="23" t="str">
        <f t="shared" si="5"/>
        <v/>
      </c>
      <c r="AH50">
        <f>SUMIF('库存（子SKU）'!$C:$C,$A50,'库存（子SKU）'!AJ:AJ)</f>
        <v>0</v>
      </c>
      <c r="AI50">
        <f>SUMIF('库存（子SKU）'!$C:$C,$A50,'库存（子SKU）'!AK:AK)</f>
        <v>0</v>
      </c>
      <c r="AJ50">
        <f>SUMIF('库存（子SKU）'!$C:$C,$A50,'库存（子SKU）'!AL:AL)</f>
        <v>0</v>
      </c>
      <c r="AK50">
        <f>SUMIF('库存（子SKU）'!$C:$C,$A50,'库存（子SKU）'!AM:AM)</f>
        <v>0</v>
      </c>
      <c r="AL50" s="23" t="str">
        <f t="shared" si="6"/>
        <v/>
      </c>
      <c r="AM50" s="23" t="str">
        <f t="shared" si="7"/>
        <v/>
      </c>
      <c r="AN50" s="23" t="str">
        <f t="shared" si="8"/>
        <v/>
      </c>
      <c r="AO50" s="23" t="str">
        <f t="shared" si="9"/>
        <v/>
      </c>
      <c r="AP50" s="7">
        <f t="shared" si="10"/>
        <v>0</v>
      </c>
      <c r="AQ50" s="7">
        <f t="shared" si="11"/>
        <v>0</v>
      </c>
      <c r="AR50" s="7">
        <f t="shared" si="12"/>
        <v>0</v>
      </c>
      <c r="AS50" t="str">
        <f t="shared" si="13"/>
        <v>库存为0</v>
      </c>
      <c r="AT50" s="2" t="str">
        <f>IFERROR($A$2+AS50,"上周无销量")</f>
        <v>上周无销量</v>
      </c>
    </row>
    <row r="51" spans="1:46">
      <c r="A51" t="s">
        <v>1006</v>
      </c>
      <c r="B51" s="5">
        <f>SUMIF('库存（子SKU）'!$C:$C,$A51,'库存（子SKU）'!D:D)</f>
        <v>0</v>
      </c>
      <c r="C51" s="5">
        <f>SUMIF('库存（子SKU）'!$C:$C,$A51,'库存（子SKU）'!E:E)</f>
        <v>0</v>
      </c>
      <c r="D51" s="5">
        <f>SUMIF('库存（子SKU）'!$C:$C,$A51,'库存（子SKU）'!F:F)</f>
        <v>1</v>
      </c>
      <c r="E51" s="5">
        <f>SUMIF('库存（子SKU）'!$C:$C,$A51,'库存（子SKU）'!G:G)</f>
        <v>2</v>
      </c>
      <c r="F51" s="6">
        <v>16.98</v>
      </c>
      <c r="G51">
        <f>SUMIF('库存（子SKU）'!$C:$C,$A51,'库存（子SKU）'!I:I)</f>
        <v>0</v>
      </c>
      <c r="H51">
        <f>SUMIF('库存（子SKU）'!$C:$C,$A51,'库存（子SKU）'!J:J)</f>
        <v>0</v>
      </c>
      <c r="I51">
        <f>SUMIF('库存（子SKU）'!$C:$C,$A51,'库存（子SKU）'!K:K)</f>
        <v>0</v>
      </c>
      <c r="J51">
        <f>SUMIF('库存（子SKU）'!$C:$C,$A51,'库存（子SKU）'!L:L)</f>
        <v>0</v>
      </c>
      <c r="K51">
        <f t="shared" si="0"/>
        <v>0</v>
      </c>
      <c r="L51">
        <f>SUMIF('库存（子SKU）'!$C:$C,$A51,'库存（子SKU）'!N:N)</f>
        <v>0</v>
      </c>
      <c r="M51">
        <f>SUMIF('库存（子SKU）'!$C:$C,$A51,'库存（子SKU）'!O:O)</f>
        <v>0</v>
      </c>
      <c r="N51">
        <f>SUMIF('库存（子SKU）'!$C:$C,$A51,'库存（子SKU）'!P:P)</f>
        <v>0</v>
      </c>
      <c r="O51">
        <f>SUMIF('库存（子SKU）'!$C:$C,$A51,'库存（子SKU）'!Q:Q)</f>
        <v>0</v>
      </c>
      <c r="P51">
        <f>SUMIF('库存（子SKU）'!$C:$C,$A51,'库存（子SKU）'!R:R)</f>
        <v>0</v>
      </c>
      <c r="Q51">
        <f>SUMIF('库存（子SKU）'!$C:$C,$A51,'库存（子SKU）'!S:S)</f>
        <v>0</v>
      </c>
      <c r="R51">
        <f>SUMIF('库存（子SKU）'!$C:$C,$A51,'库存（子SKU）'!T:T)</f>
        <v>0</v>
      </c>
      <c r="S51">
        <f>SUMIF('库存（子SKU）'!$C:$C,$A51,'库存（子SKU）'!U:U)</f>
        <v>0</v>
      </c>
      <c r="T51">
        <f>SUMIF('库存（子SKU）'!$C:$C,$A51,'库存（子SKU）'!V:V)</f>
        <v>0</v>
      </c>
      <c r="U51">
        <f>SUMIF('库存（子SKU）'!$C:$C,$A51,'库存（子SKU）'!W:W)</f>
        <v>0</v>
      </c>
      <c r="V51" s="23" t="str">
        <f t="shared" si="15"/>
        <v/>
      </c>
      <c r="W51" s="23" t="str">
        <f t="shared" si="16"/>
        <v/>
      </c>
      <c r="X51" s="23" t="str">
        <f t="shared" si="17"/>
        <v/>
      </c>
      <c r="Y51" s="23" t="str">
        <f t="shared" si="18"/>
        <v/>
      </c>
      <c r="Z51">
        <f>SUMIF('库存（子SKU）'!$C:$C,$A51,'库存（子SKU）'!AB:AB)</f>
        <v>0</v>
      </c>
      <c r="AA51">
        <f>SUMIF('库存（子SKU）'!$C:$C,$A51,'库存（子SKU）'!AC:AC)</f>
        <v>0</v>
      </c>
      <c r="AB51">
        <f>SUMIF('库存（子SKU）'!$C:$C,$A51,'库存（子SKU）'!AD:AD)</f>
        <v>0</v>
      </c>
      <c r="AC51">
        <f>SUMIF('库存（子SKU）'!$C:$C,$A51,'库存（子SKU）'!AE:AE)</f>
        <v>0</v>
      </c>
      <c r="AD51" s="23" t="str">
        <f t="shared" si="2"/>
        <v/>
      </c>
      <c r="AE51" s="23" t="str">
        <f t="shared" si="3"/>
        <v/>
      </c>
      <c r="AF51" s="23">
        <f t="shared" si="4"/>
        <v>0</v>
      </c>
      <c r="AG51" s="23">
        <f t="shared" si="5"/>
        <v>0</v>
      </c>
      <c r="AH51">
        <f>SUMIF('库存（子SKU）'!$C:$C,$A51,'库存（子SKU）'!AJ:AJ)</f>
        <v>0</v>
      </c>
      <c r="AI51">
        <f>SUMIF('库存（子SKU）'!$C:$C,$A51,'库存（子SKU）'!AK:AK)</f>
        <v>0</v>
      </c>
      <c r="AJ51">
        <f>SUMIF('库存（子SKU）'!$C:$C,$A51,'库存（子SKU）'!AL:AL)</f>
        <v>14</v>
      </c>
      <c r="AK51">
        <f>SUMIF('库存（子SKU）'!$C:$C,$A51,'库存（子SKU）'!AM:AM)</f>
        <v>116</v>
      </c>
      <c r="AL51" s="23" t="str">
        <f t="shared" si="6"/>
        <v/>
      </c>
      <c r="AM51" s="23" t="str">
        <f t="shared" si="7"/>
        <v/>
      </c>
      <c r="AN51" s="23">
        <f t="shared" si="8"/>
        <v>0.0714285714285714</v>
      </c>
      <c r="AO51" s="23">
        <f t="shared" si="9"/>
        <v>0.0172413793103448</v>
      </c>
      <c r="AP51" s="7">
        <f t="shared" si="10"/>
        <v>0</v>
      </c>
      <c r="AQ51" s="7">
        <f t="shared" si="11"/>
        <v>0</v>
      </c>
      <c r="AR51" s="7">
        <f t="shared" si="12"/>
        <v>0</v>
      </c>
      <c r="AS51" t="str">
        <f t="shared" si="13"/>
        <v>库存为0</v>
      </c>
      <c r="AT51" s="2" t="str">
        <f>IFERROR($A$2+AS51,"上周无销量")</f>
        <v>上周无销量</v>
      </c>
    </row>
    <row r="52" spans="1:46">
      <c r="A52" t="s">
        <v>1051</v>
      </c>
      <c r="B52" s="5">
        <f>SUMIF('库存（子SKU）'!$C:$C,$A52,'库存（子SKU）'!D:D)</f>
        <v>0</v>
      </c>
      <c r="C52" s="5">
        <f>SUMIF('库存（子SKU）'!$C:$C,$A52,'库存（子SKU）'!E:E)</f>
        <v>3</v>
      </c>
      <c r="D52" s="5">
        <f>SUMIF('库存（子SKU）'!$C:$C,$A52,'库存（子SKU）'!F:F)</f>
        <v>1</v>
      </c>
      <c r="E52" s="5">
        <f>SUMIF('库存（子SKU）'!$C:$C,$A52,'库存（子SKU）'!G:G)</f>
        <v>1</v>
      </c>
      <c r="F52" s="6">
        <v>12.38</v>
      </c>
      <c r="G52">
        <f>SUMIF('库存（子SKU）'!$C:$C,$A52,'库存（子SKU）'!I:I)</f>
        <v>14</v>
      </c>
      <c r="H52">
        <f>SUMIF('库存（子SKU）'!$C:$C,$A52,'库存（子SKU）'!J:J)</f>
        <v>0</v>
      </c>
      <c r="I52">
        <f>SUMIF('库存（子SKU）'!$C:$C,$A52,'库存（子SKU）'!K:K)</f>
        <v>0</v>
      </c>
      <c r="J52">
        <f>SUMIF('库存（子SKU）'!$C:$C,$A52,'库存（子SKU）'!L:L)</f>
        <v>0</v>
      </c>
      <c r="K52">
        <f t="shared" si="0"/>
        <v>14</v>
      </c>
      <c r="L52">
        <f>SUMIF('库存（子SKU）'!$C:$C,$A52,'库存（子SKU）'!N:N)</f>
        <v>0</v>
      </c>
      <c r="M52">
        <f>SUMIF('库存（子SKU）'!$C:$C,$A52,'库存（子SKU）'!O:O)</f>
        <v>13</v>
      </c>
      <c r="N52">
        <f>SUMIF('库存（子SKU）'!$C:$C,$A52,'库存（子SKU）'!P:P)</f>
        <v>0</v>
      </c>
      <c r="O52">
        <f>SUMIF('库存（子SKU）'!$C:$C,$A52,'库存（子SKU）'!Q:Q)</f>
        <v>0</v>
      </c>
      <c r="P52">
        <f>SUMIF('库存（子SKU）'!$C:$C,$A52,'库存（子SKU）'!R:R)</f>
        <v>0</v>
      </c>
      <c r="Q52">
        <f>SUMIF('库存（子SKU）'!$C:$C,$A52,'库存（子SKU）'!S:S)</f>
        <v>0</v>
      </c>
      <c r="R52">
        <f>SUMIF('库存（子SKU）'!$C:$C,$A52,'库存（子SKU）'!T:T)</f>
        <v>0</v>
      </c>
      <c r="S52">
        <f>SUMIF('库存（子SKU）'!$C:$C,$A52,'库存（子SKU）'!U:U)</f>
        <v>0</v>
      </c>
      <c r="T52">
        <f>SUMIF('库存（子SKU）'!$C:$C,$A52,'库存（子SKU）'!V:V)</f>
        <v>0</v>
      </c>
      <c r="U52">
        <f>SUMIF('库存（子SKU）'!$C:$C,$A52,'库存（子SKU）'!W:W)</f>
        <v>0</v>
      </c>
      <c r="V52" s="23" t="str">
        <f t="shared" si="15"/>
        <v/>
      </c>
      <c r="W52" s="23" t="str">
        <f t="shared" si="16"/>
        <v/>
      </c>
      <c r="X52" s="23" t="str">
        <f t="shared" si="17"/>
        <v/>
      </c>
      <c r="Y52" s="23" t="str">
        <f t="shared" si="18"/>
        <v/>
      </c>
      <c r="Z52">
        <f>SUMIF('库存（子SKU）'!$C:$C,$A52,'库存（子SKU）'!AB:AB)</f>
        <v>0</v>
      </c>
      <c r="AA52">
        <f>SUMIF('库存（子SKU）'!$C:$C,$A52,'库存（子SKU）'!AC:AC)</f>
        <v>0</v>
      </c>
      <c r="AB52">
        <f>SUMIF('库存（子SKU）'!$C:$C,$A52,'库存（子SKU）'!AD:AD)</f>
        <v>0</v>
      </c>
      <c r="AC52">
        <f>SUMIF('库存（子SKU）'!$C:$C,$A52,'库存（子SKU）'!AE:AE)</f>
        <v>0</v>
      </c>
      <c r="AD52" s="23" t="str">
        <f t="shared" si="2"/>
        <v/>
      </c>
      <c r="AE52" s="23">
        <f t="shared" si="3"/>
        <v>0</v>
      </c>
      <c r="AF52" s="23">
        <f t="shared" si="4"/>
        <v>0</v>
      </c>
      <c r="AG52" s="23">
        <f t="shared" si="5"/>
        <v>0</v>
      </c>
      <c r="AH52">
        <f>SUMIF('库存（子SKU）'!$C:$C,$A52,'库存（子SKU）'!AJ:AJ)</f>
        <v>21</v>
      </c>
      <c r="AI52">
        <f>SUMIF('库存（子SKU）'!$C:$C,$A52,'库存（子SKU）'!AK:AK)</f>
        <v>34</v>
      </c>
      <c r="AJ52">
        <f>SUMIF('库存（子SKU）'!$C:$C,$A52,'库存（子SKU）'!AL:AL)</f>
        <v>29</v>
      </c>
      <c r="AK52">
        <f>SUMIF('库存（子SKU）'!$C:$C,$A52,'库存（子SKU）'!AM:AM)</f>
        <v>27</v>
      </c>
      <c r="AL52" s="23">
        <f t="shared" si="6"/>
        <v>0</v>
      </c>
      <c r="AM52" s="23">
        <f t="shared" si="7"/>
        <v>0.0882352941176471</v>
      </c>
      <c r="AN52" s="23">
        <f t="shared" si="8"/>
        <v>0.0344827586206897</v>
      </c>
      <c r="AO52" s="23">
        <f t="shared" si="9"/>
        <v>0.037037037037037</v>
      </c>
      <c r="AP52" s="7">
        <f t="shared" si="10"/>
        <v>0</v>
      </c>
      <c r="AQ52" s="7">
        <f t="shared" si="11"/>
        <v>0</v>
      </c>
      <c r="AR52" s="7">
        <f t="shared" si="12"/>
        <v>14</v>
      </c>
      <c r="AS52" t="str">
        <f t="shared" si="13"/>
        <v>库存为14</v>
      </c>
      <c r="AT52" s="2" t="str">
        <f>IFERROR($A$2+AS52,"上周无销量")</f>
        <v>上周无销量</v>
      </c>
    </row>
    <row r="53" spans="1:46">
      <c r="A53" t="s">
        <v>1070</v>
      </c>
      <c r="B53" s="5">
        <f>SUMIF('库存（子SKU）'!$C:$C,$A53,'库存（子SKU）'!D:D)</f>
        <v>12</v>
      </c>
      <c r="C53" s="5">
        <f>SUMIF('库存（子SKU）'!$C:$C,$A53,'库存（子SKU）'!E:E)</f>
        <v>3</v>
      </c>
      <c r="D53" s="5">
        <f>SUMIF('库存（子SKU）'!$C:$C,$A53,'库存（子SKU）'!F:F)</f>
        <v>0</v>
      </c>
      <c r="E53" s="5">
        <f>SUMIF('库存（子SKU）'!$C:$C,$A53,'库存（子SKU）'!G:G)</f>
        <v>12</v>
      </c>
      <c r="F53" s="6">
        <v>14.4614814814815</v>
      </c>
      <c r="G53">
        <f>SUMIF('库存（子SKU）'!$C:$C,$A53,'库存（子SKU）'!I:I)</f>
        <v>442</v>
      </c>
      <c r="H53">
        <f>SUMIF('库存（子SKU）'!$C:$C,$A53,'库存（子SKU）'!J:J)</f>
        <v>0</v>
      </c>
      <c r="I53">
        <f>SUMIF('库存（子SKU）'!$C:$C,$A53,'库存（子SKU）'!K:K)</f>
        <v>0</v>
      </c>
      <c r="J53">
        <f>SUMIF('库存（子SKU）'!$C:$C,$A53,'库存（子SKU）'!L:L)</f>
        <v>0</v>
      </c>
      <c r="K53">
        <f t="shared" si="0"/>
        <v>442</v>
      </c>
      <c r="L53">
        <f>SUMIF('库存（子SKU）'!$C:$C,$A53,'库存（子SKU）'!N:N)</f>
        <v>0</v>
      </c>
      <c r="M53">
        <f>SUMIF('库存（子SKU）'!$C:$C,$A53,'库存（子SKU）'!O:O)</f>
        <v>432</v>
      </c>
      <c r="N53">
        <f>SUMIF('库存（子SKU）'!$C:$C,$A53,'库存（子SKU）'!P:P)</f>
        <v>80961</v>
      </c>
      <c r="O53">
        <f>SUMIF('库存（子SKU）'!$C:$C,$A53,'库存（子SKU）'!Q:Q)</f>
        <v>6277</v>
      </c>
      <c r="P53">
        <f>SUMIF('库存（子SKU）'!$C:$C,$A53,'库存（子SKU）'!R:R)</f>
        <v>2356</v>
      </c>
      <c r="Q53">
        <f>SUMIF('库存（子SKU）'!$C:$C,$A53,'库存（子SKU）'!S:S)</f>
        <v>1079</v>
      </c>
      <c r="R53">
        <f>SUMIF('库存（子SKU）'!$C:$C,$A53,'库存（子SKU）'!T:T)</f>
        <v>78</v>
      </c>
      <c r="S53">
        <f>SUMIF('库存（子SKU）'!$C:$C,$A53,'库存（子SKU）'!U:U)</f>
        <v>16</v>
      </c>
      <c r="T53">
        <f>SUMIF('库存（子SKU）'!$C:$C,$A53,'库存（子SKU）'!V:V)</f>
        <v>3</v>
      </c>
      <c r="U53">
        <f>SUMIF('库存（子SKU）'!$C:$C,$A53,'库存（子SKU）'!W:W)</f>
        <v>2</v>
      </c>
      <c r="V53" s="23">
        <f t="shared" si="15"/>
        <v>0.000963426835142847</v>
      </c>
      <c r="W53" s="23">
        <f t="shared" si="16"/>
        <v>0.00254898837024056</v>
      </c>
      <c r="X53" s="23">
        <f t="shared" si="17"/>
        <v>0.00127334465195246</v>
      </c>
      <c r="Y53" s="23">
        <f t="shared" si="18"/>
        <v>0.00185356811862836</v>
      </c>
      <c r="Z53">
        <f>SUMIF('库存（子SKU）'!$C:$C,$A53,'库存（子SKU）'!AB:AB)</f>
        <v>32.91</v>
      </c>
      <c r="AA53">
        <f>SUMIF('库存（子SKU）'!$C:$C,$A53,'库存（子SKU）'!AC:AC)</f>
        <v>3.7</v>
      </c>
      <c r="AB53">
        <f>SUMIF('库存（子SKU）'!$C:$C,$A53,'库存（子SKU）'!AD:AD)</f>
        <v>0.87</v>
      </c>
      <c r="AC53">
        <f>SUMIF('库存（子SKU）'!$C:$C,$A53,'库存（子SKU）'!AE:AE)</f>
        <v>0.61</v>
      </c>
      <c r="AD53" s="23">
        <f t="shared" si="2"/>
        <v>0.189641704656046</v>
      </c>
      <c r="AE53" s="23">
        <f t="shared" si="3"/>
        <v>0.0852840239717256</v>
      </c>
      <c r="AF53" s="23" t="str">
        <f t="shared" si="4"/>
        <v>无销量广告费为0.87</v>
      </c>
      <c r="AG53" s="23">
        <f t="shared" si="5"/>
        <v>0.00351508477180761</v>
      </c>
      <c r="AH53">
        <f>SUMIF('库存（子SKU）'!$C:$C,$A53,'库存（子SKU）'!AJ:AJ)</f>
        <v>176</v>
      </c>
      <c r="AI53">
        <f>SUMIF('库存（子SKU）'!$C:$C,$A53,'库存（子SKU）'!AK:AK)</f>
        <v>87</v>
      </c>
      <c r="AJ53">
        <f>SUMIF('库存（子SKU）'!$C:$C,$A53,'库存（子SKU）'!AL:AL)</f>
        <v>98</v>
      </c>
      <c r="AK53">
        <f>SUMIF('库存（子SKU）'!$C:$C,$A53,'库存（子SKU）'!AM:AM)</f>
        <v>80</v>
      </c>
      <c r="AL53" s="23">
        <f t="shared" si="6"/>
        <v>0.0681818181818182</v>
      </c>
      <c r="AM53" s="23">
        <f t="shared" si="7"/>
        <v>0.0344827586206897</v>
      </c>
      <c r="AN53" s="23">
        <f t="shared" si="8"/>
        <v>0</v>
      </c>
      <c r="AO53" s="23">
        <f t="shared" si="9"/>
        <v>0.15</v>
      </c>
      <c r="AP53" s="7">
        <f t="shared" si="10"/>
        <v>1.71428571428571</v>
      </c>
      <c r="AQ53" s="7">
        <f t="shared" si="11"/>
        <v>102.857142857143</v>
      </c>
      <c r="AR53" s="7">
        <f t="shared" si="12"/>
        <v>339.142857142857</v>
      </c>
      <c r="AS53">
        <f t="shared" si="13"/>
        <v>257</v>
      </c>
      <c r="AT53" s="2">
        <f>IFERROR($A$2+AS53,"上周无销量")</f>
        <v>43547</v>
      </c>
    </row>
    <row r="54" spans="1:46">
      <c r="A54" t="s">
        <v>1157</v>
      </c>
      <c r="B54" s="5">
        <f>SUMIF('库存（子SKU）'!$C:$C,$A54,'库存（子SKU）'!D:D)</f>
        <v>21</v>
      </c>
      <c r="C54" s="5">
        <f>SUMIF('库存（子SKU）'!$C:$C,$A54,'库存（子SKU）'!E:E)</f>
        <v>12</v>
      </c>
      <c r="D54" s="5">
        <f>SUMIF('库存（子SKU）'!$C:$C,$A54,'库存（子SKU）'!F:F)</f>
        <v>11</v>
      </c>
      <c r="E54" s="5">
        <f>SUMIF('库存（子SKU）'!$C:$C,$A54,'库存（子SKU）'!G:G)</f>
        <v>16</v>
      </c>
      <c r="F54" s="6">
        <v>10.7741666666667</v>
      </c>
      <c r="G54">
        <f>SUMIF('库存（子SKU）'!$C:$C,$A54,'库存（子SKU）'!I:I)</f>
        <v>51</v>
      </c>
      <c r="H54">
        <f>SUMIF('库存（子SKU）'!$C:$C,$A54,'库存（子SKU）'!J:J)</f>
        <v>0</v>
      </c>
      <c r="I54">
        <f>SUMIF('库存（子SKU）'!$C:$C,$A54,'库存（子SKU）'!K:K)</f>
        <v>0</v>
      </c>
      <c r="J54">
        <f>SUMIF('库存（子SKU）'!$C:$C,$A54,'库存（子SKU）'!L:L)</f>
        <v>0</v>
      </c>
      <c r="K54">
        <f t="shared" si="0"/>
        <v>51</v>
      </c>
      <c r="L54">
        <f>SUMIF('库存（子SKU）'!$C:$C,$A54,'库存（子SKU）'!N:N)</f>
        <v>0</v>
      </c>
      <c r="M54">
        <f>SUMIF('库存（子SKU）'!$C:$C,$A54,'库存（子SKU）'!O:O)</f>
        <v>51</v>
      </c>
      <c r="N54">
        <f>SUMIF('库存（子SKU）'!$C:$C,$A54,'库存（子SKU）'!P:P)</f>
        <v>1120</v>
      </c>
      <c r="O54">
        <f>SUMIF('库存（子SKU）'!$C:$C,$A54,'库存（子SKU）'!Q:Q)</f>
        <v>2566</v>
      </c>
      <c r="P54">
        <f>SUMIF('库存（子SKU）'!$C:$C,$A54,'库存（子SKU）'!R:R)</f>
        <v>1193</v>
      </c>
      <c r="Q54">
        <f>SUMIF('库存（子SKU）'!$C:$C,$A54,'库存（子SKU）'!S:S)</f>
        <v>394</v>
      </c>
      <c r="R54">
        <f>SUMIF('库存（子SKU）'!$C:$C,$A54,'库存（子SKU）'!T:T)</f>
        <v>25</v>
      </c>
      <c r="S54">
        <f>SUMIF('库存（子SKU）'!$C:$C,$A54,'库存（子SKU）'!U:U)</f>
        <v>36</v>
      </c>
      <c r="T54">
        <f>SUMIF('库存（子SKU）'!$C:$C,$A54,'库存（子SKU）'!V:V)</f>
        <v>25</v>
      </c>
      <c r="U54">
        <f>SUMIF('库存（子SKU）'!$C:$C,$A54,'库存（子SKU）'!W:W)</f>
        <v>7</v>
      </c>
      <c r="V54" s="23">
        <f t="shared" si="15"/>
        <v>0.0223214285714286</v>
      </c>
      <c r="W54" s="23">
        <f t="shared" si="16"/>
        <v>0.0140296180826189</v>
      </c>
      <c r="X54" s="23">
        <f t="shared" si="17"/>
        <v>0.0209555741827326</v>
      </c>
      <c r="Y54" s="23">
        <f t="shared" si="18"/>
        <v>0.0177664974619289</v>
      </c>
      <c r="Z54">
        <f>SUMIF('库存（子SKU）'!$C:$C,$A54,'库存（子SKU）'!AB:AB)</f>
        <v>16.09</v>
      </c>
      <c r="AA54">
        <f>SUMIF('库存（子SKU）'!$C:$C,$A54,'库存（子SKU）'!AC:AC)</f>
        <v>27.89</v>
      </c>
      <c r="AB54">
        <f>SUMIF('库存（子SKU）'!$C:$C,$A54,'库存（子SKU）'!AD:AD)</f>
        <v>17.02</v>
      </c>
      <c r="AC54">
        <f>SUMIF('库存（子SKU）'!$C:$C,$A54,'库存（子SKU）'!AE:AE)</f>
        <v>4.58</v>
      </c>
      <c r="AD54" s="23">
        <f t="shared" si="2"/>
        <v>0.0711136647403951</v>
      </c>
      <c r="AE54" s="23">
        <f t="shared" si="3"/>
        <v>0.215716606079356</v>
      </c>
      <c r="AF54" s="23">
        <f t="shared" si="4"/>
        <v>0.143609503652817</v>
      </c>
      <c r="AG54" s="23">
        <f t="shared" si="5"/>
        <v>0.0265681800603294</v>
      </c>
      <c r="AH54">
        <f>SUMIF('库存（子SKU）'!$C:$C,$A54,'库存（子SKU）'!AJ:AJ)</f>
        <v>104</v>
      </c>
      <c r="AI54">
        <f>SUMIF('库存（子SKU）'!$C:$C,$A54,'库存（子SKU）'!AK:AK)</f>
        <v>93</v>
      </c>
      <c r="AJ54">
        <f>SUMIF('库存（子SKU）'!$C:$C,$A54,'库存（子SKU）'!AL:AL)</f>
        <v>119</v>
      </c>
      <c r="AK54">
        <f>SUMIF('库存（子SKU）'!$C:$C,$A54,'库存（子SKU）'!AM:AM)</f>
        <v>73</v>
      </c>
      <c r="AL54" s="23">
        <f t="shared" si="6"/>
        <v>0.201923076923077</v>
      </c>
      <c r="AM54" s="23">
        <f t="shared" si="7"/>
        <v>0.129032258064516</v>
      </c>
      <c r="AN54" s="23">
        <f t="shared" si="8"/>
        <v>0.092436974789916</v>
      </c>
      <c r="AO54" s="23">
        <f t="shared" si="9"/>
        <v>0.219178082191781</v>
      </c>
      <c r="AP54" s="7">
        <f t="shared" si="10"/>
        <v>3</v>
      </c>
      <c r="AQ54" s="7">
        <f t="shared" si="11"/>
        <v>180</v>
      </c>
      <c r="AR54" s="7">
        <f t="shared" si="12"/>
        <v>-129</v>
      </c>
      <c r="AS54">
        <f t="shared" si="13"/>
        <v>17</v>
      </c>
      <c r="AT54" s="2">
        <f>IFERROR($A$2+AS54,"上周无销量")</f>
        <v>43307</v>
      </c>
    </row>
    <row r="55" spans="1:46">
      <c r="A55" t="s">
        <v>1218</v>
      </c>
      <c r="B55" s="5">
        <f>SUMIF('库存（子SKU）'!$C:$C,$A55,'库存（子SKU）'!D:D)</f>
        <v>0</v>
      </c>
      <c r="C55" s="5">
        <f>SUMIF('库存（子SKU）'!$C:$C,$A55,'库存（子SKU）'!E:E)</f>
        <v>0</v>
      </c>
      <c r="D55" s="5">
        <f>SUMIF('库存（子SKU）'!$C:$C,$A55,'库存（子SKU）'!F:F)</f>
        <v>0</v>
      </c>
      <c r="E55" s="5">
        <f>SUMIF('库存（子SKU）'!$C:$C,$A55,'库存（子SKU）'!G:G)</f>
        <v>1</v>
      </c>
      <c r="F55" s="6">
        <v>10.99</v>
      </c>
      <c r="G55">
        <f>SUMIF('库存（子SKU）'!$C:$C,$A55,'库存（子SKU）'!I:I)</f>
        <v>4</v>
      </c>
      <c r="H55">
        <f>SUMIF('库存（子SKU）'!$C:$C,$A55,'库存（子SKU）'!J:J)</f>
        <v>0</v>
      </c>
      <c r="I55">
        <f>SUMIF('库存（子SKU）'!$C:$C,$A55,'库存（子SKU）'!K:K)</f>
        <v>0</v>
      </c>
      <c r="J55">
        <f>SUMIF('库存（子SKU）'!$C:$C,$A55,'库存（子SKU）'!L:L)</f>
        <v>0</v>
      </c>
      <c r="K55">
        <f t="shared" si="0"/>
        <v>4</v>
      </c>
      <c r="L55">
        <f>SUMIF('库存（子SKU）'!$C:$C,$A55,'库存（子SKU）'!N:N)</f>
        <v>0</v>
      </c>
      <c r="M55">
        <f>SUMIF('库存（子SKU）'!$C:$C,$A55,'库存（子SKU）'!O:O)</f>
        <v>4</v>
      </c>
      <c r="N55">
        <f>SUMIF('库存（子SKU）'!$C:$C,$A55,'库存（子SKU）'!P:P)</f>
        <v>0</v>
      </c>
      <c r="O55">
        <f>SUMIF('库存（子SKU）'!$C:$C,$A55,'库存（子SKU）'!Q:Q)</f>
        <v>0</v>
      </c>
      <c r="P55">
        <f>SUMIF('库存（子SKU）'!$C:$C,$A55,'库存（子SKU）'!R:R)</f>
        <v>0</v>
      </c>
      <c r="Q55">
        <f>SUMIF('库存（子SKU）'!$C:$C,$A55,'库存（子SKU）'!S:S)</f>
        <v>0</v>
      </c>
      <c r="R55">
        <f>SUMIF('库存（子SKU）'!$C:$C,$A55,'库存（子SKU）'!T:T)</f>
        <v>0</v>
      </c>
      <c r="S55">
        <f>SUMIF('库存（子SKU）'!$C:$C,$A55,'库存（子SKU）'!U:U)</f>
        <v>0</v>
      </c>
      <c r="T55">
        <f>SUMIF('库存（子SKU）'!$C:$C,$A55,'库存（子SKU）'!V:V)</f>
        <v>0</v>
      </c>
      <c r="U55">
        <f>SUMIF('库存（子SKU）'!$C:$C,$A55,'库存（子SKU）'!W:W)</f>
        <v>0</v>
      </c>
      <c r="V55" s="23" t="str">
        <f t="shared" si="15"/>
        <v/>
      </c>
      <c r="W55" s="23" t="str">
        <f t="shared" si="16"/>
        <v/>
      </c>
      <c r="X55" s="23" t="str">
        <f t="shared" si="17"/>
        <v/>
      </c>
      <c r="Y55" s="23" t="str">
        <f t="shared" si="18"/>
        <v/>
      </c>
      <c r="Z55">
        <f>SUMIF('库存（子SKU）'!$C:$C,$A55,'库存（子SKU）'!AB:AB)</f>
        <v>0</v>
      </c>
      <c r="AA55">
        <f>SUMIF('库存（子SKU）'!$C:$C,$A55,'库存（子SKU）'!AC:AC)</f>
        <v>0</v>
      </c>
      <c r="AB55">
        <f>SUMIF('库存（子SKU）'!$C:$C,$A55,'库存（子SKU）'!AD:AD)</f>
        <v>0</v>
      </c>
      <c r="AC55">
        <f>SUMIF('库存（子SKU）'!$C:$C,$A55,'库存（子SKU）'!AE:AE)</f>
        <v>0</v>
      </c>
      <c r="AD55" s="23" t="str">
        <f t="shared" si="2"/>
        <v/>
      </c>
      <c r="AE55" s="23" t="str">
        <f t="shared" si="3"/>
        <v/>
      </c>
      <c r="AF55" s="23" t="str">
        <f t="shared" si="4"/>
        <v/>
      </c>
      <c r="AG55" s="23">
        <f t="shared" si="5"/>
        <v>0</v>
      </c>
      <c r="AH55">
        <f>SUMIF('库存（子SKU）'!$C:$C,$A55,'库存（子SKU）'!AJ:AJ)</f>
        <v>14</v>
      </c>
      <c r="AI55">
        <f>SUMIF('库存（子SKU）'!$C:$C,$A55,'库存（子SKU）'!AK:AK)</f>
        <v>4</v>
      </c>
      <c r="AJ55">
        <f>SUMIF('库存（子SKU）'!$C:$C,$A55,'库存（子SKU）'!AL:AL)</f>
        <v>7</v>
      </c>
      <c r="AK55">
        <f>SUMIF('库存（子SKU）'!$C:$C,$A55,'库存（子SKU）'!AM:AM)</f>
        <v>19</v>
      </c>
      <c r="AL55" s="23">
        <f t="shared" si="6"/>
        <v>0</v>
      </c>
      <c r="AM55" s="23">
        <f t="shared" si="7"/>
        <v>0</v>
      </c>
      <c r="AN55" s="23">
        <f t="shared" si="8"/>
        <v>0</v>
      </c>
      <c r="AO55" s="23">
        <f t="shared" si="9"/>
        <v>0.0526315789473684</v>
      </c>
      <c r="AP55" s="7">
        <f t="shared" si="10"/>
        <v>0</v>
      </c>
      <c r="AQ55" s="7">
        <f t="shared" si="11"/>
        <v>0</v>
      </c>
      <c r="AR55" s="7">
        <f t="shared" si="12"/>
        <v>4</v>
      </c>
      <c r="AS55" t="str">
        <f t="shared" si="13"/>
        <v>库存为4</v>
      </c>
      <c r="AT55" s="2" t="str">
        <f>IFERROR($A$2+AS55,"上周无销量")</f>
        <v>上周无销量</v>
      </c>
    </row>
    <row r="56" spans="1:46">
      <c r="A56" t="s">
        <v>1222</v>
      </c>
      <c r="B56" s="5">
        <f>SUMIF('库存（子SKU）'!$C:$C,$A56,'库存（子SKU）'!D:D)</f>
        <v>0</v>
      </c>
      <c r="C56" s="5">
        <f>SUMIF('库存（子SKU）'!$C:$C,$A56,'库存（子SKU）'!E:E)</f>
        <v>0</v>
      </c>
      <c r="D56" s="5">
        <f>SUMIF('库存（子SKU）'!$C:$C,$A56,'库存（子SKU）'!F:F)</f>
        <v>0</v>
      </c>
      <c r="E56" s="5">
        <f>SUMIF('库存（子SKU）'!$C:$C,$A56,'库存（子SKU）'!G:G)</f>
        <v>0</v>
      </c>
      <c r="F56" s="6" t="s">
        <v>54</v>
      </c>
      <c r="G56">
        <f>SUMIF('库存（子SKU）'!$C:$C,$A56,'库存（子SKU）'!I:I)</f>
        <v>0</v>
      </c>
      <c r="H56">
        <f>SUMIF('库存（子SKU）'!$C:$C,$A56,'库存（子SKU）'!J:J)</f>
        <v>0</v>
      </c>
      <c r="I56">
        <f>SUMIF('库存（子SKU）'!$C:$C,$A56,'库存（子SKU）'!K:K)</f>
        <v>0</v>
      </c>
      <c r="J56">
        <f>SUMIF('库存（子SKU）'!$C:$C,$A56,'库存（子SKU）'!L:L)</f>
        <v>0</v>
      </c>
      <c r="K56">
        <f t="shared" si="0"/>
        <v>0</v>
      </c>
      <c r="L56">
        <f>SUMIF('库存（子SKU）'!$C:$C,$A56,'库存（子SKU）'!N:N)</f>
        <v>0</v>
      </c>
      <c r="M56">
        <f>SUMIF('库存（子SKU）'!$C:$C,$A56,'库存（子SKU）'!O:O)</f>
        <v>0</v>
      </c>
      <c r="N56">
        <f>SUMIF('库存（子SKU）'!$C:$C,$A56,'库存（子SKU）'!P:P)</f>
        <v>0</v>
      </c>
      <c r="O56">
        <f>SUMIF('库存（子SKU）'!$C:$C,$A56,'库存（子SKU）'!Q:Q)</f>
        <v>0</v>
      </c>
      <c r="P56">
        <f>SUMIF('库存（子SKU）'!$C:$C,$A56,'库存（子SKU）'!R:R)</f>
        <v>0</v>
      </c>
      <c r="Q56">
        <f>SUMIF('库存（子SKU）'!$C:$C,$A56,'库存（子SKU）'!S:S)</f>
        <v>0</v>
      </c>
      <c r="R56">
        <f>SUMIF('库存（子SKU）'!$C:$C,$A56,'库存（子SKU）'!T:T)</f>
        <v>0</v>
      </c>
      <c r="S56">
        <f>SUMIF('库存（子SKU）'!$C:$C,$A56,'库存（子SKU）'!U:U)</f>
        <v>0</v>
      </c>
      <c r="T56">
        <f>SUMIF('库存（子SKU）'!$C:$C,$A56,'库存（子SKU）'!V:V)</f>
        <v>0</v>
      </c>
      <c r="U56">
        <f>SUMIF('库存（子SKU）'!$C:$C,$A56,'库存（子SKU）'!W:W)</f>
        <v>0</v>
      </c>
      <c r="V56" s="23" t="str">
        <f t="shared" si="15"/>
        <v/>
      </c>
      <c r="W56" s="23" t="str">
        <f t="shared" si="16"/>
        <v/>
      </c>
      <c r="X56" s="23" t="str">
        <f t="shared" si="17"/>
        <v/>
      </c>
      <c r="Y56" s="23" t="str">
        <f t="shared" si="18"/>
        <v/>
      </c>
      <c r="Z56">
        <f>SUMIF('库存（子SKU）'!$C:$C,$A56,'库存（子SKU）'!AB:AB)</f>
        <v>0</v>
      </c>
      <c r="AA56">
        <f>SUMIF('库存（子SKU）'!$C:$C,$A56,'库存（子SKU）'!AC:AC)</f>
        <v>0</v>
      </c>
      <c r="AB56">
        <f>SUMIF('库存（子SKU）'!$C:$C,$A56,'库存（子SKU）'!AD:AD)</f>
        <v>0</v>
      </c>
      <c r="AC56">
        <f>SUMIF('库存（子SKU）'!$C:$C,$A56,'库存（子SKU）'!AE:AE)</f>
        <v>0</v>
      </c>
      <c r="AD56" s="23" t="str">
        <f t="shared" si="2"/>
        <v/>
      </c>
      <c r="AE56" s="23" t="str">
        <f t="shared" si="3"/>
        <v/>
      </c>
      <c r="AF56" s="23" t="str">
        <f t="shared" si="4"/>
        <v/>
      </c>
      <c r="AG56" s="23" t="str">
        <f t="shared" si="5"/>
        <v/>
      </c>
      <c r="AH56">
        <f>SUMIF('库存（子SKU）'!$C:$C,$A56,'库存（子SKU）'!AJ:AJ)</f>
        <v>0</v>
      </c>
      <c r="AI56">
        <f>SUMIF('库存（子SKU）'!$C:$C,$A56,'库存（子SKU）'!AK:AK)</f>
        <v>0</v>
      </c>
      <c r="AJ56">
        <f>SUMIF('库存（子SKU）'!$C:$C,$A56,'库存（子SKU）'!AL:AL)</f>
        <v>0</v>
      </c>
      <c r="AK56">
        <f>SUMIF('库存（子SKU）'!$C:$C,$A56,'库存（子SKU）'!AM:AM)</f>
        <v>0</v>
      </c>
      <c r="AL56" s="23" t="str">
        <f t="shared" si="6"/>
        <v/>
      </c>
      <c r="AM56" s="23" t="str">
        <f t="shared" si="7"/>
        <v/>
      </c>
      <c r="AN56" s="23" t="str">
        <f t="shared" si="8"/>
        <v/>
      </c>
      <c r="AO56" s="23" t="str">
        <f t="shared" si="9"/>
        <v/>
      </c>
      <c r="AP56" s="7">
        <f t="shared" si="10"/>
        <v>0</v>
      </c>
      <c r="AQ56" s="7">
        <f t="shared" si="11"/>
        <v>0</v>
      </c>
      <c r="AR56" s="7">
        <f t="shared" si="12"/>
        <v>0</v>
      </c>
      <c r="AS56" t="str">
        <f t="shared" si="13"/>
        <v>库存为0</v>
      </c>
      <c r="AT56" s="2" t="str">
        <f>IFERROR($A$2+AS56,"上周无销量")</f>
        <v>上周无销量</v>
      </c>
    </row>
    <row r="57" spans="1:46">
      <c r="A57" t="s">
        <v>1289</v>
      </c>
      <c r="B57" s="5">
        <f>SUMIF('库存（子SKU）'!$C:$C,$A57,'库存（子SKU）'!D:D)</f>
        <v>451</v>
      </c>
      <c r="C57" s="5">
        <f>SUMIF('库存（子SKU）'!$C:$C,$A57,'库存（子SKU）'!E:E)</f>
        <v>339</v>
      </c>
      <c r="D57" s="5">
        <f>SUMIF('库存（子SKU）'!$C:$C,$A57,'库存（子SKU）'!F:F)</f>
        <v>1303</v>
      </c>
      <c r="E57" s="5">
        <f>SUMIF('库存（子SKU）'!$C:$C,$A57,'库存（子SKU）'!G:G)</f>
        <v>366</v>
      </c>
      <c r="F57" s="6">
        <v>18.1099837332248</v>
      </c>
      <c r="G57">
        <f>SUMIF('库存（子SKU）'!$C:$C,$A57,'库存（子SKU）'!I:I)</f>
        <v>1463</v>
      </c>
      <c r="H57">
        <f>SUMIF('库存（子SKU）'!$C:$C,$A57,'库存（子SKU）'!J:J)</f>
        <v>1051</v>
      </c>
      <c r="I57">
        <f>SUMIF('库存（子SKU）'!$C:$C,$A57,'库存（子SKU）'!K:K)</f>
        <v>35</v>
      </c>
      <c r="J57">
        <f>SUMIF('库存（子SKU）'!$C:$C,$A57,'库存（子SKU）'!L:L)</f>
        <v>233</v>
      </c>
      <c r="K57">
        <f t="shared" si="0"/>
        <v>2782</v>
      </c>
      <c r="L57">
        <f>SUMIF('库存（子SKU）'!$C:$C,$A57,'库存（子SKU）'!N:N)</f>
        <v>14</v>
      </c>
      <c r="M57">
        <f>SUMIF('库存（子SKU）'!$C:$C,$A57,'库存（子SKU）'!O:O)</f>
        <v>0</v>
      </c>
      <c r="N57">
        <f>SUMIF('库存（子SKU）'!$C:$C,$A57,'库存（子SKU）'!P:P)</f>
        <v>277076</v>
      </c>
      <c r="O57">
        <f>SUMIF('库存（子SKU）'!$C:$C,$A57,'库存（子SKU）'!Q:Q)</f>
        <v>146553</v>
      </c>
      <c r="P57">
        <f>SUMIF('库存（子SKU）'!$C:$C,$A57,'库存（子SKU）'!R:R)</f>
        <v>154934</v>
      </c>
      <c r="Q57">
        <f>SUMIF('库存（子SKU）'!$C:$C,$A57,'库存（子SKU）'!S:S)</f>
        <v>96489</v>
      </c>
      <c r="R57">
        <f>SUMIF('库存（子SKU）'!$C:$C,$A57,'库存（子SKU）'!T:T)</f>
        <v>1970</v>
      </c>
      <c r="S57">
        <f>SUMIF('库存（子SKU）'!$C:$C,$A57,'库存（子SKU）'!U:U)</f>
        <v>850</v>
      </c>
      <c r="T57">
        <f>SUMIF('库存（子SKU）'!$C:$C,$A57,'库存（子SKU）'!V:V)</f>
        <v>959</v>
      </c>
      <c r="U57">
        <f>SUMIF('库存（子SKU）'!$C:$C,$A57,'库存（子SKU）'!W:W)</f>
        <v>631</v>
      </c>
      <c r="V57" s="23">
        <f t="shared" si="15"/>
        <v>0.00710996260953673</v>
      </c>
      <c r="W57" s="23">
        <f t="shared" si="16"/>
        <v>0.00579994950632194</v>
      </c>
      <c r="X57" s="23">
        <f t="shared" si="17"/>
        <v>0.00618973240218416</v>
      </c>
      <c r="Y57" s="23">
        <f t="shared" si="18"/>
        <v>0.00653960555089181</v>
      </c>
      <c r="Z57">
        <f>SUMIF('库存（子SKU）'!$C:$C,$A57,'库存（子SKU）'!AB:AB)</f>
        <v>1603.82</v>
      </c>
      <c r="AA57">
        <f>SUMIF('库存（子SKU）'!$C:$C,$A57,'库存（子SKU）'!AC:AC)</f>
        <v>631.1</v>
      </c>
      <c r="AB57">
        <f>SUMIF('库存（子SKU）'!$C:$C,$A57,'库存（子SKU）'!AD:AD)</f>
        <v>678.27</v>
      </c>
      <c r="AC57">
        <f>SUMIF('库存（子SKU）'!$C:$C,$A57,'库存（子SKU）'!AE:AE)</f>
        <v>457.3</v>
      </c>
      <c r="AD57" s="23">
        <f t="shared" si="2"/>
        <v>0.196363616845744</v>
      </c>
      <c r="AE57" s="23">
        <f t="shared" si="3"/>
        <v>0.102796995559346</v>
      </c>
      <c r="AF57" s="23">
        <f t="shared" si="4"/>
        <v>0.0287435319689405</v>
      </c>
      <c r="AG57" s="23">
        <f t="shared" si="5"/>
        <v>0.0689925275647987</v>
      </c>
      <c r="AH57">
        <f>SUMIF('库存（子SKU）'!$C:$C,$A57,'库存（子SKU）'!AJ:AJ)</f>
        <v>5879</v>
      </c>
      <c r="AI57">
        <f>SUMIF('库存（子SKU）'!$C:$C,$A57,'库存（子SKU）'!AK:AK)</f>
        <v>5022</v>
      </c>
      <c r="AJ57">
        <f>SUMIF('库存（子SKU）'!$C:$C,$A57,'库存（子SKU）'!AL:AL)</f>
        <v>24030</v>
      </c>
      <c r="AK57">
        <f>SUMIF('库存（子SKU）'!$C:$C,$A57,'库存（子SKU）'!AM:AM)</f>
        <v>6010</v>
      </c>
      <c r="AL57" s="23">
        <f t="shared" si="6"/>
        <v>0.0767137268242898</v>
      </c>
      <c r="AM57" s="23">
        <f t="shared" si="7"/>
        <v>0.0675029868578256</v>
      </c>
      <c r="AN57" s="23">
        <f t="shared" si="8"/>
        <v>0.0542238868081565</v>
      </c>
      <c r="AO57" s="23">
        <f t="shared" si="9"/>
        <v>0.0608985024958403</v>
      </c>
      <c r="AP57" s="7">
        <f t="shared" si="10"/>
        <v>64.4285714285714</v>
      </c>
      <c r="AQ57" s="7">
        <f t="shared" si="11"/>
        <v>3865.71428571429</v>
      </c>
      <c r="AR57" s="7">
        <f t="shared" si="12"/>
        <v>-1083.71428571429</v>
      </c>
      <c r="AS57">
        <f t="shared" si="13"/>
        <v>43</v>
      </c>
      <c r="AT57" s="2">
        <f>IFERROR($A$2+AS57,"上周无销量")</f>
        <v>43333</v>
      </c>
    </row>
    <row r="58" spans="1:46">
      <c r="A58" t="s">
        <v>1374</v>
      </c>
      <c r="B58" s="5">
        <f>SUMIF('库存（子SKU）'!$C:$C,$A58,'库存（子SKU）'!D:D)</f>
        <v>0</v>
      </c>
      <c r="C58" s="5">
        <f>SUMIF('库存（子SKU）'!$C:$C,$A58,'库存（子SKU）'!E:E)</f>
        <v>0</v>
      </c>
      <c r="D58" s="5">
        <f>SUMIF('库存（子SKU）'!$C:$C,$A58,'库存（子SKU）'!F:F)</f>
        <v>0</v>
      </c>
      <c r="E58" s="5">
        <f>SUMIF('库存（子SKU）'!$C:$C,$A58,'库存（子SKU）'!G:G)</f>
        <v>0</v>
      </c>
      <c r="F58" s="6" t="s">
        <v>54</v>
      </c>
      <c r="G58">
        <f>SUMIF('库存（子SKU）'!$C:$C,$A58,'库存（子SKU）'!I:I)</f>
        <v>0</v>
      </c>
      <c r="H58">
        <f>SUMIF('库存（子SKU）'!$C:$C,$A58,'库存（子SKU）'!J:J)</f>
        <v>0</v>
      </c>
      <c r="I58">
        <f>SUMIF('库存（子SKU）'!$C:$C,$A58,'库存（子SKU）'!K:K)</f>
        <v>0</v>
      </c>
      <c r="J58">
        <f>SUMIF('库存（子SKU）'!$C:$C,$A58,'库存（子SKU）'!L:L)</f>
        <v>0</v>
      </c>
      <c r="K58">
        <f t="shared" si="0"/>
        <v>0</v>
      </c>
      <c r="L58">
        <f>SUMIF('库存（子SKU）'!$C:$C,$A58,'库存（子SKU）'!N:N)</f>
        <v>0</v>
      </c>
      <c r="M58">
        <f>SUMIF('库存（子SKU）'!$C:$C,$A58,'库存（子SKU）'!O:O)</f>
        <v>0</v>
      </c>
      <c r="N58">
        <f>SUMIF('库存（子SKU）'!$C:$C,$A58,'库存（子SKU）'!P:P)</f>
        <v>0</v>
      </c>
      <c r="O58">
        <f>SUMIF('库存（子SKU）'!$C:$C,$A58,'库存（子SKU）'!Q:Q)</f>
        <v>0</v>
      </c>
      <c r="P58">
        <f>SUMIF('库存（子SKU）'!$C:$C,$A58,'库存（子SKU）'!R:R)</f>
        <v>0</v>
      </c>
      <c r="Q58">
        <f>SUMIF('库存（子SKU）'!$C:$C,$A58,'库存（子SKU）'!S:S)</f>
        <v>0</v>
      </c>
      <c r="R58">
        <f>SUMIF('库存（子SKU）'!$C:$C,$A58,'库存（子SKU）'!T:T)</f>
        <v>0</v>
      </c>
      <c r="S58">
        <f>SUMIF('库存（子SKU）'!$C:$C,$A58,'库存（子SKU）'!U:U)</f>
        <v>0</v>
      </c>
      <c r="T58">
        <f>SUMIF('库存（子SKU）'!$C:$C,$A58,'库存（子SKU）'!V:V)</f>
        <v>0</v>
      </c>
      <c r="U58">
        <f>SUMIF('库存（子SKU）'!$C:$C,$A58,'库存（子SKU）'!W:W)</f>
        <v>0</v>
      </c>
      <c r="V58" s="23" t="str">
        <f t="shared" si="15"/>
        <v/>
      </c>
      <c r="W58" s="23" t="str">
        <f t="shared" si="16"/>
        <v/>
      </c>
      <c r="X58" s="23" t="str">
        <f t="shared" si="17"/>
        <v/>
      </c>
      <c r="Y58" s="23" t="str">
        <f t="shared" si="18"/>
        <v/>
      </c>
      <c r="Z58">
        <f>SUMIF('库存（子SKU）'!$C:$C,$A58,'库存（子SKU）'!AB:AB)</f>
        <v>0</v>
      </c>
      <c r="AA58">
        <f>SUMIF('库存（子SKU）'!$C:$C,$A58,'库存（子SKU）'!AC:AC)</f>
        <v>0</v>
      </c>
      <c r="AB58">
        <f>SUMIF('库存（子SKU）'!$C:$C,$A58,'库存（子SKU）'!AD:AD)</f>
        <v>0</v>
      </c>
      <c r="AC58">
        <f>SUMIF('库存（子SKU）'!$C:$C,$A58,'库存（子SKU）'!AE:AE)</f>
        <v>0</v>
      </c>
      <c r="AD58" s="23" t="str">
        <f t="shared" si="2"/>
        <v/>
      </c>
      <c r="AE58" s="23" t="str">
        <f t="shared" si="3"/>
        <v/>
      </c>
      <c r="AF58" s="23" t="str">
        <f t="shared" si="4"/>
        <v/>
      </c>
      <c r="AG58" s="23" t="str">
        <f t="shared" si="5"/>
        <v/>
      </c>
      <c r="AH58">
        <f>SUMIF('库存（子SKU）'!$C:$C,$A58,'库存（子SKU）'!AJ:AJ)</f>
        <v>0</v>
      </c>
      <c r="AI58">
        <f>SUMIF('库存（子SKU）'!$C:$C,$A58,'库存（子SKU）'!AK:AK)</f>
        <v>0</v>
      </c>
      <c r="AJ58">
        <f>SUMIF('库存（子SKU）'!$C:$C,$A58,'库存（子SKU）'!AL:AL)</f>
        <v>0</v>
      </c>
      <c r="AK58">
        <f>SUMIF('库存（子SKU）'!$C:$C,$A58,'库存（子SKU）'!AM:AM)</f>
        <v>0</v>
      </c>
      <c r="AL58" s="23" t="str">
        <f t="shared" si="6"/>
        <v/>
      </c>
      <c r="AM58" s="23" t="str">
        <f t="shared" si="7"/>
        <v/>
      </c>
      <c r="AN58" s="23" t="str">
        <f t="shared" si="8"/>
        <v/>
      </c>
      <c r="AO58" s="23" t="str">
        <f t="shared" si="9"/>
        <v/>
      </c>
      <c r="AP58" s="7">
        <f t="shared" si="10"/>
        <v>0</v>
      </c>
      <c r="AQ58" s="7">
        <f t="shared" si="11"/>
        <v>0</v>
      </c>
      <c r="AR58" s="7">
        <f t="shared" si="12"/>
        <v>0</v>
      </c>
      <c r="AS58" t="str">
        <f t="shared" si="13"/>
        <v>库存为0</v>
      </c>
      <c r="AT58" s="2" t="str">
        <f>IFERROR($A$2+AS58,"上周无销量")</f>
        <v>上周无销量</v>
      </c>
    </row>
    <row r="59" spans="1:46">
      <c r="A59" t="s">
        <v>1381</v>
      </c>
      <c r="B59" s="5">
        <f>SUMIF('库存（子SKU）'!$C:$C,$A59,'库存（子SKU）'!D:D)</f>
        <v>8</v>
      </c>
      <c r="C59" s="5">
        <f>SUMIF('库存（子SKU）'!$C:$C,$A59,'库存（子SKU）'!E:E)</f>
        <v>2</v>
      </c>
      <c r="D59" s="5">
        <f>SUMIF('库存（子SKU）'!$C:$C,$A59,'库存（子SKU）'!F:F)</f>
        <v>7</v>
      </c>
      <c r="E59" s="5">
        <f>SUMIF('库存（子SKU）'!$C:$C,$A59,'库存（子SKU）'!G:G)</f>
        <v>13</v>
      </c>
      <c r="F59" s="6">
        <v>9.93</v>
      </c>
      <c r="G59">
        <f>SUMIF('库存（子SKU）'!$C:$C,$A59,'库存（子SKU）'!I:I)</f>
        <v>82</v>
      </c>
      <c r="H59">
        <f>SUMIF('库存（子SKU）'!$C:$C,$A59,'库存（子SKU）'!J:J)</f>
        <v>0</v>
      </c>
      <c r="I59">
        <f>SUMIF('库存（子SKU）'!$C:$C,$A59,'库存（子SKU）'!K:K)</f>
        <v>0</v>
      </c>
      <c r="J59">
        <f>SUMIF('库存（子SKU）'!$C:$C,$A59,'库存（子SKU）'!L:L)</f>
        <v>0</v>
      </c>
      <c r="K59">
        <f t="shared" si="0"/>
        <v>82</v>
      </c>
      <c r="L59">
        <f>SUMIF('库存（子SKU）'!$C:$C,$A59,'库存（子SKU）'!N:N)</f>
        <v>0</v>
      </c>
      <c r="M59">
        <f>SUMIF('库存（子SKU）'!$C:$C,$A59,'库存（子SKU）'!O:O)</f>
        <v>23</v>
      </c>
      <c r="N59">
        <f>SUMIF('库存（子SKU）'!$C:$C,$A59,'库存（子SKU）'!P:P)</f>
        <v>2808</v>
      </c>
      <c r="O59">
        <f>SUMIF('库存（子SKU）'!$C:$C,$A59,'库存（子SKU）'!Q:Q)</f>
        <v>2246</v>
      </c>
      <c r="P59">
        <f>SUMIF('库存（子SKU）'!$C:$C,$A59,'库存（子SKU）'!R:R)</f>
        <v>5658</v>
      </c>
      <c r="Q59">
        <f>SUMIF('库存（子SKU）'!$C:$C,$A59,'库存（子SKU）'!S:S)</f>
        <v>4628</v>
      </c>
      <c r="R59">
        <f>SUMIF('库存（子SKU）'!$C:$C,$A59,'库存（子SKU）'!T:T)</f>
        <v>8</v>
      </c>
      <c r="S59">
        <f>SUMIF('库存（子SKU）'!$C:$C,$A59,'库存（子SKU）'!U:U)</f>
        <v>11</v>
      </c>
      <c r="T59">
        <f>SUMIF('库存（子SKU）'!$C:$C,$A59,'库存（子SKU）'!V:V)</f>
        <v>25</v>
      </c>
      <c r="U59">
        <f>SUMIF('库存（子SKU）'!$C:$C,$A59,'库存（子SKU）'!W:W)</f>
        <v>25</v>
      </c>
      <c r="V59" s="23">
        <f t="shared" si="15"/>
        <v>0.00284900284900285</v>
      </c>
      <c r="W59" s="23">
        <f t="shared" si="16"/>
        <v>0.00489759572573464</v>
      </c>
      <c r="X59" s="23">
        <f t="shared" si="17"/>
        <v>0.00441852244609403</v>
      </c>
      <c r="Y59" s="23">
        <f t="shared" si="18"/>
        <v>0.0054019014693172</v>
      </c>
      <c r="Z59">
        <f>SUMIF('库存（子SKU）'!$C:$C,$A59,'库存（子SKU）'!AB:AB)</f>
        <v>3.61</v>
      </c>
      <c r="AA59">
        <f>SUMIF('库存（子SKU）'!$C:$C,$A59,'库存（子SKU）'!AC:AC)</f>
        <v>5.84</v>
      </c>
      <c r="AB59">
        <f>SUMIF('库存（子SKU）'!$C:$C,$A59,'库存（子SKU）'!AD:AD)</f>
        <v>11.49</v>
      </c>
      <c r="AC59">
        <f>SUMIF('库存（子SKU）'!$C:$C,$A59,'库存（子SKU）'!AE:AE)</f>
        <v>12.16</v>
      </c>
      <c r="AD59" s="23">
        <f t="shared" si="2"/>
        <v>0.0454431017119839</v>
      </c>
      <c r="AE59" s="23">
        <f t="shared" si="3"/>
        <v>0.294058408862034</v>
      </c>
      <c r="AF59" s="23">
        <f t="shared" si="4"/>
        <v>0.165299956840742</v>
      </c>
      <c r="AG59" s="23">
        <f t="shared" si="5"/>
        <v>0.0941978464637075</v>
      </c>
      <c r="AH59">
        <f>SUMIF('库存（子SKU）'!$C:$C,$A59,'库存（子SKU）'!AJ:AJ)</f>
        <v>83</v>
      </c>
      <c r="AI59">
        <f>SUMIF('库存（子SKU）'!$C:$C,$A59,'库存（子SKU）'!AK:AK)</f>
        <v>59</v>
      </c>
      <c r="AJ59">
        <f>SUMIF('库存（子SKU）'!$C:$C,$A59,'库存（子SKU）'!AL:AL)</f>
        <v>113</v>
      </c>
      <c r="AK59">
        <f>SUMIF('库存（子SKU）'!$C:$C,$A59,'库存（子SKU）'!AM:AM)</f>
        <v>133</v>
      </c>
      <c r="AL59" s="23">
        <f t="shared" si="6"/>
        <v>0.0963855421686747</v>
      </c>
      <c r="AM59" s="23">
        <f t="shared" si="7"/>
        <v>0.0338983050847458</v>
      </c>
      <c r="AN59" s="23">
        <f t="shared" si="8"/>
        <v>0.0619469026548673</v>
      </c>
      <c r="AO59" s="23">
        <f t="shared" si="9"/>
        <v>0.0977443609022556</v>
      </c>
      <c r="AP59" s="7">
        <f t="shared" si="10"/>
        <v>1.14285714285714</v>
      </c>
      <c r="AQ59" s="7">
        <f t="shared" si="11"/>
        <v>68.5714285714286</v>
      </c>
      <c r="AR59" s="7">
        <f t="shared" si="12"/>
        <v>13.4285714285714</v>
      </c>
      <c r="AS59">
        <f t="shared" si="13"/>
        <v>71</v>
      </c>
      <c r="AT59" s="2">
        <f>IFERROR($A$2+AS59,"上周无销量")</f>
        <v>43361</v>
      </c>
    </row>
    <row r="60" spans="1:46">
      <c r="A60" t="s">
        <v>1414</v>
      </c>
      <c r="B60" s="5">
        <f>SUMIF('库存（子SKU）'!$C:$C,$A60,'库存（子SKU）'!D:D)</f>
        <v>0</v>
      </c>
      <c r="C60" s="5">
        <f>SUMIF('库存（子SKU）'!$C:$C,$A60,'库存（子SKU）'!E:E)</f>
        <v>0</v>
      </c>
      <c r="D60" s="5">
        <f>SUMIF('库存（子SKU）'!$C:$C,$A60,'库存（子SKU）'!F:F)</f>
        <v>1</v>
      </c>
      <c r="E60" s="5">
        <f>SUMIF('库存（子SKU）'!$C:$C,$A60,'库存（子SKU）'!G:G)</f>
        <v>0</v>
      </c>
      <c r="F60" s="6">
        <v>9.5</v>
      </c>
      <c r="G60">
        <f>SUMIF('库存（子SKU）'!$C:$C,$A60,'库存（子SKU）'!I:I)</f>
        <v>133</v>
      </c>
      <c r="H60">
        <f>SUMIF('库存（子SKU）'!$C:$C,$A60,'库存（子SKU）'!J:J)</f>
        <v>0</v>
      </c>
      <c r="I60">
        <f>SUMIF('库存（子SKU）'!$C:$C,$A60,'库存（子SKU）'!K:K)</f>
        <v>0</v>
      </c>
      <c r="J60">
        <f>SUMIF('库存（子SKU）'!$C:$C,$A60,'库存（子SKU）'!L:L)</f>
        <v>0</v>
      </c>
      <c r="K60">
        <f t="shared" si="0"/>
        <v>133</v>
      </c>
      <c r="L60">
        <f>SUMIF('库存（子SKU）'!$C:$C,$A60,'库存（子SKU）'!N:N)</f>
        <v>0</v>
      </c>
      <c r="M60">
        <f>SUMIF('库存（子SKU）'!$C:$C,$A60,'库存（子SKU）'!O:O)</f>
        <v>133</v>
      </c>
      <c r="N60">
        <f>SUMIF('库存（子SKU）'!$C:$C,$A60,'库存（子SKU）'!P:P)</f>
        <v>285</v>
      </c>
      <c r="O60">
        <f>SUMIF('库存（子SKU）'!$C:$C,$A60,'库存（子SKU）'!Q:Q)</f>
        <v>59</v>
      </c>
      <c r="P60">
        <f>SUMIF('库存（子SKU）'!$C:$C,$A60,'库存（子SKU）'!R:R)</f>
        <v>0</v>
      </c>
      <c r="Q60">
        <f>SUMIF('库存（子SKU）'!$C:$C,$A60,'库存（子SKU）'!S:S)</f>
        <v>0</v>
      </c>
      <c r="R60">
        <f>SUMIF('库存（子SKU）'!$C:$C,$A60,'库存（子SKU）'!T:T)</f>
        <v>0</v>
      </c>
      <c r="S60">
        <f>SUMIF('库存（子SKU）'!$C:$C,$A60,'库存（子SKU）'!U:U)</f>
        <v>0</v>
      </c>
      <c r="T60">
        <f>SUMIF('库存（子SKU）'!$C:$C,$A60,'库存（子SKU）'!V:V)</f>
        <v>0</v>
      </c>
      <c r="U60">
        <f>SUMIF('库存（子SKU）'!$C:$C,$A60,'库存（子SKU）'!W:W)</f>
        <v>0</v>
      </c>
      <c r="V60" s="23">
        <f t="shared" si="15"/>
        <v>0</v>
      </c>
      <c r="W60" s="23">
        <f t="shared" si="16"/>
        <v>0</v>
      </c>
      <c r="X60" s="23" t="str">
        <f t="shared" si="17"/>
        <v/>
      </c>
      <c r="Y60" s="23" t="str">
        <f t="shared" si="18"/>
        <v/>
      </c>
      <c r="Z60">
        <f>SUMIF('库存（子SKU）'!$C:$C,$A60,'库存（子SKU）'!AB:AB)</f>
        <v>0</v>
      </c>
      <c r="AA60">
        <f>SUMIF('库存（子SKU）'!$C:$C,$A60,'库存（子SKU）'!AC:AC)</f>
        <v>0</v>
      </c>
      <c r="AB60">
        <f>SUMIF('库存（子SKU）'!$C:$C,$A60,'库存（子SKU）'!AD:AD)</f>
        <v>0</v>
      </c>
      <c r="AC60">
        <f>SUMIF('库存（子SKU）'!$C:$C,$A60,'库存（子SKU）'!AE:AE)</f>
        <v>0</v>
      </c>
      <c r="AD60" s="23" t="str">
        <f t="shared" si="2"/>
        <v/>
      </c>
      <c r="AE60" s="23" t="str">
        <f t="shared" si="3"/>
        <v/>
      </c>
      <c r="AF60" s="23">
        <f t="shared" si="4"/>
        <v>0</v>
      </c>
      <c r="AG60" s="23" t="str">
        <f t="shared" si="5"/>
        <v/>
      </c>
      <c r="AH60">
        <f>SUMIF('库存（子SKU）'!$C:$C,$A60,'库存（子SKU）'!AJ:AJ)</f>
        <v>44</v>
      </c>
      <c r="AI60">
        <f>SUMIF('库存（子SKU）'!$C:$C,$A60,'库存（子SKU）'!AK:AK)</f>
        <v>73</v>
      </c>
      <c r="AJ60">
        <f>SUMIF('库存（子SKU）'!$C:$C,$A60,'库存（子SKU）'!AL:AL)</f>
        <v>73</v>
      </c>
      <c r="AK60">
        <f>SUMIF('库存（子SKU）'!$C:$C,$A60,'库存（子SKU）'!AM:AM)</f>
        <v>41</v>
      </c>
      <c r="AL60" s="23">
        <f t="shared" si="6"/>
        <v>0</v>
      </c>
      <c r="AM60" s="23">
        <f t="shared" si="7"/>
        <v>0</v>
      </c>
      <c r="AN60" s="23">
        <f t="shared" si="8"/>
        <v>0.0136986301369863</v>
      </c>
      <c r="AO60" s="23">
        <f t="shared" si="9"/>
        <v>0</v>
      </c>
      <c r="AP60" s="7">
        <f t="shared" si="10"/>
        <v>0</v>
      </c>
      <c r="AQ60" s="7">
        <f t="shared" si="11"/>
        <v>0</v>
      </c>
      <c r="AR60" s="7">
        <f t="shared" si="12"/>
        <v>133</v>
      </c>
      <c r="AS60" t="str">
        <f t="shared" si="13"/>
        <v>库存为133</v>
      </c>
      <c r="AT60" s="2" t="str">
        <f>IFERROR($A$2+AS60,"上周无销量")</f>
        <v>上周无销量</v>
      </c>
    </row>
    <row r="61" spans="1:46">
      <c r="A61" t="s">
        <v>1487</v>
      </c>
      <c r="B61" s="5">
        <f>SUMIF('库存（子SKU）'!$C:$C,$A61,'库存（子SKU）'!D:D)</f>
        <v>0</v>
      </c>
      <c r="C61" s="5">
        <f>SUMIF('库存（子SKU）'!$C:$C,$A61,'库存（子SKU）'!E:E)</f>
        <v>0</v>
      </c>
      <c r="D61" s="5">
        <f>SUMIF('库存（子SKU）'!$C:$C,$A61,'库存（子SKU）'!F:F)</f>
        <v>2</v>
      </c>
      <c r="E61" s="5">
        <f>SUMIF('库存（子SKU）'!$C:$C,$A61,'库存（子SKU）'!G:G)</f>
        <v>0</v>
      </c>
      <c r="F61" s="6">
        <v>10</v>
      </c>
      <c r="G61">
        <f>SUMIF('库存（子SKU）'!$C:$C,$A61,'库存（子SKU）'!I:I)</f>
        <v>17</v>
      </c>
      <c r="H61">
        <f>SUMIF('库存（子SKU）'!$C:$C,$A61,'库存（子SKU）'!J:J)</f>
        <v>0</v>
      </c>
      <c r="I61">
        <f>SUMIF('库存（子SKU）'!$C:$C,$A61,'库存（子SKU）'!K:K)</f>
        <v>0</v>
      </c>
      <c r="J61">
        <f>SUMIF('库存（子SKU）'!$C:$C,$A61,'库存（子SKU）'!L:L)</f>
        <v>0</v>
      </c>
      <c r="K61">
        <f t="shared" si="0"/>
        <v>17</v>
      </c>
      <c r="L61">
        <f>SUMIF('库存（子SKU）'!$C:$C,$A61,'库存（子SKU）'!N:N)</f>
        <v>0</v>
      </c>
      <c r="M61">
        <f>SUMIF('库存（子SKU）'!$C:$C,$A61,'库存（子SKU）'!O:O)</f>
        <v>17</v>
      </c>
      <c r="N61">
        <f>SUMIF('库存（子SKU）'!$C:$C,$A61,'库存（子SKU）'!P:P)</f>
        <v>252</v>
      </c>
      <c r="O61">
        <f>SUMIF('库存（子SKU）'!$C:$C,$A61,'库存（子SKU）'!Q:Q)</f>
        <v>151</v>
      </c>
      <c r="P61">
        <f>SUMIF('库存（子SKU）'!$C:$C,$A61,'库存（子SKU）'!R:R)</f>
        <v>86</v>
      </c>
      <c r="Q61">
        <f>SUMIF('库存（子SKU）'!$C:$C,$A61,'库存（子SKU）'!S:S)</f>
        <v>79</v>
      </c>
      <c r="R61">
        <f>SUMIF('库存（子SKU）'!$C:$C,$A61,'库存（子SKU）'!T:T)</f>
        <v>3</v>
      </c>
      <c r="S61">
        <f>SUMIF('库存（子SKU）'!$C:$C,$A61,'库存（子SKU）'!U:U)</f>
        <v>2</v>
      </c>
      <c r="T61">
        <f>SUMIF('库存（子SKU）'!$C:$C,$A61,'库存（子SKU）'!V:V)</f>
        <v>1</v>
      </c>
      <c r="U61">
        <f>SUMIF('库存（子SKU）'!$C:$C,$A61,'库存（子SKU）'!W:W)</f>
        <v>2</v>
      </c>
      <c r="V61" s="23">
        <f t="shared" si="15"/>
        <v>0.0119047619047619</v>
      </c>
      <c r="W61" s="23">
        <f t="shared" si="16"/>
        <v>0.0132450331125828</v>
      </c>
      <c r="X61" s="23">
        <f t="shared" si="17"/>
        <v>0.0116279069767442</v>
      </c>
      <c r="Y61" s="23">
        <f t="shared" si="18"/>
        <v>0.0253164556962025</v>
      </c>
      <c r="Z61">
        <f>SUMIF('库存（子SKU）'!$C:$C,$A61,'库存（子SKU）'!AB:AB)</f>
        <v>1.24</v>
      </c>
      <c r="AA61">
        <f>SUMIF('库存（子SKU）'!$C:$C,$A61,'库存（子SKU）'!AC:AC)</f>
        <v>0.37</v>
      </c>
      <c r="AB61">
        <f>SUMIF('库存（子SKU）'!$C:$C,$A61,'库存（子SKU）'!AD:AD)</f>
        <v>0.09</v>
      </c>
      <c r="AC61">
        <f>SUMIF('库存（子SKU）'!$C:$C,$A61,'库存（子SKU）'!AE:AE)</f>
        <v>0.17</v>
      </c>
      <c r="AD61" s="23" t="str">
        <f t="shared" si="2"/>
        <v>无销量广告费为1.24</v>
      </c>
      <c r="AE61" s="23" t="str">
        <f t="shared" si="3"/>
        <v>无销量广告费为0.37</v>
      </c>
      <c r="AF61" s="23">
        <f t="shared" si="4"/>
        <v>0.0045</v>
      </c>
      <c r="AG61" s="23" t="str">
        <f t="shared" si="5"/>
        <v>无销量广告费为0.17</v>
      </c>
      <c r="AH61">
        <f>SUMIF('库存（子SKU）'!$C:$C,$A61,'库存（子SKU）'!AJ:AJ)</f>
        <v>17</v>
      </c>
      <c r="AI61">
        <f>SUMIF('库存（子SKU）'!$C:$C,$A61,'库存（子SKU）'!AK:AK)</f>
        <v>5</v>
      </c>
      <c r="AJ61">
        <f>SUMIF('库存（子SKU）'!$C:$C,$A61,'库存（子SKU）'!AL:AL)</f>
        <v>9</v>
      </c>
      <c r="AK61">
        <f>SUMIF('库存（子SKU）'!$C:$C,$A61,'库存（子SKU）'!AM:AM)</f>
        <v>5</v>
      </c>
      <c r="AL61" s="23">
        <f t="shared" si="6"/>
        <v>0</v>
      </c>
      <c r="AM61" s="23">
        <f t="shared" si="7"/>
        <v>0</v>
      </c>
      <c r="AN61" s="23">
        <f t="shared" si="8"/>
        <v>0.222222222222222</v>
      </c>
      <c r="AO61" s="23">
        <f t="shared" si="9"/>
        <v>0</v>
      </c>
      <c r="AP61" s="7">
        <f t="shared" si="10"/>
        <v>0</v>
      </c>
      <c r="AQ61" s="7">
        <f t="shared" si="11"/>
        <v>0</v>
      </c>
      <c r="AR61" s="7">
        <f t="shared" si="12"/>
        <v>17</v>
      </c>
      <c r="AS61" t="str">
        <f t="shared" si="13"/>
        <v>库存为17</v>
      </c>
      <c r="AT61" s="2" t="str">
        <f>IFERROR($A$2+AS61,"上周无销量")</f>
        <v>上周无销量</v>
      </c>
    </row>
    <row r="62" spans="1:46">
      <c r="A62"/>
      <c r="V62" s="23"/>
      <c r="W62" s="23"/>
      <c r="X62" s="23"/>
      <c r="Y62" s="23"/>
      <c r="AD62" s="23"/>
      <c r="AE62" s="23"/>
      <c r="AF62" s="23"/>
      <c r="AG62" s="23"/>
      <c r="AL62" s="23"/>
      <c r="AM62" s="23"/>
      <c r="AN62" s="23"/>
      <c r="AO62" s="23"/>
      <c r="AP62" s="7"/>
      <c r="AT62" s="2"/>
    </row>
    <row r="63" spans="1:46">
      <c r="A63"/>
      <c r="V63" s="23"/>
      <c r="W63" s="23"/>
      <c r="X63" s="23"/>
      <c r="Y63" s="23"/>
      <c r="AD63" s="23"/>
      <c r="AE63" s="23"/>
      <c r="AF63" s="23"/>
      <c r="AG63" s="23"/>
      <c r="AL63" s="23"/>
      <c r="AM63" s="23"/>
      <c r="AN63" s="23"/>
      <c r="AO63" s="23"/>
      <c r="AP63" s="7"/>
      <c r="AT63" s="2"/>
    </row>
    <row r="64" spans="1:46">
      <c r="A64"/>
      <c r="V64" s="23"/>
      <c r="W64" s="23"/>
      <c r="X64" s="23"/>
      <c r="Y64" s="23"/>
      <c r="AD64" s="23"/>
      <c r="AE64" s="23"/>
      <c r="AF64" s="23"/>
      <c r="AG64" s="23"/>
      <c r="AL64" s="23"/>
      <c r="AM64" s="23"/>
      <c r="AN64" s="23"/>
      <c r="AO64" s="23"/>
      <c r="AP64" s="7"/>
      <c r="AT64" s="2"/>
    </row>
    <row r="65" spans="1:46">
      <c r="A65"/>
      <c r="V65" s="23"/>
      <c r="W65" s="23"/>
      <c r="X65" s="23"/>
      <c r="Y65" s="23"/>
      <c r="AD65" s="23"/>
      <c r="AE65" s="23"/>
      <c r="AF65" s="23"/>
      <c r="AG65" s="23"/>
      <c r="AL65" s="23"/>
      <c r="AM65" s="23"/>
      <c r="AN65" s="23"/>
      <c r="AO65" s="23"/>
      <c r="AP65" s="7"/>
      <c r="AT65" s="2"/>
    </row>
    <row r="66" spans="1:46">
      <c r="A66"/>
      <c r="V66" s="23"/>
      <c r="W66" s="23"/>
      <c r="X66" s="23"/>
      <c r="Y66" s="23"/>
      <c r="AD66" s="23"/>
      <c r="AE66" s="23"/>
      <c r="AF66" s="23"/>
      <c r="AG66" s="23"/>
      <c r="AL66" s="23"/>
      <c r="AM66" s="23"/>
      <c r="AN66" s="23"/>
      <c r="AO66" s="23"/>
      <c r="AP66" s="7"/>
      <c r="AT66" s="2"/>
    </row>
    <row r="67" spans="1:46">
      <c r="A67"/>
      <c r="V67" s="23"/>
      <c r="W67" s="23"/>
      <c r="X67" s="23"/>
      <c r="Y67" s="23"/>
      <c r="AD67" s="23"/>
      <c r="AE67" s="23"/>
      <c r="AF67" s="23"/>
      <c r="AG67" s="23"/>
      <c r="AL67" s="23"/>
      <c r="AM67" s="23"/>
      <c r="AN67" s="23"/>
      <c r="AO67" s="23"/>
      <c r="AP67" s="7"/>
      <c r="AT67" s="2"/>
    </row>
    <row r="68" spans="1:46">
      <c r="A68"/>
      <c r="V68" s="23"/>
      <c r="W68" s="23"/>
      <c r="X68" s="23"/>
      <c r="Y68" s="23"/>
      <c r="AD68" s="23"/>
      <c r="AE68" s="23"/>
      <c r="AF68" s="23"/>
      <c r="AG68" s="23"/>
      <c r="AL68" s="23"/>
      <c r="AM68" s="23"/>
      <c r="AN68" s="23"/>
      <c r="AO68" s="23"/>
      <c r="AP68" s="7"/>
      <c r="AT68" s="2"/>
    </row>
    <row r="69" spans="1:46">
      <c r="A69"/>
      <c r="V69" s="23"/>
      <c r="W69" s="23"/>
      <c r="X69" s="23"/>
      <c r="Y69" s="23"/>
      <c r="AD69" s="23"/>
      <c r="AE69" s="23"/>
      <c r="AF69" s="23"/>
      <c r="AG69" s="23"/>
      <c r="AL69" s="23"/>
      <c r="AM69" s="23"/>
      <c r="AN69" s="23"/>
      <c r="AO69" s="23"/>
      <c r="AP69" s="7"/>
      <c r="AT69" s="2"/>
    </row>
    <row r="70" spans="1:46">
      <c r="A70"/>
      <c r="V70" s="23"/>
      <c r="W70" s="23"/>
      <c r="X70" s="23"/>
      <c r="Y70" s="23"/>
      <c r="AD70" s="23"/>
      <c r="AE70" s="23"/>
      <c r="AF70" s="23"/>
      <c r="AG70" s="23"/>
      <c r="AL70" s="23"/>
      <c r="AM70" s="23"/>
      <c r="AN70" s="23"/>
      <c r="AO70" s="23"/>
      <c r="AP70" s="7"/>
      <c r="AT70" s="2"/>
    </row>
    <row r="71" spans="1:46">
      <c r="A71"/>
      <c r="V71" s="23"/>
      <c r="W71" s="23"/>
      <c r="X71" s="23"/>
      <c r="Y71" s="23"/>
      <c r="AD71" s="23"/>
      <c r="AE71" s="23"/>
      <c r="AF71" s="23"/>
      <c r="AG71" s="23"/>
      <c r="AL71" s="23"/>
      <c r="AM71" s="23"/>
      <c r="AN71" s="23"/>
      <c r="AO71" s="23"/>
      <c r="AP71" s="7"/>
      <c r="AT71" s="2"/>
    </row>
    <row r="72" spans="1:46">
      <c r="A72"/>
      <c r="V72" s="23"/>
      <c r="W72" s="23"/>
      <c r="X72" s="23"/>
      <c r="Y72" s="23"/>
      <c r="AD72" s="23"/>
      <c r="AE72" s="23"/>
      <c r="AF72" s="23"/>
      <c r="AG72" s="23"/>
      <c r="AL72" s="23"/>
      <c r="AM72" s="23"/>
      <c r="AN72" s="23"/>
      <c r="AO72" s="23"/>
      <c r="AP72" s="7"/>
      <c r="AT72" s="2"/>
    </row>
    <row r="73" spans="1:46">
      <c r="A73"/>
      <c r="V73" s="23"/>
      <c r="W73" s="23"/>
      <c r="X73" s="23"/>
      <c r="Y73" s="23"/>
      <c r="AD73" s="23"/>
      <c r="AE73" s="23"/>
      <c r="AF73" s="23"/>
      <c r="AG73" s="23"/>
      <c r="AL73" s="23"/>
      <c r="AM73" s="23"/>
      <c r="AN73" s="23"/>
      <c r="AO73" s="23"/>
      <c r="AP73" s="7"/>
      <c r="AT73" s="2"/>
    </row>
    <row r="74" spans="1:46">
      <c r="A74"/>
      <c r="V74" s="23"/>
      <c r="W74" s="23"/>
      <c r="X74" s="23"/>
      <c r="Y74" s="23"/>
      <c r="AD74" s="23"/>
      <c r="AE74" s="23"/>
      <c r="AF74" s="23"/>
      <c r="AG74" s="23"/>
      <c r="AL74" s="23"/>
      <c r="AM74" s="23"/>
      <c r="AN74" s="23"/>
      <c r="AO74" s="23"/>
      <c r="AP74" s="7"/>
      <c r="AT74" s="2"/>
    </row>
    <row r="75" spans="1:46">
      <c r="A75"/>
      <c r="V75" s="23"/>
      <c r="W75" s="23"/>
      <c r="X75" s="23"/>
      <c r="Y75" s="23"/>
      <c r="AD75" s="23"/>
      <c r="AE75" s="23"/>
      <c r="AF75" s="23"/>
      <c r="AG75" s="23"/>
      <c r="AL75" s="23"/>
      <c r="AM75" s="23"/>
      <c r="AN75" s="23"/>
      <c r="AO75" s="23"/>
      <c r="AP75" s="7"/>
      <c r="AT75" s="2"/>
    </row>
    <row r="76" spans="1:46">
      <c r="A76"/>
      <c r="V76" s="23"/>
      <c r="W76" s="23"/>
      <c r="X76" s="23"/>
      <c r="Y76" s="23"/>
      <c r="AD76" s="23"/>
      <c r="AE76" s="23"/>
      <c r="AF76" s="23"/>
      <c r="AG76" s="23"/>
      <c r="AL76" s="23"/>
      <c r="AM76" s="23"/>
      <c r="AN76" s="23"/>
      <c r="AO76" s="23"/>
      <c r="AP76" s="7"/>
      <c r="AT76" s="2"/>
    </row>
    <row r="77" spans="1:46">
      <c r="A77"/>
      <c r="V77" s="23"/>
      <c r="W77" s="23"/>
      <c r="X77" s="23"/>
      <c r="Y77" s="23"/>
      <c r="AD77" s="23"/>
      <c r="AE77" s="23"/>
      <c r="AF77" s="23"/>
      <c r="AG77" s="23"/>
      <c r="AL77" s="23"/>
      <c r="AM77" s="23"/>
      <c r="AN77" s="23"/>
      <c r="AO77" s="23"/>
      <c r="AP77" s="7"/>
      <c r="AT77" s="2"/>
    </row>
    <row r="78" spans="1:46">
      <c r="A78"/>
      <c r="V78" s="23"/>
      <c r="W78" s="23"/>
      <c r="X78" s="23"/>
      <c r="Y78" s="23"/>
      <c r="AD78" s="23"/>
      <c r="AE78" s="23"/>
      <c r="AF78" s="23"/>
      <c r="AG78" s="23"/>
      <c r="AL78" s="23"/>
      <c r="AM78" s="23"/>
      <c r="AN78" s="23"/>
      <c r="AO78" s="23"/>
      <c r="AP78" s="7"/>
      <c r="AT78" s="2"/>
    </row>
    <row r="79" spans="1:46">
      <c r="A79"/>
      <c r="V79" s="23"/>
      <c r="W79" s="23"/>
      <c r="X79" s="23"/>
      <c r="Y79" s="23"/>
      <c r="AD79" s="23"/>
      <c r="AE79" s="23"/>
      <c r="AF79" s="23"/>
      <c r="AG79" s="23"/>
      <c r="AL79" s="23"/>
      <c r="AM79" s="23"/>
      <c r="AN79" s="23"/>
      <c r="AO79" s="23"/>
      <c r="AP79" s="7"/>
      <c r="AT79" s="2"/>
    </row>
    <row r="80" spans="1:46">
      <c r="A80"/>
      <c r="V80" s="23"/>
      <c r="W80" s="23"/>
      <c r="X80" s="23"/>
      <c r="Y80" s="23"/>
      <c r="AD80" s="23"/>
      <c r="AE80" s="23"/>
      <c r="AF80" s="23"/>
      <c r="AG80" s="23"/>
      <c r="AL80" s="23"/>
      <c r="AM80" s="23"/>
      <c r="AN80" s="23"/>
      <c r="AO80" s="23"/>
      <c r="AP80" s="7"/>
      <c r="AT80" s="2"/>
    </row>
    <row r="81" spans="1:46">
      <c r="A81"/>
      <c r="V81" s="23"/>
      <c r="W81" s="23"/>
      <c r="X81" s="23"/>
      <c r="Y81" s="23"/>
      <c r="AD81" s="23"/>
      <c r="AE81" s="23"/>
      <c r="AF81" s="23"/>
      <c r="AG81" s="23"/>
      <c r="AL81" s="23"/>
      <c r="AM81" s="23"/>
      <c r="AN81" s="23"/>
      <c r="AO81" s="23"/>
      <c r="AP81" s="7"/>
      <c r="AT81" s="2"/>
    </row>
    <row r="82" spans="1:46">
      <c r="A82"/>
      <c r="V82" s="23"/>
      <c r="W82" s="23"/>
      <c r="X82" s="23"/>
      <c r="Y82" s="23"/>
      <c r="AD82" s="23"/>
      <c r="AE82" s="23"/>
      <c r="AF82" s="23"/>
      <c r="AG82" s="23"/>
      <c r="AL82" s="23"/>
      <c r="AM82" s="23"/>
      <c r="AN82" s="23"/>
      <c r="AO82" s="23"/>
      <c r="AP82" s="7"/>
      <c r="AT82" s="2"/>
    </row>
    <row r="83" spans="1:46">
      <c r="A83"/>
      <c r="V83" s="23"/>
      <c r="W83" s="23"/>
      <c r="X83" s="23"/>
      <c r="Y83" s="23"/>
      <c r="AD83" s="23"/>
      <c r="AE83" s="23"/>
      <c r="AF83" s="23"/>
      <c r="AG83" s="23"/>
      <c r="AL83" s="23"/>
      <c r="AM83" s="23"/>
      <c r="AN83" s="23"/>
      <c r="AO83" s="23"/>
      <c r="AP83" s="7"/>
      <c r="AT83" s="2"/>
    </row>
    <row r="84" spans="1:46">
      <c r="A84"/>
      <c r="V84" s="23"/>
      <c r="W84" s="23"/>
      <c r="X84" s="23"/>
      <c r="Y84" s="23"/>
      <c r="AD84" s="23"/>
      <c r="AE84" s="23"/>
      <c r="AF84" s="23"/>
      <c r="AG84" s="23"/>
      <c r="AL84" s="23"/>
      <c r="AM84" s="23"/>
      <c r="AN84" s="23"/>
      <c r="AO84" s="23"/>
      <c r="AP84" s="7"/>
      <c r="AT84" s="2"/>
    </row>
    <row r="85" spans="1:46">
      <c r="A85"/>
      <c r="V85" s="23"/>
      <c r="W85" s="23"/>
      <c r="X85" s="23"/>
      <c r="Y85" s="23"/>
      <c r="AD85" s="23"/>
      <c r="AE85" s="23"/>
      <c r="AF85" s="23"/>
      <c r="AG85" s="23"/>
      <c r="AL85" s="23"/>
      <c r="AM85" s="23"/>
      <c r="AN85" s="23"/>
      <c r="AO85" s="23"/>
      <c r="AP85" s="7"/>
      <c r="AT85" s="2"/>
    </row>
    <row r="86" spans="1:46">
      <c r="A86"/>
      <c r="V86" s="23"/>
      <c r="W86" s="23"/>
      <c r="X86" s="23"/>
      <c r="Y86" s="23"/>
      <c r="AD86" s="23"/>
      <c r="AE86" s="23"/>
      <c r="AF86" s="23"/>
      <c r="AG86" s="23"/>
      <c r="AL86" s="23"/>
      <c r="AM86" s="23"/>
      <c r="AN86" s="23"/>
      <c r="AO86" s="23"/>
      <c r="AP86" s="7"/>
      <c r="AT86" s="2"/>
    </row>
    <row r="87" spans="1:46">
      <c r="A87"/>
      <c r="V87" s="23"/>
      <c r="W87" s="23"/>
      <c r="X87" s="23"/>
      <c r="Y87" s="23"/>
      <c r="AD87" s="23"/>
      <c r="AE87" s="23"/>
      <c r="AF87" s="23"/>
      <c r="AG87" s="23"/>
      <c r="AL87" s="23"/>
      <c r="AM87" s="23"/>
      <c r="AN87" s="23"/>
      <c r="AO87" s="23"/>
      <c r="AP87" s="7"/>
      <c r="AT87" s="2"/>
    </row>
    <row r="88" spans="1:46">
      <c r="A88"/>
      <c r="V88" s="23"/>
      <c r="W88" s="23"/>
      <c r="X88" s="23"/>
      <c r="Y88" s="23"/>
      <c r="AD88" s="23"/>
      <c r="AE88" s="23"/>
      <c r="AF88" s="23"/>
      <c r="AG88" s="23"/>
      <c r="AL88" s="23"/>
      <c r="AM88" s="23"/>
      <c r="AN88" s="23"/>
      <c r="AO88" s="23"/>
      <c r="AP88" s="7"/>
      <c r="AT88" s="2"/>
    </row>
    <row r="89" spans="1:46">
      <c r="A89"/>
      <c r="V89" s="23"/>
      <c r="W89" s="23"/>
      <c r="X89" s="23"/>
      <c r="Y89" s="23"/>
      <c r="AD89" s="23"/>
      <c r="AE89" s="23"/>
      <c r="AF89" s="23"/>
      <c r="AG89" s="23"/>
      <c r="AL89" s="23"/>
      <c r="AM89" s="23"/>
      <c r="AN89" s="23"/>
      <c r="AO89" s="23"/>
      <c r="AP89" s="7"/>
      <c r="AT89" s="2"/>
    </row>
    <row r="90" spans="1:46">
      <c r="A90"/>
      <c r="V90" s="23"/>
      <c r="W90" s="23"/>
      <c r="X90" s="23"/>
      <c r="Y90" s="23"/>
      <c r="AD90" s="23"/>
      <c r="AE90" s="23"/>
      <c r="AF90" s="23"/>
      <c r="AG90" s="23"/>
      <c r="AL90" s="23"/>
      <c r="AM90" s="23"/>
      <c r="AN90" s="23"/>
      <c r="AO90" s="23"/>
      <c r="AP90" s="7"/>
      <c r="AT90" s="2"/>
    </row>
    <row r="91" spans="1:46">
      <c r="A91"/>
      <c r="V91" s="23"/>
      <c r="W91" s="23"/>
      <c r="X91" s="23"/>
      <c r="Y91" s="23"/>
      <c r="AD91" s="23"/>
      <c r="AE91" s="23"/>
      <c r="AF91" s="23"/>
      <c r="AG91" s="23"/>
      <c r="AL91" s="23"/>
      <c r="AM91" s="23"/>
      <c r="AN91" s="23"/>
      <c r="AO91" s="23"/>
      <c r="AP91" s="7"/>
      <c r="AT91" s="2"/>
    </row>
    <row r="92" spans="1:46">
      <c r="A92"/>
      <c r="V92" s="23"/>
      <c r="W92" s="23"/>
      <c r="X92" s="23"/>
      <c r="Y92" s="23"/>
      <c r="AD92" s="23"/>
      <c r="AE92" s="23"/>
      <c r="AF92" s="23"/>
      <c r="AG92" s="23"/>
      <c r="AL92" s="23"/>
      <c r="AM92" s="23"/>
      <c r="AN92" s="23"/>
      <c r="AO92" s="23"/>
      <c r="AP92" s="7"/>
      <c r="AT92" s="2"/>
    </row>
    <row r="93" spans="1:46">
      <c r="A93"/>
      <c r="V93" s="23"/>
      <c r="W93" s="23"/>
      <c r="X93" s="23"/>
      <c r="Y93" s="23"/>
      <c r="AD93" s="23"/>
      <c r="AE93" s="23"/>
      <c r="AF93" s="23"/>
      <c r="AG93" s="23"/>
      <c r="AL93" s="23"/>
      <c r="AM93" s="23"/>
      <c r="AN93" s="23"/>
      <c r="AO93" s="23"/>
      <c r="AP93" s="7"/>
      <c r="AT93" s="2"/>
    </row>
    <row r="94" spans="1:46">
      <c r="A94"/>
      <c r="V94" s="23"/>
      <c r="W94" s="23"/>
      <c r="X94" s="23"/>
      <c r="Y94" s="23"/>
      <c r="AD94" s="23"/>
      <c r="AE94" s="23"/>
      <c r="AF94" s="23"/>
      <c r="AG94" s="23"/>
      <c r="AL94" s="23"/>
      <c r="AM94" s="23"/>
      <c r="AN94" s="23"/>
      <c r="AO94" s="23"/>
      <c r="AP94" s="7"/>
      <c r="AT94" s="2"/>
    </row>
    <row r="95" spans="1:46">
      <c r="A95"/>
      <c r="V95" s="23"/>
      <c r="W95" s="23"/>
      <c r="X95" s="23"/>
      <c r="Y95" s="23"/>
      <c r="AD95" s="23"/>
      <c r="AE95" s="23"/>
      <c r="AF95" s="23"/>
      <c r="AG95" s="23"/>
      <c r="AL95" s="23"/>
      <c r="AM95" s="23"/>
      <c r="AN95" s="23"/>
      <c r="AO95" s="23"/>
      <c r="AP95" s="7"/>
      <c r="AT95" s="2"/>
    </row>
    <row r="96" spans="1:46">
      <c r="A96"/>
      <c r="V96" s="23"/>
      <c r="W96" s="23"/>
      <c r="X96" s="23"/>
      <c r="Y96" s="23"/>
      <c r="AD96" s="23"/>
      <c r="AE96" s="23"/>
      <c r="AF96" s="23"/>
      <c r="AG96" s="23"/>
      <c r="AL96" s="23"/>
      <c r="AM96" s="23"/>
      <c r="AN96" s="23"/>
      <c r="AO96" s="23"/>
      <c r="AP96" s="7"/>
      <c r="AT96" s="2"/>
    </row>
    <row r="97" spans="1:46">
      <c r="A97"/>
      <c r="V97" s="23"/>
      <c r="W97" s="23"/>
      <c r="X97" s="23"/>
      <c r="Y97" s="23"/>
      <c r="AD97" s="23"/>
      <c r="AE97" s="23"/>
      <c r="AF97" s="23"/>
      <c r="AG97" s="23"/>
      <c r="AL97" s="23"/>
      <c r="AM97" s="23"/>
      <c r="AN97" s="23"/>
      <c r="AO97" s="23"/>
      <c r="AP97" s="7"/>
      <c r="AT97" s="2"/>
    </row>
    <row r="98" spans="1:46">
      <c r="A98"/>
      <c r="V98" s="23"/>
      <c r="W98" s="23"/>
      <c r="X98" s="23"/>
      <c r="Y98" s="23"/>
      <c r="AD98" s="23"/>
      <c r="AE98" s="23"/>
      <c r="AF98" s="23"/>
      <c r="AG98" s="23"/>
      <c r="AL98" s="23"/>
      <c r="AM98" s="23"/>
      <c r="AN98" s="23"/>
      <c r="AO98" s="23"/>
      <c r="AP98" s="7"/>
      <c r="AT98" s="2"/>
    </row>
    <row r="99" spans="1:46">
      <c r="A99"/>
      <c r="V99" s="23"/>
      <c r="W99" s="23"/>
      <c r="X99" s="23"/>
      <c r="Y99" s="23"/>
      <c r="AD99" s="23"/>
      <c r="AE99" s="23"/>
      <c r="AF99" s="23"/>
      <c r="AG99" s="23"/>
      <c r="AL99" s="23"/>
      <c r="AM99" s="23"/>
      <c r="AN99" s="23"/>
      <c r="AO99" s="23"/>
      <c r="AP99" s="7"/>
      <c r="AT99" s="2"/>
    </row>
    <row r="100" spans="1:46">
      <c r="A100"/>
      <c r="V100" s="23"/>
      <c r="W100" s="23"/>
      <c r="X100" s="23"/>
      <c r="Y100" s="23"/>
      <c r="AD100" s="23"/>
      <c r="AE100" s="23"/>
      <c r="AF100" s="23"/>
      <c r="AG100" s="23"/>
      <c r="AL100" s="23"/>
      <c r="AM100" s="23"/>
      <c r="AN100" s="23"/>
      <c r="AO100" s="23"/>
      <c r="AP100" s="7"/>
      <c r="AT100" s="2"/>
    </row>
    <row r="101" spans="1:46">
      <c r="A101"/>
      <c r="V101" s="23"/>
      <c r="W101" s="23"/>
      <c r="X101" s="23"/>
      <c r="Y101" s="23"/>
      <c r="AD101" s="23"/>
      <c r="AE101" s="23"/>
      <c r="AF101" s="23"/>
      <c r="AG101" s="23"/>
      <c r="AL101" s="23"/>
      <c r="AM101" s="23"/>
      <c r="AN101" s="23"/>
      <c r="AO101" s="23"/>
      <c r="AP101" s="7"/>
      <c r="AT101" s="2"/>
    </row>
    <row r="102" spans="1:46">
      <c r="A102"/>
      <c r="V102" s="23"/>
      <c r="W102" s="23"/>
      <c r="X102" s="23"/>
      <c r="Y102" s="23"/>
      <c r="AD102" s="23"/>
      <c r="AE102" s="23"/>
      <c r="AF102" s="23"/>
      <c r="AG102" s="23"/>
      <c r="AL102" s="23"/>
      <c r="AM102" s="23"/>
      <c r="AN102" s="23"/>
      <c r="AO102" s="23"/>
      <c r="AP102" s="7"/>
      <c r="AT102" s="2"/>
    </row>
    <row r="103" spans="1:46">
      <c r="A103"/>
      <c r="V103" s="23"/>
      <c r="W103" s="23"/>
      <c r="X103" s="23"/>
      <c r="Y103" s="23"/>
      <c r="AD103" s="23"/>
      <c r="AE103" s="23"/>
      <c r="AF103" s="23"/>
      <c r="AG103" s="23"/>
      <c r="AL103" s="23"/>
      <c r="AM103" s="23"/>
      <c r="AN103" s="23"/>
      <c r="AO103" s="23"/>
      <c r="AP103" s="7"/>
      <c r="AT103" s="2"/>
    </row>
    <row r="104" spans="1:46">
      <c r="A104"/>
      <c r="V104" s="23"/>
      <c r="W104" s="23"/>
      <c r="X104" s="23"/>
      <c r="Y104" s="23"/>
      <c r="AD104" s="23"/>
      <c r="AE104" s="23"/>
      <c r="AF104" s="23"/>
      <c r="AG104" s="23"/>
      <c r="AL104" s="23"/>
      <c r="AM104" s="23"/>
      <c r="AN104" s="23"/>
      <c r="AO104" s="23"/>
      <c r="AP104" s="7"/>
      <c r="AT104" s="2"/>
    </row>
    <row r="105" spans="1:46">
      <c r="A105"/>
      <c r="V105" s="23"/>
      <c r="W105" s="23"/>
      <c r="X105" s="23"/>
      <c r="Y105" s="23"/>
      <c r="AD105" s="23"/>
      <c r="AE105" s="23"/>
      <c r="AF105" s="23"/>
      <c r="AG105" s="23"/>
      <c r="AL105" s="23"/>
      <c r="AM105" s="23"/>
      <c r="AN105" s="23"/>
      <c r="AO105" s="23"/>
      <c r="AP105" s="7"/>
      <c r="AT105" s="2"/>
    </row>
    <row r="106" spans="1:46">
      <c r="A106"/>
      <c r="V106" s="23"/>
      <c r="W106" s="23"/>
      <c r="X106" s="23"/>
      <c r="Y106" s="23"/>
      <c r="AD106" s="23"/>
      <c r="AE106" s="23"/>
      <c r="AF106" s="23"/>
      <c r="AG106" s="23"/>
      <c r="AL106" s="23"/>
      <c r="AM106" s="23"/>
      <c r="AN106" s="23"/>
      <c r="AO106" s="23"/>
      <c r="AP106" s="7"/>
      <c r="AT106" s="2"/>
    </row>
    <row r="107" spans="1:46">
      <c r="A107"/>
      <c r="V107" s="23"/>
      <c r="W107" s="23"/>
      <c r="X107" s="23"/>
      <c r="Y107" s="23"/>
      <c r="AD107" s="23"/>
      <c r="AE107" s="23"/>
      <c r="AF107" s="23"/>
      <c r="AG107" s="23"/>
      <c r="AL107" s="23"/>
      <c r="AM107" s="23"/>
      <c r="AN107" s="23"/>
      <c r="AO107" s="23"/>
      <c r="AP107" s="7"/>
      <c r="AT107" s="2"/>
    </row>
    <row r="108" spans="1:46">
      <c r="A108"/>
      <c r="V108" s="23"/>
      <c r="W108" s="23"/>
      <c r="X108" s="23"/>
      <c r="Y108" s="23"/>
      <c r="AD108" s="23"/>
      <c r="AE108" s="23"/>
      <c r="AF108" s="23"/>
      <c r="AG108" s="23"/>
      <c r="AL108" s="23"/>
      <c r="AM108" s="23"/>
      <c r="AN108" s="23"/>
      <c r="AO108" s="23"/>
      <c r="AP108" s="7"/>
      <c r="AT108" s="2"/>
    </row>
    <row r="109" spans="1:46">
      <c r="A109"/>
      <c r="V109" s="23"/>
      <c r="W109" s="23"/>
      <c r="X109" s="23"/>
      <c r="Y109" s="23"/>
      <c r="AD109" s="23"/>
      <c r="AE109" s="23"/>
      <c r="AF109" s="23"/>
      <c r="AG109" s="23"/>
      <c r="AL109" s="23"/>
      <c r="AM109" s="23"/>
      <c r="AN109" s="23"/>
      <c r="AO109" s="23"/>
      <c r="AP109" s="7"/>
      <c r="AT109" s="2"/>
    </row>
    <row r="110" spans="1:46">
      <c r="A110"/>
      <c r="V110" s="23"/>
      <c r="W110" s="23"/>
      <c r="X110" s="23"/>
      <c r="Y110" s="23"/>
      <c r="AD110" s="23"/>
      <c r="AE110" s="23"/>
      <c r="AF110" s="23"/>
      <c r="AG110" s="23"/>
      <c r="AL110" s="23"/>
      <c r="AM110" s="23"/>
      <c r="AN110" s="23"/>
      <c r="AO110" s="23"/>
      <c r="AP110" s="7"/>
      <c r="AT110" s="2"/>
    </row>
    <row r="111" spans="1:46">
      <c r="A111"/>
      <c r="V111" s="23"/>
      <c r="W111" s="23"/>
      <c r="X111" s="23"/>
      <c r="Y111" s="23"/>
      <c r="AD111" s="23"/>
      <c r="AE111" s="23"/>
      <c r="AF111" s="23"/>
      <c r="AG111" s="23"/>
      <c r="AL111" s="23"/>
      <c r="AM111" s="23"/>
      <c r="AN111" s="23"/>
      <c r="AO111" s="23"/>
      <c r="AP111" s="7"/>
      <c r="AT111" s="2"/>
    </row>
    <row r="112" spans="1:46">
      <c r="A112"/>
      <c r="V112" s="23"/>
      <c r="W112" s="23"/>
      <c r="X112" s="23"/>
      <c r="Y112" s="23"/>
      <c r="AD112" s="23"/>
      <c r="AE112" s="23"/>
      <c r="AF112" s="23"/>
      <c r="AG112" s="23"/>
      <c r="AL112" s="23"/>
      <c r="AM112" s="23"/>
      <c r="AN112" s="23"/>
      <c r="AO112" s="23"/>
      <c r="AP112" s="7"/>
      <c r="AT112" s="2"/>
    </row>
    <row r="113" spans="1:46">
      <c r="A113"/>
      <c r="V113" s="23"/>
      <c r="W113" s="23"/>
      <c r="X113" s="23"/>
      <c r="Y113" s="23"/>
      <c r="AD113" s="23"/>
      <c r="AE113" s="23"/>
      <c r="AF113" s="23"/>
      <c r="AG113" s="23"/>
      <c r="AL113" s="23"/>
      <c r="AM113" s="23"/>
      <c r="AN113" s="23"/>
      <c r="AO113" s="23"/>
      <c r="AP113" s="7"/>
      <c r="AT113" s="2"/>
    </row>
    <row r="114" spans="1:46">
      <c r="A114"/>
      <c r="V114" s="23"/>
      <c r="W114" s="23"/>
      <c r="X114" s="23"/>
      <c r="Y114" s="23"/>
      <c r="AD114" s="23"/>
      <c r="AE114" s="23"/>
      <c r="AF114" s="23"/>
      <c r="AG114" s="23"/>
      <c r="AL114" s="23"/>
      <c r="AM114" s="23"/>
      <c r="AN114" s="23"/>
      <c r="AO114" s="23"/>
      <c r="AP114" s="7"/>
      <c r="AT114" s="2"/>
    </row>
    <row r="115" spans="1:46">
      <c r="A115"/>
      <c r="V115" s="23"/>
      <c r="W115" s="23"/>
      <c r="X115" s="23"/>
      <c r="Y115" s="23"/>
      <c r="AD115" s="23"/>
      <c r="AE115" s="23"/>
      <c r="AF115" s="23"/>
      <c r="AG115" s="23"/>
      <c r="AL115" s="23"/>
      <c r="AM115" s="23"/>
      <c r="AN115" s="23"/>
      <c r="AO115" s="23"/>
      <c r="AP115" s="7"/>
      <c r="AT115" s="2"/>
    </row>
    <row r="116" spans="1:46">
      <c r="A116"/>
      <c r="V116" s="23"/>
      <c r="W116" s="23"/>
      <c r="X116" s="23"/>
      <c r="Y116" s="23"/>
      <c r="AD116" s="23"/>
      <c r="AE116" s="23"/>
      <c r="AF116" s="23"/>
      <c r="AG116" s="23"/>
      <c r="AL116" s="23"/>
      <c r="AM116" s="23"/>
      <c r="AN116" s="23"/>
      <c r="AO116" s="23"/>
      <c r="AP116" s="7"/>
      <c r="AT116" s="2"/>
    </row>
    <row r="117" spans="1:46">
      <c r="A117"/>
      <c r="V117" s="23"/>
      <c r="W117" s="23"/>
      <c r="X117" s="23"/>
      <c r="Y117" s="23"/>
      <c r="AD117" s="23"/>
      <c r="AE117" s="23"/>
      <c r="AF117" s="23"/>
      <c r="AG117" s="23"/>
      <c r="AL117" s="23"/>
      <c r="AM117" s="23"/>
      <c r="AN117" s="23"/>
      <c r="AO117" s="23"/>
      <c r="AP117" s="7"/>
      <c r="AT117" s="2"/>
    </row>
    <row r="118" spans="1:46">
      <c r="A118"/>
      <c r="V118" s="23"/>
      <c r="W118" s="23"/>
      <c r="X118" s="23"/>
      <c r="Y118" s="23"/>
      <c r="AD118" s="23"/>
      <c r="AE118" s="23"/>
      <c r="AF118" s="23"/>
      <c r="AG118" s="23"/>
      <c r="AL118" s="23"/>
      <c r="AM118" s="23"/>
      <c r="AN118" s="23"/>
      <c r="AO118" s="23"/>
      <c r="AP118" s="7"/>
      <c r="AT118" s="2"/>
    </row>
    <row r="119" spans="1:46">
      <c r="A119"/>
      <c r="V119" s="23"/>
      <c r="W119" s="23"/>
      <c r="X119" s="23"/>
      <c r="Y119" s="23"/>
      <c r="AD119" s="23"/>
      <c r="AE119" s="23"/>
      <c r="AF119" s="23"/>
      <c r="AG119" s="23"/>
      <c r="AL119" s="23"/>
      <c r="AM119" s="23"/>
      <c r="AN119" s="23"/>
      <c r="AO119" s="23"/>
      <c r="AP119" s="7"/>
      <c r="AT119" s="2"/>
    </row>
    <row r="120" spans="1:46">
      <c r="A120"/>
      <c r="V120" s="23"/>
      <c r="W120" s="23"/>
      <c r="X120" s="23"/>
      <c r="Y120" s="23"/>
      <c r="AD120" s="23"/>
      <c r="AE120" s="23"/>
      <c r="AF120" s="23"/>
      <c r="AG120" s="23"/>
      <c r="AL120" s="23"/>
      <c r="AM120" s="23"/>
      <c r="AN120" s="23"/>
      <c r="AO120" s="23"/>
      <c r="AP120" s="7"/>
      <c r="AT120" s="2"/>
    </row>
    <row r="121" spans="1:46">
      <c r="A121"/>
      <c r="V121" s="23"/>
      <c r="W121" s="23"/>
      <c r="X121" s="23"/>
      <c r="Y121" s="23"/>
      <c r="AD121" s="23"/>
      <c r="AE121" s="23"/>
      <c r="AF121" s="23"/>
      <c r="AG121" s="23"/>
      <c r="AL121" s="23"/>
      <c r="AM121" s="23"/>
      <c r="AN121" s="23"/>
      <c r="AO121" s="23"/>
      <c r="AP121" s="7"/>
      <c r="AT121" s="2"/>
    </row>
    <row r="122" spans="1:46">
      <c r="A122"/>
      <c r="V122" s="23"/>
      <c r="W122" s="23"/>
      <c r="X122" s="23"/>
      <c r="Y122" s="23"/>
      <c r="AD122" s="23"/>
      <c r="AE122" s="23"/>
      <c r="AF122" s="23"/>
      <c r="AG122" s="23"/>
      <c r="AL122" s="23"/>
      <c r="AM122" s="23"/>
      <c r="AN122" s="23"/>
      <c r="AO122" s="23"/>
      <c r="AP122" s="7"/>
      <c r="AT122" s="2"/>
    </row>
    <row r="123" spans="1:46">
      <c r="A123"/>
      <c r="V123" s="23"/>
      <c r="W123" s="23"/>
      <c r="X123" s="23"/>
      <c r="Y123" s="23"/>
      <c r="AD123" s="23"/>
      <c r="AE123" s="23"/>
      <c r="AF123" s="23"/>
      <c r="AG123" s="23"/>
      <c r="AL123" s="23"/>
      <c r="AM123" s="23"/>
      <c r="AN123" s="23"/>
      <c r="AO123" s="23"/>
      <c r="AP123" s="7"/>
      <c r="AT123" s="2"/>
    </row>
    <row r="124" spans="1:46">
      <c r="A124"/>
      <c r="V124" s="23"/>
      <c r="W124" s="23"/>
      <c r="X124" s="23"/>
      <c r="Y124" s="23"/>
      <c r="AD124" s="23"/>
      <c r="AE124" s="23"/>
      <c r="AF124" s="23"/>
      <c r="AG124" s="23"/>
      <c r="AL124" s="23"/>
      <c r="AM124" s="23"/>
      <c r="AN124" s="23"/>
      <c r="AO124" s="23"/>
      <c r="AP124" s="7"/>
      <c r="AT124" s="2"/>
    </row>
    <row r="125" spans="1:46">
      <c r="A125"/>
      <c r="V125" s="23"/>
      <c r="W125" s="23"/>
      <c r="X125" s="23"/>
      <c r="Y125" s="23"/>
      <c r="AD125" s="23"/>
      <c r="AE125" s="23"/>
      <c r="AF125" s="23"/>
      <c r="AG125" s="23"/>
      <c r="AL125" s="23"/>
      <c r="AM125" s="23"/>
      <c r="AN125" s="23"/>
      <c r="AO125" s="23"/>
      <c r="AP125" s="7"/>
      <c r="AT125" s="2"/>
    </row>
    <row r="126" spans="1:46">
      <c r="A126"/>
      <c r="V126" s="23"/>
      <c r="W126" s="23"/>
      <c r="X126" s="23"/>
      <c r="Y126" s="23"/>
      <c r="AD126" s="23"/>
      <c r="AE126" s="23"/>
      <c r="AF126" s="23"/>
      <c r="AG126" s="23"/>
      <c r="AL126" s="23"/>
      <c r="AM126" s="23"/>
      <c r="AN126" s="23"/>
      <c r="AO126" s="23"/>
      <c r="AP126" s="7"/>
      <c r="AT126" s="2"/>
    </row>
    <row r="127" spans="1:46">
      <c r="A127"/>
      <c r="V127" s="23"/>
      <c r="W127" s="23"/>
      <c r="X127" s="23"/>
      <c r="Y127" s="23"/>
      <c r="AD127" s="23"/>
      <c r="AE127" s="23"/>
      <c r="AF127" s="23"/>
      <c r="AG127" s="23"/>
      <c r="AL127" s="23"/>
      <c r="AM127" s="23"/>
      <c r="AN127" s="23"/>
      <c r="AO127" s="23"/>
      <c r="AP127" s="7"/>
      <c r="AT127" s="2"/>
    </row>
    <row r="128" spans="1:46">
      <c r="A128"/>
      <c r="V128" s="23"/>
      <c r="W128" s="23"/>
      <c r="X128" s="23"/>
      <c r="Y128" s="23"/>
      <c r="AD128" s="23"/>
      <c r="AE128" s="23"/>
      <c r="AF128" s="23"/>
      <c r="AG128" s="23"/>
      <c r="AL128" s="23"/>
      <c r="AM128" s="23"/>
      <c r="AN128" s="23"/>
      <c r="AO128" s="23"/>
      <c r="AP128" s="7"/>
      <c r="AT128" s="2"/>
    </row>
    <row r="129" spans="1:46">
      <c r="A129"/>
      <c r="V129" s="23"/>
      <c r="W129" s="23"/>
      <c r="X129" s="23"/>
      <c r="Y129" s="23"/>
      <c r="AD129" s="23"/>
      <c r="AE129" s="23"/>
      <c r="AF129" s="23"/>
      <c r="AG129" s="23"/>
      <c r="AL129" s="23"/>
      <c r="AM129" s="23"/>
      <c r="AN129" s="23"/>
      <c r="AO129" s="23"/>
      <c r="AP129" s="7"/>
      <c r="AT129" s="2"/>
    </row>
    <row r="130" spans="1:46">
      <c r="A130"/>
      <c r="V130" s="23"/>
      <c r="W130" s="23"/>
      <c r="X130" s="23"/>
      <c r="Y130" s="23"/>
      <c r="AD130" s="23"/>
      <c r="AE130" s="23"/>
      <c r="AF130" s="23"/>
      <c r="AG130" s="23"/>
      <c r="AL130" s="23"/>
      <c r="AM130" s="23"/>
      <c r="AN130" s="23"/>
      <c r="AO130" s="23"/>
      <c r="AP130" s="7"/>
      <c r="AT130" s="2"/>
    </row>
    <row r="131" spans="1:46">
      <c r="A131"/>
      <c r="V131" s="23"/>
      <c r="W131" s="23"/>
      <c r="X131" s="23"/>
      <c r="Y131" s="23"/>
      <c r="AD131" s="23"/>
      <c r="AE131" s="23"/>
      <c r="AF131" s="23"/>
      <c r="AG131" s="23"/>
      <c r="AL131" s="23"/>
      <c r="AM131" s="23"/>
      <c r="AN131" s="23"/>
      <c r="AO131" s="23"/>
      <c r="AP131" s="7"/>
      <c r="AT131" s="2"/>
    </row>
    <row r="132" spans="1:46">
      <c r="A132"/>
      <c r="V132" s="23"/>
      <c r="W132" s="23"/>
      <c r="X132" s="23"/>
      <c r="Y132" s="23"/>
      <c r="AD132" s="23"/>
      <c r="AE132" s="23"/>
      <c r="AF132" s="23"/>
      <c r="AG132" s="23"/>
      <c r="AL132" s="23"/>
      <c r="AM132" s="23"/>
      <c r="AN132" s="23"/>
      <c r="AO132" s="23"/>
      <c r="AP132" s="7"/>
      <c r="AT132" s="2"/>
    </row>
    <row r="133" spans="1:46">
      <c r="A133"/>
      <c r="V133" s="23"/>
      <c r="W133" s="23"/>
      <c r="X133" s="23"/>
      <c r="Y133" s="23"/>
      <c r="AD133" s="23"/>
      <c r="AE133" s="23"/>
      <c r="AF133" s="23"/>
      <c r="AG133" s="23"/>
      <c r="AL133" s="23"/>
      <c r="AM133" s="23"/>
      <c r="AN133" s="23"/>
      <c r="AO133" s="23"/>
      <c r="AP133" s="7"/>
      <c r="AT133" s="2"/>
    </row>
    <row r="134" spans="1:46">
      <c r="A134"/>
      <c r="V134" s="23"/>
      <c r="W134" s="23"/>
      <c r="X134" s="23"/>
      <c r="Y134" s="23"/>
      <c r="AD134" s="23"/>
      <c r="AE134" s="23"/>
      <c r="AF134" s="23"/>
      <c r="AG134" s="23"/>
      <c r="AL134" s="23"/>
      <c r="AM134" s="23"/>
      <c r="AN134" s="23"/>
      <c r="AO134" s="23"/>
      <c r="AP134" s="7"/>
      <c r="AT134" s="2"/>
    </row>
    <row r="135" spans="1:46">
      <c r="A135"/>
      <c r="V135" s="23"/>
      <c r="W135" s="23"/>
      <c r="X135" s="23"/>
      <c r="Y135" s="23"/>
      <c r="AD135" s="23"/>
      <c r="AE135" s="23"/>
      <c r="AF135" s="23"/>
      <c r="AG135" s="23"/>
      <c r="AL135" s="23"/>
      <c r="AM135" s="23"/>
      <c r="AN135" s="23"/>
      <c r="AO135" s="23"/>
      <c r="AP135" s="7"/>
      <c r="AT135" s="2"/>
    </row>
    <row r="136" spans="1:46">
      <c r="A136"/>
      <c r="V136" s="23"/>
      <c r="W136" s="23"/>
      <c r="X136" s="23"/>
      <c r="Y136" s="23"/>
      <c r="AD136" s="23"/>
      <c r="AE136" s="23"/>
      <c r="AF136" s="23"/>
      <c r="AG136" s="23"/>
      <c r="AL136" s="23"/>
      <c r="AM136" s="23"/>
      <c r="AN136" s="23"/>
      <c r="AO136" s="23"/>
      <c r="AP136" s="7"/>
      <c r="AT136" s="2"/>
    </row>
    <row r="137" spans="1:46">
      <c r="A137"/>
      <c r="V137" s="23"/>
      <c r="W137" s="23"/>
      <c r="X137" s="23"/>
      <c r="Y137" s="23"/>
      <c r="AD137" s="23"/>
      <c r="AE137" s="23"/>
      <c r="AF137" s="23"/>
      <c r="AG137" s="23"/>
      <c r="AL137" s="23"/>
      <c r="AM137" s="23"/>
      <c r="AN137" s="23"/>
      <c r="AO137" s="23"/>
      <c r="AP137" s="7"/>
      <c r="AT137" s="2"/>
    </row>
    <row r="138" spans="1:46">
      <c r="A138"/>
      <c r="V138" s="23"/>
      <c r="W138" s="23"/>
      <c r="X138" s="23"/>
      <c r="Y138" s="23"/>
      <c r="AD138" s="23"/>
      <c r="AE138" s="23"/>
      <c r="AF138" s="23"/>
      <c r="AG138" s="23"/>
      <c r="AL138" s="23"/>
      <c r="AM138" s="23"/>
      <c r="AN138" s="23"/>
      <c r="AO138" s="23"/>
      <c r="AP138" s="7"/>
      <c r="AT138" s="2"/>
    </row>
    <row r="139" spans="1:46">
      <c r="A139"/>
      <c r="V139" s="23"/>
      <c r="W139" s="23"/>
      <c r="X139" s="23"/>
      <c r="Y139" s="23"/>
      <c r="AD139" s="23"/>
      <c r="AE139" s="23"/>
      <c r="AF139" s="23"/>
      <c r="AG139" s="23"/>
      <c r="AL139" s="23"/>
      <c r="AM139" s="23"/>
      <c r="AN139" s="23"/>
      <c r="AO139" s="23"/>
      <c r="AP139" s="7"/>
      <c r="AT139" s="2"/>
    </row>
    <row r="140" spans="1:46">
      <c r="A140"/>
      <c r="V140" s="23"/>
      <c r="W140" s="23"/>
      <c r="X140" s="23"/>
      <c r="Y140" s="23"/>
      <c r="AD140" s="23"/>
      <c r="AE140" s="23"/>
      <c r="AF140" s="23"/>
      <c r="AG140" s="23"/>
      <c r="AL140" s="23"/>
      <c r="AM140" s="23"/>
      <c r="AN140" s="23"/>
      <c r="AO140" s="23"/>
      <c r="AP140" s="7"/>
      <c r="AT140" s="2"/>
    </row>
    <row r="141" spans="1:46">
      <c r="A141"/>
      <c r="V141" s="23"/>
      <c r="W141" s="23"/>
      <c r="X141" s="23"/>
      <c r="Y141" s="23"/>
      <c r="AD141" s="23"/>
      <c r="AE141" s="23"/>
      <c r="AF141" s="23"/>
      <c r="AG141" s="23"/>
      <c r="AL141" s="23"/>
      <c r="AM141" s="23"/>
      <c r="AN141" s="23"/>
      <c r="AO141" s="23"/>
      <c r="AP141" s="7"/>
      <c r="AT141" s="2"/>
    </row>
    <row r="142" spans="1:46">
      <c r="A142"/>
      <c r="V142" s="23"/>
      <c r="W142" s="23"/>
      <c r="X142" s="23"/>
      <c r="Y142" s="23"/>
      <c r="AD142" s="23"/>
      <c r="AE142" s="23"/>
      <c r="AF142" s="23"/>
      <c r="AG142" s="23"/>
      <c r="AL142" s="23"/>
      <c r="AM142" s="23"/>
      <c r="AN142" s="23"/>
      <c r="AO142" s="23"/>
      <c r="AP142" s="7"/>
      <c r="AT142" s="2"/>
    </row>
    <row r="143" spans="1:46">
      <c r="A143"/>
      <c r="V143" s="23"/>
      <c r="W143" s="23"/>
      <c r="X143" s="23"/>
      <c r="Y143" s="23"/>
      <c r="AD143" s="23"/>
      <c r="AE143" s="23"/>
      <c r="AF143" s="23"/>
      <c r="AG143" s="23"/>
      <c r="AL143" s="23"/>
      <c r="AM143" s="23"/>
      <c r="AN143" s="23"/>
      <c r="AO143" s="23"/>
      <c r="AP143" s="7"/>
      <c r="AT143" s="2"/>
    </row>
    <row r="144" spans="1:46">
      <c r="A144"/>
      <c r="V144" s="23"/>
      <c r="W144" s="23"/>
      <c r="X144" s="23"/>
      <c r="Y144" s="23"/>
      <c r="AD144" s="23"/>
      <c r="AE144" s="23"/>
      <c r="AF144" s="23"/>
      <c r="AG144" s="23"/>
      <c r="AL144" s="23"/>
      <c r="AM144" s="23"/>
      <c r="AN144" s="23"/>
      <c r="AO144" s="23"/>
      <c r="AP144" s="7"/>
      <c r="AT144" s="2"/>
    </row>
    <row r="145" spans="1:46">
      <c r="A145"/>
      <c r="V145" s="23"/>
      <c r="W145" s="23"/>
      <c r="X145" s="23"/>
      <c r="Y145" s="23"/>
      <c r="AD145" s="23"/>
      <c r="AE145" s="23"/>
      <c r="AF145" s="23"/>
      <c r="AG145" s="23"/>
      <c r="AL145" s="23"/>
      <c r="AM145" s="23"/>
      <c r="AN145" s="23"/>
      <c r="AO145" s="23"/>
      <c r="AP145" s="7"/>
      <c r="AT145" s="2"/>
    </row>
    <row r="146" spans="1:46">
      <c r="A146"/>
      <c r="V146" s="23"/>
      <c r="W146" s="23"/>
      <c r="X146" s="23"/>
      <c r="Y146" s="23"/>
      <c r="AD146" s="23"/>
      <c r="AE146" s="23"/>
      <c r="AF146" s="23"/>
      <c r="AG146" s="23"/>
      <c r="AL146" s="23"/>
      <c r="AM146" s="23"/>
      <c r="AN146" s="23"/>
      <c r="AO146" s="23"/>
      <c r="AP146" s="7"/>
      <c r="AT146" s="2"/>
    </row>
    <row r="147" spans="1:46">
      <c r="A147"/>
      <c r="V147" s="23"/>
      <c r="W147" s="23"/>
      <c r="X147" s="23"/>
      <c r="Y147" s="23"/>
      <c r="AD147" s="23"/>
      <c r="AE147" s="23"/>
      <c r="AF147" s="23"/>
      <c r="AG147" s="23"/>
      <c r="AL147" s="23"/>
      <c r="AM147" s="23"/>
      <c r="AN147" s="23"/>
      <c r="AO147" s="23"/>
      <c r="AP147" s="7"/>
      <c r="AT147" s="2"/>
    </row>
    <row r="148" spans="1:46">
      <c r="A148"/>
      <c r="V148" s="23"/>
      <c r="W148" s="23"/>
      <c r="X148" s="23"/>
      <c r="Y148" s="23"/>
      <c r="AD148" s="23"/>
      <c r="AE148" s="23"/>
      <c r="AF148" s="23"/>
      <c r="AG148" s="23"/>
      <c r="AL148" s="23"/>
      <c r="AM148" s="23"/>
      <c r="AN148" s="23"/>
      <c r="AO148" s="23"/>
      <c r="AP148" s="7"/>
      <c r="AT148" s="2"/>
    </row>
    <row r="149" spans="1:46">
      <c r="A149"/>
      <c r="V149" s="23"/>
      <c r="W149" s="23"/>
      <c r="X149" s="23"/>
      <c r="Y149" s="23"/>
      <c r="AD149" s="23"/>
      <c r="AE149" s="23"/>
      <c r="AF149" s="23"/>
      <c r="AG149" s="23"/>
      <c r="AL149" s="23"/>
      <c r="AM149" s="23"/>
      <c r="AN149" s="23"/>
      <c r="AO149" s="23"/>
      <c r="AP149" s="7"/>
      <c r="AT149" s="2"/>
    </row>
    <row r="150" spans="1:46">
      <c r="A150"/>
      <c r="V150" s="23"/>
      <c r="W150" s="23"/>
      <c r="X150" s="23"/>
      <c r="Y150" s="23"/>
      <c r="AD150" s="23"/>
      <c r="AE150" s="23"/>
      <c r="AF150" s="23"/>
      <c r="AG150" s="23"/>
      <c r="AL150" s="23"/>
      <c r="AM150" s="23"/>
      <c r="AN150" s="23"/>
      <c r="AO150" s="23"/>
      <c r="AP150" s="7"/>
      <c r="AT150" s="2"/>
    </row>
    <row r="151" spans="1:46">
      <c r="A151"/>
      <c r="V151" s="23"/>
      <c r="W151" s="23"/>
      <c r="X151" s="23"/>
      <c r="Y151" s="23"/>
      <c r="AD151" s="23"/>
      <c r="AE151" s="23"/>
      <c r="AF151" s="23"/>
      <c r="AG151" s="23"/>
      <c r="AL151" s="23"/>
      <c r="AM151" s="23"/>
      <c r="AN151" s="23"/>
      <c r="AO151" s="23"/>
      <c r="AP151" s="7"/>
      <c r="AT151" s="2"/>
    </row>
    <row r="152" spans="1:46">
      <c r="A152"/>
      <c r="V152" s="23"/>
      <c r="W152" s="23"/>
      <c r="X152" s="23"/>
      <c r="Y152" s="23"/>
      <c r="AD152" s="23"/>
      <c r="AE152" s="23"/>
      <c r="AF152" s="23"/>
      <c r="AG152" s="23"/>
      <c r="AL152" s="23"/>
      <c r="AM152" s="23"/>
      <c r="AN152" s="23"/>
      <c r="AO152" s="23"/>
      <c r="AP152" s="7"/>
      <c r="AT152" s="2"/>
    </row>
    <row r="153" spans="1:46">
      <c r="A153"/>
      <c r="V153" s="23"/>
      <c r="W153" s="23"/>
      <c r="X153" s="23"/>
      <c r="Y153" s="23"/>
      <c r="AD153" s="23"/>
      <c r="AE153" s="23"/>
      <c r="AF153" s="23"/>
      <c r="AG153" s="23"/>
      <c r="AL153" s="23"/>
      <c r="AM153" s="23"/>
      <c r="AN153" s="23"/>
      <c r="AO153" s="23"/>
      <c r="AP153" s="7"/>
      <c r="AT153" s="2"/>
    </row>
    <row r="154" spans="1:46">
      <c r="A154"/>
      <c r="V154" s="23"/>
      <c r="W154" s="23"/>
      <c r="X154" s="23"/>
      <c r="Y154" s="23"/>
      <c r="AD154" s="23"/>
      <c r="AE154" s="23"/>
      <c r="AF154" s="23"/>
      <c r="AG154" s="23"/>
      <c r="AL154" s="23"/>
      <c r="AM154" s="23"/>
      <c r="AN154" s="23"/>
      <c r="AO154" s="23"/>
      <c r="AP154" s="7"/>
      <c r="AT154" s="2"/>
    </row>
    <row r="155" spans="1:46">
      <c r="A155"/>
      <c r="V155" s="23"/>
      <c r="W155" s="23"/>
      <c r="X155" s="23"/>
      <c r="Y155" s="23"/>
      <c r="AD155" s="23"/>
      <c r="AE155" s="23"/>
      <c r="AF155" s="23"/>
      <c r="AG155" s="23"/>
      <c r="AL155" s="23"/>
      <c r="AM155" s="23"/>
      <c r="AN155" s="23"/>
      <c r="AO155" s="23"/>
      <c r="AP155" s="7"/>
      <c r="AT155" s="2"/>
    </row>
    <row r="156" spans="1:46">
      <c r="A156"/>
      <c r="V156" s="23"/>
      <c r="W156" s="23"/>
      <c r="X156" s="23"/>
      <c r="Y156" s="23"/>
      <c r="AD156" s="23"/>
      <c r="AE156" s="23"/>
      <c r="AF156" s="23"/>
      <c r="AG156" s="23"/>
      <c r="AL156" s="23"/>
      <c r="AM156" s="23"/>
      <c r="AN156" s="23"/>
      <c r="AO156" s="23"/>
      <c r="AP156" s="7"/>
      <c r="AT156" s="2"/>
    </row>
    <row r="157" spans="1:46">
      <c r="A157"/>
      <c r="V157" s="23"/>
      <c r="W157" s="23"/>
      <c r="X157" s="23"/>
      <c r="Y157" s="23"/>
      <c r="AD157" s="23"/>
      <c r="AE157" s="23"/>
      <c r="AF157" s="23"/>
      <c r="AG157" s="23"/>
      <c r="AL157" s="23"/>
      <c r="AM157" s="23"/>
      <c r="AN157" s="23"/>
      <c r="AO157" s="23"/>
      <c r="AP157" s="7"/>
      <c r="AT157" s="2"/>
    </row>
    <row r="158" spans="1:46">
      <c r="A158"/>
      <c r="V158" s="23"/>
      <c r="W158" s="23"/>
      <c r="X158" s="23"/>
      <c r="Y158" s="23"/>
      <c r="AD158" s="23"/>
      <c r="AE158" s="23"/>
      <c r="AF158" s="23"/>
      <c r="AG158" s="23"/>
      <c r="AL158" s="23"/>
      <c r="AM158" s="23"/>
      <c r="AN158" s="23"/>
      <c r="AO158" s="23"/>
      <c r="AP158" s="7"/>
      <c r="AT158" s="2"/>
    </row>
    <row r="159" spans="1:46">
      <c r="A159"/>
      <c r="V159" s="23"/>
      <c r="W159" s="23"/>
      <c r="X159" s="23"/>
      <c r="Y159" s="23"/>
      <c r="AD159" s="23"/>
      <c r="AE159" s="23"/>
      <c r="AF159" s="23"/>
      <c r="AG159" s="23"/>
      <c r="AL159" s="23"/>
      <c r="AM159" s="23"/>
      <c r="AN159" s="23"/>
      <c r="AO159" s="23"/>
      <c r="AP159" s="7"/>
      <c r="AT159" s="2"/>
    </row>
    <row r="160" spans="1:46">
      <c r="A160"/>
      <c r="V160" s="23"/>
      <c r="W160" s="23"/>
      <c r="X160" s="23"/>
      <c r="Y160" s="23"/>
      <c r="AD160" s="23"/>
      <c r="AE160" s="23"/>
      <c r="AF160" s="23"/>
      <c r="AG160" s="23"/>
      <c r="AL160" s="23"/>
      <c r="AM160" s="23"/>
      <c r="AN160" s="23"/>
      <c r="AO160" s="23"/>
      <c r="AP160" s="7"/>
      <c r="AT160" s="2"/>
    </row>
    <row r="161" spans="1:46">
      <c r="A161"/>
      <c r="V161" s="23"/>
      <c r="W161" s="23"/>
      <c r="X161" s="23"/>
      <c r="Y161" s="23"/>
      <c r="AD161" s="23"/>
      <c r="AE161" s="23"/>
      <c r="AF161" s="23"/>
      <c r="AG161" s="23"/>
      <c r="AL161" s="23"/>
      <c r="AM161" s="23"/>
      <c r="AN161" s="23"/>
      <c r="AO161" s="23"/>
      <c r="AP161" s="7"/>
      <c r="AT161" s="2"/>
    </row>
    <row r="162" spans="1:46">
      <c r="A162"/>
      <c r="V162" s="23"/>
      <c r="W162" s="23"/>
      <c r="X162" s="23"/>
      <c r="Y162" s="23"/>
      <c r="AD162" s="23"/>
      <c r="AE162" s="23"/>
      <c r="AF162" s="23"/>
      <c r="AG162" s="23"/>
      <c r="AL162" s="23"/>
      <c r="AM162" s="23"/>
      <c r="AN162" s="23"/>
      <c r="AO162" s="23"/>
      <c r="AP162" s="7"/>
      <c r="AT162" s="2"/>
    </row>
    <row r="163" spans="1:46">
      <c r="A163"/>
      <c r="V163" s="23"/>
      <c r="W163" s="23"/>
      <c r="X163" s="23"/>
      <c r="Y163" s="23"/>
      <c r="AD163" s="23"/>
      <c r="AE163" s="23"/>
      <c r="AF163" s="23"/>
      <c r="AG163" s="23"/>
      <c r="AL163" s="23"/>
      <c r="AM163" s="23"/>
      <c r="AN163" s="23"/>
      <c r="AO163" s="23"/>
      <c r="AP163" s="7"/>
      <c r="AT163" s="2"/>
    </row>
    <row r="164" spans="1:46">
      <c r="A164"/>
      <c r="V164" s="23"/>
      <c r="W164" s="23"/>
      <c r="X164" s="23"/>
      <c r="Y164" s="23"/>
      <c r="AD164" s="23"/>
      <c r="AE164" s="23"/>
      <c r="AF164" s="23"/>
      <c r="AG164" s="23"/>
      <c r="AL164" s="23"/>
      <c r="AM164" s="23"/>
      <c r="AN164" s="23"/>
      <c r="AO164" s="23"/>
      <c r="AP164" s="7"/>
      <c r="AT164" s="2"/>
    </row>
    <row r="165" spans="1:46">
      <c r="A165"/>
      <c r="V165" s="23"/>
      <c r="W165" s="23"/>
      <c r="X165" s="23"/>
      <c r="Y165" s="23"/>
      <c r="AD165" s="23"/>
      <c r="AE165" s="23"/>
      <c r="AF165" s="23"/>
      <c r="AG165" s="23"/>
      <c r="AL165" s="23"/>
      <c r="AM165" s="23"/>
      <c r="AN165" s="23"/>
      <c r="AO165" s="23"/>
      <c r="AP165" s="7"/>
      <c r="AT165" s="2"/>
    </row>
    <row r="166" spans="1:46">
      <c r="A166"/>
      <c r="V166" s="23"/>
      <c r="W166" s="23"/>
      <c r="X166" s="23"/>
      <c r="Y166" s="23"/>
      <c r="AD166" s="23"/>
      <c r="AE166" s="23"/>
      <c r="AF166" s="23"/>
      <c r="AG166" s="23"/>
      <c r="AL166" s="23"/>
      <c r="AM166" s="23"/>
      <c r="AN166" s="23"/>
      <c r="AO166" s="23"/>
      <c r="AP166" s="7"/>
      <c r="AT166" s="2"/>
    </row>
    <row r="167" spans="1:46">
      <c r="A167"/>
      <c r="V167" s="23"/>
      <c r="W167" s="23"/>
      <c r="X167" s="23"/>
      <c r="Y167" s="23"/>
      <c r="AD167" s="23"/>
      <c r="AE167" s="23"/>
      <c r="AF167" s="23"/>
      <c r="AG167" s="23"/>
      <c r="AL167" s="23"/>
      <c r="AM167" s="23"/>
      <c r="AN167" s="23"/>
      <c r="AO167" s="23"/>
      <c r="AP167" s="7"/>
      <c r="AT167" s="2"/>
    </row>
    <row r="168" spans="1:46">
      <c r="A168"/>
      <c r="V168" s="23"/>
      <c r="W168" s="23"/>
      <c r="X168" s="23"/>
      <c r="Y168" s="23"/>
      <c r="AD168" s="23"/>
      <c r="AE168" s="23"/>
      <c r="AF168" s="23"/>
      <c r="AG168" s="23"/>
      <c r="AL168" s="23"/>
      <c r="AM168" s="23"/>
      <c r="AN168" s="23"/>
      <c r="AO168" s="23"/>
      <c r="AP168" s="7"/>
      <c r="AT168" s="2"/>
    </row>
    <row r="169" spans="1:46">
      <c r="A169"/>
      <c r="V169" s="23"/>
      <c r="W169" s="23"/>
      <c r="X169" s="23"/>
      <c r="Y169" s="23"/>
      <c r="AD169" s="23"/>
      <c r="AE169" s="23"/>
      <c r="AF169" s="23"/>
      <c r="AG169" s="23"/>
      <c r="AL169" s="23"/>
      <c r="AM169" s="23"/>
      <c r="AN169" s="23"/>
      <c r="AO169" s="23"/>
      <c r="AP169" s="7"/>
      <c r="AT169" s="2"/>
    </row>
    <row r="170" spans="1:46">
      <c r="A170"/>
      <c r="V170" s="23"/>
      <c r="W170" s="23"/>
      <c r="X170" s="23"/>
      <c r="Y170" s="23"/>
      <c r="AD170" s="23"/>
      <c r="AE170" s="23"/>
      <c r="AF170" s="23"/>
      <c r="AG170" s="23"/>
      <c r="AL170" s="23"/>
      <c r="AM170" s="23"/>
      <c r="AN170" s="23"/>
      <c r="AO170" s="23"/>
      <c r="AP170" s="7"/>
      <c r="AT170" s="2"/>
    </row>
    <row r="171" spans="1:46">
      <c r="A171"/>
      <c r="V171" s="23"/>
      <c r="W171" s="23"/>
      <c r="X171" s="23"/>
      <c r="Y171" s="23"/>
      <c r="AD171" s="23"/>
      <c r="AE171" s="23"/>
      <c r="AF171" s="23"/>
      <c r="AG171" s="23"/>
      <c r="AL171" s="23"/>
      <c r="AM171" s="23"/>
      <c r="AN171" s="23"/>
      <c r="AO171" s="23"/>
      <c r="AP171" s="7"/>
      <c r="AT171" s="2"/>
    </row>
    <row r="172" spans="1:46">
      <c r="A172"/>
      <c r="V172" s="23"/>
      <c r="W172" s="23"/>
      <c r="X172" s="23"/>
      <c r="Y172" s="23"/>
      <c r="AD172" s="23"/>
      <c r="AE172" s="23"/>
      <c r="AF172" s="23"/>
      <c r="AG172" s="23"/>
      <c r="AL172" s="23"/>
      <c r="AM172" s="23"/>
      <c r="AN172" s="23"/>
      <c r="AO172" s="23"/>
      <c r="AP172" s="7"/>
      <c r="AT172" s="2"/>
    </row>
    <row r="173" spans="1:46">
      <c r="A173"/>
      <c r="V173" s="23"/>
      <c r="W173" s="23"/>
      <c r="X173" s="23"/>
      <c r="Y173" s="23"/>
      <c r="AD173" s="23"/>
      <c r="AE173" s="23"/>
      <c r="AF173" s="23"/>
      <c r="AG173" s="23"/>
      <c r="AL173" s="23"/>
      <c r="AM173" s="23"/>
      <c r="AN173" s="23"/>
      <c r="AO173" s="23"/>
      <c r="AP173" s="7"/>
      <c r="AT173" s="2"/>
    </row>
    <row r="174" spans="1:46">
      <c r="A174"/>
      <c r="V174" s="23"/>
      <c r="W174" s="23"/>
      <c r="X174" s="23"/>
      <c r="Y174" s="23"/>
      <c r="AD174" s="23"/>
      <c r="AE174" s="23"/>
      <c r="AF174" s="23"/>
      <c r="AG174" s="23"/>
      <c r="AL174" s="23"/>
      <c r="AM174" s="23"/>
      <c r="AN174" s="23"/>
      <c r="AO174" s="23"/>
      <c r="AP174" s="7"/>
      <c r="AT174" s="2"/>
    </row>
    <row r="175" spans="1:46">
      <c r="A175"/>
      <c r="V175" s="23"/>
      <c r="W175" s="23"/>
      <c r="X175" s="23"/>
      <c r="Y175" s="23"/>
      <c r="AD175" s="23"/>
      <c r="AE175" s="23"/>
      <c r="AF175" s="23"/>
      <c r="AG175" s="23"/>
      <c r="AL175" s="23"/>
      <c r="AM175" s="23"/>
      <c r="AN175" s="23"/>
      <c r="AO175" s="23"/>
      <c r="AP175" s="7"/>
      <c r="AT175" s="2"/>
    </row>
    <row r="176" spans="1:46">
      <c r="A176"/>
      <c r="V176" s="23"/>
      <c r="W176" s="23"/>
      <c r="X176" s="23"/>
      <c r="Y176" s="23"/>
      <c r="AD176" s="23"/>
      <c r="AE176" s="23"/>
      <c r="AF176" s="23"/>
      <c r="AG176" s="23"/>
      <c r="AL176" s="23"/>
      <c r="AM176" s="23"/>
      <c r="AN176" s="23"/>
      <c r="AO176" s="23"/>
      <c r="AP176" s="7"/>
      <c r="AT176" s="2"/>
    </row>
    <row r="177" spans="1:46">
      <c r="A177"/>
      <c r="V177" s="23"/>
      <c r="W177" s="23"/>
      <c r="X177" s="23"/>
      <c r="Y177" s="23"/>
      <c r="AD177" s="23"/>
      <c r="AE177" s="23"/>
      <c r="AF177" s="23"/>
      <c r="AG177" s="23"/>
      <c r="AL177" s="23"/>
      <c r="AM177" s="23"/>
      <c r="AN177" s="23"/>
      <c r="AO177" s="23"/>
      <c r="AP177" s="7"/>
      <c r="AT177" s="2"/>
    </row>
    <row r="178" spans="1:46">
      <c r="A178"/>
      <c r="V178" s="23"/>
      <c r="W178" s="23"/>
      <c r="X178" s="23"/>
      <c r="Y178" s="23"/>
      <c r="AD178" s="23"/>
      <c r="AE178" s="23"/>
      <c r="AF178" s="23"/>
      <c r="AG178" s="23"/>
      <c r="AL178" s="23"/>
      <c r="AM178" s="23"/>
      <c r="AN178" s="23"/>
      <c r="AO178" s="23"/>
      <c r="AP178" s="7"/>
      <c r="AT178" s="2"/>
    </row>
    <row r="179" spans="1:46">
      <c r="A179"/>
      <c r="V179" s="23"/>
      <c r="W179" s="23"/>
      <c r="X179" s="23"/>
      <c r="Y179" s="23"/>
      <c r="AD179" s="23"/>
      <c r="AE179" s="23"/>
      <c r="AF179" s="23"/>
      <c r="AG179" s="23"/>
      <c r="AL179" s="23"/>
      <c r="AM179" s="23"/>
      <c r="AN179" s="23"/>
      <c r="AO179" s="23"/>
      <c r="AP179" s="7"/>
      <c r="AT179" s="2"/>
    </row>
    <row r="180" spans="1:46">
      <c r="A180"/>
      <c r="V180" s="23"/>
      <c r="W180" s="23"/>
      <c r="X180" s="23"/>
      <c r="Y180" s="23"/>
      <c r="AD180" s="23"/>
      <c r="AE180" s="23"/>
      <c r="AF180" s="23"/>
      <c r="AG180" s="23"/>
      <c r="AL180" s="23"/>
      <c r="AM180" s="23"/>
      <c r="AN180" s="23"/>
      <c r="AO180" s="23"/>
      <c r="AP180" s="7"/>
      <c r="AT180" s="2"/>
    </row>
    <row r="181" spans="1:46">
      <c r="A181"/>
      <c r="V181" s="23"/>
      <c r="W181" s="23"/>
      <c r="X181" s="23"/>
      <c r="Y181" s="23"/>
      <c r="AD181" s="23"/>
      <c r="AE181" s="23"/>
      <c r="AF181" s="23"/>
      <c r="AG181" s="23"/>
      <c r="AL181" s="23"/>
      <c r="AM181" s="23"/>
      <c r="AN181" s="23"/>
      <c r="AO181" s="23"/>
      <c r="AP181" s="7"/>
      <c r="AT181" s="2"/>
    </row>
    <row r="182" spans="1:46">
      <c r="A182"/>
      <c r="V182" s="23"/>
      <c r="W182" s="23"/>
      <c r="X182" s="23"/>
      <c r="Y182" s="23"/>
      <c r="AD182" s="23"/>
      <c r="AE182" s="23"/>
      <c r="AF182" s="23"/>
      <c r="AG182" s="23"/>
      <c r="AL182" s="23"/>
      <c r="AM182" s="23"/>
      <c r="AN182" s="23"/>
      <c r="AO182" s="23"/>
      <c r="AP182" s="7"/>
      <c r="AT182" s="2"/>
    </row>
    <row r="183" spans="1:46">
      <c r="A183"/>
      <c r="V183" s="23"/>
      <c r="W183" s="23"/>
      <c r="X183" s="23"/>
      <c r="Y183" s="23"/>
      <c r="AD183" s="23"/>
      <c r="AE183" s="23"/>
      <c r="AF183" s="23"/>
      <c r="AG183" s="23"/>
      <c r="AL183" s="23"/>
      <c r="AM183" s="23"/>
      <c r="AN183" s="23"/>
      <c r="AO183" s="23"/>
      <c r="AP183" s="7"/>
      <c r="AT183" s="2"/>
    </row>
    <row r="184" spans="1:46">
      <c r="A184"/>
      <c r="V184" s="23"/>
      <c r="W184" s="23"/>
      <c r="X184" s="23"/>
      <c r="Y184" s="23"/>
      <c r="AD184" s="23"/>
      <c r="AE184" s="23"/>
      <c r="AF184" s="23"/>
      <c r="AG184" s="23"/>
      <c r="AL184" s="23"/>
      <c r="AM184" s="23"/>
      <c r="AN184" s="23"/>
      <c r="AO184" s="23"/>
      <c r="AP184" s="7"/>
      <c r="AT184" s="2"/>
    </row>
    <row r="185" spans="1:46">
      <c r="A185"/>
      <c r="V185" s="23"/>
      <c r="W185" s="23"/>
      <c r="X185" s="23"/>
      <c r="Y185" s="23"/>
      <c r="AD185" s="23"/>
      <c r="AE185" s="23"/>
      <c r="AF185" s="23"/>
      <c r="AG185" s="23"/>
      <c r="AL185" s="23"/>
      <c r="AM185" s="23"/>
      <c r="AN185" s="23"/>
      <c r="AO185" s="23"/>
      <c r="AP185" s="7"/>
      <c r="AT185" s="2"/>
    </row>
    <row r="186" spans="1:46">
      <c r="A186"/>
      <c r="V186" s="23"/>
      <c r="W186" s="23"/>
      <c r="X186" s="23"/>
      <c r="Y186" s="23"/>
      <c r="AD186" s="23"/>
      <c r="AE186" s="23"/>
      <c r="AF186" s="23"/>
      <c r="AG186" s="23"/>
      <c r="AL186" s="23"/>
      <c r="AM186" s="23"/>
      <c r="AN186" s="23"/>
      <c r="AO186" s="23"/>
      <c r="AP186" s="7"/>
      <c r="AT186" s="2"/>
    </row>
    <row r="187" spans="1:46">
      <c r="A187"/>
      <c r="V187" s="23"/>
      <c r="W187" s="23"/>
      <c r="X187" s="23"/>
      <c r="Y187" s="23"/>
      <c r="AD187" s="23"/>
      <c r="AE187" s="23"/>
      <c r="AF187" s="23"/>
      <c r="AG187" s="23"/>
      <c r="AL187" s="23"/>
      <c r="AM187" s="23"/>
      <c r="AN187" s="23"/>
      <c r="AO187" s="23"/>
      <c r="AP187" s="7"/>
      <c r="AT187" s="2"/>
    </row>
    <row r="188" spans="1:46">
      <c r="A188"/>
      <c r="V188" s="23"/>
      <c r="W188" s="23"/>
      <c r="X188" s="23"/>
      <c r="Y188" s="23"/>
      <c r="AD188" s="23"/>
      <c r="AE188" s="23"/>
      <c r="AF188" s="23"/>
      <c r="AG188" s="23"/>
      <c r="AL188" s="23"/>
      <c r="AM188" s="23"/>
      <c r="AN188" s="23"/>
      <c r="AO188" s="23"/>
      <c r="AP188" s="7"/>
      <c r="AT188" s="2"/>
    </row>
    <row r="189" spans="1:46">
      <c r="A189"/>
      <c r="V189" s="23"/>
      <c r="W189" s="23"/>
      <c r="X189" s="23"/>
      <c r="Y189" s="23"/>
      <c r="AD189" s="23"/>
      <c r="AE189" s="23"/>
      <c r="AF189" s="23"/>
      <c r="AG189" s="23"/>
      <c r="AL189" s="23"/>
      <c r="AM189" s="23"/>
      <c r="AN189" s="23"/>
      <c r="AO189" s="23"/>
      <c r="AP189" s="7"/>
      <c r="AT189" s="2"/>
    </row>
    <row r="190" spans="1:46">
      <c r="A190"/>
      <c r="V190" s="23"/>
      <c r="W190" s="23"/>
      <c r="X190" s="23"/>
      <c r="Y190" s="23"/>
      <c r="AD190" s="23"/>
      <c r="AE190" s="23"/>
      <c r="AF190" s="23"/>
      <c r="AG190" s="23"/>
      <c r="AL190" s="23"/>
      <c r="AM190" s="23"/>
      <c r="AN190" s="23"/>
      <c r="AO190" s="23"/>
      <c r="AP190" s="7"/>
      <c r="AT190" s="2"/>
    </row>
    <row r="191" spans="1:46">
      <c r="A191"/>
      <c r="V191" s="23"/>
      <c r="W191" s="23"/>
      <c r="X191" s="23"/>
      <c r="Y191" s="23"/>
      <c r="AD191" s="23"/>
      <c r="AE191" s="23"/>
      <c r="AF191" s="23"/>
      <c r="AG191" s="23"/>
      <c r="AL191" s="23"/>
      <c r="AM191" s="23"/>
      <c r="AN191" s="23"/>
      <c r="AO191" s="23"/>
      <c r="AP191" s="7"/>
      <c r="AT191" s="2"/>
    </row>
    <row r="192" spans="1:46">
      <c r="A192"/>
      <c r="V192" s="23"/>
      <c r="W192" s="23"/>
      <c r="X192" s="23"/>
      <c r="Y192" s="23"/>
      <c r="AD192" s="23"/>
      <c r="AE192" s="23"/>
      <c r="AF192" s="23"/>
      <c r="AG192" s="23"/>
      <c r="AL192" s="23"/>
      <c r="AM192" s="23"/>
      <c r="AN192" s="23"/>
      <c r="AO192" s="23"/>
      <c r="AP192" s="7"/>
      <c r="AT192" s="2"/>
    </row>
    <row r="193" spans="1:46">
      <c r="A193"/>
      <c r="V193" s="23"/>
      <c r="W193" s="23"/>
      <c r="X193" s="23"/>
      <c r="Y193" s="23"/>
      <c r="AD193" s="23"/>
      <c r="AE193" s="23"/>
      <c r="AF193" s="23"/>
      <c r="AG193" s="23"/>
      <c r="AL193" s="23"/>
      <c r="AM193" s="23"/>
      <c r="AN193" s="23"/>
      <c r="AO193" s="23"/>
      <c r="AP193" s="7"/>
      <c r="AT193" s="2"/>
    </row>
    <row r="194" spans="1:46">
      <c r="A194"/>
      <c r="V194" s="23"/>
      <c r="W194" s="23"/>
      <c r="X194" s="23"/>
      <c r="Y194" s="23"/>
      <c r="AD194" s="23"/>
      <c r="AE194" s="23"/>
      <c r="AF194" s="23"/>
      <c r="AG194" s="23"/>
      <c r="AL194" s="23"/>
      <c r="AM194" s="23"/>
      <c r="AN194" s="23"/>
      <c r="AO194" s="23"/>
      <c r="AP194" s="7"/>
      <c r="AT194" s="2"/>
    </row>
    <row r="195" spans="1:46">
      <c r="A195"/>
      <c r="V195" s="23"/>
      <c r="W195" s="23"/>
      <c r="X195" s="23"/>
      <c r="Y195" s="23"/>
      <c r="AD195" s="23"/>
      <c r="AE195" s="23"/>
      <c r="AF195" s="23"/>
      <c r="AG195" s="23"/>
      <c r="AL195" s="23"/>
      <c r="AM195" s="23"/>
      <c r="AN195" s="23"/>
      <c r="AO195" s="23"/>
      <c r="AP195" s="7"/>
      <c r="AT195" s="2"/>
    </row>
    <row r="196" spans="1:46">
      <c r="A196"/>
      <c r="V196" s="23"/>
      <c r="W196" s="23"/>
      <c r="X196" s="23"/>
      <c r="Y196" s="23"/>
      <c r="AD196" s="23"/>
      <c r="AE196" s="23"/>
      <c r="AF196" s="23"/>
      <c r="AG196" s="23"/>
      <c r="AL196" s="23"/>
      <c r="AM196" s="23"/>
      <c r="AN196" s="23"/>
      <c r="AO196" s="23"/>
      <c r="AP196" s="7"/>
      <c r="AT196" s="2"/>
    </row>
    <row r="197" spans="1:46">
      <c r="A197"/>
      <c r="V197" s="23"/>
      <c r="W197" s="23"/>
      <c r="X197" s="23"/>
      <c r="Y197" s="23"/>
      <c r="AD197" s="23"/>
      <c r="AE197" s="23"/>
      <c r="AF197" s="23"/>
      <c r="AG197" s="23"/>
      <c r="AL197" s="23"/>
      <c r="AM197" s="23"/>
      <c r="AN197" s="23"/>
      <c r="AO197" s="23"/>
      <c r="AP197" s="7"/>
      <c r="AT197" s="2"/>
    </row>
    <row r="198" spans="1:46">
      <c r="A198"/>
      <c r="V198" s="23"/>
      <c r="W198" s="23"/>
      <c r="X198" s="23"/>
      <c r="Y198" s="23"/>
      <c r="AD198" s="23"/>
      <c r="AE198" s="23"/>
      <c r="AF198" s="23"/>
      <c r="AG198" s="23"/>
      <c r="AL198" s="23"/>
      <c r="AM198" s="23"/>
      <c r="AN198" s="23"/>
      <c r="AO198" s="23"/>
      <c r="AP198" s="7"/>
      <c r="AT198" s="2"/>
    </row>
    <row r="199" spans="1:46">
      <c r="A199"/>
      <c r="V199" s="23"/>
      <c r="W199" s="23"/>
      <c r="X199" s="23"/>
      <c r="Y199" s="23"/>
      <c r="AD199" s="23"/>
      <c r="AE199" s="23"/>
      <c r="AF199" s="23"/>
      <c r="AG199" s="23"/>
      <c r="AL199" s="23"/>
      <c r="AM199" s="23"/>
      <c r="AN199" s="23"/>
      <c r="AO199" s="23"/>
      <c r="AP199" s="7"/>
      <c r="AT199" s="2"/>
    </row>
    <row r="200" spans="1:46">
      <c r="A200"/>
      <c r="V200" s="23"/>
      <c r="W200" s="23"/>
      <c r="X200" s="23"/>
      <c r="Y200" s="23"/>
      <c r="AD200" s="23"/>
      <c r="AE200" s="23"/>
      <c r="AF200" s="23"/>
      <c r="AG200" s="23"/>
      <c r="AL200" s="23"/>
      <c r="AM200" s="23"/>
      <c r="AN200" s="23"/>
      <c r="AO200" s="23"/>
      <c r="AP200" s="7"/>
      <c r="AT200" s="2"/>
    </row>
    <row r="201" spans="1:46">
      <c r="A201"/>
      <c r="V201" s="23"/>
      <c r="W201" s="23"/>
      <c r="X201" s="23"/>
      <c r="Y201" s="23"/>
      <c r="AD201" s="23"/>
      <c r="AE201" s="23"/>
      <c r="AF201" s="23"/>
      <c r="AG201" s="23"/>
      <c r="AL201" s="23"/>
      <c r="AM201" s="23"/>
      <c r="AN201" s="23"/>
      <c r="AO201" s="23"/>
      <c r="AP201" s="7"/>
      <c r="AT201" s="2"/>
    </row>
    <row r="202" spans="1:46">
      <c r="A202"/>
      <c r="V202" s="23"/>
      <c r="W202" s="23"/>
      <c r="X202" s="23"/>
      <c r="Y202" s="23"/>
      <c r="AD202" s="23"/>
      <c r="AE202" s="23"/>
      <c r="AF202" s="23"/>
      <c r="AG202" s="23"/>
      <c r="AL202" s="23"/>
      <c r="AM202" s="23"/>
      <c r="AN202" s="23"/>
      <c r="AO202" s="23"/>
      <c r="AP202" s="7"/>
      <c r="AT202" s="2"/>
    </row>
    <row r="203" spans="1:46">
      <c r="A203"/>
      <c r="V203" s="23"/>
      <c r="W203" s="23"/>
      <c r="X203" s="23"/>
      <c r="Y203" s="23"/>
      <c r="AD203" s="23"/>
      <c r="AE203" s="23"/>
      <c r="AF203" s="23"/>
      <c r="AG203" s="23"/>
      <c r="AL203" s="23"/>
      <c r="AM203" s="23"/>
      <c r="AN203" s="23"/>
      <c r="AO203" s="23"/>
      <c r="AP203" s="7"/>
      <c r="AT203" s="2"/>
    </row>
    <row r="204" spans="1:46">
      <c r="A204"/>
      <c r="V204" s="23"/>
      <c r="W204" s="23"/>
      <c r="X204" s="23"/>
      <c r="Y204" s="23"/>
      <c r="AD204" s="23"/>
      <c r="AE204" s="23"/>
      <c r="AF204" s="23"/>
      <c r="AG204" s="23"/>
      <c r="AL204" s="23"/>
      <c r="AM204" s="23"/>
      <c r="AN204" s="23"/>
      <c r="AO204" s="23"/>
      <c r="AP204" s="7"/>
      <c r="AT204" s="2"/>
    </row>
    <row r="205" spans="1:46">
      <c r="A205"/>
      <c r="V205" s="23"/>
      <c r="W205" s="23"/>
      <c r="X205" s="23"/>
      <c r="Y205" s="23"/>
      <c r="AD205" s="23"/>
      <c r="AE205" s="23"/>
      <c r="AF205" s="23"/>
      <c r="AG205" s="23"/>
      <c r="AL205" s="23"/>
      <c r="AM205" s="23"/>
      <c r="AN205" s="23"/>
      <c r="AO205" s="23"/>
      <c r="AP205" s="7"/>
      <c r="AT205" s="2"/>
    </row>
    <row r="206" spans="1:46">
      <c r="A206"/>
      <c r="V206" s="23"/>
      <c r="W206" s="23"/>
      <c r="X206" s="23"/>
      <c r="Y206" s="23"/>
      <c r="AD206" s="23"/>
      <c r="AE206" s="23"/>
      <c r="AF206" s="23"/>
      <c r="AG206" s="23"/>
      <c r="AL206" s="23"/>
      <c r="AM206" s="23"/>
      <c r="AN206" s="23"/>
      <c r="AO206" s="23"/>
      <c r="AP206" s="7"/>
      <c r="AT206" s="2"/>
    </row>
    <row r="207" spans="1:46">
      <c r="A207"/>
      <c r="V207" s="23"/>
      <c r="W207" s="23"/>
      <c r="X207" s="23"/>
      <c r="Y207" s="23"/>
      <c r="AD207" s="23"/>
      <c r="AE207" s="23"/>
      <c r="AF207" s="23"/>
      <c r="AG207" s="23"/>
      <c r="AL207" s="23"/>
      <c r="AM207" s="23"/>
      <c r="AN207" s="23"/>
      <c r="AO207" s="23"/>
      <c r="AP207" s="7"/>
      <c r="AT207" s="2"/>
    </row>
    <row r="208" spans="1:46">
      <c r="A208"/>
      <c r="V208" s="23"/>
      <c r="W208" s="23"/>
      <c r="X208" s="23"/>
      <c r="Y208" s="23"/>
      <c r="AD208" s="23"/>
      <c r="AE208" s="23"/>
      <c r="AF208" s="23"/>
      <c r="AG208" s="23"/>
      <c r="AL208" s="23"/>
      <c r="AM208" s="23"/>
      <c r="AN208" s="23"/>
      <c r="AO208" s="23"/>
      <c r="AP208" s="7"/>
      <c r="AT208" s="2"/>
    </row>
    <row r="209" spans="1:46">
      <c r="A209"/>
      <c r="V209" s="23"/>
      <c r="W209" s="23"/>
      <c r="X209" s="23"/>
      <c r="Y209" s="23"/>
      <c r="AD209" s="23"/>
      <c r="AE209" s="23"/>
      <c r="AF209" s="23"/>
      <c r="AG209" s="23"/>
      <c r="AL209" s="23"/>
      <c r="AM209" s="23"/>
      <c r="AN209" s="23"/>
      <c r="AO209" s="23"/>
      <c r="AP209" s="7"/>
      <c r="AT209" s="2"/>
    </row>
    <row r="210" spans="1:46">
      <c r="A210"/>
      <c r="V210" s="23"/>
      <c r="W210" s="23"/>
      <c r="X210" s="23"/>
      <c r="Y210" s="23"/>
      <c r="AD210" s="23"/>
      <c r="AE210" s="23"/>
      <c r="AF210" s="23"/>
      <c r="AG210" s="23"/>
      <c r="AL210" s="23"/>
      <c r="AM210" s="23"/>
      <c r="AN210" s="23"/>
      <c r="AO210" s="23"/>
      <c r="AP210" s="7"/>
      <c r="AT210" s="2"/>
    </row>
    <row r="211" spans="1:46">
      <c r="A211"/>
      <c r="V211" s="23"/>
      <c r="W211" s="23"/>
      <c r="X211" s="23"/>
      <c r="Y211" s="23"/>
      <c r="AD211" s="23"/>
      <c r="AE211" s="23"/>
      <c r="AF211" s="23"/>
      <c r="AG211" s="23"/>
      <c r="AL211" s="23"/>
      <c r="AM211" s="23"/>
      <c r="AN211" s="23"/>
      <c r="AO211" s="23"/>
      <c r="AP211" s="7"/>
      <c r="AT211" s="2"/>
    </row>
    <row r="212" spans="1:46">
      <c r="A212"/>
      <c r="V212" s="23"/>
      <c r="W212" s="23"/>
      <c r="X212" s="23"/>
      <c r="Y212" s="23"/>
      <c r="AD212" s="23"/>
      <c r="AE212" s="23"/>
      <c r="AF212" s="23"/>
      <c r="AG212" s="23"/>
      <c r="AL212" s="23"/>
      <c r="AM212" s="23"/>
      <c r="AN212" s="23"/>
      <c r="AO212" s="23"/>
      <c r="AP212" s="7"/>
      <c r="AT212" s="2"/>
    </row>
    <row r="213" spans="1:46">
      <c r="A213"/>
      <c r="V213" s="23"/>
      <c r="W213" s="23"/>
      <c r="X213" s="23"/>
      <c r="Y213" s="23"/>
      <c r="AD213" s="23"/>
      <c r="AE213" s="23"/>
      <c r="AF213" s="23"/>
      <c r="AG213" s="23"/>
      <c r="AL213" s="23"/>
      <c r="AM213" s="23"/>
      <c r="AN213" s="23"/>
      <c r="AO213" s="23"/>
      <c r="AP213" s="7"/>
      <c r="AT213" s="2"/>
    </row>
    <row r="214" spans="1:46">
      <c r="A214"/>
      <c r="V214" s="23"/>
      <c r="W214" s="23"/>
      <c r="X214" s="23"/>
      <c r="Y214" s="23"/>
      <c r="AD214" s="23"/>
      <c r="AE214" s="23"/>
      <c r="AF214" s="23"/>
      <c r="AG214" s="23"/>
      <c r="AL214" s="23"/>
      <c r="AM214" s="23"/>
      <c r="AN214" s="23"/>
      <c r="AO214" s="23"/>
      <c r="AP214" s="7"/>
      <c r="AT214" s="2"/>
    </row>
    <row r="215" spans="1:46">
      <c r="A215"/>
      <c r="V215" s="23"/>
      <c r="W215" s="23"/>
      <c r="X215" s="23"/>
      <c r="Y215" s="23"/>
      <c r="AD215" s="23"/>
      <c r="AE215" s="23"/>
      <c r="AF215" s="23"/>
      <c r="AG215" s="23"/>
      <c r="AL215" s="23"/>
      <c r="AM215" s="23"/>
      <c r="AN215" s="23"/>
      <c r="AO215" s="23"/>
      <c r="AP215" s="7"/>
      <c r="AT215" s="2"/>
    </row>
    <row r="216" spans="1:46">
      <c r="A216"/>
      <c r="V216" s="23"/>
      <c r="W216" s="23"/>
      <c r="X216" s="23"/>
      <c r="Y216" s="23"/>
      <c r="AD216" s="23"/>
      <c r="AE216" s="23"/>
      <c r="AF216" s="23"/>
      <c r="AG216" s="23"/>
      <c r="AL216" s="23"/>
      <c r="AM216" s="23"/>
      <c r="AN216" s="23"/>
      <c r="AO216" s="23"/>
      <c r="AP216" s="7"/>
      <c r="AT216" s="2"/>
    </row>
    <row r="217" spans="1:46">
      <c r="A217"/>
      <c r="V217" s="23"/>
      <c r="W217" s="23"/>
      <c r="X217" s="23"/>
      <c r="Y217" s="23"/>
      <c r="AD217" s="23"/>
      <c r="AE217" s="23"/>
      <c r="AF217" s="23"/>
      <c r="AG217" s="23"/>
      <c r="AL217" s="23"/>
      <c r="AM217" s="23"/>
      <c r="AN217" s="23"/>
      <c r="AO217" s="23"/>
      <c r="AP217" s="7"/>
      <c r="AT217" s="2"/>
    </row>
    <row r="218" spans="1:46">
      <c r="A218"/>
      <c r="V218" s="23"/>
      <c r="W218" s="23"/>
      <c r="X218" s="23"/>
      <c r="Y218" s="23"/>
      <c r="AD218" s="23"/>
      <c r="AE218" s="23"/>
      <c r="AF218" s="23"/>
      <c r="AG218" s="23"/>
      <c r="AL218" s="23"/>
      <c r="AM218" s="23"/>
      <c r="AN218" s="23"/>
      <c r="AO218" s="23"/>
      <c r="AP218" s="7"/>
      <c r="AT218" s="2"/>
    </row>
    <row r="219" spans="1:46">
      <c r="A219"/>
      <c r="V219" s="23"/>
      <c r="W219" s="23"/>
      <c r="X219" s="23"/>
      <c r="Y219" s="23"/>
      <c r="AD219" s="23"/>
      <c r="AE219" s="23"/>
      <c r="AF219" s="23"/>
      <c r="AG219" s="23"/>
      <c r="AL219" s="23"/>
      <c r="AM219" s="23"/>
      <c r="AN219" s="23"/>
      <c r="AO219" s="23"/>
      <c r="AP219" s="7"/>
      <c r="AT219" s="2"/>
    </row>
    <row r="220" spans="1:46">
      <c r="A220"/>
      <c r="V220" s="23"/>
      <c r="W220" s="23"/>
      <c r="X220" s="23"/>
      <c r="Y220" s="23"/>
      <c r="AD220" s="23"/>
      <c r="AE220" s="23"/>
      <c r="AF220" s="23"/>
      <c r="AG220" s="23"/>
      <c r="AL220" s="23"/>
      <c r="AM220" s="23"/>
      <c r="AN220" s="23"/>
      <c r="AO220" s="23"/>
      <c r="AP220" s="7"/>
      <c r="AT220" s="2"/>
    </row>
    <row r="221" spans="1:46">
      <c r="A221"/>
      <c r="V221" s="23"/>
      <c r="W221" s="23"/>
      <c r="X221" s="23"/>
      <c r="Y221" s="23"/>
      <c r="AD221" s="23"/>
      <c r="AE221" s="23"/>
      <c r="AF221" s="23"/>
      <c r="AG221" s="23"/>
      <c r="AL221" s="23"/>
      <c r="AM221" s="23"/>
      <c r="AN221" s="23"/>
      <c r="AO221" s="23"/>
      <c r="AP221" s="7"/>
      <c r="AT221" s="2"/>
    </row>
    <row r="222" spans="1:46">
      <c r="A222"/>
      <c r="V222" s="23"/>
      <c r="W222" s="23"/>
      <c r="X222" s="23"/>
      <c r="Y222" s="23"/>
      <c r="AD222" s="23"/>
      <c r="AE222" s="23"/>
      <c r="AF222" s="23"/>
      <c r="AG222" s="23"/>
      <c r="AL222" s="23"/>
      <c r="AM222" s="23"/>
      <c r="AN222" s="23"/>
      <c r="AO222" s="23"/>
      <c r="AP222" s="7"/>
      <c r="AT222" s="2"/>
    </row>
    <row r="223" spans="1:46">
      <c r="A223"/>
      <c r="V223" s="23"/>
      <c r="W223" s="23"/>
      <c r="X223" s="23"/>
      <c r="Y223" s="23"/>
      <c r="AD223" s="23"/>
      <c r="AE223" s="23"/>
      <c r="AF223" s="23"/>
      <c r="AG223" s="23"/>
      <c r="AL223" s="23"/>
      <c r="AM223" s="23"/>
      <c r="AN223" s="23"/>
      <c r="AO223" s="23"/>
      <c r="AP223" s="7"/>
      <c r="AT223" s="2"/>
    </row>
    <row r="224" spans="1:46">
      <c r="A224"/>
      <c r="V224" s="23"/>
      <c r="W224" s="23"/>
      <c r="X224" s="23"/>
      <c r="Y224" s="23"/>
      <c r="AD224" s="23"/>
      <c r="AE224" s="23"/>
      <c r="AF224" s="23"/>
      <c r="AG224" s="23"/>
      <c r="AL224" s="23"/>
      <c r="AM224" s="23"/>
      <c r="AN224" s="23"/>
      <c r="AO224" s="23"/>
      <c r="AP224" s="7"/>
      <c r="AT224" s="2"/>
    </row>
    <row r="225" spans="1:1">
      <c r="A225"/>
    </row>
    <row r="226" spans="1:1">
      <c r="A226"/>
    </row>
    <row r="227" spans="1:1">
      <c r="A227"/>
    </row>
    <row r="228" spans="1:1">
      <c r="A228"/>
    </row>
    <row r="229" spans="1:1">
      <c r="A229"/>
    </row>
    <row r="230" spans="1:1">
      <c r="A230"/>
    </row>
    <row r="231" spans="1:1">
      <c r="A231"/>
    </row>
    <row r="232" spans="1:1">
      <c r="A232"/>
    </row>
    <row r="233" spans="1:1">
      <c r="A233"/>
    </row>
    <row r="234" spans="1:1">
      <c r="A234"/>
    </row>
    <row r="235" spans="1:1">
      <c r="A235"/>
    </row>
    <row r="236" spans="1:1">
      <c r="A236"/>
    </row>
    <row r="237" spans="1:1">
      <c r="A237"/>
    </row>
    <row r="238" spans="1:1">
      <c r="A238"/>
    </row>
    <row r="239" spans="1:1">
      <c r="A239"/>
    </row>
    <row r="240" spans="1:1">
      <c r="A240"/>
    </row>
    <row r="241" spans="1:1">
      <c r="A241"/>
    </row>
    <row r="242" spans="1:1">
      <c r="A242"/>
    </row>
    <row r="243" spans="1:1">
      <c r="A243"/>
    </row>
    <row r="244" spans="1:1">
      <c r="A244"/>
    </row>
    <row r="245" spans="1:1">
      <c r="A245"/>
    </row>
    <row r="246" spans="1:1">
      <c r="A246"/>
    </row>
    <row r="247" spans="1:1">
      <c r="A247"/>
    </row>
    <row r="248" spans="1:1">
      <c r="A248"/>
    </row>
    <row r="249" spans="1:1">
      <c r="A249"/>
    </row>
    <row r="250" spans="1:1">
      <c r="A250"/>
    </row>
    <row r="251" spans="1:1">
      <c r="A251"/>
    </row>
    <row r="252" spans="1:1">
      <c r="A252"/>
    </row>
    <row r="253" spans="1:1">
      <c r="A253"/>
    </row>
    <row r="254" spans="1:1">
      <c r="A254"/>
    </row>
    <row r="255" spans="1:1">
      <c r="A255"/>
    </row>
    <row r="256" spans="1:1">
      <c r="A256"/>
    </row>
    <row r="257" spans="1:1">
      <c r="A257"/>
    </row>
    <row r="258" spans="1:1">
      <c r="A258"/>
    </row>
    <row r="259" spans="1:1">
      <c r="A259"/>
    </row>
    <row r="260" spans="1:1">
      <c r="A260"/>
    </row>
    <row r="261" spans="1:1">
      <c r="A261"/>
    </row>
    <row r="262" spans="1:1">
      <c r="A262"/>
    </row>
    <row r="263" spans="1:1">
      <c r="A263"/>
    </row>
    <row r="264" spans="1:1">
      <c r="A264"/>
    </row>
    <row r="265" spans="1:1">
      <c r="A265"/>
    </row>
    <row r="266" spans="1:1">
      <c r="A266"/>
    </row>
    <row r="267" spans="1:1">
      <c r="A267"/>
    </row>
    <row r="268" spans="1:1">
      <c r="A268"/>
    </row>
    <row r="269" spans="1:1">
      <c r="A269"/>
    </row>
    <row r="270" spans="1:1">
      <c r="A270"/>
    </row>
    <row r="271" spans="1:1">
      <c r="A271"/>
    </row>
    <row r="272" spans="1:1">
      <c r="A272"/>
    </row>
    <row r="273" spans="1:1">
      <c r="A273"/>
    </row>
    <row r="274" spans="1:1">
      <c r="A274"/>
    </row>
    <row r="275" spans="1:1">
      <c r="A275"/>
    </row>
    <row r="276" spans="1:1">
      <c r="A276"/>
    </row>
    <row r="277" spans="1:1">
      <c r="A277"/>
    </row>
    <row r="278" spans="1:1">
      <c r="A278"/>
    </row>
    <row r="279" spans="1:1">
      <c r="A279"/>
    </row>
    <row r="280" spans="1:1">
      <c r="A280"/>
    </row>
    <row r="281" spans="1:1">
      <c r="A281"/>
    </row>
    <row r="282" spans="1:1">
      <c r="A282"/>
    </row>
    <row r="283" spans="1:1">
      <c r="A283"/>
    </row>
    <row r="284" spans="1:1">
      <c r="A284"/>
    </row>
    <row r="285" spans="1:1">
      <c r="A285"/>
    </row>
    <row r="286" spans="1:1">
      <c r="A286"/>
    </row>
    <row r="287" spans="1:1">
      <c r="A287"/>
    </row>
    <row r="288" spans="1:1">
      <c r="A288"/>
    </row>
    <row r="289" spans="1:1">
      <c r="A289"/>
    </row>
    <row r="290" spans="1:1">
      <c r="A290"/>
    </row>
    <row r="291" spans="1:1">
      <c r="A291"/>
    </row>
    <row r="292" spans="1:1">
      <c r="A292"/>
    </row>
    <row r="293" spans="1:1">
      <c r="A293"/>
    </row>
    <row r="294" spans="1:1">
      <c r="A294"/>
    </row>
    <row r="295" spans="1:1">
      <c r="A295"/>
    </row>
    <row r="296" spans="1:1">
      <c r="A296"/>
    </row>
    <row r="297" spans="1:1">
      <c r="A297"/>
    </row>
    <row r="298" spans="1:1">
      <c r="A298"/>
    </row>
    <row r="299" spans="1:1">
      <c r="A299"/>
    </row>
    <row r="300" spans="1:1">
      <c r="A300"/>
    </row>
    <row r="301" spans="1:1">
      <c r="A301"/>
    </row>
    <row r="302" spans="1:1">
      <c r="A302"/>
    </row>
    <row r="303" spans="1:1">
      <c r="A303"/>
    </row>
    <row r="304" spans="1:1">
      <c r="A304"/>
    </row>
    <row r="305" spans="1:1">
      <c r="A305"/>
    </row>
    <row r="306" spans="1:1">
      <c r="A306"/>
    </row>
    <row r="307" spans="1:1">
      <c r="A307"/>
    </row>
    <row r="308" spans="1:1">
      <c r="A308"/>
    </row>
    <row r="309" spans="1:1">
      <c r="A309"/>
    </row>
    <row r="310" spans="1:1">
      <c r="A310"/>
    </row>
    <row r="311" spans="1:1">
      <c r="A311"/>
    </row>
    <row r="312" spans="1:1">
      <c r="A312"/>
    </row>
    <row r="313" spans="1:1">
      <c r="A313"/>
    </row>
    <row r="314" spans="1:1">
      <c r="A314"/>
    </row>
    <row r="315" spans="1:1">
      <c r="A315"/>
    </row>
    <row r="316" spans="1:1">
      <c r="A316"/>
    </row>
    <row r="317" spans="1:1">
      <c r="A317"/>
    </row>
    <row r="318" spans="1:1">
      <c r="A318"/>
    </row>
    <row r="319" spans="1:1">
      <c r="A319"/>
    </row>
    <row r="320" spans="1:1">
      <c r="A320"/>
    </row>
    <row r="321" spans="1:1">
      <c r="A321"/>
    </row>
    <row r="322" spans="1:1">
      <c r="A322"/>
    </row>
    <row r="323" spans="1:1">
      <c r="A323"/>
    </row>
    <row r="324" spans="1:1">
      <c r="A324"/>
    </row>
    <row r="325" spans="1:1">
      <c r="A325"/>
    </row>
    <row r="326" spans="1:1">
      <c r="A326"/>
    </row>
    <row r="327" spans="1:1">
      <c r="A327"/>
    </row>
    <row r="328" spans="1:1">
      <c r="A328"/>
    </row>
    <row r="329" spans="1:1">
      <c r="A329"/>
    </row>
    <row r="330" spans="1:1">
      <c r="A330"/>
    </row>
    <row r="331" spans="1:1">
      <c r="A331"/>
    </row>
    <row r="332" spans="1:1">
      <c r="A332"/>
    </row>
    <row r="333" spans="1:1">
      <c r="A333"/>
    </row>
    <row r="334" spans="1:1">
      <c r="A334"/>
    </row>
    <row r="335" spans="1:1">
      <c r="A335"/>
    </row>
    <row r="336" spans="1:1">
      <c r="A336"/>
    </row>
    <row r="337" spans="1:1">
      <c r="A337"/>
    </row>
    <row r="338" spans="1:1">
      <c r="A338"/>
    </row>
    <row r="339" spans="1:1">
      <c r="A339"/>
    </row>
    <row r="340" spans="1:1">
      <c r="A340"/>
    </row>
    <row r="341" spans="1:1">
      <c r="A341"/>
    </row>
    <row r="342" spans="1:1">
      <c r="A342"/>
    </row>
    <row r="343" spans="1:1">
      <c r="A343"/>
    </row>
    <row r="344" spans="1:1">
      <c r="A344"/>
    </row>
    <row r="345" spans="1:1">
      <c r="A345"/>
    </row>
    <row r="346" spans="1:1">
      <c r="A346"/>
    </row>
    <row r="347" spans="1:1">
      <c r="A347"/>
    </row>
    <row r="348" spans="1:1">
      <c r="A348"/>
    </row>
    <row r="349" spans="1:1">
      <c r="A349"/>
    </row>
    <row r="350" spans="1:1">
      <c r="A350"/>
    </row>
    <row r="351" spans="1:1">
      <c r="A351"/>
    </row>
    <row r="352" spans="1:1">
      <c r="A352"/>
    </row>
    <row r="353" spans="1:1">
      <c r="A353"/>
    </row>
    <row r="354" spans="1:1">
      <c r="A354"/>
    </row>
    <row r="355" spans="1:1">
      <c r="A355"/>
    </row>
    <row r="356" spans="1:1">
      <c r="A356"/>
    </row>
    <row r="357" spans="1:1">
      <c r="A357"/>
    </row>
    <row r="358" spans="1:1">
      <c r="A358"/>
    </row>
    <row r="359" spans="1:1">
      <c r="A359"/>
    </row>
    <row r="360" spans="1:1">
      <c r="A360"/>
    </row>
    <row r="361" spans="1:1">
      <c r="A361"/>
    </row>
    <row r="362" spans="1:1">
      <c r="A362"/>
    </row>
    <row r="363" spans="1:1">
      <c r="A363"/>
    </row>
    <row r="364" spans="1:1">
      <c r="A364"/>
    </row>
    <row r="365" spans="1:1">
      <c r="A365"/>
    </row>
    <row r="366" spans="1:1">
      <c r="A366"/>
    </row>
    <row r="367" spans="1:1">
      <c r="A367"/>
    </row>
    <row r="368" spans="1:1">
      <c r="A368"/>
    </row>
    <row r="369" spans="1:1">
      <c r="A369"/>
    </row>
    <row r="370" spans="1:1">
      <c r="A370"/>
    </row>
    <row r="371" spans="1:1">
      <c r="A371"/>
    </row>
    <row r="372" spans="1:1">
      <c r="A372"/>
    </row>
    <row r="373" spans="1:1">
      <c r="A373"/>
    </row>
    <row r="374" spans="1:1">
      <c r="A374"/>
    </row>
    <row r="375" spans="1:1">
      <c r="A375"/>
    </row>
    <row r="376" spans="1:1">
      <c r="A376"/>
    </row>
    <row r="377" spans="1:1">
      <c r="A377"/>
    </row>
    <row r="378" spans="1:1">
      <c r="A378"/>
    </row>
    <row r="379" spans="1:1">
      <c r="A379"/>
    </row>
    <row r="380" spans="1:1">
      <c r="A380"/>
    </row>
    <row r="381" spans="1:1">
      <c r="A381"/>
    </row>
    <row r="382" spans="1:1">
      <c r="A382"/>
    </row>
    <row r="383" spans="1:1">
      <c r="A383"/>
    </row>
    <row r="384" spans="1:1">
      <c r="A384"/>
    </row>
    <row r="385" spans="1:1">
      <c r="A385"/>
    </row>
    <row r="386" spans="1:1">
      <c r="A386"/>
    </row>
    <row r="387" spans="1:1">
      <c r="A387"/>
    </row>
    <row r="388" spans="1:1">
      <c r="A388"/>
    </row>
    <row r="389" spans="1:1">
      <c r="A389"/>
    </row>
    <row r="390" spans="1:1">
      <c r="A390"/>
    </row>
    <row r="391" spans="1:1">
      <c r="A391"/>
    </row>
    <row r="392" spans="1:1">
      <c r="A392"/>
    </row>
    <row r="393" spans="1:1">
      <c r="A393"/>
    </row>
    <row r="394" spans="1:1">
      <c r="A394"/>
    </row>
    <row r="395" spans="1:1">
      <c r="A395"/>
    </row>
    <row r="396" spans="1:1">
      <c r="A396"/>
    </row>
    <row r="397" spans="1:1">
      <c r="A397"/>
    </row>
    <row r="398" spans="1:1">
      <c r="A398"/>
    </row>
    <row r="399" spans="1:1">
      <c r="A399"/>
    </row>
    <row r="400" spans="1:1">
      <c r="A400"/>
    </row>
    <row r="401" spans="1:1">
      <c r="A401"/>
    </row>
    <row r="402" spans="1:1">
      <c r="A402"/>
    </row>
    <row r="403" spans="1:1">
      <c r="A403"/>
    </row>
    <row r="404" spans="1:1">
      <c r="A404"/>
    </row>
    <row r="405" spans="1:1">
      <c r="A405"/>
    </row>
    <row r="406" spans="1:1">
      <c r="A406"/>
    </row>
    <row r="407" spans="1:1">
      <c r="A407"/>
    </row>
    <row r="408" spans="1:1">
      <c r="A408"/>
    </row>
    <row r="409" spans="1:1">
      <c r="A409"/>
    </row>
    <row r="410" spans="1:1">
      <c r="A410"/>
    </row>
    <row r="411" spans="1:1">
      <c r="A411"/>
    </row>
    <row r="412" spans="1:1">
      <c r="A412"/>
    </row>
    <row r="413" spans="1:1">
      <c r="A413"/>
    </row>
    <row r="414" spans="1:1">
      <c r="A414"/>
    </row>
    <row r="415" spans="1:1">
      <c r="A415"/>
    </row>
    <row r="416" spans="1:1">
      <c r="A416"/>
    </row>
    <row r="417" spans="1:1">
      <c r="A417"/>
    </row>
    <row r="418" spans="1:1">
      <c r="A418"/>
    </row>
    <row r="419" spans="1:1">
      <c r="A419"/>
    </row>
    <row r="420" spans="1:1">
      <c r="A420"/>
    </row>
    <row r="421" spans="1:1">
      <c r="A421"/>
    </row>
    <row r="422" spans="1:1">
      <c r="A422"/>
    </row>
    <row r="423" spans="1:1">
      <c r="A423"/>
    </row>
    <row r="424" spans="1:1">
      <c r="A424"/>
    </row>
    <row r="425" spans="1:1">
      <c r="A425"/>
    </row>
    <row r="426" spans="1:1">
      <c r="A426"/>
    </row>
    <row r="427" spans="1:1">
      <c r="A427"/>
    </row>
    <row r="428" spans="1:1">
      <c r="A428"/>
    </row>
    <row r="429" spans="1:1">
      <c r="A429"/>
    </row>
    <row r="430" spans="1:1">
      <c r="A430"/>
    </row>
    <row r="431" spans="1:1">
      <c r="A431"/>
    </row>
    <row r="432" spans="1:1">
      <c r="A432"/>
    </row>
    <row r="433" spans="1:1">
      <c r="A433"/>
    </row>
    <row r="434" spans="1:1">
      <c r="A434"/>
    </row>
    <row r="435" spans="1:1">
      <c r="A435"/>
    </row>
    <row r="436" spans="1:1">
      <c r="A436"/>
    </row>
    <row r="437" spans="1:1">
      <c r="A437"/>
    </row>
    <row r="438" spans="1:1">
      <c r="A438"/>
    </row>
    <row r="439" spans="1:1">
      <c r="A439"/>
    </row>
    <row r="440" spans="1:1">
      <c r="A440"/>
    </row>
    <row r="441" spans="1:1">
      <c r="A441"/>
    </row>
    <row r="442" spans="1:1">
      <c r="A442"/>
    </row>
    <row r="443" spans="1:1">
      <c r="A443"/>
    </row>
    <row r="444" spans="1:1">
      <c r="A444"/>
    </row>
    <row r="445" spans="1:1">
      <c r="A445"/>
    </row>
    <row r="446" spans="1:1">
      <c r="A446"/>
    </row>
    <row r="447" spans="1:1">
      <c r="A447"/>
    </row>
    <row r="448" spans="1:1">
      <c r="A448"/>
    </row>
    <row r="449" spans="1:1">
      <c r="A449"/>
    </row>
    <row r="450" spans="1:1">
      <c r="A450"/>
    </row>
    <row r="451" spans="1:1">
      <c r="A451"/>
    </row>
    <row r="452" spans="1:1">
      <c r="A452"/>
    </row>
    <row r="453" spans="1:1">
      <c r="A453"/>
    </row>
    <row r="454" spans="1:1">
      <c r="A454"/>
    </row>
    <row r="455" spans="1:1">
      <c r="A455"/>
    </row>
    <row r="456" spans="1:1">
      <c r="A456"/>
    </row>
    <row r="457" spans="1:1">
      <c r="A457"/>
    </row>
    <row r="458" spans="1:1">
      <c r="A458"/>
    </row>
    <row r="459" spans="1:1">
      <c r="A459"/>
    </row>
    <row r="460" spans="1:1">
      <c r="A460"/>
    </row>
    <row r="461" spans="1:1">
      <c r="A461"/>
    </row>
    <row r="462" spans="1:1">
      <c r="A462"/>
    </row>
    <row r="463" spans="1:1">
      <c r="A463"/>
    </row>
    <row r="464" spans="1:1">
      <c r="A464"/>
    </row>
    <row r="465" spans="1:1">
      <c r="A465"/>
    </row>
    <row r="466" spans="1:1">
      <c r="A466"/>
    </row>
    <row r="467" spans="1:1">
      <c r="A467"/>
    </row>
    <row r="468" spans="1:1">
      <c r="A468"/>
    </row>
    <row r="469" spans="1:1">
      <c r="A469"/>
    </row>
    <row r="470" spans="1:1">
      <c r="A470"/>
    </row>
    <row r="471" spans="1:1">
      <c r="A471"/>
    </row>
    <row r="472" spans="1:1">
      <c r="A472"/>
    </row>
    <row r="473" spans="1:1">
      <c r="A473"/>
    </row>
    <row r="474" spans="1:1">
      <c r="A474"/>
    </row>
    <row r="475" spans="1:1">
      <c r="A475"/>
    </row>
    <row r="476" spans="1:1">
      <c r="A476"/>
    </row>
    <row r="477" spans="1:1">
      <c r="A477"/>
    </row>
    <row r="478" spans="1:1">
      <c r="A478"/>
    </row>
    <row r="479" spans="1:1">
      <c r="A479"/>
    </row>
    <row r="480" spans="1:1">
      <c r="A480"/>
    </row>
    <row r="481" spans="1:1">
      <c r="A481"/>
    </row>
    <row r="482" spans="1:1">
      <c r="A482"/>
    </row>
    <row r="483" spans="1:1">
      <c r="A483"/>
    </row>
    <row r="484" spans="1:1">
      <c r="A484"/>
    </row>
    <row r="485" spans="1:1">
      <c r="A485"/>
    </row>
    <row r="486" spans="1:1">
      <c r="A486"/>
    </row>
    <row r="487" spans="1:1">
      <c r="A487"/>
    </row>
    <row r="488" spans="1:1">
      <c r="A488"/>
    </row>
    <row r="489" spans="1:1">
      <c r="A489"/>
    </row>
    <row r="490" spans="1:1">
      <c r="A490"/>
    </row>
    <row r="491" spans="1:1">
      <c r="A491"/>
    </row>
    <row r="492" spans="1:1">
      <c r="A492"/>
    </row>
    <row r="493" spans="1:1">
      <c r="A493"/>
    </row>
    <row r="494" spans="1:1">
      <c r="A494"/>
    </row>
    <row r="495" spans="1:1">
      <c r="A495"/>
    </row>
    <row r="496" spans="1:1">
      <c r="A496"/>
    </row>
    <row r="497" spans="1:1">
      <c r="A497"/>
    </row>
    <row r="498" spans="1:1">
      <c r="A498"/>
    </row>
    <row r="499" spans="1:1">
      <c r="A499"/>
    </row>
    <row r="500" spans="1:1">
      <c r="A500"/>
    </row>
    <row r="501" spans="1:1">
      <c r="A501"/>
    </row>
    <row r="502" spans="1:1">
      <c r="A502"/>
    </row>
    <row r="503" spans="1:1">
      <c r="A503"/>
    </row>
    <row r="504" spans="1:1">
      <c r="A504"/>
    </row>
    <row r="505" spans="1:1">
      <c r="A505"/>
    </row>
    <row r="506" spans="1:1">
      <c r="A506"/>
    </row>
    <row r="507" spans="1:1">
      <c r="A507"/>
    </row>
    <row r="508" spans="1:1">
      <c r="A508"/>
    </row>
    <row r="509" spans="1:1">
      <c r="A509"/>
    </row>
    <row r="510" spans="1:1">
      <c r="A510"/>
    </row>
    <row r="511" spans="1:1">
      <c r="A511"/>
    </row>
    <row r="512" spans="1:1">
      <c r="A512"/>
    </row>
    <row r="513" spans="1:1">
      <c r="A513"/>
    </row>
    <row r="514" spans="1:1">
      <c r="A514"/>
    </row>
    <row r="515" spans="1:1">
      <c r="A515"/>
    </row>
    <row r="516" spans="1:1">
      <c r="A516"/>
    </row>
    <row r="517" spans="1:1">
      <c r="A517"/>
    </row>
    <row r="518" spans="1:1">
      <c r="A518"/>
    </row>
    <row r="519" spans="1:1">
      <c r="A519"/>
    </row>
    <row r="520" spans="1:1">
      <c r="A520"/>
    </row>
    <row r="521" spans="1:1">
      <c r="A521"/>
    </row>
    <row r="522" spans="1:1">
      <c r="A522"/>
    </row>
    <row r="523" spans="1:1">
      <c r="A523"/>
    </row>
    <row r="524" spans="1:1">
      <c r="A524"/>
    </row>
    <row r="525" spans="1:1">
      <c r="A525"/>
    </row>
    <row r="526" spans="1:1">
      <c r="A526"/>
    </row>
    <row r="527" spans="1:1">
      <c r="A527"/>
    </row>
    <row r="528" spans="1:1">
      <c r="A528"/>
    </row>
    <row r="529" spans="1:1">
      <c r="A529"/>
    </row>
    <row r="530" spans="1:1">
      <c r="A530"/>
    </row>
    <row r="531" spans="1:1">
      <c r="A531"/>
    </row>
    <row r="532" spans="1:1">
      <c r="A532"/>
    </row>
    <row r="533" spans="1:1">
      <c r="A533"/>
    </row>
    <row r="534" spans="1:1">
      <c r="A534"/>
    </row>
    <row r="535" spans="1:1">
      <c r="A535"/>
    </row>
    <row r="536" spans="1:1">
      <c r="A536"/>
    </row>
    <row r="537" spans="1:1">
      <c r="A537"/>
    </row>
    <row r="538" spans="1:1">
      <c r="A538"/>
    </row>
    <row r="539" spans="1:1">
      <c r="A539"/>
    </row>
    <row r="540" spans="1:1">
      <c r="A540"/>
    </row>
    <row r="541" spans="1:1">
      <c r="A541"/>
    </row>
    <row r="542" spans="1:1">
      <c r="A542"/>
    </row>
    <row r="543" spans="1:1">
      <c r="A543"/>
    </row>
    <row r="544" spans="1:1">
      <c r="A544"/>
    </row>
    <row r="545" spans="1:1">
      <c r="A545"/>
    </row>
    <row r="546" spans="1:1">
      <c r="A546"/>
    </row>
    <row r="547" spans="1:1">
      <c r="A547"/>
    </row>
    <row r="548" spans="1:1">
      <c r="A548"/>
    </row>
    <row r="549" spans="1:1">
      <c r="A549"/>
    </row>
    <row r="550" spans="1:1">
      <c r="A550"/>
    </row>
    <row r="551" spans="1:1">
      <c r="A551"/>
    </row>
    <row r="552" spans="1:1">
      <c r="A552"/>
    </row>
    <row r="553" spans="1:1">
      <c r="A553"/>
    </row>
    <row r="554" spans="1:1">
      <c r="A554"/>
    </row>
    <row r="555" spans="1:1">
      <c r="A555"/>
    </row>
    <row r="556" spans="1:1">
      <c r="A556"/>
    </row>
    <row r="557" spans="1:1">
      <c r="A557"/>
    </row>
    <row r="558" spans="1:1">
      <c r="A558"/>
    </row>
    <row r="559" spans="1:1">
      <c r="A559"/>
    </row>
    <row r="560" spans="1:1">
      <c r="A560"/>
    </row>
    <row r="561" spans="1:1">
      <c r="A561"/>
    </row>
    <row r="562" spans="1:1">
      <c r="A562"/>
    </row>
    <row r="563" spans="1:1">
      <c r="A563"/>
    </row>
    <row r="564" spans="1:1">
      <c r="A564"/>
    </row>
    <row r="565" spans="1:1">
      <c r="A565"/>
    </row>
    <row r="566" spans="1:1">
      <c r="A566"/>
    </row>
    <row r="567" spans="1:1">
      <c r="A567"/>
    </row>
    <row r="568" spans="1:1">
      <c r="A568"/>
    </row>
    <row r="569" spans="1:1">
      <c r="A569"/>
    </row>
    <row r="570" spans="1:1">
      <c r="A570"/>
    </row>
    <row r="571" spans="1:1">
      <c r="A571"/>
    </row>
    <row r="572" spans="1:1">
      <c r="A572"/>
    </row>
    <row r="573" spans="1:1">
      <c r="A573"/>
    </row>
    <row r="574" spans="1:1">
      <c r="A574"/>
    </row>
    <row r="575" spans="1:1">
      <c r="A575"/>
    </row>
    <row r="576" spans="1:1">
      <c r="A576"/>
    </row>
    <row r="577" spans="1:1">
      <c r="A577"/>
    </row>
    <row r="578" spans="1:1">
      <c r="A578"/>
    </row>
    <row r="579" spans="1:1">
      <c r="A579"/>
    </row>
    <row r="580" spans="1:1">
      <c r="A580"/>
    </row>
    <row r="581" spans="1:1">
      <c r="A581"/>
    </row>
    <row r="582" spans="1:1">
      <c r="A582"/>
    </row>
    <row r="583" spans="1:1">
      <c r="A583"/>
    </row>
    <row r="584" spans="1:1">
      <c r="A584"/>
    </row>
    <row r="585" spans="1:1">
      <c r="A585"/>
    </row>
    <row r="586" spans="1:1">
      <c r="A586"/>
    </row>
    <row r="587" spans="1:1">
      <c r="A587"/>
    </row>
    <row r="588" spans="1:1">
      <c r="A588"/>
    </row>
    <row r="589" spans="1:1">
      <c r="A589"/>
    </row>
    <row r="590" spans="1:1">
      <c r="A590"/>
    </row>
    <row r="591" spans="1:1">
      <c r="A591"/>
    </row>
    <row r="592" spans="1:1">
      <c r="A592"/>
    </row>
    <row r="593" spans="1:1">
      <c r="A593"/>
    </row>
    <row r="594" spans="1:1">
      <c r="A594"/>
    </row>
    <row r="595" spans="1:1">
      <c r="A595"/>
    </row>
    <row r="596" spans="1:1">
      <c r="A596"/>
    </row>
    <row r="597" spans="1:1">
      <c r="A597"/>
    </row>
    <row r="598" spans="1:1">
      <c r="A598"/>
    </row>
    <row r="599" spans="1:1">
      <c r="A599"/>
    </row>
    <row r="600" spans="1:1">
      <c r="A600"/>
    </row>
    <row r="601" spans="1:1">
      <c r="A601"/>
    </row>
    <row r="602" spans="1:1">
      <c r="A602"/>
    </row>
    <row r="603" spans="1:1">
      <c r="A603"/>
    </row>
    <row r="604" spans="1:1">
      <c r="A604"/>
    </row>
    <row r="605" spans="1:1">
      <c r="A605"/>
    </row>
    <row r="606" spans="1:1">
      <c r="A606"/>
    </row>
    <row r="607" spans="1:1">
      <c r="A607"/>
    </row>
    <row r="608" spans="1:1">
      <c r="A608"/>
    </row>
    <row r="609" spans="1:1">
      <c r="A609"/>
    </row>
    <row r="610" spans="1:1">
      <c r="A610"/>
    </row>
    <row r="611" spans="1:1">
      <c r="A611"/>
    </row>
    <row r="612" spans="1:1">
      <c r="A612"/>
    </row>
    <row r="613" spans="1:1">
      <c r="A613"/>
    </row>
    <row r="614" spans="1:1">
      <c r="A614"/>
    </row>
    <row r="615" spans="1:1">
      <c r="A615"/>
    </row>
    <row r="616" spans="1:1">
      <c r="A616"/>
    </row>
    <row r="617" spans="1:1">
      <c r="A617"/>
    </row>
    <row r="618" spans="1:1">
      <c r="A618"/>
    </row>
    <row r="619" spans="1:1">
      <c r="A619"/>
    </row>
    <row r="620" spans="1:1">
      <c r="A620"/>
    </row>
    <row r="621" spans="1:1">
      <c r="A621"/>
    </row>
    <row r="622" spans="1:1">
      <c r="A622"/>
    </row>
    <row r="623" spans="1:1">
      <c r="A623"/>
    </row>
    <row r="624" spans="1:1">
      <c r="A624"/>
    </row>
    <row r="625" spans="1:1">
      <c r="A625"/>
    </row>
    <row r="626" spans="1:1">
      <c r="A626"/>
    </row>
    <row r="627" spans="1:1">
      <c r="A627"/>
    </row>
    <row r="628" spans="1:1">
      <c r="A628"/>
    </row>
    <row r="629" spans="1:1">
      <c r="A629"/>
    </row>
    <row r="630" spans="1:1">
      <c r="A630"/>
    </row>
    <row r="631" spans="1:1">
      <c r="A631"/>
    </row>
    <row r="632" spans="1:1">
      <c r="A632"/>
    </row>
    <row r="633" spans="1:1">
      <c r="A633"/>
    </row>
    <row r="634" spans="1:1">
      <c r="A634"/>
    </row>
    <row r="635" spans="1:1">
      <c r="A635"/>
    </row>
    <row r="636" spans="1:1">
      <c r="A636"/>
    </row>
    <row r="637" spans="1:1">
      <c r="A637"/>
    </row>
    <row r="638" spans="1:1">
      <c r="A638"/>
    </row>
    <row r="639" spans="1:1">
      <c r="A639"/>
    </row>
    <row r="640" spans="1:1">
      <c r="A640"/>
    </row>
    <row r="641" spans="1:1">
      <c r="A641"/>
    </row>
    <row r="642" spans="1:1">
      <c r="A642"/>
    </row>
    <row r="643" spans="1:1">
      <c r="A643"/>
    </row>
    <row r="644" spans="1:1">
      <c r="A644"/>
    </row>
    <row r="645" spans="1:1">
      <c r="A645"/>
    </row>
    <row r="646" spans="1:1">
      <c r="A646"/>
    </row>
    <row r="647" spans="1:1">
      <c r="A647"/>
    </row>
    <row r="648" spans="1:1">
      <c r="A648"/>
    </row>
    <row r="649" spans="1:1">
      <c r="A649"/>
    </row>
    <row r="650" spans="1:1">
      <c r="A650"/>
    </row>
    <row r="651" spans="1:1">
      <c r="A651"/>
    </row>
    <row r="652" spans="1:1">
      <c r="A652"/>
    </row>
    <row r="653" spans="1:1">
      <c r="A653"/>
    </row>
    <row r="654" spans="1:1">
      <c r="A654"/>
    </row>
    <row r="655" spans="1:1">
      <c r="A655"/>
    </row>
    <row r="656" spans="1:1">
      <c r="A656"/>
    </row>
    <row r="657" spans="1:1">
      <c r="A657"/>
    </row>
    <row r="658" spans="1:1">
      <c r="A658"/>
    </row>
    <row r="659" spans="1:1">
      <c r="A659"/>
    </row>
    <row r="660" spans="1:1">
      <c r="A660"/>
    </row>
    <row r="661" spans="1:1">
      <c r="A661"/>
    </row>
    <row r="662" spans="1:1">
      <c r="A662"/>
    </row>
    <row r="663" spans="1:1">
      <c r="A663"/>
    </row>
    <row r="664" spans="1:1">
      <c r="A664"/>
    </row>
    <row r="665" spans="1:1">
      <c r="A665"/>
    </row>
    <row r="666" spans="1:1">
      <c r="A666"/>
    </row>
    <row r="667" spans="1:1">
      <c r="A667"/>
    </row>
    <row r="668" spans="1:1">
      <c r="A668"/>
    </row>
    <row r="669" spans="1:1">
      <c r="A669"/>
    </row>
    <row r="670" spans="1:1">
      <c r="A670"/>
    </row>
    <row r="671" spans="1:1">
      <c r="A671"/>
    </row>
    <row r="672" spans="1:1">
      <c r="A672"/>
    </row>
    <row r="673" spans="1:1">
      <c r="A673"/>
    </row>
    <row r="674" spans="1:1">
      <c r="A674"/>
    </row>
    <row r="675" spans="1:1">
      <c r="A675"/>
    </row>
    <row r="676" spans="1:1">
      <c r="A676"/>
    </row>
    <row r="677" spans="1:1">
      <c r="A677"/>
    </row>
    <row r="678" spans="1:1">
      <c r="A678"/>
    </row>
    <row r="679" spans="1:1">
      <c r="A679"/>
    </row>
    <row r="680" spans="1:1">
      <c r="A680"/>
    </row>
    <row r="681" spans="1:1">
      <c r="A681"/>
    </row>
    <row r="682" spans="1:1">
      <c r="A682"/>
    </row>
    <row r="683" spans="1:1">
      <c r="A683"/>
    </row>
    <row r="684" spans="1:1">
      <c r="A684"/>
    </row>
    <row r="685" spans="1:1">
      <c r="A685"/>
    </row>
    <row r="686" spans="1:1">
      <c r="A686"/>
    </row>
    <row r="687" spans="1:1">
      <c r="A687"/>
    </row>
    <row r="688" spans="1:1">
      <c r="A688"/>
    </row>
    <row r="689" spans="1:1">
      <c r="A689"/>
    </row>
    <row r="690" spans="1:1">
      <c r="A690"/>
    </row>
    <row r="691" spans="1:1">
      <c r="A691"/>
    </row>
    <row r="692" spans="1:1">
      <c r="A692"/>
    </row>
    <row r="693" spans="1:1">
      <c r="A693"/>
    </row>
    <row r="694" spans="1:1">
      <c r="A694"/>
    </row>
    <row r="695" spans="1:1">
      <c r="A695"/>
    </row>
    <row r="696" spans="1:1">
      <c r="A696"/>
    </row>
    <row r="697" spans="1:1">
      <c r="A697"/>
    </row>
    <row r="698" spans="1:1">
      <c r="A698"/>
    </row>
    <row r="699" spans="1:1">
      <c r="A699"/>
    </row>
    <row r="700" spans="1:1">
      <c r="A700"/>
    </row>
    <row r="701" spans="1:1">
      <c r="A701"/>
    </row>
    <row r="702" spans="1:1">
      <c r="A702"/>
    </row>
    <row r="703" spans="1:1">
      <c r="A703"/>
    </row>
    <row r="704" spans="1:1">
      <c r="A704"/>
    </row>
    <row r="705" spans="1:1">
      <c r="A705"/>
    </row>
    <row r="706" spans="1:1">
      <c r="A706"/>
    </row>
    <row r="707" spans="1:1">
      <c r="A707"/>
    </row>
    <row r="708" spans="1:1">
      <c r="A708"/>
    </row>
    <row r="709" spans="1:1">
      <c r="A709"/>
    </row>
    <row r="710" spans="1:1">
      <c r="A710"/>
    </row>
    <row r="711" spans="1:1">
      <c r="A711"/>
    </row>
    <row r="712" spans="1:1">
      <c r="A712"/>
    </row>
    <row r="713" spans="1:1">
      <c r="A713"/>
    </row>
    <row r="714" spans="1:1">
      <c r="A714"/>
    </row>
    <row r="715" spans="1:1">
      <c r="A715"/>
    </row>
    <row r="716" spans="1:1">
      <c r="A716"/>
    </row>
    <row r="717" spans="1:1">
      <c r="A717"/>
    </row>
    <row r="718" spans="1:1">
      <c r="A718"/>
    </row>
    <row r="719" spans="1:1">
      <c r="A719"/>
    </row>
    <row r="720" spans="1:1">
      <c r="A720"/>
    </row>
    <row r="721" spans="1:1">
      <c r="A721"/>
    </row>
    <row r="722" spans="1:1">
      <c r="A722"/>
    </row>
    <row r="723" spans="1:1">
      <c r="A723"/>
    </row>
    <row r="724" spans="1:1">
      <c r="A724"/>
    </row>
    <row r="725" spans="1:1">
      <c r="A725"/>
    </row>
    <row r="726" spans="1:1">
      <c r="A726"/>
    </row>
    <row r="727" spans="1:1">
      <c r="A727"/>
    </row>
    <row r="728" spans="1:1">
      <c r="A728"/>
    </row>
    <row r="729" spans="1:1">
      <c r="A729"/>
    </row>
    <row r="730" spans="1:1">
      <c r="A730"/>
    </row>
    <row r="731" spans="1:1">
      <c r="A731"/>
    </row>
    <row r="732" spans="1:1">
      <c r="A732"/>
    </row>
    <row r="733" spans="1:1">
      <c r="A733"/>
    </row>
    <row r="734" spans="1:1">
      <c r="A734"/>
    </row>
    <row r="735" spans="1:1">
      <c r="A735"/>
    </row>
    <row r="736" spans="1:1">
      <c r="A736"/>
    </row>
    <row r="737" spans="1:1">
      <c r="A737"/>
    </row>
    <row r="738" spans="1:1">
      <c r="A738"/>
    </row>
    <row r="739" spans="1:1">
      <c r="A739"/>
    </row>
    <row r="740" spans="1:1">
      <c r="A740"/>
    </row>
    <row r="741" spans="1:1">
      <c r="A741"/>
    </row>
    <row r="742" spans="1:1">
      <c r="A742"/>
    </row>
    <row r="743" spans="1:1">
      <c r="A743"/>
    </row>
    <row r="744" spans="1:1">
      <c r="A744"/>
    </row>
    <row r="745" spans="1:1">
      <c r="A745"/>
    </row>
    <row r="746" spans="1:1">
      <c r="A746"/>
    </row>
    <row r="747" spans="1:1">
      <c r="A747"/>
    </row>
    <row r="748" spans="1:1">
      <c r="A748"/>
    </row>
    <row r="749" spans="1:1">
      <c r="A749"/>
    </row>
    <row r="750" spans="1:1">
      <c r="A750"/>
    </row>
    <row r="751" spans="1:1">
      <c r="A751"/>
    </row>
    <row r="752" spans="1:1">
      <c r="A752"/>
    </row>
    <row r="753" spans="1:1">
      <c r="A753"/>
    </row>
    <row r="754" spans="1:1">
      <c r="A754"/>
    </row>
    <row r="755" spans="1:1">
      <c r="A755"/>
    </row>
    <row r="756" spans="1:1">
      <c r="A756"/>
    </row>
    <row r="757" spans="1:1">
      <c r="A757"/>
    </row>
    <row r="758" spans="1:1">
      <c r="A758"/>
    </row>
    <row r="759" spans="1:1">
      <c r="A759"/>
    </row>
    <row r="760" spans="1:1">
      <c r="A760"/>
    </row>
    <row r="761" spans="1:1">
      <c r="A761"/>
    </row>
    <row r="762" spans="1:1">
      <c r="A762"/>
    </row>
    <row r="763" spans="1:1">
      <c r="A763"/>
    </row>
    <row r="764" spans="1:1">
      <c r="A764"/>
    </row>
    <row r="765" spans="1:1">
      <c r="A765"/>
    </row>
    <row r="766" spans="1:1">
      <c r="A766"/>
    </row>
    <row r="767" spans="1:1">
      <c r="A767"/>
    </row>
    <row r="768" spans="1:1">
      <c r="A768"/>
    </row>
    <row r="769" spans="1:1">
      <c r="A769"/>
    </row>
    <row r="770" spans="1:1">
      <c r="A770"/>
    </row>
    <row r="771" spans="1:1">
      <c r="A771"/>
    </row>
    <row r="772" spans="1:1">
      <c r="A772"/>
    </row>
    <row r="773" spans="1:1">
      <c r="A773"/>
    </row>
    <row r="774" spans="1:1">
      <c r="A774"/>
    </row>
    <row r="775" spans="1:1">
      <c r="A775"/>
    </row>
    <row r="776" spans="1:1">
      <c r="A776"/>
    </row>
    <row r="777" spans="1:1">
      <c r="A777"/>
    </row>
    <row r="778" spans="1:1">
      <c r="A778"/>
    </row>
    <row r="779" spans="1:1">
      <c r="A779"/>
    </row>
    <row r="780" spans="1:1">
      <c r="A780"/>
    </row>
    <row r="781" spans="1:1">
      <c r="A781"/>
    </row>
    <row r="782" spans="1:1">
      <c r="A782"/>
    </row>
    <row r="783" spans="1:1">
      <c r="A783"/>
    </row>
    <row r="784" spans="1:1">
      <c r="A784"/>
    </row>
    <row r="785" spans="1:1">
      <c r="A785"/>
    </row>
    <row r="786" spans="1:1">
      <c r="A786"/>
    </row>
    <row r="787" spans="1:1">
      <c r="A787"/>
    </row>
    <row r="788" spans="1:1">
      <c r="A788"/>
    </row>
    <row r="789" spans="1:1">
      <c r="A789"/>
    </row>
    <row r="790" spans="1:1">
      <c r="A790"/>
    </row>
    <row r="791" spans="1:1">
      <c r="A791"/>
    </row>
    <row r="792" spans="1:1">
      <c r="A792"/>
    </row>
    <row r="793" spans="1:1">
      <c r="A793"/>
    </row>
    <row r="794" spans="1:1">
      <c r="A794"/>
    </row>
    <row r="795" spans="1:1">
      <c r="A795"/>
    </row>
    <row r="796" spans="1:1">
      <c r="A796"/>
    </row>
    <row r="797" spans="1:1">
      <c r="A797"/>
    </row>
    <row r="798" spans="1:1">
      <c r="A798"/>
    </row>
    <row r="799" spans="1:1">
      <c r="A799"/>
    </row>
    <row r="800" spans="1:1">
      <c r="A800"/>
    </row>
    <row r="801" spans="1:1">
      <c r="A801"/>
    </row>
    <row r="802" spans="1:1">
      <c r="A802"/>
    </row>
    <row r="803" spans="1:1">
      <c r="A803"/>
    </row>
    <row r="804" spans="1:1">
      <c r="A804"/>
    </row>
    <row r="805" spans="1:1">
      <c r="A805"/>
    </row>
    <row r="806" spans="1:1">
      <c r="A806"/>
    </row>
    <row r="807" spans="1:1">
      <c r="A807"/>
    </row>
    <row r="808" spans="1:1">
      <c r="A808"/>
    </row>
    <row r="809" spans="1:1">
      <c r="A809"/>
    </row>
    <row r="810" spans="1:1">
      <c r="A810"/>
    </row>
    <row r="811" spans="1:1">
      <c r="A811"/>
    </row>
    <row r="812" spans="1:1">
      <c r="A812"/>
    </row>
    <row r="813" spans="1:1">
      <c r="A813"/>
    </row>
    <row r="814" spans="1:1">
      <c r="A814"/>
    </row>
    <row r="815" spans="1:1">
      <c r="A815"/>
    </row>
    <row r="816" spans="1:1">
      <c r="A816"/>
    </row>
    <row r="817" spans="1:1">
      <c r="A817"/>
    </row>
    <row r="818" spans="1:1">
      <c r="A818"/>
    </row>
    <row r="819" spans="1:1">
      <c r="A819"/>
    </row>
    <row r="820" spans="1:1">
      <c r="A820"/>
    </row>
    <row r="821" spans="1:1">
      <c r="A821"/>
    </row>
    <row r="822" spans="1:1">
      <c r="A822"/>
    </row>
    <row r="823" spans="1:1">
      <c r="A823"/>
    </row>
    <row r="824" spans="1:1">
      <c r="A824"/>
    </row>
    <row r="825" spans="1:1">
      <c r="A825"/>
    </row>
    <row r="826" spans="1:1">
      <c r="A826"/>
    </row>
    <row r="827" spans="1:1">
      <c r="A827"/>
    </row>
    <row r="828" spans="1:1">
      <c r="A828"/>
    </row>
    <row r="829" spans="1:1">
      <c r="A829"/>
    </row>
    <row r="830" spans="1:1">
      <c r="A830"/>
    </row>
    <row r="831" spans="1:1">
      <c r="A831"/>
    </row>
    <row r="832" spans="1:1">
      <c r="A832"/>
    </row>
    <row r="833" spans="1:1">
      <c r="A833"/>
    </row>
    <row r="834" spans="1:1">
      <c r="A834"/>
    </row>
    <row r="835" spans="1:1">
      <c r="A835"/>
    </row>
    <row r="836" spans="1:1">
      <c r="A836"/>
    </row>
    <row r="837" spans="1:1">
      <c r="A837"/>
    </row>
    <row r="838" spans="1:1">
      <c r="A838"/>
    </row>
    <row r="839" spans="1:1">
      <c r="A839"/>
    </row>
    <row r="840" spans="1:1">
      <c r="A840"/>
    </row>
    <row r="841" spans="1:1">
      <c r="A841"/>
    </row>
    <row r="842" spans="1:1">
      <c r="A842"/>
    </row>
    <row r="843" spans="1:1">
      <c r="A843"/>
    </row>
    <row r="844" spans="1:1">
      <c r="A844"/>
    </row>
    <row r="845" spans="1:1">
      <c r="A845"/>
    </row>
    <row r="846" spans="1:1">
      <c r="A846"/>
    </row>
    <row r="847" spans="1:1">
      <c r="A847"/>
    </row>
    <row r="848" spans="1:1">
      <c r="A848"/>
    </row>
    <row r="849" spans="1:1">
      <c r="A849"/>
    </row>
    <row r="850" spans="1:1">
      <c r="A850"/>
    </row>
    <row r="851" spans="1:1">
      <c r="A851"/>
    </row>
    <row r="852" spans="1:1">
      <c r="A852"/>
    </row>
    <row r="853" spans="1:1">
      <c r="A853"/>
    </row>
    <row r="854" spans="1:1">
      <c r="A854"/>
    </row>
    <row r="855" spans="1:1">
      <c r="A855"/>
    </row>
    <row r="856" spans="1:1">
      <c r="A856"/>
    </row>
    <row r="857" spans="1:1">
      <c r="A857"/>
    </row>
    <row r="858" spans="1:1">
      <c r="A858"/>
    </row>
    <row r="859" spans="1:1">
      <c r="A859"/>
    </row>
    <row r="860" spans="1:1">
      <c r="A860"/>
    </row>
    <row r="861" spans="1:1">
      <c r="A861"/>
    </row>
    <row r="862" spans="1:1">
      <c r="A862"/>
    </row>
    <row r="863" spans="1:1">
      <c r="A863"/>
    </row>
    <row r="864" spans="1:1">
      <c r="A864"/>
    </row>
    <row r="865" spans="1:1">
      <c r="A865"/>
    </row>
    <row r="866" spans="1:1">
      <c r="A866"/>
    </row>
    <row r="867" spans="1:1">
      <c r="A867"/>
    </row>
    <row r="868" spans="1:1">
      <c r="A868"/>
    </row>
    <row r="869" spans="1:1">
      <c r="A869"/>
    </row>
    <row r="870" spans="1:1">
      <c r="A870"/>
    </row>
    <row r="871" spans="1:1">
      <c r="A871"/>
    </row>
    <row r="872" spans="1:1">
      <c r="A872"/>
    </row>
    <row r="873" spans="1:1">
      <c r="A873"/>
    </row>
    <row r="874" spans="1:1">
      <c r="A874"/>
    </row>
    <row r="875" spans="1:1">
      <c r="A875"/>
    </row>
    <row r="876" spans="1:1">
      <c r="A876"/>
    </row>
    <row r="877" spans="1:1">
      <c r="A877"/>
    </row>
    <row r="878" spans="1:1">
      <c r="A878"/>
    </row>
    <row r="879" spans="1:1">
      <c r="A879"/>
    </row>
    <row r="880" spans="1:1">
      <c r="A880"/>
    </row>
    <row r="881" spans="1:1">
      <c r="A881"/>
    </row>
    <row r="882" spans="1:1">
      <c r="A882"/>
    </row>
    <row r="883" spans="1:1">
      <c r="A883"/>
    </row>
    <row r="884" spans="1:1">
      <c r="A884"/>
    </row>
    <row r="885" spans="1:1">
      <c r="A885"/>
    </row>
    <row r="886" spans="1:1">
      <c r="A886"/>
    </row>
    <row r="887" spans="1:1">
      <c r="A887"/>
    </row>
    <row r="888" spans="1:1">
      <c r="A888"/>
    </row>
    <row r="889" spans="1:1">
      <c r="A889"/>
    </row>
    <row r="890" spans="1:1">
      <c r="A890"/>
    </row>
    <row r="891" spans="1:1">
      <c r="A891"/>
    </row>
    <row r="892" spans="1:1">
      <c r="A892"/>
    </row>
    <row r="893" spans="1:1">
      <c r="A893"/>
    </row>
    <row r="894" spans="1:1">
      <c r="A894"/>
    </row>
    <row r="895" spans="1:1">
      <c r="A895"/>
    </row>
    <row r="896" spans="1:1">
      <c r="A896"/>
    </row>
    <row r="897" spans="1:1">
      <c r="A897"/>
    </row>
    <row r="898" spans="1:1">
      <c r="A898"/>
    </row>
    <row r="899" spans="1:1">
      <c r="A899"/>
    </row>
    <row r="900" spans="1:1">
      <c r="A900"/>
    </row>
    <row r="901" spans="1:1">
      <c r="A901"/>
    </row>
    <row r="902" spans="1:1">
      <c r="A902"/>
    </row>
    <row r="903" spans="1:1">
      <c r="A903"/>
    </row>
    <row r="904" spans="1:1">
      <c r="A904"/>
    </row>
    <row r="905" spans="1:1">
      <c r="A905"/>
    </row>
    <row r="906" spans="1:1">
      <c r="A906"/>
    </row>
    <row r="907" spans="1:1">
      <c r="A907"/>
    </row>
    <row r="908" spans="1:1">
      <c r="A908"/>
    </row>
    <row r="909" spans="1:1">
      <c r="A909"/>
    </row>
    <row r="910" spans="1:1">
      <c r="A910"/>
    </row>
    <row r="911" spans="1:1">
      <c r="A911"/>
    </row>
    <row r="912" spans="1:1">
      <c r="A912"/>
    </row>
    <row r="913" spans="1:1">
      <c r="A913"/>
    </row>
    <row r="914" spans="1:1">
      <c r="A914"/>
    </row>
    <row r="915" spans="1:1">
      <c r="A915"/>
    </row>
    <row r="916" spans="1:1">
      <c r="A916"/>
    </row>
    <row r="917" spans="1:1">
      <c r="A917"/>
    </row>
    <row r="918" spans="1:1">
      <c r="A918"/>
    </row>
    <row r="919" spans="1:1">
      <c r="A919"/>
    </row>
    <row r="920" spans="1:1">
      <c r="A920"/>
    </row>
    <row r="921" spans="1:1">
      <c r="A921"/>
    </row>
    <row r="922" spans="1:1">
      <c r="A922"/>
    </row>
    <row r="923" spans="1:1">
      <c r="A923"/>
    </row>
    <row r="924" spans="1:1">
      <c r="A924"/>
    </row>
    <row r="925" spans="1:1">
      <c r="A925"/>
    </row>
    <row r="926" spans="1:1">
      <c r="A926"/>
    </row>
    <row r="927" spans="1:1">
      <c r="A927"/>
    </row>
    <row r="928" spans="1:1">
      <c r="A928"/>
    </row>
    <row r="929" spans="1:1">
      <c r="A929"/>
    </row>
    <row r="930" spans="1:1">
      <c r="A930"/>
    </row>
    <row r="931" spans="1:1">
      <c r="A931"/>
    </row>
    <row r="932" spans="1:1">
      <c r="A932"/>
    </row>
    <row r="933" spans="1:1">
      <c r="A933"/>
    </row>
    <row r="934" spans="1:1">
      <c r="A934"/>
    </row>
    <row r="935" spans="1:1">
      <c r="A935"/>
    </row>
    <row r="936" spans="1:1">
      <c r="A936"/>
    </row>
    <row r="937" spans="1:1">
      <c r="A937"/>
    </row>
    <row r="938" spans="1:1">
      <c r="A938"/>
    </row>
    <row r="939" spans="1:1">
      <c r="A939"/>
    </row>
    <row r="940" spans="1:1">
      <c r="A940"/>
    </row>
    <row r="941" spans="1:1">
      <c r="A941"/>
    </row>
    <row r="942" spans="1:1">
      <c r="A942"/>
    </row>
    <row r="943" spans="1:1">
      <c r="A943"/>
    </row>
    <row r="944" spans="1:1">
      <c r="A944"/>
    </row>
    <row r="945" spans="1:1">
      <c r="A945"/>
    </row>
    <row r="946" spans="1:1">
      <c r="A946"/>
    </row>
    <row r="947" spans="1:1">
      <c r="A947"/>
    </row>
    <row r="948" spans="1:1">
      <c r="A948"/>
    </row>
    <row r="949" spans="1:1">
      <c r="A949"/>
    </row>
    <row r="950" spans="1:1">
      <c r="A950"/>
    </row>
    <row r="951" spans="1:1">
      <c r="A951"/>
    </row>
    <row r="952" spans="1:1">
      <c r="A952"/>
    </row>
    <row r="953" spans="1:1">
      <c r="A953"/>
    </row>
    <row r="954" spans="1:1">
      <c r="A954"/>
    </row>
    <row r="955" spans="1:1">
      <c r="A955"/>
    </row>
    <row r="956" spans="1:1">
      <c r="A956"/>
    </row>
    <row r="957" spans="1:1">
      <c r="A957"/>
    </row>
    <row r="958" spans="1:1">
      <c r="A958"/>
    </row>
    <row r="959" spans="1:1">
      <c r="A959"/>
    </row>
    <row r="960" spans="1:1">
      <c r="A960"/>
    </row>
    <row r="961" spans="1:1">
      <c r="A961"/>
    </row>
    <row r="962" spans="1:1">
      <c r="A962"/>
    </row>
    <row r="963" spans="1:1">
      <c r="A963"/>
    </row>
    <row r="964" spans="1:1">
      <c r="A964"/>
    </row>
    <row r="965" spans="1:1">
      <c r="A965"/>
    </row>
    <row r="966" spans="1:1">
      <c r="A966"/>
    </row>
    <row r="967" spans="1:1">
      <c r="A967"/>
    </row>
    <row r="968" spans="1:1">
      <c r="A968"/>
    </row>
    <row r="969" spans="1:1">
      <c r="A969"/>
    </row>
    <row r="970" spans="1:1">
      <c r="A970"/>
    </row>
    <row r="971" spans="1:1">
      <c r="A971"/>
    </row>
    <row r="972" spans="1:1">
      <c r="A972"/>
    </row>
    <row r="973" spans="1:1">
      <c r="A973"/>
    </row>
    <row r="974" spans="1:1">
      <c r="A974"/>
    </row>
    <row r="975" spans="1:1">
      <c r="A975"/>
    </row>
    <row r="976" spans="1:1">
      <c r="A976"/>
    </row>
    <row r="977" spans="1:1">
      <c r="A977"/>
    </row>
    <row r="978" spans="1:1">
      <c r="A978"/>
    </row>
    <row r="979" spans="1:1">
      <c r="A979"/>
    </row>
    <row r="980" spans="1:1">
      <c r="A980"/>
    </row>
    <row r="981" spans="1:1">
      <c r="A981"/>
    </row>
    <row r="982" spans="1:1">
      <c r="A982"/>
    </row>
    <row r="983" spans="1:1">
      <c r="A983"/>
    </row>
    <row r="984" spans="1:1">
      <c r="A984"/>
    </row>
    <row r="985" spans="1:1">
      <c r="A985"/>
    </row>
    <row r="986" spans="1:1">
      <c r="A986"/>
    </row>
    <row r="987" spans="1:1">
      <c r="A987"/>
    </row>
    <row r="988" spans="1:1">
      <c r="A988"/>
    </row>
    <row r="989" spans="1:1">
      <c r="A989"/>
    </row>
    <row r="990" spans="1:1">
      <c r="A990"/>
    </row>
    <row r="991" spans="1:1">
      <c r="A991"/>
    </row>
    <row r="992" spans="1:1">
      <c r="A992"/>
    </row>
    <row r="993" spans="1:1">
      <c r="A993"/>
    </row>
    <row r="994" spans="1:1">
      <c r="A994"/>
    </row>
    <row r="995" spans="1:1">
      <c r="A995"/>
    </row>
    <row r="996" spans="1:1">
      <c r="A996"/>
    </row>
    <row r="997" spans="1:1">
      <c r="A997"/>
    </row>
    <row r="998" spans="1:1">
      <c r="A998"/>
    </row>
    <row r="999" spans="1:1">
      <c r="A999"/>
    </row>
    <row r="1000" spans="1:1">
      <c r="A1000"/>
    </row>
    <row r="1001" spans="1:1">
      <c r="A1001"/>
    </row>
    <row r="1002" spans="1:1">
      <c r="A1002"/>
    </row>
    <row r="1003" spans="1:1">
      <c r="A1003"/>
    </row>
    <row r="1004" spans="1:1">
      <c r="A1004"/>
    </row>
    <row r="1005" spans="1:1">
      <c r="A1005"/>
    </row>
    <row r="1006" spans="1:1">
      <c r="A1006"/>
    </row>
    <row r="1007" spans="1:1">
      <c r="A1007"/>
    </row>
    <row r="1008" spans="1:1">
      <c r="A1008"/>
    </row>
    <row r="1009" spans="1:1">
      <c r="A1009"/>
    </row>
    <row r="1010" spans="1:1">
      <c r="A1010"/>
    </row>
    <row r="1011" spans="1:1">
      <c r="A1011"/>
    </row>
    <row r="1012" spans="1:1">
      <c r="A1012"/>
    </row>
    <row r="1013" spans="1:1">
      <c r="A1013"/>
    </row>
    <row r="1014" spans="1:1">
      <c r="A1014"/>
    </row>
    <row r="1015" spans="1:1">
      <c r="A1015"/>
    </row>
    <row r="1016" spans="1:1">
      <c r="A1016"/>
    </row>
    <row r="1017" spans="1:1">
      <c r="A1017"/>
    </row>
    <row r="1018" spans="1:1">
      <c r="A1018"/>
    </row>
    <row r="1019" spans="1:1">
      <c r="A1019"/>
    </row>
    <row r="1020" spans="1:1">
      <c r="A1020"/>
    </row>
    <row r="1021" spans="1:1">
      <c r="A1021"/>
    </row>
    <row r="1022" spans="1:1">
      <c r="A1022"/>
    </row>
    <row r="1023" spans="1:1">
      <c r="A1023"/>
    </row>
    <row r="1024" spans="1:1">
      <c r="A1024"/>
    </row>
    <row r="1025" spans="1:1">
      <c r="A1025"/>
    </row>
    <row r="1026" spans="1:1">
      <c r="A1026"/>
    </row>
    <row r="1027" spans="1:1">
      <c r="A1027"/>
    </row>
    <row r="1028" spans="1:1">
      <c r="A1028"/>
    </row>
    <row r="1029" spans="1:1">
      <c r="A1029"/>
    </row>
    <row r="1030" spans="1:1">
      <c r="A1030"/>
    </row>
    <row r="1031" spans="1:1">
      <c r="A1031"/>
    </row>
    <row r="1032" spans="1:1">
      <c r="A1032"/>
    </row>
    <row r="1033" spans="1:1">
      <c r="A1033"/>
    </row>
    <row r="1034" spans="1:1">
      <c r="A1034"/>
    </row>
    <row r="1035" spans="1:1">
      <c r="A1035"/>
    </row>
    <row r="1036" spans="1:1">
      <c r="A1036"/>
    </row>
    <row r="1037" spans="1:1">
      <c r="A1037"/>
    </row>
    <row r="1038" spans="1:1">
      <c r="A1038"/>
    </row>
    <row r="1039" spans="1:1">
      <c r="A1039"/>
    </row>
    <row r="1040" spans="1:1">
      <c r="A1040"/>
    </row>
    <row r="1041" spans="1:1">
      <c r="A1041"/>
    </row>
    <row r="1042" spans="1:1">
      <c r="A1042"/>
    </row>
    <row r="1043" spans="1:1">
      <c r="A1043"/>
    </row>
    <row r="1044" spans="1:1">
      <c r="A1044"/>
    </row>
    <row r="1045" spans="1:1">
      <c r="A1045"/>
    </row>
    <row r="1046" spans="1:1">
      <c r="A1046"/>
    </row>
    <row r="1047" spans="1:1">
      <c r="A1047"/>
    </row>
    <row r="1048" spans="1:1">
      <c r="A1048"/>
    </row>
    <row r="1049" spans="1:1">
      <c r="A1049"/>
    </row>
    <row r="1050" spans="1:1">
      <c r="A1050"/>
    </row>
    <row r="1051" spans="1:1">
      <c r="A1051"/>
    </row>
    <row r="1052" spans="1:1">
      <c r="A1052"/>
    </row>
    <row r="1053" spans="1:1">
      <c r="A1053"/>
    </row>
    <row r="1054" spans="1:1">
      <c r="A1054"/>
    </row>
    <row r="1055" spans="1:1">
      <c r="A1055"/>
    </row>
    <row r="1056" spans="1:1">
      <c r="A1056"/>
    </row>
    <row r="1057" spans="1:1">
      <c r="A1057"/>
    </row>
    <row r="1058" spans="1:1">
      <c r="A1058"/>
    </row>
    <row r="1059" spans="1:1">
      <c r="A1059"/>
    </row>
    <row r="1060" spans="1:1">
      <c r="A1060"/>
    </row>
    <row r="1061" spans="1:1">
      <c r="A1061"/>
    </row>
    <row r="1062" spans="1:1">
      <c r="A1062"/>
    </row>
    <row r="1063" spans="1:1">
      <c r="A1063"/>
    </row>
    <row r="1064" spans="1:1">
      <c r="A1064"/>
    </row>
    <row r="1065" spans="1:1">
      <c r="A1065"/>
    </row>
    <row r="1066" spans="1:1">
      <c r="A1066"/>
    </row>
    <row r="1067" spans="1:1">
      <c r="A1067"/>
    </row>
    <row r="1068" spans="1:1">
      <c r="A1068"/>
    </row>
    <row r="1069" spans="1:1">
      <c r="A1069"/>
    </row>
    <row r="1070" spans="1:1">
      <c r="A1070"/>
    </row>
    <row r="1071" spans="1:1">
      <c r="A1071"/>
    </row>
    <row r="1072" spans="1:1">
      <c r="A1072"/>
    </row>
    <row r="1073" spans="1:1">
      <c r="A1073"/>
    </row>
    <row r="1074" spans="1:1">
      <c r="A1074"/>
    </row>
    <row r="1075" spans="1:1">
      <c r="A1075"/>
    </row>
    <row r="1076" spans="1:1">
      <c r="A1076"/>
    </row>
    <row r="1077" spans="1:1">
      <c r="A1077"/>
    </row>
    <row r="1078" spans="1:1">
      <c r="A1078"/>
    </row>
    <row r="1079" spans="1:1">
      <c r="A1079"/>
    </row>
    <row r="1080" spans="1:1">
      <c r="A1080"/>
    </row>
    <row r="1081" spans="1:1">
      <c r="A1081"/>
    </row>
    <row r="1082" spans="1:1">
      <c r="A1082"/>
    </row>
    <row r="1083" spans="1:1">
      <c r="A1083"/>
    </row>
    <row r="1084" spans="1:1">
      <c r="A1084"/>
    </row>
    <row r="1085" spans="1:1">
      <c r="A1085"/>
    </row>
    <row r="1086" spans="1:1">
      <c r="A1086"/>
    </row>
    <row r="1087" spans="1:1">
      <c r="A1087"/>
    </row>
    <row r="1088" spans="1:1">
      <c r="A1088"/>
    </row>
    <row r="1089" spans="1:1">
      <c r="A1089"/>
    </row>
    <row r="1090" spans="1:1">
      <c r="A1090"/>
    </row>
    <row r="1091" spans="1:1">
      <c r="A1091"/>
    </row>
    <row r="1092" spans="1:1">
      <c r="A1092"/>
    </row>
    <row r="1093" spans="1:1">
      <c r="A1093"/>
    </row>
    <row r="1094" spans="1:1">
      <c r="A1094"/>
    </row>
    <row r="1095" spans="1:1">
      <c r="A1095"/>
    </row>
    <row r="1096" spans="1:1">
      <c r="A1096"/>
    </row>
    <row r="1097" spans="1:1">
      <c r="A1097"/>
    </row>
    <row r="1098" spans="1:1">
      <c r="A1098"/>
    </row>
    <row r="1099" spans="1:1">
      <c r="A1099"/>
    </row>
    <row r="1100" spans="1:1">
      <c r="A1100"/>
    </row>
    <row r="1101" spans="1:1">
      <c r="A1101"/>
    </row>
    <row r="1102" spans="1:1">
      <c r="A1102"/>
    </row>
    <row r="1103" spans="1:1">
      <c r="A1103"/>
    </row>
    <row r="1104" spans="1:1">
      <c r="A1104"/>
    </row>
    <row r="1105" spans="1:1">
      <c r="A1105"/>
    </row>
    <row r="1106" spans="1:1">
      <c r="A1106"/>
    </row>
    <row r="1107" spans="1:1">
      <c r="A1107"/>
    </row>
    <row r="1108" spans="1:1">
      <c r="A1108"/>
    </row>
    <row r="1109" spans="1:1">
      <c r="A1109"/>
    </row>
    <row r="1110" spans="1:1">
      <c r="A1110"/>
    </row>
    <row r="1111" spans="1:1">
      <c r="A1111"/>
    </row>
    <row r="1112" spans="1:1">
      <c r="A1112"/>
    </row>
    <row r="1113" spans="1:1">
      <c r="A1113"/>
    </row>
    <row r="1114" spans="1:1">
      <c r="A1114"/>
    </row>
    <row r="1115" spans="1:1">
      <c r="A1115"/>
    </row>
    <row r="1116" spans="1:1">
      <c r="A1116"/>
    </row>
    <row r="1117" spans="1:1">
      <c r="A1117"/>
    </row>
    <row r="1118" spans="1:1">
      <c r="A1118"/>
    </row>
    <row r="1119" spans="1:1">
      <c r="A1119"/>
    </row>
    <row r="1120" spans="1:1">
      <c r="A1120"/>
    </row>
    <row r="1121" spans="1:1">
      <c r="A1121"/>
    </row>
    <row r="1122" spans="1:1">
      <c r="A1122"/>
    </row>
    <row r="1123" spans="1:1">
      <c r="A1123"/>
    </row>
    <row r="1124" spans="1:1">
      <c r="A1124"/>
    </row>
    <row r="1125" spans="1:1">
      <c r="A1125"/>
    </row>
    <row r="1126" spans="1:1">
      <c r="A1126"/>
    </row>
    <row r="1127" spans="1:1">
      <c r="A1127"/>
    </row>
    <row r="1128" spans="1:1">
      <c r="A1128"/>
    </row>
    <row r="1129" spans="1:1">
      <c r="A1129"/>
    </row>
    <row r="1130" spans="1:1">
      <c r="A1130"/>
    </row>
    <row r="1131" spans="1:1">
      <c r="A1131"/>
    </row>
    <row r="1132" spans="1:1">
      <c r="A1132"/>
    </row>
    <row r="1133" spans="1:1">
      <c r="A1133"/>
    </row>
    <row r="1134" spans="1:1">
      <c r="A1134"/>
    </row>
    <row r="1135" spans="1:1">
      <c r="A1135"/>
    </row>
    <row r="1136" spans="1:1">
      <c r="A1136"/>
    </row>
    <row r="1137" spans="1:1">
      <c r="A1137"/>
    </row>
    <row r="1138" spans="1:1">
      <c r="A1138"/>
    </row>
    <row r="1139" spans="1:1">
      <c r="A1139"/>
    </row>
    <row r="1140" spans="1:1">
      <c r="A1140"/>
    </row>
    <row r="1141" spans="1:1">
      <c r="A1141"/>
    </row>
    <row r="1142" spans="1:1">
      <c r="A1142"/>
    </row>
    <row r="1143" spans="1:1">
      <c r="A1143"/>
    </row>
    <row r="1144" spans="1:1">
      <c r="A1144"/>
    </row>
    <row r="1145" spans="1:1">
      <c r="A1145"/>
    </row>
    <row r="1146" spans="1:1">
      <c r="A1146"/>
    </row>
    <row r="1147" spans="1:1">
      <c r="A1147"/>
    </row>
    <row r="1148" spans="1:1">
      <c r="A1148"/>
    </row>
    <row r="1149" spans="1:1">
      <c r="A1149"/>
    </row>
    <row r="1150" spans="1:1">
      <c r="A1150"/>
    </row>
    <row r="1151" spans="1:1">
      <c r="A1151"/>
    </row>
    <row r="1152" spans="1:1">
      <c r="A1152"/>
    </row>
    <row r="1153" spans="1:1">
      <c r="A1153"/>
    </row>
    <row r="1154" spans="1:1">
      <c r="A1154"/>
    </row>
    <row r="1155" spans="1:1">
      <c r="A1155"/>
    </row>
    <row r="1156" spans="1:1">
      <c r="A1156"/>
    </row>
    <row r="1157" spans="1:1">
      <c r="A1157"/>
    </row>
    <row r="1158" spans="1:1">
      <c r="A1158"/>
    </row>
    <row r="1159" spans="1:1">
      <c r="A1159"/>
    </row>
    <row r="1160" spans="1:1">
      <c r="A1160"/>
    </row>
    <row r="1161" spans="1:1">
      <c r="A1161"/>
    </row>
    <row r="1162" spans="1:1">
      <c r="A1162"/>
    </row>
    <row r="1163" spans="1:1">
      <c r="A1163"/>
    </row>
    <row r="1164" spans="1:1">
      <c r="A1164"/>
    </row>
    <row r="1165" spans="1:1">
      <c r="A1165"/>
    </row>
    <row r="1166" spans="1:1">
      <c r="A1166"/>
    </row>
    <row r="1167" spans="1:1">
      <c r="A1167"/>
    </row>
    <row r="1168" spans="1:1">
      <c r="A1168"/>
    </row>
    <row r="1169" spans="1:1">
      <c r="A1169"/>
    </row>
    <row r="1170" spans="1:1">
      <c r="A1170"/>
    </row>
    <row r="1171" spans="1:1">
      <c r="A1171"/>
    </row>
    <row r="1172" spans="1:1">
      <c r="A1172"/>
    </row>
    <row r="1173" spans="1:1">
      <c r="A1173"/>
    </row>
    <row r="1174" spans="1:1">
      <c r="A1174"/>
    </row>
    <row r="1175" spans="1:1">
      <c r="A1175"/>
    </row>
    <row r="1176" spans="1:1">
      <c r="A1176"/>
    </row>
    <row r="1177" spans="1:1">
      <c r="A1177"/>
    </row>
    <row r="1178" spans="1:1">
      <c r="A1178"/>
    </row>
    <row r="1179" spans="1:1">
      <c r="A1179"/>
    </row>
    <row r="1180" spans="1:1">
      <c r="A1180"/>
    </row>
    <row r="1181" spans="1:1">
      <c r="A1181"/>
    </row>
    <row r="1182" spans="1:1">
      <c r="A1182"/>
    </row>
    <row r="1183" spans="1:1">
      <c r="A1183"/>
    </row>
    <row r="1184" spans="1:1">
      <c r="A1184"/>
    </row>
    <row r="1185" spans="1:1">
      <c r="A1185"/>
    </row>
    <row r="1186" spans="1:1">
      <c r="A1186"/>
    </row>
    <row r="1187" spans="1:1">
      <c r="A1187"/>
    </row>
    <row r="1188" spans="1:1">
      <c r="A1188"/>
    </row>
    <row r="1189" spans="1:1">
      <c r="A1189"/>
    </row>
    <row r="1190" spans="1:1">
      <c r="A1190"/>
    </row>
    <row r="1191" spans="1:1">
      <c r="A1191"/>
    </row>
    <row r="1192" spans="1:1">
      <c r="A1192"/>
    </row>
    <row r="1193" spans="1:1">
      <c r="A1193"/>
    </row>
    <row r="1194" spans="1:1">
      <c r="A1194"/>
    </row>
    <row r="1195" spans="1:1">
      <c r="A1195"/>
    </row>
    <row r="1196" spans="1:1">
      <c r="A1196"/>
    </row>
    <row r="1197" spans="1:1">
      <c r="A1197"/>
    </row>
    <row r="1198" spans="1:1">
      <c r="A1198"/>
    </row>
    <row r="1199" spans="1:1">
      <c r="A1199"/>
    </row>
    <row r="1200" spans="1:1">
      <c r="A1200"/>
    </row>
    <row r="1201" spans="1:1">
      <c r="A1201"/>
    </row>
    <row r="1202" spans="1:1">
      <c r="A1202"/>
    </row>
    <row r="1203" spans="1:1">
      <c r="A1203"/>
    </row>
    <row r="1204" spans="1:1">
      <c r="A1204"/>
    </row>
    <row r="1205" spans="1:1">
      <c r="A1205"/>
    </row>
    <row r="1206" spans="1:1">
      <c r="A1206"/>
    </row>
    <row r="1207" spans="1:1">
      <c r="A1207"/>
    </row>
    <row r="1208" spans="1:1">
      <c r="A1208"/>
    </row>
    <row r="1209" spans="1:1">
      <c r="A1209"/>
    </row>
    <row r="1210" spans="1:1">
      <c r="A1210"/>
    </row>
    <row r="1211" spans="1:1">
      <c r="A1211"/>
    </row>
    <row r="1212" spans="1:1">
      <c r="A1212"/>
    </row>
    <row r="1213" spans="1:1">
      <c r="A1213"/>
    </row>
    <row r="1214" spans="1:1">
      <c r="A1214"/>
    </row>
    <row r="1215" spans="1:1">
      <c r="A1215"/>
    </row>
    <row r="1216" spans="1:1">
      <c r="A1216"/>
    </row>
    <row r="1217" spans="1:1">
      <c r="A1217"/>
    </row>
    <row r="1218" spans="1:1">
      <c r="A1218"/>
    </row>
    <row r="1219" spans="1:1">
      <c r="A1219"/>
    </row>
    <row r="1220" spans="1:1">
      <c r="A1220"/>
    </row>
    <row r="1221" spans="1:1">
      <c r="A1221"/>
    </row>
    <row r="1222" spans="1:1">
      <c r="A1222"/>
    </row>
    <row r="1223" spans="1:1">
      <c r="A1223"/>
    </row>
    <row r="1224" spans="1:1">
      <c r="A1224"/>
    </row>
    <row r="1225" spans="1:1">
      <c r="A1225"/>
    </row>
    <row r="1226" spans="1:1">
      <c r="A1226"/>
    </row>
    <row r="1227" spans="1:1">
      <c r="A1227"/>
    </row>
    <row r="1228" spans="1:1">
      <c r="A1228"/>
    </row>
    <row r="1229" spans="1:1">
      <c r="A1229"/>
    </row>
    <row r="1230" spans="1:1">
      <c r="A1230"/>
    </row>
    <row r="1231" spans="1:1">
      <c r="A1231"/>
    </row>
    <row r="1232" spans="1:1">
      <c r="A1232"/>
    </row>
    <row r="1233" spans="1:1">
      <c r="A1233"/>
    </row>
    <row r="1234" spans="1:1">
      <c r="A1234"/>
    </row>
    <row r="1235" spans="1:1">
      <c r="A1235"/>
    </row>
    <row r="1236" spans="1:1">
      <c r="A1236"/>
    </row>
    <row r="1237" spans="1:1">
      <c r="A1237"/>
    </row>
    <row r="1238" spans="1:1">
      <c r="A1238"/>
    </row>
    <row r="1239" spans="1:1">
      <c r="A1239"/>
    </row>
    <row r="1240" spans="1:1">
      <c r="A1240"/>
    </row>
    <row r="1241" spans="1:1">
      <c r="A1241"/>
    </row>
    <row r="1242" spans="1:1">
      <c r="A1242"/>
    </row>
    <row r="1243" spans="1:1">
      <c r="A1243"/>
    </row>
    <row r="1244" spans="1:1">
      <c r="A1244"/>
    </row>
    <row r="1245" spans="1:1">
      <c r="A1245"/>
    </row>
    <row r="1246" spans="1:1">
      <c r="A1246"/>
    </row>
    <row r="1247" spans="1:1">
      <c r="A1247"/>
    </row>
    <row r="1248" spans="1:1">
      <c r="A1248"/>
    </row>
    <row r="1249" spans="1:1">
      <c r="A1249"/>
    </row>
    <row r="1250" spans="1:1">
      <c r="A1250"/>
    </row>
    <row r="1251" spans="1:1">
      <c r="A1251"/>
    </row>
    <row r="1252" spans="1:1">
      <c r="A1252"/>
    </row>
    <row r="1253" spans="1:1">
      <c r="A1253"/>
    </row>
    <row r="1254" spans="1:1">
      <c r="A1254"/>
    </row>
    <row r="1255" spans="1:1">
      <c r="A1255"/>
    </row>
    <row r="1256" spans="1:1">
      <c r="A1256"/>
    </row>
    <row r="1257" spans="1:1">
      <c r="A1257"/>
    </row>
    <row r="1258" spans="1:1">
      <c r="A1258"/>
    </row>
    <row r="1259" spans="1:1">
      <c r="A1259"/>
    </row>
    <row r="1260" spans="1:1">
      <c r="A1260"/>
    </row>
    <row r="1261" spans="1:1">
      <c r="A1261"/>
    </row>
    <row r="1262" spans="1:1">
      <c r="A1262"/>
    </row>
    <row r="1263" spans="1:1">
      <c r="A1263"/>
    </row>
    <row r="1264" spans="1:1">
      <c r="A1264"/>
    </row>
    <row r="1265" spans="1:1">
      <c r="A1265"/>
    </row>
    <row r="1266" spans="1:1">
      <c r="A1266"/>
    </row>
    <row r="1267" spans="1:1">
      <c r="A1267"/>
    </row>
    <row r="1268" spans="1:1">
      <c r="A1268"/>
    </row>
    <row r="1269" spans="1:1">
      <c r="A1269"/>
    </row>
    <row r="1270" spans="1:1">
      <c r="A1270"/>
    </row>
    <row r="1271" spans="1:1">
      <c r="A1271"/>
    </row>
    <row r="1272" spans="1:1">
      <c r="A1272"/>
    </row>
    <row r="1273" spans="1:1">
      <c r="A1273"/>
    </row>
    <row r="1274" spans="1:1">
      <c r="A1274"/>
    </row>
    <row r="1275" spans="1:1">
      <c r="A1275"/>
    </row>
    <row r="1276" spans="1:1">
      <c r="A1276"/>
    </row>
    <row r="1277" spans="1:1">
      <c r="A1277"/>
    </row>
    <row r="1278" spans="1:1">
      <c r="A1278"/>
    </row>
    <row r="1279" spans="1:1">
      <c r="A1279"/>
    </row>
    <row r="1280" spans="1:1">
      <c r="A1280"/>
    </row>
    <row r="1281" spans="1:1">
      <c r="A1281"/>
    </row>
    <row r="1282" spans="1:1">
      <c r="A1282"/>
    </row>
    <row r="1283" spans="1:1">
      <c r="A1283"/>
    </row>
    <row r="1284" spans="1:1">
      <c r="A1284"/>
    </row>
    <row r="1285" spans="1:1">
      <c r="A1285"/>
    </row>
    <row r="1286" spans="1:1">
      <c r="A1286"/>
    </row>
    <row r="1287" spans="1:1">
      <c r="A1287"/>
    </row>
    <row r="1288" spans="1:1">
      <c r="A1288"/>
    </row>
    <row r="1289" spans="1:1">
      <c r="A1289"/>
    </row>
    <row r="1290" spans="1:1">
      <c r="A1290"/>
    </row>
    <row r="1291" spans="1:1">
      <c r="A1291"/>
    </row>
    <row r="1292" spans="1:1">
      <c r="A1292"/>
    </row>
    <row r="1293" spans="1:1">
      <c r="A1293"/>
    </row>
    <row r="1294" spans="1:1">
      <c r="A1294"/>
    </row>
    <row r="1295" spans="1:1">
      <c r="A1295"/>
    </row>
    <row r="1296" spans="1:1">
      <c r="A1296"/>
    </row>
    <row r="1297" spans="1:1">
      <c r="A1297"/>
    </row>
    <row r="1298" spans="1:1">
      <c r="A1298"/>
    </row>
    <row r="1299" spans="1:1">
      <c r="A1299"/>
    </row>
    <row r="1300" spans="1:1">
      <c r="A1300"/>
    </row>
    <row r="1301" spans="1:1">
      <c r="A1301"/>
    </row>
    <row r="1302" spans="1:1">
      <c r="A1302"/>
    </row>
    <row r="1303" spans="1:1">
      <c r="A1303"/>
    </row>
    <row r="1304" spans="1:1">
      <c r="A1304"/>
    </row>
    <row r="1305" spans="1:1">
      <c r="A1305"/>
    </row>
    <row r="1306" spans="1:1">
      <c r="A1306"/>
    </row>
    <row r="1307" spans="1:1">
      <c r="A1307"/>
    </row>
    <row r="1308" spans="1:1">
      <c r="A1308"/>
    </row>
    <row r="1309" spans="1:1">
      <c r="A1309"/>
    </row>
    <row r="1310" spans="1:1">
      <c r="A1310"/>
    </row>
    <row r="1311" spans="1:1">
      <c r="A1311"/>
    </row>
    <row r="1312" spans="1:1">
      <c r="A1312"/>
    </row>
    <row r="1313" spans="1:1">
      <c r="A1313"/>
    </row>
    <row r="1314" spans="1:1">
      <c r="A1314"/>
    </row>
    <row r="1315" spans="1:1">
      <c r="A1315"/>
    </row>
    <row r="1316" spans="1:1">
      <c r="A1316"/>
    </row>
    <row r="1317" spans="1:1">
      <c r="A1317"/>
    </row>
    <row r="1318" spans="1:1">
      <c r="A1318"/>
    </row>
    <row r="1319" spans="1:1">
      <c r="A1319"/>
    </row>
    <row r="1320" spans="1:1">
      <c r="A1320"/>
    </row>
    <row r="1321" spans="1:1">
      <c r="A1321"/>
    </row>
    <row r="1322" spans="1:1">
      <c r="A1322"/>
    </row>
    <row r="1323" spans="1:1">
      <c r="A1323"/>
    </row>
    <row r="1324" spans="1:1">
      <c r="A1324"/>
    </row>
    <row r="1325" spans="1:1">
      <c r="A1325"/>
    </row>
    <row r="1326" spans="1:1">
      <c r="A1326"/>
    </row>
    <row r="1327" spans="1:1">
      <c r="A1327"/>
    </row>
    <row r="1328" spans="1:1">
      <c r="A1328"/>
    </row>
    <row r="1329" spans="1:1">
      <c r="A1329"/>
    </row>
    <row r="1330" spans="1:1">
      <c r="A1330"/>
    </row>
    <row r="1331" spans="1:1">
      <c r="A1331"/>
    </row>
    <row r="1332" spans="1:1">
      <c r="A1332"/>
    </row>
    <row r="1333" spans="1:1">
      <c r="A1333"/>
    </row>
    <row r="1334" spans="1:1">
      <c r="A1334"/>
    </row>
    <row r="1335" spans="1:1">
      <c r="A1335"/>
    </row>
    <row r="1336" spans="1:1">
      <c r="A1336"/>
    </row>
    <row r="1337" spans="1:1">
      <c r="A1337"/>
    </row>
    <row r="1338" spans="1:1">
      <c r="A1338"/>
    </row>
    <row r="1339" spans="1:1">
      <c r="A1339"/>
    </row>
    <row r="1340" spans="1:1">
      <c r="A1340"/>
    </row>
    <row r="1341" spans="1:1">
      <c r="A1341"/>
    </row>
    <row r="1342" spans="1:1">
      <c r="A1342"/>
    </row>
    <row r="1343" spans="1:1">
      <c r="A1343"/>
    </row>
    <row r="1344" spans="1:1">
      <c r="A1344"/>
    </row>
    <row r="1345" spans="1:1">
      <c r="A1345"/>
    </row>
    <row r="1346" spans="1:1">
      <c r="A1346"/>
    </row>
    <row r="1347" spans="1:1">
      <c r="A1347"/>
    </row>
    <row r="1348" spans="1:1">
      <c r="A1348"/>
    </row>
    <row r="1349" spans="1:1">
      <c r="A1349"/>
    </row>
    <row r="1350" spans="1:1">
      <c r="A1350"/>
    </row>
    <row r="1351" spans="1:1">
      <c r="A1351"/>
    </row>
    <row r="1352" spans="1:1">
      <c r="A1352"/>
    </row>
    <row r="1353" spans="1:1">
      <c r="A1353"/>
    </row>
    <row r="1354" spans="1:1">
      <c r="A1354"/>
    </row>
    <row r="1355" spans="1:1">
      <c r="A1355"/>
    </row>
    <row r="1356" spans="1:1">
      <c r="A1356"/>
    </row>
    <row r="1357" spans="1:1">
      <c r="A1357"/>
    </row>
    <row r="1358" spans="1:1">
      <c r="A1358"/>
    </row>
    <row r="1359" spans="1:1">
      <c r="A1359"/>
    </row>
    <row r="1360" spans="1:1">
      <c r="A1360"/>
    </row>
    <row r="1361" spans="1:1">
      <c r="A1361"/>
    </row>
    <row r="1362" spans="1:1">
      <c r="A1362"/>
    </row>
    <row r="1363" spans="1:1">
      <c r="A1363"/>
    </row>
    <row r="1364" spans="1:1">
      <c r="A1364"/>
    </row>
    <row r="1365" spans="1:1">
      <c r="A1365"/>
    </row>
    <row r="1366" spans="1:1">
      <c r="A1366"/>
    </row>
    <row r="1367" spans="1:1">
      <c r="A1367"/>
    </row>
    <row r="1368" spans="1:1">
      <c r="A1368"/>
    </row>
    <row r="1369" spans="1:1">
      <c r="A1369"/>
    </row>
    <row r="1370" spans="1:1">
      <c r="A1370"/>
    </row>
    <row r="1371" spans="1:1">
      <c r="A1371"/>
    </row>
    <row r="1372" spans="1:1">
      <c r="A1372"/>
    </row>
    <row r="1373" spans="1:1">
      <c r="A1373"/>
    </row>
    <row r="1374" spans="1:1">
      <c r="A1374"/>
    </row>
    <row r="1375" spans="1:1">
      <c r="A1375"/>
    </row>
    <row r="1376" spans="1:1">
      <c r="A1376"/>
    </row>
    <row r="1377" spans="1:1">
      <c r="A1377"/>
    </row>
    <row r="1378" spans="1:1">
      <c r="A1378"/>
    </row>
    <row r="1379" spans="1:1">
      <c r="A1379"/>
    </row>
    <row r="1380" spans="1:1">
      <c r="A1380"/>
    </row>
    <row r="1381" spans="1:1">
      <c r="A1381"/>
    </row>
    <row r="1382" spans="1:1">
      <c r="A1382"/>
    </row>
    <row r="1383" spans="1:1">
      <c r="A1383"/>
    </row>
    <row r="1384" spans="1:1">
      <c r="A1384"/>
    </row>
    <row r="1385" spans="1:1">
      <c r="A1385"/>
    </row>
    <row r="1386" spans="1:1">
      <c r="A1386"/>
    </row>
    <row r="1387" spans="1:1">
      <c r="A1387"/>
    </row>
    <row r="1388" spans="1:1">
      <c r="A1388"/>
    </row>
    <row r="1389" spans="1:1">
      <c r="A1389"/>
    </row>
    <row r="1390" spans="1:1">
      <c r="A1390"/>
    </row>
    <row r="1391" spans="1:1">
      <c r="A1391"/>
    </row>
    <row r="1392" spans="1:1">
      <c r="A1392"/>
    </row>
    <row r="1393" spans="1:1">
      <c r="A1393"/>
    </row>
    <row r="1394" spans="1:1">
      <c r="A1394"/>
    </row>
    <row r="1395" spans="1:1">
      <c r="A1395"/>
    </row>
    <row r="1396" spans="1:1">
      <c r="A1396"/>
    </row>
    <row r="1397" spans="1:1">
      <c r="A1397"/>
    </row>
    <row r="1398" spans="1:1">
      <c r="A1398"/>
    </row>
    <row r="1399" spans="1:1">
      <c r="A1399"/>
    </row>
    <row r="1400" spans="1:1">
      <c r="A1400"/>
    </row>
    <row r="1401" spans="1:1">
      <c r="A1401"/>
    </row>
    <row r="1402" spans="1:1">
      <c r="A1402"/>
    </row>
    <row r="1403" spans="1:1">
      <c r="A1403"/>
    </row>
    <row r="1404" spans="1:1">
      <c r="A1404"/>
    </row>
    <row r="1405" spans="1:1">
      <c r="A1405"/>
    </row>
    <row r="1406" spans="1:1">
      <c r="A1406"/>
    </row>
    <row r="1407" spans="1:1">
      <c r="A1407"/>
    </row>
    <row r="1408" spans="1:1">
      <c r="A1408"/>
    </row>
    <row r="1409" spans="1:1">
      <c r="A1409"/>
    </row>
    <row r="1410" spans="1:1">
      <c r="A1410"/>
    </row>
    <row r="1411" spans="1:1">
      <c r="A1411"/>
    </row>
    <row r="1412" spans="1:1">
      <c r="A1412"/>
    </row>
    <row r="1413" spans="1:1">
      <c r="A1413"/>
    </row>
    <row r="1414" spans="1:1">
      <c r="A1414"/>
    </row>
    <row r="1415" spans="1:1">
      <c r="A1415"/>
    </row>
    <row r="1416" spans="1:1">
      <c r="A1416"/>
    </row>
    <row r="1417" spans="1:1">
      <c r="A1417"/>
    </row>
    <row r="1418" spans="1:1">
      <c r="A1418"/>
    </row>
    <row r="1419" spans="1:1">
      <c r="A1419"/>
    </row>
    <row r="1420" spans="1:1">
      <c r="A1420"/>
    </row>
    <row r="1421" spans="1:1">
      <c r="A1421"/>
    </row>
    <row r="1422" spans="1:1">
      <c r="A1422"/>
    </row>
    <row r="1423" spans="1:1">
      <c r="A1423"/>
    </row>
    <row r="1424" spans="1:1">
      <c r="A1424"/>
    </row>
    <row r="1425" spans="1:1">
      <c r="A1425"/>
    </row>
    <row r="1426" spans="1:1">
      <c r="A1426"/>
    </row>
    <row r="1427" spans="1:1">
      <c r="A1427"/>
    </row>
    <row r="1428" spans="1:1">
      <c r="A1428"/>
    </row>
    <row r="1429" spans="1:1">
      <c r="A1429"/>
    </row>
    <row r="1430" spans="1:1">
      <c r="A1430"/>
    </row>
    <row r="1431" spans="1:1">
      <c r="A1431"/>
    </row>
    <row r="1432" spans="1:1">
      <c r="A1432"/>
    </row>
    <row r="1433" spans="1:1">
      <c r="A1433"/>
    </row>
    <row r="1434" spans="1:1">
      <c r="A1434"/>
    </row>
    <row r="1435" spans="1:1">
      <c r="A1435"/>
    </row>
    <row r="1436" spans="1:1">
      <c r="A1436"/>
    </row>
    <row r="1437" spans="1:1">
      <c r="A1437"/>
    </row>
    <row r="1438" spans="1:1">
      <c r="A1438"/>
    </row>
    <row r="1439" spans="1:1">
      <c r="A1439"/>
    </row>
    <row r="1440" spans="1:1">
      <c r="A1440"/>
    </row>
    <row r="1441" spans="1:1">
      <c r="A1441"/>
    </row>
    <row r="1442" spans="1:1">
      <c r="A1442"/>
    </row>
    <row r="1443" spans="1:1">
      <c r="A1443"/>
    </row>
    <row r="1444" spans="1:1">
      <c r="A1444"/>
    </row>
    <row r="1445" spans="1:1">
      <c r="A1445"/>
    </row>
    <row r="1446" spans="1:1">
      <c r="A1446"/>
    </row>
    <row r="1447" spans="1:1">
      <c r="A1447"/>
    </row>
    <row r="1448" spans="1:1">
      <c r="A1448"/>
    </row>
    <row r="1449" spans="1:1">
      <c r="A1449"/>
    </row>
    <row r="1450" spans="1:1">
      <c r="A1450"/>
    </row>
    <row r="1451" spans="1:1">
      <c r="A1451"/>
    </row>
    <row r="1452" spans="1:1">
      <c r="A1452"/>
    </row>
    <row r="1453" spans="1:1">
      <c r="A1453"/>
    </row>
    <row r="1454" spans="1:1">
      <c r="A1454"/>
    </row>
    <row r="1455" spans="1:1">
      <c r="A1455"/>
    </row>
    <row r="1456" spans="1:1">
      <c r="A1456"/>
    </row>
    <row r="1457" spans="1:1">
      <c r="A1457"/>
    </row>
    <row r="1458" spans="1:1">
      <c r="A1458"/>
    </row>
    <row r="1459" spans="1:1">
      <c r="A1459"/>
    </row>
    <row r="1460" spans="1:1">
      <c r="A1460"/>
    </row>
    <row r="1461" spans="1:1">
      <c r="A1461"/>
    </row>
    <row r="1462" spans="1:1">
      <c r="A1462"/>
    </row>
    <row r="1463" spans="1:1">
      <c r="A1463"/>
    </row>
    <row r="1464" spans="1:1">
      <c r="A1464"/>
    </row>
    <row r="1465" spans="1:1">
      <c r="A1465"/>
    </row>
    <row r="1466" spans="1:1">
      <c r="A1466"/>
    </row>
    <row r="1467" spans="1:1">
      <c r="A1467"/>
    </row>
    <row r="1468" spans="1:1">
      <c r="A1468"/>
    </row>
    <row r="1469" spans="1:1">
      <c r="A1469"/>
    </row>
    <row r="1470" spans="1:1">
      <c r="A1470"/>
    </row>
    <row r="1471" spans="1:1">
      <c r="A1471"/>
    </row>
    <row r="1472" spans="1:1">
      <c r="A1472"/>
    </row>
    <row r="1473" spans="1:1">
      <c r="A1473"/>
    </row>
    <row r="1474" spans="1:1">
      <c r="A1474"/>
    </row>
    <row r="1475" spans="1:1">
      <c r="A1475"/>
    </row>
    <row r="1476" spans="1:1">
      <c r="A1476"/>
    </row>
    <row r="1477" spans="1:1">
      <c r="A1477"/>
    </row>
    <row r="1478" spans="1:1">
      <c r="A1478"/>
    </row>
    <row r="1479" spans="1:1">
      <c r="A1479"/>
    </row>
    <row r="1480" spans="1:1">
      <c r="A1480"/>
    </row>
    <row r="1481" spans="1:1">
      <c r="A1481"/>
    </row>
    <row r="1482" spans="1:1">
      <c r="A1482"/>
    </row>
    <row r="1483" spans="1:1">
      <c r="A1483"/>
    </row>
    <row r="1484" spans="1:1">
      <c r="A1484"/>
    </row>
    <row r="1485" spans="1:1">
      <c r="A1485"/>
    </row>
    <row r="1486" spans="1:1">
      <c r="A1486"/>
    </row>
    <row r="1487" spans="1:1">
      <c r="A1487"/>
    </row>
    <row r="1488" spans="1:1">
      <c r="A1488"/>
    </row>
    <row r="1489" spans="1:1">
      <c r="A1489"/>
    </row>
    <row r="1490" spans="1:1">
      <c r="A1490"/>
    </row>
    <row r="1491" spans="1:1">
      <c r="A1491"/>
    </row>
    <row r="1492" spans="1:1">
      <c r="A1492"/>
    </row>
    <row r="1493" spans="1:1">
      <c r="A1493"/>
    </row>
    <row r="1494" spans="1:1">
      <c r="A1494"/>
    </row>
    <row r="1495" spans="1:1">
      <c r="A1495"/>
    </row>
    <row r="1496" spans="1:1">
      <c r="A1496"/>
    </row>
    <row r="1497" spans="1:1">
      <c r="A1497"/>
    </row>
    <row r="1498" spans="1:1">
      <c r="A1498"/>
    </row>
    <row r="1499" spans="1:1">
      <c r="A1499"/>
    </row>
    <row r="1500" spans="1:1">
      <c r="A1500"/>
    </row>
    <row r="1501" spans="1:1">
      <c r="A1501"/>
    </row>
    <row r="1502" spans="1:1">
      <c r="A1502"/>
    </row>
    <row r="1503" spans="1:1">
      <c r="A1503"/>
    </row>
    <row r="1504" spans="1:1">
      <c r="A1504"/>
    </row>
    <row r="1505" spans="1:1">
      <c r="A1505"/>
    </row>
    <row r="1506" spans="1:1">
      <c r="A1506"/>
    </row>
    <row r="1507" spans="1:1">
      <c r="A1507"/>
    </row>
    <row r="1508" spans="1:1">
      <c r="A1508"/>
    </row>
    <row r="1509" spans="1:1">
      <c r="A1509"/>
    </row>
    <row r="1510" spans="1:1">
      <c r="A1510"/>
    </row>
    <row r="1511" spans="1:1">
      <c r="A1511"/>
    </row>
    <row r="1512" spans="1:1">
      <c r="A1512"/>
    </row>
    <row r="1513" spans="1:1">
      <c r="A1513"/>
    </row>
    <row r="1514" spans="1:1">
      <c r="A1514"/>
    </row>
    <row r="1515" spans="1:1">
      <c r="A1515"/>
    </row>
    <row r="1516" spans="1:1">
      <c r="A1516"/>
    </row>
    <row r="1517" spans="1:1">
      <c r="A1517"/>
    </row>
    <row r="1518" spans="1:1">
      <c r="A1518"/>
    </row>
    <row r="1519" spans="1:1">
      <c r="A1519"/>
    </row>
    <row r="1520" spans="1:1">
      <c r="A1520"/>
    </row>
    <row r="1521" spans="1:1">
      <c r="A1521"/>
    </row>
    <row r="1522" spans="1:1">
      <c r="A1522"/>
    </row>
    <row r="1523" spans="1:1">
      <c r="A1523"/>
    </row>
    <row r="1524" spans="1:1">
      <c r="A1524"/>
    </row>
    <row r="1525" spans="1:1">
      <c r="A1525"/>
    </row>
    <row r="1526" spans="1:1">
      <c r="A1526"/>
    </row>
    <row r="1527" spans="1:1">
      <c r="A1527"/>
    </row>
    <row r="1528" spans="1:1">
      <c r="A1528"/>
    </row>
    <row r="1529" spans="1:1">
      <c r="A1529"/>
    </row>
    <row r="1530" spans="1:1">
      <c r="A1530"/>
    </row>
    <row r="1531" spans="1:1">
      <c r="A1531"/>
    </row>
    <row r="1532" spans="1:1">
      <c r="A1532"/>
    </row>
    <row r="1533" spans="1:1">
      <c r="A1533"/>
    </row>
    <row r="1534" spans="1:1">
      <c r="A1534"/>
    </row>
    <row r="1535" spans="1:1">
      <c r="A1535"/>
    </row>
    <row r="1536" spans="1:1">
      <c r="A1536"/>
    </row>
    <row r="1537" spans="1:1">
      <c r="A1537"/>
    </row>
    <row r="1538" spans="1:1">
      <c r="A1538"/>
    </row>
    <row r="1539" spans="1:1">
      <c r="A1539"/>
    </row>
    <row r="1540" spans="1:1">
      <c r="A1540"/>
    </row>
    <row r="1541" spans="1:1">
      <c r="A1541"/>
    </row>
    <row r="1542" spans="1:1">
      <c r="A1542"/>
    </row>
    <row r="1543" spans="1:1">
      <c r="A1543"/>
    </row>
    <row r="1544" spans="1:1">
      <c r="A1544"/>
    </row>
    <row r="1545" spans="1:1">
      <c r="A1545"/>
    </row>
    <row r="1546" spans="1:1">
      <c r="A1546"/>
    </row>
    <row r="1547" spans="1:1">
      <c r="A1547"/>
    </row>
    <row r="1548" spans="1:1">
      <c r="A1548"/>
    </row>
    <row r="1549" spans="1:1">
      <c r="A1549"/>
    </row>
    <row r="1550" spans="1:1">
      <c r="A1550"/>
    </row>
    <row r="1551" spans="1:1">
      <c r="A1551"/>
    </row>
    <row r="1552" spans="1:1">
      <c r="A1552"/>
    </row>
    <row r="1553" spans="1:1">
      <c r="A1553"/>
    </row>
    <row r="1554" spans="1:1">
      <c r="A1554"/>
    </row>
    <row r="1555" spans="1:1">
      <c r="A1555"/>
    </row>
    <row r="1556" spans="1:1">
      <c r="A1556"/>
    </row>
    <row r="1557" spans="1:1">
      <c r="A1557"/>
    </row>
    <row r="1558" spans="1:1">
      <c r="A1558"/>
    </row>
    <row r="1559" spans="1:1">
      <c r="A1559"/>
    </row>
    <row r="1560" spans="1:1">
      <c r="A1560"/>
    </row>
    <row r="1561" spans="1:1">
      <c r="A1561"/>
    </row>
    <row r="1562" spans="1:1">
      <c r="A1562"/>
    </row>
    <row r="1563" spans="1:1">
      <c r="A1563"/>
    </row>
    <row r="1564" spans="1:1">
      <c r="A1564"/>
    </row>
    <row r="1565" spans="1:1">
      <c r="A1565"/>
    </row>
    <row r="1566" spans="1:1">
      <c r="A1566"/>
    </row>
    <row r="1567" spans="1:1">
      <c r="A1567"/>
    </row>
    <row r="1568" spans="1:1">
      <c r="A1568"/>
    </row>
    <row r="1569" spans="1:1">
      <c r="A1569"/>
    </row>
    <row r="1570" spans="1:1">
      <c r="A1570"/>
    </row>
    <row r="1571" spans="1:1">
      <c r="A1571"/>
    </row>
    <row r="1572" spans="1:1">
      <c r="A1572"/>
    </row>
    <row r="1573" spans="1:1">
      <c r="A1573"/>
    </row>
    <row r="1574" spans="1:1">
      <c r="A1574"/>
    </row>
    <row r="1575" spans="1:1">
      <c r="A1575"/>
    </row>
    <row r="1576" spans="1:1">
      <c r="A1576"/>
    </row>
    <row r="1577" spans="1:1">
      <c r="A1577"/>
    </row>
    <row r="1578" spans="1:1">
      <c r="A1578"/>
    </row>
    <row r="1579" spans="1:1">
      <c r="A1579"/>
    </row>
    <row r="1580" spans="1:1">
      <c r="A1580"/>
    </row>
    <row r="1581" spans="1:1">
      <c r="A1581"/>
    </row>
    <row r="1582" spans="1:1">
      <c r="A1582"/>
    </row>
    <row r="1583" spans="1:1">
      <c r="A1583"/>
    </row>
    <row r="1584" spans="1:1">
      <c r="A1584"/>
    </row>
    <row r="1585" spans="1:1">
      <c r="A1585"/>
    </row>
    <row r="1586" spans="1:1">
      <c r="A1586"/>
    </row>
    <row r="1587" spans="1:1">
      <c r="A1587"/>
    </row>
    <row r="1588" spans="1:1">
      <c r="A1588"/>
    </row>
    <row r="1589" spans="1:1">
      <c r="A1589"/>
    </row>
    <row r="1590" spans="1:1">
      <c r="A1590"/>
    </row>
    <row r="1591" spans="1:1">
      <c r="A1591"/>
    </row>
    <row r="1592" spans="1:1">
      <c r="A1592"/>
    </row>
    <row r="1593" spans="1:1">
      <c r="A1593"/>
    </row>
    <row r="1594" spans="1:1">
      <c r="A1594"/>
    </row>
    <row r="1595" spans="1:1">
      <c r="A1595"/>
    </row>
    <row r="1596" spans="1:1">
      <c r="A1596"/>
    </row>
    <row r="1597" spans="1:1">
      <c r="A1597"/>
    </row>
    <row r="1598" spans="1:1">
      <c r="A1598"/>
    </row>
    <row r="1599" spans="1:1">
      <c r="A1599"/>
    </row>
    <row r="1600" spans="1:1">
      <c r="A1600"/>
    </row>
    <row r="1601" spans="1:1">
      <c r="A1601"/>
    </row>
    <row r="1602" spans="1:1">
      <c r="A1602"/>
    </row>
    <row r="1603" spans="1:1">
      <c r="A1603"/>
    </row>
    <row r="1604" spans="1:1">
      <c r="A1604"/>
    </row>
    <row r="1605" spans="1:1">
      <c r="A1605"/>
    </row>
    <row r="1606" spans="1:1">
      <c r="A1606"/>
    </row>
    <row r="1607" spans="1:1">
      <c r="A1607"/>
    </row>
    <row r="1608" spans="1:1">
      <c r="A1608"/>
    </row>
    <row r="1609" spans="1:1">
      <c r="A1609"/>
    </row>
    <row r="1610" spans="1:1">
      <c r="A1610"/>
    </row>
    <row r="1611" spans="1:1">
      <c r="A1611"/>
    </row>
    <row r="1612" spans="1:1">
      <c r="A1612"/>
    </row>
    <row r="1613" spans="1:1">
      <c r="A1613"/>
    </row>
    <row r="1614" spans="1:1">
      <c r="A1614"/>
    </row>
    <row r="1615" spans="1:1">
      <c r="A1615"/>
    </row>
    <row r="1616" spans="1:1">
      <c r="A1616"/>
    </row>
    <row r="1617" spans="1:1">
      <c r="A1617"/>
    </row>
    <row r="1618" spans="1:1">
      <c r="A1618"/>
    </row>
    <row r="1619" spans="1:1">
      <c r="A1619"/>
    </row>
    <row r="1620" spans="1:1">
      <c r="A1620"/>
    </row>
    <row r="1621" spans="1:1">
      <c r="A1621"/>
    </row>
    <row r="1622" spans="1:1">
      <c r="A1622"/>
    </row>
    <row r="1623" spans="1:1">
      <c r="A1623"/>
    </row>
    <row r="1624" spans="1:1">
      <c r="A1624"/>
    </row>
    <row r="1625" spans="1:1">
      <c r="A1625"/>
    </row>
    <row r="1626" spans="1:1">
      <c r="A1626"/>
    </row>
    <row r="1627" spans="1:1">
      <c r="A1627"/>
    </row>
    <row r="1628" spans="1:1">
      <c r="A1628"/>
    </row>
    <row r="1629" spans="1:1">
      <c r="A1629"/>
    </row>
    <row r="1630" spans="1:1">
      <c r="A1630"/>
    </row>
    <row r="1631" spans="1:1">
      <c r="A1631"/>
    </row>
    <row r="1632" spans="1:1">
      <c r="A1632"/>
    </row>
    <row r="1633" spans="1:1">
      <c r="A1633"/>
    </row>
    <row r="1634" spans="1:1">
      <c r="A1634"/>
    </row>
    <row r="1635" spans="1:1">
      <c r="A1635"/>
    </row>
    <row r="1636" spans="1:1">
      <c r="A1636"/>
    </row>
    <row r="1637" spans="1:1">
      <c r="A1637"/>
    </row>
    <row r="1638" spans="1:1">
      <c r="A1638"/>
    </row>
    <row r="1639" spans="1:1">
      <c r="A1639"/>
    </row>
    <row r="1640" spans="1:1">
      <c r="A1640"/>
    </row>
    <row r="1641" spans="1:1">
      <c r="A1641"/>
    </row>
    <row r="1642" spans="1:1">
      <c r="A1642"/>
    </row>
    <row r="1643" spans="1:1">
      <c r="A1643"/>
    </row>
    <row r="1644" spans="1:1">
      <c r="A1644"/>
    </row>
    <row r="1645" spans="1:1">
      <c r="A1645"/>
    </row>
    <row r="1646" spans="1:1">
      <c r="A1646"/>
    </row>
    <row r="1647" spans="1:1">
      <c r="A1647"/>
    </row>
    <row r="1648" spans="1:1">
      <c r="A1648"/>
    </row>
    <row r="1649" spans="1:1">
      <c r="A1649"/>
    </row>
    <row r="1650" spans="1:1">
      <c r="A1650"/>
    </row>
    <row r="1651" spans="1:1">
      <c r="A1651"/>
    </row>
    <row r="1652" spans="1:1">
      <c r="A1652"/>
    </row>
    <row r="1653" spans="1:1">
      <c r="A1653"/>
    </row>
    <row r="1654" spans="1:1">
      <c r="A1654"/>
    </row>
    <row r="1655" spans="1:1">
      <c r="A1655"/>
    </row>
    <row r="1656" spans="1:1">
      <c r="A1656"/>
    </row>
    <row r="1657" spans="1:1">
      <c r="A1657"/>
    </row>
    <row r="1658" spans="1:1">
      <c r="A1658"/>
    </row>
    <row r="1659" spans="1:1">
      <c r="A1659"/>
    </row>
    <row r="1660" spans="1:1">
      <c r="A1660"/>
    </row>
    <row r="1661" spans="1:1">
      <c r="A1661"/>
    </row>
    <row r="1662" spans="1:1">
      <c r="A1662"/>
    </row>
    <row r="1663" spans="1:1">
      <c r="A1663"/>
    </row>
    <row r="1664" spans="1:1">
      <c r="A1664"/>
    </row>
    <row r="1665" spans="1:1">
      <c r="A1665"/>
    </row>
    <row r="1666" spans="1:1">
      <c r="A1666"/>
    </row>
    <row r="1667" spans="1:1">
      <c r="A1667"/>
    </row>
    <row r="1668" spans="1:1">
      <c r="A1668"/>
    </row>
    <row r="1669" spans="1:1">
      <c r="A1669"/>
    </row>
    <row r="1670" spans="1:1">
      <c r="A1670"/>
    </row>
    <row r="1671" spans="1:1">
      <c r="A1671"/>
    </row>
    <row r="1672" spans="1:1">
      <c r="A1672"/>
    </row>
    <row r="1673" spans="1:1">
      <c r="A1673"/>
    </row>
    <row r="1674" spans="1:1">
      <c r="A1674"/>
    </row>
    <row r="1675" spans="1:1">
      <c r="A1675"/>
    </row>
    <row r="1676" spans="1:1">
      <c r="A1676"/>
    </row>
    <row r="1677" spans="1:1">
      <c r="A1677"/>
    </row>
    <row r="1678" spans="1:1">
      <c r="A1678"/>
    </row>
    <row r="1679" spans="1:1">
      <c r="A1679"/>
    </row>
    <row r="1680" spans="1:1">
      <c r="A1680"/>
    </row>
    <row r="1681" spans="1:1">
      <c r="A1681"/>
    </row>
    <row r="1682" spans="1:1">
      <c r="A1682"/>
    </row>
    <row r="1683" spans="1:1">
      <c r="A1683"/>
    </row>
    <row r="1684" spans="1:1">
      <c r="A1684"/>
    </row>
    <row r="1685" spans="1:1">
      <c r="A1685"/>
    </row>
    <row r="1686" spans="1:1">
      <c r="A1686"/>
    </row>
    <row r="1687" spans="1:1">
      <c r="A1687"/>
    </row>
    <row r="1688" spans="1:1">
      <c r="A1688"/>
    </row>
    <row r="1689" spans="1:1">
      <c r="A1689"/>
    </row>
    <row r="1690" spans="1:1">
      <c r="A1690"/>
    </row>
    <row r="1691" spans="1:1">
      <c r="A1691"/>
    </row>
    <row r="1692" spans="1:1">
      <c r="A1692"/>
    </row>
    <row r="1693" spans="1:1">
      <c r="A1693"/>
    </row>
    <row r="1694" spans="1:1">
      <c r="A1694"/>
    </row>
    <row r="1695" spans="1:1">
      <c r="A1695"/>
    </row>
    <row r="1696" spans="1:1">
      <c r="A1696"/>
    </row>
    <row r="1697" spans="1:1">
      <c r="A1697"/>
    </row>
    <row r="1698" spans="1:1">
      <c r="A1698"/>
    </row>
    <row r="1699" spans="1:1">
      <c r="A1699"/>
    </row>
    <row r="1700" spans="1:1">
      <c r="A1700"/>
    </row>
    <row r="1701" spans="1:1">
      <c r="A1701"/>
    </row>
    <row r="1702" spans="1:1">
      <c r="A1702"/>
    </row>
    <row r="1703" spans="1:1">
      <c r="A1703"/>
    </row>
    <row r="1704" spans="1:1">
      <c r="A1704"/>
    </row>
    <row r="1705" spans="1:1">
      <c r="A1705"/>
    </row>
    <row r="1706" spans="1:1">
      <c r="A1706"/>
    </row>
    <row r="1707" spans="1:1">
      <c r="A1707"/>
    </row>
    <row r="1708" spans="1:1">
      <c r="A1708"/>
    </row>
    <row r="1709" spans="1:1">
      <c r="A1709"/>
    </row>
    <row r="1710" spans="1:1">
      <c r="A1710"/>
    </row>
    <row r="1711" spans="1:1">
      <c r="A1711"/>
    </row>
    <row r="1712" spans="1:1">
      <c r="A1712"/>
    </row>
    <row r="1713" spans="1:1">
      <c r="A1713"/>
    </row>
    <row r="1714" spans="1:1">
      <c r="A1714"/>
    </row>
    <row r="1715" spans="1:1">
      <c r="A1715"/>
    </row>
    <row r="1716" spans="1:1">
      <c r="A1716"/>
    </row>
    <row r="1717" spans="1:1">
      <c r="A1717"/>
    </row>
    <row r="1718" spans="1:1">
      <c r="A1718"/>
    </row>
    <row r="1719" spans="1:1">
      <c r="A1719"/>
    </row>
    <row r="1720" spans="1:1">
      <c r="A1720"/>
    </row>
    <row r="1721" spans="1:1">
      <c r="A1721"/>
    </row>
    <row r="1722" spans="1:1">
      <c r="A1722"/>
    </row>
    <row r="1723" spans="1:1">
      <c r="A1723"/>
    </row>
    <row r="1724" spans="1:1">
      <c r="A1724"/>
    </row>
    <row r="1725" spans="1:1">
      <c r="A1725"/>
    </row>
    <row r="1726" spans="1:1">
      <c r="A1726"/>
    </row>
    <row r="1727" spans="1:1">
      <c r="A1727"/>
    </row>
    <row r="1728" spans="1:1">
      <c r="A1728"/>
    </row>
    <row r="1729" spans="1:1">
      <c r="A1729"/>
    </row>
    <row r="1730" spans="1:1">
      <c r="A1730"/>
    </row>
    <row r="1731" spans="1:1">
      <c r="A1731"/>
    </row>
    <row r="1732" spans="1:1">
      <c r="A1732"/>
    </row>
    <row r="1733" spans="1:1">
      <c r="A1733"/>
    </row>
    <row r="1734" spans="1:1">
      <c r="A1734"/>
    </row>
    <row r="1735" spans="1:1">
      <c r="A1735"/>
    </row>
    <row r="1736" spans="1:1">
      <c r="A1736"/>
    </row>
    <row r="1737" spans="1:1">
      <c r="A1737"/>
    </row>
    <row r="1738" spans="1:1">
      <c r="A1738"/>
    </row>
    <row r="1739" spans="1:1">
      <c r="A1739"/>
    </row>
    <row r="1740" spans="1:1">
      <c r="A1740"/>
    </row>
    <row r="1741" spans="1:1">
      <c r="A1741"/>
    </row>
    <row r="1742" spans="1:1">
      <c r="A1742"/>
    </row>
    <row r="1743" spans="1:1">
      <c r="A1743"/>
    </row>
    <row r="1744" spans="1:1">
      <c r="A1744"/>
    </row>
    <row r="1745" spans="1:1">
      <c r="A1745"/>
    </row>
    <row r="1746" spans="1:1">
      <c r="A1746"/>
    </row>
    <row r="1747" spans="1:1">
      <c r="A1747"/>
    </row>
    <row r="1748" spans="1:1">
      <c r="A1748"/>
    </row>
    <row r="1749" spans="1:1">
      <c r="A1749"/>
    </row>
    <row r="1750" spans="1:1">
      <c r="A1750"/>
    </row>
    <row r="1751" spans="1:1">
      <c r="A1751"/>
    </row>
    <row r="1752" spans="1:1">
      <c r="A1752"/>
    </row>
    <row r="1753" spans="1:1">
      <c r="A1753"/>
    </row>
    <row r="1754" spans="1:1">
      <c r="A1754"/>
    </row>
    <row r="1755" spans="1:1">
      <c r="A1755"/>
    </row>
    <row r="1756" spans="1:1">
      <c r="A1756"/>
    </row>
    <row r="1757" spans="1:1">
      <c r="A1757"/>
    </row>
    <row r="1758" spans="1:1">
      <c r="A1758"/>
    </row>
    <row r="1759" spans="1:1">
      <c r="A1759"/>
    </row>
    <row r="1760" spans="1:1">
      <c r="A1760"/>
    </row>
    <row r="1761" spans="1:1">
      <c r="A1761"/>
    </row>
    <row r="1762" spans="1:1">
      <c r="A1762"/>
    </row>
    <row r="1763" spans="1:1">
      <c r="A1763"/>
    </row>
    <row r="1764" spans="1:1">
      <c r="A1764"/>
    </row>
    <row r="1765" spans="1:1">
      <c r="A1765"/>
    </row>
    <row r="1766" spans="1:1">
      <c r="A1766"/>
    </row>
    <row r="1767" spans="1:1">
      <c r="A1767"/>
    </row>
    <row r="1768" spans="1:1">
      <c r="A1768"/>
    </row>
    <row r="1769" spans="1:1">
      <c r="A1769"/>
    </row>
    <row r="1770" spans="1:1">
      <c r="A1770"/>
    </row>
    <row r="1771" spans="1:1">
      <c r="A1771"/>
    </row>
    <row r="1772" spans="1:1">
      <c r="A1772"/>
    </row>
    <row r="1773" spans="1:1">
      <c r="A1773"/>
    </row>
    <row r="1774" spans="1:1">
      <c r="A1774"/>
    </row>
    <row r="1775" spans="1:1">
      <c r="A1775"/>
    </row>
    <row r="1776" spans="1:1">
      <c r="A1776"/>
    </row>
    <row r="1777" spans="1:1">
      <c r="A1777"/>
    </row>
    <row r="1778" spans="1:1">
      <c r="A1778"/>
    </row>
    <row r="1779" spans="1:1">
      <c r="A1779"/>
    </row>
    <row r="1780" spans="1:1">
      <c r="A1780"/>
    </row>
    <row r="1781" spans="1:1">
      <c r="A1781"/>
    </row>
    <row r="1782" spans="1:1">
      <c r="A1782"/>
    </row>
    <row r="1783" spans="1:1">
      <c r="A1783"/>
    </row>
    <row r="1784" spans="1:1">
      <c r="A1784"/>
    </row>
    <row r="1785" spans="1:1">
      <c r="A1785"/>
    </row>
    <row r="1786" spans="1:1">
      <c r="A1786"/>
    </row>
    <row r="1787" spans="1:1">
      <c r="A1787"/>
    </row>
    <row r="1788" spans="1:1">
      <c r="A1788"/>
    </row>
    <row r="1789" spans="1:1">
      <c r="A1789"/>
    </row>
    <row r="1790" spans="1:1">
      <c r="A1790"/>
    </row>
    <row r="1791" spans="1:1">
      <c r="A1791"/>
    </row>
    <row r="1792" spans="1:1">
      <c r="A1792"/>
    </row>
    <row r="1793" spans="1:1">
      <c r="A1793"/>
    </row>
    <row r="1794" spans="1:1">
      <c r="A1794"/>
    </row>
    <row r="1795" spans="1:1">
      <c r="A1795"/>
    </row>
    <row r="1796" spans="1:1">
      <c r="A1796"/>
    </row>
    <row r="1797" spans="1:1">
      <c r="A1797"/>
    </row>
    <row r="1798" spans="1:1">
      <c r="A1798"/>
    </row>
    <row r="1799" spans="1:1">
      <c r="A1799"/>
    </row>
    <row r="1800" spans="1:1">
      <c r="A1800"/>
    </row>
    <row r="1801" spans="1:1">
      <c r="A1801"/>
    </row>
    <row r="1802" spans="1:1">
      <c r="A1802"/>
    </row>
    <row r="1803" spans="1:1">
      <c r="A1803"/>
    </row>
    <row r="1804" spans="1:1">
      <c r="A1804"/>
    </row>
    <row r="1805" spans="1:1">
      <c r="A1805"/>
    </row>
    <row r="1806" spans="1:1">
      <c r="A1806"/>
    </row>
    <row r="1807" spans="1:1">
      <c r="A1807"/>
    </row>
    <row r="1808" spans="1:1">
      <c r="A1808"/>
    </row>
    <row r="1809" spans="1:1">
      <c r="A1809"/>
    </row>
    <row r="1810" spans="1:1">
      <c r="A1810"/>
    </row>
    <row r="1811" spans="1:1">
      <c r="A1811"/>
    </row>
    <row r="1812" spans="1:1">
      <c r="A1812"/>
    </row>
    <row r="1813" spans="1:1">
      <c r="A1813"/>
    </row>
    <row r="1814" spans="1:1">
      <c r="A1814"/>
    </row>
    <row r="1815" spans="1:1">
      <c r="A1815"/>
    </row>
    <row r="1816" spans="1:1">
      <c r="A1816"/>
    </row>
    <row r="1817" spans="1:1">
      <c r="A1817"/>
    </row>
    <row r="1818" spans="1:1">
      <c r="A1818"/>
    </row>
    <row r="1819" spans="1:1">
      <c r="A1819"/>
    </row>
    <row r="1820" spans="1:1">
      <c r="A1820"/>
    </row>
    <row r="1821" spans="1:1">
      <c r="A1821"/>
    </row>
    <row r="1822" spans="1:1">
      <c r="A1822"/>
    </row>
    <row r="1823" spans="1:1">
      <c r="A1823"/>
    </row>
    <row r="1824" spans="1:1">
      <c r="A1824"/>
    </row>
    <row r="1825" spans="1:1">
      <c r="A1825"/>
    </row>
    <row r="1826" spans="1:1">
      <c r="A1826"/>
    </row>
    <row r="1827" spans="1:1">
      <c r="A1827"/>
    </row>
    <row r="1828" spans="1:1">
      <c r="A1828"/>
    </row>
    <row r="1829" spans="1:1">
      <c r="A1829"/>
    </row>
    <row r="1830" spans="1:1">
      <c r="A1830"/>
    </row>
    <row r="1831" spans="1:1">
      <c r="A1831"/>
    </row>
    <row r="1832" spans="1:1">
      <c r="A1832"/>
    </row>
    <row r="1833" spans="1:1">
      <c r="A1833"/>
    </row>
    <row r="1834" spans="1:1">
      <c r="A1834"/>
    </row>
    <row r="1835" spans="1:1">
      <c r="A1835"/>
    </row>
    <row r="1836" spans="1:1">
      <c r="A1836"/>
    </row>
    <row r="1837" spans="1:1">
      <c r="A1837"/>
    </row>
    <row r="1838" spans="1:1">
      <c r="A1838"/>
    </row>
    <row r="1839" spans="1:1">
      <c r="A1839"/>
    </row>
    <row r="1840" spans="1:1">
      <c r="A1840"/>
    </row>
    <row r="1841" spans="1:1">
      <c r="A1841"/>
    </row>
    <row r="1842" spans="1:1">
      <c r="A1842"/>
    </row>
    <row r="1843" spans="1:1">
      <c r="A1843"/>
    </row>
    <row r="1844" spans="1:1">
      <c r="A1844"/>
    </row>
    <row r="1845" spans="1:1">
      <c r="A1845"/>
    </row>
    <row r="1846" spans="1:1">
      <c r="A1846"/>
    </row>
    <row r="1847" spans="1:1">
      <c r="A1847"/>
    </row>
    <row r="1848" spans="1:1">
      <c r="A1848"/>
    </row>
    <row r="1849" spans="1:1">
      <c r="A1849"/>
    </row>
    <row r="1850" spans="1:1">
      <c r="A1850"/>
    </row>
    <row r="1851" spans="1:1">
      <c r="A1851"/>
    </row>
    <row r="1852" spans="1:1">
      <c r="A1852"/>
    </row>
    <row r="1853" spans="1:1">
      <c r="A1853"/>
    </row>
    <row r="1854" spans="1:1">
      <c r="A1854"/>
    </row>
    <row r="1855" spans="1:1">
      <c r="A1855"/>
    </row>
    <row r="1856" spans="1:1">
      <c r="A1856"/>
    </row>
    <row r="1857" spans="1:1">
      <c r="A1857"/>
    </row>
    <row r="1858" spans="1:1">
      <c r="A1858"/>
    </row>
    <row r="1859" spans="1:1">
      <c r="A1859"/>
    </row>
    <row r="1860" spans="1:1">
      <c r="A1860"/>
    </row>
    <row r="1861" spans="1:1">
      <c r="A1861"/>
    </row>
    <row r="1862" spans="1:1">
      <c r="A1862"/>
    </row>
    <row r="1863" spans="1:1">
      <c r="A1863"/>
    </row>
    <row r="1864" spans="1:1">
      <c r="A1864"/>
    </row>
    <row r="1865" spans="1:1">
      <c r="A1865"/>
    </row>
    <row r="1866" spans="1:1">
      <c r="A1866"/>
    </row>
    <row r="1867" spans="1:1">
      <c r="A1867"/>
    </row>
    <row r="1868" spans="1:1">
      <c r="A1868"/>
    </row>
    <row r="1869" spans="1:1">
      <c r="A1869"/>
    </row>
    <row r="1870" spans="1:1">
      <c r="A1870"/>
    </row>
    <row r="1871" spans="1:1">
      <c r="A1871"/>
    </row>
    <row r="1872" spans="1:1">
      <c r="A1872"/>
    </row>
    <row r="1873" spans="1:1">
      <c r="A1873"/>
    </row>
    <row r="1874" spans="1:1">
      <c r="A1874"/>
    </row>
    <row r="1875" spans="1:1">
      <c r="A1875"/>
    </row>
    <row r="1876" spans="1:1">
      <c r="A1876"/>
    </row>
    <row r="1877" spans="1:1">
      <c r="A1877"/>
    </row>
    <row r="1878" spans="1:1">
      <c r="A1878"/>
    </row>
    <row r="1879" spans="1:1">
      <c r="A1879"/>
    </row>
    <row r="1880" spans="1:1">
      <c r="A1880"/>
    </row>
    <row r="1881" spans="1:1">
      <c r="A1881"/>
    </row>
    <row r="1882" spans="1:1">
      <c r="A1882"/>
    </row>
    <row r="1883" spans="1:1">
      <c r="A1883"/>
    </row>
    <row r="1884" spans="1:1">
      <c r="A1884"/>
    </row>
    <row r="1885" spans="1:1">
      <c r="A1885"/>
    </row>
    <row r="1886" spans="1:1">
      <c r="A1886"/>
    </row>
    <row r="1887" spans="1:1">
      <c r="A1887"/>
    </row>
    <row r="1888" spans="1:1">
      <c r="A1888"/>
    </row>
    <row r="1889" spans="1:1">
      <c r="A1889"/>
    </row>
    <row r="1890" spans="1:1">
      <c r="A1890"/>
    </row>
    <row r="1891" spans="1:1">
      <c r="A1891"/>
    </row>
    <row r="1892" spans="1:1">
      <c r="A1892"/>
    </row>
    <row r="1893" spans="1:1">
      <c r="A1893"/>
    </row>
    <row r="1894" spans="1:1">
      <c r="A1894"/>
    </row>
    <row r="1895" spans="1:1">
      <c r="A1895"/>
    </row>
    <row r="1896" spans="1:1">
      <c r="A1896"/>
    </row>
    <row r="1897" spans="1:1">
      <c r="A1897"/>
    </row>
    <row r="1898" spans="1:1">
      <c r="A1898"/>
    </row>
    <row r="1899" spans="1:1">
      <c r="A1899"/>
    </row>
    <row r="1900" spans="1:1">
      <c r="A1900"/>
    </row>
    <row r="1901" spans="1:1">
      <c r="A1901"/>
    </row>
    <row r="1902" spans="1:1">
      <c r="A1902"/>
    </row>
    <row r="1903" spans="1:1">
      <c r="A1903"/>
    </row>
    <row r="1904" spans="1:1">
      <c r="A1904"/>
    </row>
    <row r="1905" spans="1:1">
      <c r="A1905"/>
    </row>
    <row r="1906" spans="1:1">
      <c r="A1906"/>
    </row>
    <row r="1907" spans="1:1">
      <c r="A1907"/>
    </row>
    <row r="1908" spans="1:1">
      <c r="A1908"/>
    </row>
    <row r="1909" spans="1:1">
      <c r="A1909"/>
    </row>
    <row r="1910" spans="1:1">
      <c r="A1910"/>
    </row>
    <row r="1911" spans="1:1">
      <c r="A1911"/>
    </row>
    <row r="1912" spans="1:1">
      <c r="A1912"/>
    </row>
    <row r="1913" spans="1:1">
      <c r="A1913"/>
    </row>
    <row r="1914" spans="1:1">
      <c r="A1914"/>
    </row>
    <row r="1915" spans="1:1">
      <c r="A1915"/>
    </row>
    <row r="1916" spans="1:1">
      <c r="A1916"/>
    </row>
    <row r="1917" spans="1:1">
      <c r="A1917"/>
    </row>
    <row r="1918" spans="1:1">
      <c r="A1918"/>
    </row>
    <row r="1919" spans="1:1">
      <c r="A1919"/>
    </row>
    <row r="1920" spans="1:1">
      <c r="A1920"/>
    </row>
    <row r="1921" spans="1:1">
      <c r="A1921"/>
    </row>
    <row r="1922" spans="1:1">
      <c r="A1922"/>
    </row>
    <row r="1923" spans="1:1">
      <c r="A1923"/>
    </row>
    <row r="1924" spans="1:1">
      <c r="A1924"/>
    </row>
    <row r="1925" spans="1:1">
      <c r="A1925"/>
    </row>
    <row r="1926" spans="1:1">
      <c r="A1926"/>
    </row>
    <row r="1927" spans="1:1">
      <c r="A1927"/>
    </row>
    <row r="1928" spans="1:1">
      <c r="A1928"/>
    </row>
    <row r="1929" spans="1:1">
      <c r="A1929"/>
    </row>
    <row r="1930" spans="1:1">
      <c r="A1930"/>
    </row>
    <row r="1931" spans="1:1">
      <c r="A1931"/>
    </row>
    <row r="1932" spans="1:1">
      <c r="A1932"/>
    </row>
    <row r="1933" spans="1:1">
      <c r="A1933"/>
    </row>
    <row r="1934" spans="1:1">
      <c r="A1934"/>
    </row>
    <row r="1935" spans="1:1">
      <c r="A1935"/>
    </row>
    <row r="1936" spans="1:1">
      <c r="A1936"/>
    </row>
    <row r="1937" spans="1:1">
      <c r="A1937"/>
    </row>
    <row r="1938" spans="1:1">
      <c r="A1938"/>
    </row>
    <row r="1939" spans="1:1">
      <c r="A1939"/>
    </row>
    <row r="1940" spans="1:1">
      <c r="A1940"/>
    </row>
    <row r="1941" spans="1:1">
      <c r="A1941"/>
    </row>
    <row r="1942" spans="1:1">
      <c r="A1942"/>
    </row>
    <row r="1943" spans="1:1">
      <c r="A1943"/>
    </row>
    <row r="1944" spans="1:1">
      <c r="A1944"/>
    </row>
    <row r="1945" spans="1:1">
      <c r="A1945"/>
    </row>
    <row r="1946" spans="1:1">
      <c r="A1946"/>
    </row>
    <row r="1947" spans="1:1">
      <c r="A1947"/>
    </row>
    <row r="1948" spans="1:1">
      <c r="A1948"/>
    </row>
    <row r="1949" spans="1:1">
      <c r="A1949"/>
    </row>
    <row r="1950" spans="1:1">
      <c r="A1950"/>
    </row>
    <row r="1951" spans="1:1">
      <c r="A1951"/>
    </row>
    <row r="1952" spans="1:1">
      <c r="A1952"/>
    </row>
    <row r="1953" spans="1:1">
      <c r="A1953"/>
    </row>
    <row r="1954" spans="1:1">
      <c r="A1954"/>
    </row>
    <row r="1955" spans="1:1">
      <c r="A1955"/>
    </row>
    <row r="1956" spans="1:1">
      <c r="A1956"/>
    </row>
    <row r="1957" spans="1:1">
      <c r="A1957"/>
    </row>
    <row r="1958" spans="1:1">
      <c r="A1958"/>
    </row>
    <row r="1959" spans="1:1">
      <c r="A1959"/>
    </row>
    <row r="1960" spans="1:1">
      <c r="A1960"/>
    </row>
    <row r="1961" spans="1:1">
      <c r="A1961"/>
    </row>
    <row r="1962" spans="1:1">
      <c r="A1962"/>
    </row>
    <row r="1963" spans="1:1">
      <c r="A1963"/>
    </row>
    <row r="1964" spans="1:1">
      <c r="A1964"/>
    </row>
    <row r="1965" spans="1:1">
      <c r="A1965"/>
    </row>
    <row r="1966" spans="1:1">
      <c r="A1966"/>
    </row>
    <row r="1967" spans="1:1">
      <c r="A1967"/>
    </row>
    <row r="1968" spans="1:1">
      <c r="A1968"/>
    </row>
    <row r="1969" spans="1:1">
      <c r="A1969"/>
    </row>
    <row r="1970" spans="1:1">
      <c r="A1970"/>
    </row>
    <row r="1971" spans="1:1">
      <c r="A1971"/>
    </row>
    <row r="1972" spans="1:1">
      <c r="A1972"/>
    </row>
    <row r="1973" spans="1:1">
      <c r="A1973"/>
    </row>
    <row r="1974" spans="1:1">
      <c r="A1974"/>
    </row>
    <row r="1975" spans="1:1">
      <c r="A1975"/>
    </row>
    <row r="1976" spans="1:1">
      <c r="A1976"/>
    </row>
    <row r="1977" spans="1:1">
      <c r="A1977"/>
    </row>
    <row r="1978" spans="1:1">
      <c r="A1978"/>
    </row>
    <row r="1979" spans="1:1">
      <c r="A1979"/>
    </row>
    <row r="1980" spans="1:1">
      <c r="A1980"/>
    </row>
    <row r="1981" spans="1:1">
      <c r="A1981"/>
    </row>
    <row r="1982" spans="1:1">
      <c r="A1982"/>
    </row>
    <row r="1983" spans="1:1">
      <c r="A1983"/>
    </row>
    <row r="1984" spans="1:1">
      <c r="A1984"/>
    </row>
    <row r="1985" spans="1:1">
      <c r="A1985"/>
    </row>
    <row r="1986" spans="1:1">
      <c r="A1986"/>
    </row>
    <row r="1987" spans="1:1">
      <c r="A1987"/>
    </row>
    <row r="1988" spans="1:1">
      <c r="A1988"/>
    </row>
    <row r="1989" spans="1:1">
      <c r="A1989"/>
    </row>
    <row r="1990" spans="1:1">
      <c r="A1990"/>
    </row>
    <row r="1991" spans="1:1">
      <c r="A1991"/>
    </row>
    <row r="1992" spans="1:1">
      <c r="A1992"/>
    </row>
    <row r="1993" spans="1:1">
      <c r="A1993"/>
    </row>
    <row r="1994" spans="1:1">
      <c r="A1994"/>
    </row>
    <row r="1995" spans="1:1">
      <c r="A1995"/>
    </row>
    <row r="1996" spans="1:1">
      <c r="A1996"/>
    </row>
    <row r="1997" spans="1:1">
      <c r="A1997"/>
    </row>
    <row r="1998" spans="1:1">
      <c r="A1998"/>
    </row>
    <row r="1999" spans="1:1">
      <c r="A1999"/>
    </row>
    <row r="2000" spans="1:1">
      <c r="A2000"/>
    </row>
    <row r="2001" spans="1:1">
      <c r="A2001"/>
    </row>
    <row r="2002" spans="1:1">
      <c r="A2002"/>
    </row>
    <row r="2003" spans="1:1">
      <c r="A2003"/>
    </row>
    <row r="2004" spans="1:1">
      <c r="A2004"/>
    </row>
    <row r="2005" spans="1:1">
      <c r="A2005"/>
    </row>
    <row r="2006" spans="1:1">
      <c r="A2006"/>
    </row>
    <row r="2007" spans="1:1">
      <c r="A2007"/>
    </row>
    <row r="2008" spans="1:1">
      <c r="A2008"/>
    </row>
    <row r="2009" spans="1:1">
      <c r="A2009"/>
    </row>
    <row r="2010" spans="1:1">
      <c r="A2010"/>
    </row>
    <row r="2011" spans="1:1">
      <c r="A2011"/>
    </row>
    <row r="2012" spans="1:1">
      <c r="A2012"/>
    </row>
    <row r="2013" spans="1:1">
      <c r="A2013"/>
    </row>
    <row r="2014" spans="1:1">
      <c r="A2014"/>
    </row>
    <row r="2015" spans="1:1">
      <c r="A2015"/>
    </row>
    <row r="2016" spans="1:1">
      <c r="A2016"/>
    </row>
    <row r="2017" spans="1:1">
      <c r="A2017"/>
    </row>
    <row r="2018" spans="1:1">
      <c r="A2018"/>
    </row>
    <row r="2019" spans="1:1">
      <c r="A2019"/>
    </row>
    <row r="2020" spans="1:1">
      <c r="A2020"/>
    </row>
    <row r="2021" spans="1:1">
      <c r="A2021"/>
    </row>
    <row r="2022" spans="1:1">
      <c r="A2022"/>
    </row>
    <row r="2023" spans="1:1">
      <c r="A2023"/>
    </row>
    <row r="2024" spans="1:1">
      <c r="A2024"/>
    </row>
    <row r="2025" spans="1:1">
      <c r="A2025"/>
    </row>
    <row r="2026" spans="1:1">
      <c r="A2026"/>
    </row>
    <row r="2027" spans="1:1">
      <c r="A2027"/>
    </row>
    <row r="2028" spans="1:1">
      <c r="A2028"/>
    </row>
    <row r="2029" spans="1:1">
      <c r="A2029"/>
    </row>
    <row r="2030" spans="1:1">
      <c r="A2030"/>
    </row>
    <row r="2031" spans="1:1">
      <c r="A2031"/>
    </row>
    <row r="2032" spans="1:1">
      <c r="A2032"/>
    </row>
    <row r="2033" spans="1:1">
      <c r="A2033"/>
    </row>
    <row r="2034" spans="1:1">
      <c r="A2034"/>
    </row>
    <row r="2035" spans="1:1">
      <c r="A2035"/>
    </row>
    <row r="2036" spans="1:1">
      <c r="A2036"/>
    </row>
    <row r="2037" spans="1:1">
      <c r="A2037"/>
    </row>
    <row r="2038" spans="1:1">
      <c r="A2038"/>
    </row>
    <row r="2039" spans="1:1">
      <c r="A2039"/>
    </row>
    <row r="2040" spans="1:1">
      <c r="A2040"/>
    </row>
    <row r="2041" spans="1:1">
      <c r="A2041"/>
    </row>
    <row r="2042" spans="1:1">
      <c r="A2042"/>
    </row>
    <row r="2043" spans="1:1">
      <c r="A2043"/>
    </row>
    <row r="2044" spans="1:1">
      <c r="A2044"/>
    </row>
    <row r="2045" spans="1:1">
      <c r="A2045"/>
    </row>
    <row r="2046" spans="1:1">
      <c r="A2046"/>
    </row>
    <row r="2047" spans="1:1">
      <c r="A2047"/>
    </row>
    <row r="2048" spans="1:1">
      <c r="A2048"/>
    </row>
    <row r="2049" spans="1:1">
      <c r="A2049"/>
    </row>
    <row r="2050" spans="1:1">
      <c r="A2050"/>
    </row>
    <row r="2051" spans="1:1">
      <c r="A2051"/>
    </row>
    <row r="2052" spans="1:1">
      <c r="A2052"/>
    </row>
    <row r="2053" spans="1:1">
      <c r="A2053"/>
    </row>
    <row r="2054" spans="1:1">
      <c r="A2054"/>
    </row>
    <row r="2055" spans="1:1">
      <c r="A2055"/>
    </row>
    <row r="2056" spans="1:1">
      <c r="A2056"/>
    </row>
    <row r="2057" spans="1:1">
      <c r="A2057"/>
    </row>
    <row r="2058" spans="1:1">
      <c r="A2058"/>
    </row>
    <row r="2059" spans="1:1">
      <c r="A2059"/>
    </row>
    <row r="2060" spans="1:1">
      <c r="A2060"/>
    </row>
    <row r="2061" spans="1:1">
      <c r="A2061"/>
    </row>
    <row r="2062" spans="1:1">
      <c r="A2062"/>
    </row>
    <row r="2063" spans="1:1">
      <c r="A2063"/>
    </row>
    <row r="2064" spans="1:1">
      <c r="A2064"/>
    </row>
    <row r="2065" spans="1:1">
      <c r="A2065"/>
    </row>
    <row r="2066" spans="1:1">
      <c r="A2066"/>
    </row>
    <row r="2067" spans="1:1">
      <c r="A2067"/>
    </row>
    <row r="2068" spans="1:1">
      <c r="A2068"/>
    </row>
    <row r="2069" spans="1:1">
      <c r="A2069"/>
    </row>
    <row r="2070" spans="1:1">
      <c r="A2070"/>
    </row>
    <row r="2071" spans="1:1">
      <c r="A2071"/>
    </row>
    <row r="2072" spans="1:1">
      <c r="A2072"/>
    </row>
    <row r="2073" spans="1:1">
      <c r="A2073"/>
    </row>
    <row r="2074" spans="1:1">
      <c r="A2074"/>
    </row>
    <row r="2075" spans="1:1">
      <c r="A2075"/>
    </row>
    <row r="2076" spans="1:1">
      <c r="A2076"/>
    </row>
    <row r="2077" spans="1:1">
      <c r="A2077"/>
    </row>
    <row r="2078" spans="1:1">
      <c r="A2078"/>
    </row>
    <row r="2079" spans="1:1">
      <c r="A2079"/>
    </row>
    <row r="2080" spans="1:1">
      <c r="A2080"/>
    </row>
    <row r="2081" spans="1:1">
      <c r="A2081"/>
    </row>
    <row r="2082" spans="1:1">
      <c r="A2082"/>
    </row>
    <row r="2083" spans="1:1">
      <c r="A2083"/>
    </row>
    <row r="2084" spans="1:1">
      <c r="A2084"/>
    </row>
    <row r="2085" spans="1:1">
      <c r="A2085"/>
    </row>
    <row r="2086" spans="1:1">
      <c r="A2086"/>
    </row>
    <row r="2087" spans="1:1">
      <c r="A2087"/>
    </row>
    <row r="2088" spans="1:1">
      <c r="A2088"/>
    </row>
    <row r="2089" spans="1:1">
      <c r="A2089"/>
    </row>
    <row r="2090" spans="1:1">
      <c r="A2090"/>
    </row>
    <row r="2091" spans="1:1">
      <c r="A2091"/>
    </row>
    <row r="2092" spans="1:1">
      <c r="A2092"/>
    </row>
    <row r="2093" spans="1:1">
      <c r="A2093"/>
    </row>
    <row r="2094" spans="1:1">
      <c r="A2094"/>
    </row>
    <row r="2095" spans="1:1">
      <c r="A2095"/>
    </row>
    <row r="2096" spans="1:1">
      <c r="A2096"/>
    </row>
    <row r="2097" spans="1:1">
      <c r="A2097"/>
    </row>
    <row r="2098" spans="1:1">
      <c r="A2098"/>
    </row>
    <row r="2099" spans="1:1">
      <c r="A2099"/>
    </row>
    <row r="2100" spans="1:1">
      <c r="A2100"/>
    </row>
    <row r="2101" spans="1:1">
      <c r="A2101"/>
    </row>
    <row r="2102" spans="1:1">
      <c r="A2102"/>
    </row>
    <row r="2103" spans="1:1">
      <c r="A2103"/>
    </row>
    <row r="2104" spans="1:1">
      <c r="A2104"/>
    </row>
    <row r="2105" spans="1:1">
      <c r="A2105"/>
    </row>
    <row r="2106" spans="1:1">
      <c r="A2106"/>
    </row>
    <row r="2107" spans="1:1">
      <c r="A2107"/>
    </row>
    <row r="2108" spans="1:1">
      <c r="A2108"/>
    </row>
    <row r="2109" spans="1:1">
      <c r="A2109"/>
    </row>
    <row r="2110" spans="1:1">
      <c r="A2110"/>
    </row>
    <row r="2111" spans="1:1">
      <c r="A2111"/>
    </row>
    <row r="2112" spans="1:1">
      <c r="A2112"/>
    </row>
    <row r="2113" spans="1:1">
      <c r="A2113"/>
    </row>
    <row r="2114" spans="1:1">
      <c r="A2114"/>
    </row>
    <row r="2115" spans="1:1">
      <c r="A2115"/>
    </row>
    <row r="2116" spans="1:1">
      <c r="A2116"/>
    </row>
    <row r="2117" spans="1:1">
      <c r="A2117"/>
    </row>
    <row r="2118" spans="1:1">
      <c r="A2118"/>
    </row>
    <row r="2119" spans="1:1">
      <c r="A2119"/>
    </row>
    <row r="2120" spans="1:1">
      <c r="A2120"/>
    </row>
    <row r="2121" spans="1:1">
      <c r="A2121"/>
    </row>
    <row r="2122" spans="1:1">
      <c r="A2122"/>
    </row>
    <row r="2123" spans="1:1">
      <c r="A2123"/>
    </row>
    <row r="2124" spans="1:1">
      <c r="A2124"/>
    </row>
    <row r="2125" spans="1:1">
      <c r="A2125"/>
    </row>
    <row r="2126" spans="1:1">
      <c r="A2126"/>
    </row>
    <row r="2127" spans="1:1">
      <c r="A2127"/>
    </row>
    <row r="2128" spans="1:1">
      <c r="A2128"/>
    </row>
    <row r="2129" spans="1:1">
      <c r="A2129"/>
    </row>
    <row r="2130" spans="1:1">
      <c r="A2130"/>
    </row>
    <row r="2131" spans="1:1">
      <c r="A2131"/>
    </row>
    <row r="2132" spans="1:1">
      <c r="A2132"/>
    </row>
    <row r="2133" spans="1:1">
      <c r="A2133"/>
    </row>
    <row r="2134" spans="1:1">
      <c r="A2134"/>
    </row>
    <row r="2135" spans="1:1">
      <c r="A2135"/>
    </row>
    <row r="2136" spans="1:1">
      <c r="A2136"/>
    </row>
    <row r="2137" spans="1:1">
      <c r="A2137"/>
    </row>
    <row r="2138" spans="1:1">
      <c r="A2138"/>
    </row>
    <row r="2139" spans="1:1">
      <c r="A2139"/>
    </row>
    <row r="2140" spans="1:1">
      <c r="A2140"/>
    </row>
    <row r="2141" spans="1:1">
      <c r="A2141"/>
    </row>
    <row r="2142" spans="1:1">
      <c r="A2142"/>
    </row>
    <row r="2143" spans="1:1">
      <c r="A2143"/>
    </row>
    <row r="2144" spans="1:1">
      <c r="A2144"/>
    </row>
    <row r="2145" spans="1:1">
      <c r="A2145"/>
    </row>
    <row r="2146" spans="1:1">
      <c r="A2146"/>
    </row>
    <row r="2147" spans="1:1">
      <c r="A2147"/>
    </row>
    <row r="2148" spans="1:1">
      <c r="A2148"/>
    </row>
    <row r="2149" spans="1:1">
      <c r="A2149"/>
    </row>
    <row r="2150" spans="1:1">
      <c r="A2150"/>
    </row>
    <row r="2151" spans="1:1">
      <c r="A2151"/>
    </row>
    <row r="2152" spans="1:1">
      <c r="A2152"/>
    </row>
    <row r="2153" spans="1:1">
      <c r="A2153"/>
    </row>
    <row r="2154" spans="1:1">
      <c r="A2154"/>
    </row>
    <row r="2155" spans="1:1">
      <c r="A2155"/>
    </row>
    <row r="2156" spans="1:1">
      <c r="A2156"/>
    </row>
    <row r="2157" spans="1:1">
      <c r="A2157"/>
    </row>
    <row r="2158" spans="1:1">
      <c r="A2158"/>
    </row>
    <row r="2159" spans="1:1">
      <c r="A2159"/>
    </row>
    <row r="2160" spans="1:1">
      <c r="A2160"/>
    </row>
    <row r="2161" spans="1:1">
      <c r="A2161"/>
    </row>
    <row r="2162" spans="1:1">
      <c r="A2162"/>
    </row>
    <row r="2163" spans="1:1">
      <c r="A2163"/>
    </row>
    <row r="2164" spans="1:1">
      <c r="A2164"/>
    </row>
    <row r="2165" spans="1:1">
      <c r="A2165"/>
    </row>
    <row r="2166" spans="1:1">
      <c r="A2166"/>
    </row>
    <row r="2167" spans="1:1">
      <c r="A2167"/>
    </row>
    <row r="2168" spans="1:1">
      <c r="A2168"/>
    </row>
    <row r="2169" spans="1:1">
      <c r="A2169"/>
    </row>
    <row r="2170" spans="1:1">
      <c r="A2170"/>
    </row>
    <row r="2171" spans="1:1">
      <c r="A2171"/>
    </row>
    <row r="2172" spans="1:1">
      <c r="A2172"/>
    </row>
    <row r="2173" spans="1:1">
      <c r="A2173"/>
    </row>
    <row r="2174" spans="1:1">
      <c r="A2174"/>
    </row>
    <row r="2175" spans="1:1">
      <c r="A2175"/>
    </row>
    <row r="2176" spans="1:1">
      <c r="A2176"/>
    </row>
    <row r="2177" spans="1:1">
      <c r="A2177"/>
    </row>
    <row r="2178" spans="1:1">
      <c r="A2178"/>
    </row>
    <row r="2179" spans="1:1">
      <c r="A2179"/>
    </row>
    <row r="2180" spans="1:1">
      <c r="A2180"/>
    </row>
    <row r="2181" spans="1:1">
      <c r="A2181"/>
    </row>
    <row r="2182" spans="1:1">
      <c r="A2182"/>
    </row>
    <row r="2183" spans="1:1">
      <c r="A2183"/>
    </row>
    <row r="2184" spans="1:1">
      <c r="A2184"/>
    </row>
    <row r="2185" spans="1:1">
      <c r="A2185"/>
    </row>
    <row r="2186" spans="1:1">
      <c r="A2186"/>
    </row>
    <row r="2187" spans="1:1">
      <c r="A2187"/>
    </row>
    <row r="2188" spans="1:1">
      <c r="A2188"/>
    </row>
    <row r="2189" spans="1:1">
      <c r="A2189"/>
    </row>
    <row r="2190" spans="1:1">
      <c r="A2190"/>
    </row>
    <row r="2191" spans="1:1">
      <c r="A2191"/>
    </row>
    <row r="2192" spans="1:1">
      <c r="A2192"/>
    </row>
    <row r="2193" spans="1:1">
      <c r="A2193"/>
    </row>
    <row r="2194" spans="1:1">
      <c r="A2194"/>
    </row>
    <row r="2195" spans="1:1">
      <c r="A2195"/>
    </row>
    <row r="2196" spans="1:1">
      <c r="A2196"/>
    </row>
    <row r="2197" spans="1:1">
      <c r="A2197"/>
    </row>
    <row r="2198" spans="1:1">
      <c r="A2198"/>
    </row>
    <row r="2199" spans="1:1">
      <c r="A2199"/>
    </row>
    <row r="2200" spans="1:1">
      <c r="A2200"/>
    </row>
    <row r="2201" spans="1:1">
      <c r="A2201"/>
    </row>
    <row r="2202" spans="1:1">
      <c r="A2202"/>
    </row>
    <row r="2203" spans="1:1">
      <c r="A2203"/>
    </row>
    <row r="2204" spans="1:1">
      <c r="A2204"/>
    </row>
    <row r="2205" spans="1:1">
      <c r="A2205"/>
    </row>
    <row r="2206" spans="1:1">
      <c r="A2206"/>
    </row>
    <row r="2207" spans="1:1">
      <c r="A2207"/>
    </row>
    <row r="2208" spans="1:1">
      <c r="A2208"/>
    </row>
    <row r="2209" spans="1:1">
      <c r="A2209"/>
    </row>
    <row r="2210" spans="1:1">
      <c r="A2210"/>
    </row>
    <row r="2211" spans="1:1">
      <c r="A2211"/>
    </row>
    <row r="2212" spans="1:1">
      <c r="A2212"/>
    </row>
    <row r="2213" spans="1:1">
      <c r="A2213"/>
    </row>
    <row r="2214" spans="1:1">
      <c r="A2214"/>
    </row>
    <row r="2215" spans="1:1">
      <c r="A2215"/>
    </row>
    <row r="2216" spans="1:1">
      <c r="A2216"/>
    </row>
    <row r="2217" spans="1:1">
      <c r="A2217"/>
    </row>
    <row r="2218" spans="1:1">
      <c r="A2218"/>
    </row>
    <row r="2219" spans="1:1">
      <c r="A2219"/>
    </row>
    <row r="2220" spans="1:1">
      <c r="A2220"/>
    </row>
    <row r="2221" spans="1:1">
      <c r="A2221"/>
    </row>
    <row r="2222" spans="1:1">
      <c r="A2222"/>
    </row>
    <row r="2223" spans="1:1">
      <c r="A2223"/>
    </row>
    <row r="2224" spans="1:1">
      <c r="A2224"/>
    </row>
    <row r="2225" spans="1:1">
      <c r="A2225"/>
    </row>
    <row r="2226" spans="1:1">
      <c r="A2226"/>
    </row>
    <row r="2227" spans="1:1">
      <c r="A2227"/>
    </row>
    <row r="2228" spans="1:1">
      <c r="A2228"/>
    </row>
    <row r="2229" spans="1:1">
      <c r="A2229"/>
    </row>
    <row r="2230" spans="1:1">
      <c r="A2230"/>
    </row>
    <row r="2231" spans="1:1">
      <c r="A2231"/>
    </row>
    <row r="2232" spans="1:1">
      <c r="A2232"/>
    </row>
    <row r="2233" spans="1:1">
      <c r="A2233"/>
    </row>
    <row r="2234" spans="1:1">
      <c r="A2234"/>
    </row>
    <row r="2235" spans="1:1">
      <c r="A2235"/>
    </row>
    <row r="2236" spans="1:1">
      <c r="A2236"/>
    </row>
    <row r="2237" spans="1:1">
      <c r="A2237"/>
    </row>
    <row r="2238" spans="1:1">
      <c r="A2238"/>
    </row>
    <row r="2239" spans="1:1">
      <c r="A2239"/>
    </row>
    <row r="2240" spans="1:1">
      <c r="A2240"/>
    </row>
    <row r="2241" spans="1:1">
      <c r="A2241"/>
    </row>
    <row r="2242" spans="1:1">
      <c r="A2242"/>
    </row>
    <row r="2243" spans="1:1">
      <c r="A2243"/>
    </row>
    <row r="2244" spans="1:1">
      <c r="A2244"/>
    </row>
    <row r="2245" spans="1:1">
      <c r="A2245"/>
    </row>
    <row r="2246" spans="1:1">
      <c r="A2246"/>
    </row>
    <row r="2247" spans="1:1">
      <c r="A2247"/>
    </row>
    <row r="2248" spans="1:1">
      <c r="A2248"/>
    </row>
    <row r="2249" spans="1:1">
      <c r="A2249"/>
    </row>
    <row r="2250" spans="1:1">
      <c r="A2250"/>
    </row>
    <row r="2251" spans="1:1">
      <c r="A2251"/>
    </row>
    <row r="2252" spans="1:1">
      <c r="A2252"/>
    </row>
    <row r="2253" spans="1:1">
      <c r="A2253"/>
    </row>
    <row r="2254" spans="1:1">
      <c r="A2254"/>
    </row>
    <row r="2255" spans="1:1">
      <c r="A2255"/>
    </row>
    <row r="2256" spans="1:1">
      <c r="A2256"/>
    </row>
    <row r="2257" spans="1:1">
      <c r="A2257"/>
    </row>
    <row r="2258" spans="1:1">
      <c r="A2258"/>
    </row>
    <row r="2259" spans="1:1">
      <c r="A2259"/>
    </row>
    <row r="2260" spans="1:1">
      <c r="A2260"/>
    </row>
    <row r="2261" spans="1:1">
      <c r="A2261"/>
    </row>
    <row r="2262" spans="1:1">
      <c r="A2262"/>
    </row>
    <row r="2263" spans="1:1">
      <c r="A2263"/>
    </row>
    <row r="2264" spans="1:1">
      <c r="A2264"/>
    </row>
    <row r="2265" spans="1:1">
      <c r="A2265"/>
    </row>
    <row r="2266" spans="1:1">
      <c r="A2266"/>
    </row>
    <row r="2267" spans="1:1">
      <c r="A2267"/>
    </row>
    <row r="2268" spans="1:1">
      <c r="A2268"/>
    </row>
    <row r="2269" spans="1:1">
      <c r="A2269"/>
    </row>
    <row r="2270" spans="1:1">
      <c r="A2270"/>
    </row>
    <row r="2271" spans="1:1">
      <c r="A2271"/>
    </row>
    <row r="2272" spans="1:1">
      <c r="A2272"/>
    </row>
    <row r="2273" spans="1:1">
      <c r="A2273"/>
    </row>
    <row r="2274" spans="1:1">
      <c r="A2274"/>
    </row>
    <row r="2275" spans="1:1">
      <c r="A2275"/>
    </row>
    <row r="2276" spans="1:1">
      <c r="A2276"/>
    </row>
    <row r="2277" spans="1:1">
      <c r="A2277"/>
    </row>
    <row r="2278" spans="1:1">
      <c r="A2278"/>
    </row>
    <row r="2279" spans="1:1">
      <c r="A2279"/>
    </row>
    <row r="2280" spans="1:1">
      <c r="A2280"/>
    </row>
    <row r="2281" spans="1:1">
      <c r="A2281"/>
    </row>
    <row r="2282" spans="1:1">
      <c r="A2282"/>
    </row>
    <row r="2283" spans="1:1">
      <c r="A2283"/>
    </row>
    <row r="2284" spans="1:1">
      <c r="A2284"/>
    </row>
    <row r="2285" spans="1:1">
      <c r="A2285"/>
    </row>
    <row r="2286" spans="1:1">
      <c r="A2286"/>
    </row>
    <row r="2287" spans="1:1">
      <c r="A2287"/>
    </row>
    <row r="2288" spans="1:1">
      <c r="A2288"/>
    </row>
    <row r="2289" spans="1:1">
      <c r="A2289"/>
    </row>
    <row r="2290" spans="1:1">
      <c r="A2290"/>
    </row>
    <row r="2291" spans="1:1">
      <c r="A2291"/>
    </row>
    <row r="2292" spans="1:1">
      <c r="A2292"/>
    </row>
    <row r="2293" spans="1:1">
      <c r="A2293"/>
    </row>
    <row r="2294" spans="1:1">
      <c r="A2294"/>
    </row>
    <row r="2295" spans="1:1">
      <c r="A2295"/>
    </row>
    <row r="2296" spans="1:1">
      <c r="A2296"/>
    </row>
    <row r="2297" spans="1:1">
      <c r="A2297"/>
    </row>
    <row r="2298" spans="1:1">
      <c r="A2298"/>
    </row>
    <row r="2299" spans="1:1">
      <c r="A2299"/>
    </row>
    <row r="2300" spans="1:1">
      <c r="A2300"/>
    </row>
    <row r="2301" spans="1:1">
      <c r="A2301"/>
    </row>
    <row r="2302" spans="1:1">
      <c r="A2302"/>
    </row>
    <row r="2303" spans="1:1">
      <c r="A2303"/>
    </row>
    <row r="2304" spans="1:1">
      <c r="A2304"/>
    </row>
    <row r="2305" spans="1:1">
      <c r="A2305"/>
    </row>
    <row r="2306" spans="1:1">
      <c r="A2306"/>
    </row>
    <row r="2307" spans="1:1">
      <c r="A2307"/>
    </row>
    <row r="2308" spans="1:1">
      <c r="A2308"/>
    </row>
    <row r="2309" spans="1:1">
      <c r="A2309"/>
    </row>
    <row r="2310" spans="1:1">
      <c r="A2310"/>
    </row>
    <row r="2311" spans="1:1">
      <c r="A2311"/>
    </row>
    <row r="2312" spans="1:1">
      <c r="A2312"/>
    </row>
    <row r="2313" spans="1:1">
      <c r="A2313"/>
    </row>
    <row r="2314" spans="1:1">
      <c r="A2314"/>
    </row>
    <row r="2315" spans="1:1">
      <c r="A2315"/>
    </row>
    <row r="2316" spans="1:1">
      <c r="A2316"/>
    </row>
    <row r="2317" spans="1:1">
      <c r="A2317"/>
    </row>
    <row r="2318" spans="1:1">
      <c r="A2318"/>
    </row>
    <row r="2319" spans="1:1">
      <c r="A2319"/>
    </row>
    <row r="2320" spans="1:1">
      <c r="A2320"/>
    </row>
    <row r="2321" spans="1:1">
      <c r="A2321"/>
    </row>
    <row r="2322" spans="1:1">
      <c r="A2322"/>
    </row>
    <row r="2323" spans="1:1">
      <c r="A2323"/>
    </row>
    <row r="2324" spans="1:1">
      <c r="A2324"/>
    </row>
    <row r="2325" spans="1:1">
      <c r="A2325"/>
    </row>
    <row r="2326" spans="1:1">
      <c r="A2326"/>
    </row>
    <row r="2327" spans="1:1">
      <c r="A2327"/>
    </row>
    <row r="2328" spans="1:1">
      <c r="A2328"/>
    </row>
    <row r="2329" spans="1:1">
      <c r="A2329"/>
    </row>
    <row r="2330" spans="1:1">
      <c r="A2330"/>
    </row>
    <row r="2331" spans="1:1">
      <c r="A2331"/>
    </row>
    <row r="2332" spans="1:1">
      <c r="A2332"/>
    </row>
    <row r="2333" spans="1:1">
      <c r="A2333"/>
    </row>
    <row r="2334" spans="1:1">
      <c r="A2334"/>
    </row>
    <row r="2335" spans="1:1">
      <c r="A2335"/>
    </row>
    <row r="2336" spans="1:1">
      <c r="A2336"/>
    </row>
    <row r="2337" spans="1:1">
      <c r="A2337"/>
    </row>
    <row r="2338" spans="1:1">
      <c r="A2338"/>
    </row>
    <row r="2339" spans="1:1">
      <c r="A2339"/>
    </row>
    <row r="2340" spans="1:1">
      <c r="A2340"/>
    </row>
    <row r="2341" spans="1:1">
      <c r="A2341"/>
    </row>
    <row r="2342" spans="1:1">
      <c r="A2342"/>
    </row>
    <row r="2343" spans="1:1">
      <c r="A2343"/>
    </row>
    <row r="2344" spans="1:1">
      <c r="A2344"/>
    </row>
    <row r="2345" spans="1:1">
      <c r="A2345"/>
    </row>
    <row r="2346" spans="1:1">
      <c r="A2346"/>
    </row>
    <row r="2347" spans="1:1">
      <c r="A2347"/>
    </row>
    <row r="2348" spans="1:1">
      <c r="A2348"/>
    </row>
    <row r="2349" spans="1:1">
      <c r="A2349"/>
    </row>
    <row r="2350" spans="1:1">
      <c r="A2350"/>
    </row>
    <row r="2351" spans="1:1">
      <c r="A2351"/>
    </row>
    <row r="2352" spans="1:1">
      <c r="A2352"/>
    </row>
    <row r="2353" spans="1:1">
      <c r="A2353"/>
    </row>
    <row r="2354" spans="1:1">
      <c r="A2354"/>
    </row>
    <row r="2355" spans="1:1">
      <c r="A2355"/>
    </row>
    <row r="2356" spans="1:1">
      <c r="A2356"/>
    </row>
    <row r="2357" spans="1:1">
      <c r="A2357"/>
    </row>
    <row r="2358" spans="1:1">
      <c r="A2358"/>
    </row>
    <row r="2359" spans="1:1">
      <c r="A2359"/>
    </row>
    <row r="2360" spans="1:1">
      <c r="A2360"/>
    </row>
    <row r="2361" spans="1:1">
      <c r="A2361"/>
    </row>
    <row r="2362" spans="1:1">
      <c r="A2362"/>
    </row>
    <row r="2363" spans="1:1">
      <c r="A2363"/>
    </row>
    <row r="2364" spans="1:1">
      <c r="A2364"/>
    </row>
    <row r="2365" spans="1:1">
      <c r="A2365"/>
    </row>
    <row r="2366" spans="1:1">
      <c r="A2366"/>
    </row>
    <row r="2367" spans="1:1">
      <c r="A2367"/>
    </row>
    <row r="2368" spans="1:1">
      <c r="A2368"/>
    </row>
    <row r="2369" spans="1:1">
      <c r="A2369"/>
    </row>
    <row r="2370" spans="1:1">
      <c r="A2370"/>
    </row>
    <row r="2371" spans="1:1">
      <c r="A2371"/>
    </row>
    <row r="2372" spans="1:1">
      <c r="A2372"/>
    </row>
    <row r="2373" spans="1:1">
      <c r="A2373"/>
    </row>
    <row r="2374" spans="1:1">
      <c r="A2374"/>
    </row>
    <row r="2375" spans="1:1">
      <c r="A2375"/>
    </row>
    <row r="2376" spans="1:1">
      <c r="A2376"/>
    </row>
    <row r="2377" spans="1:1">
      <c r="A2377"/>
    </row>
    <row r="2378" spans="1:1">
      <c r="A2378"/>
    </row>
    <row r="2379" spans="1:1">
      <c r="A2379"/>
    </row>
    <row r="2380" spans="1:1">
      <c r="A2380"/>
    </row>
    <row r="2381" spans="1:1">
      <c r="A2381"/>
    </row>
    <row r="2382" spans="1:1">
      <c r="A2382"/>
    </row>
    <row r="2383" spans="1:1">
      <c r="A2383"/>
    </row>
    <row r="2384" spans="1:1">
      <c r="A2384"/>
    </row>
    <row r="2385" spans="1:1">
      <c r="A2385"/>
    </row>
    <row r="2386" spans="1:1">
      <c r="A2386"/>
    </row>
    <row r="2387" spans="1:1">
      <c r="A2387"/>
    </row>
    <row r="2388" spans="1:1">
      <c r="A2388"/>
    </row>
    <row r="2389" spans="1:1">
      <c r="A2389"/>
    </row>
    <row r="2390" spans="1:1">
      <c r="A2390"/>
    </row>
    <row r="2391" spans="1:1">
      <c r="A2391"/>
    </row>
    <row r="2392" spans="1:1">
      <c r="A2392"/>
    </row>
    <row r="2393" spans="1:1">
      <c r="A2393"/>
    </row>
    <row r="2394" spans="1:1">
      <c r="A2394"/>
    </row>
    <row r="2395" spans="1:1">
      <c r="A2395"/>
    </row>
    <row r="2396" spans="1:1">
      <c r="A2396"/>
    </row>
    <row r="2397" spans="1:1">
      <c r="A2397"/>
    </row>
    <row r="2398" spans="1:1">
      <c r="A2398"/>
    </row>
    <row r="2399" spans="1:1">
      <c r="A2399"/>
    </row>
    <row r="2400" spans="1:1">
      <c r="A2400"/>
    </row>
    <row r="2401" spans="1:1">
      <c r="A2401"/>
    </row>
    <row r="2402" spans="1:1">
      <c r="A2402"/>
    </row>
    <row r="2403" spans="1:1">
      <c r="A2403"/>
    </row>
    <row r="2404" spans="1:1">
      <c r="A2404"/>
    </row>
    <row r="2405" spans="1:1">
      <c r="A2405"/>
    </row>
    <row r="2406" spans="1:1">
      <c r="A2406"/>
    </row>
    <row r="2407" spans="1:1">
      <c r="A2407"/>
    </row>
    <row r="2408" spans="1:1">
      <c r="A2408"/>
    </row>
    <row r="2409" spans="1:1">
      <c r="A2409"/>
    </row>
    <row r="2410" spans="1:1">
      <c r="A2410"/>
    </row>
    <row r="2411" spans="1:1">
      <c r="A2411"/>
    </row>
    <row r="2412" spans="1:1">
      <c r="A2412"/>
    </row>
    <row r="2413" spans="1:1">
      <c r="A2413"/>
    </row>
    <row r="2414" spans="1:1">
      <c r="A2414"/>
    </row>
    <row r="2415" spans="1:1">
      <c r="A2415"/>
    </row>
    <row r="2416" spans="1:1">
      <c r="A2416"/>
    </row>
    <row r="2417" spans="1:1">
      <c r="A2417"/>
    </row>
    <row r="2418" spans="1:1">
      <c r="A2418"/>
    </row>
    <row r="2419" spans="1:1">
      <c r="A2419"/>
    </row>
    <row r="2420" spans="1:1">
      <c r="A2420"/>
    </row>
    <row r="2421" spans="1:1">
      <c r="A2421"/>
    </row>
    <row r="2422" spans="1:1">
      <c r="A2422"/>
    </row>
    <row r="2423" spans="1:1">
      <c r="A2423"/>
    </row>
    <row r="2424" spans="1:1">
      <c r="A2424"/>
    </row>
    <row r="2425" spans="1:1">
      <c r="A2425"/>
    </row>
    <row r="2426" spans="1:1">
      <c r="A2426"/>
    </row>
    <row r="2427" spans="1:1">
      <c r="A2427"/>
    </row>
    <row r="2428" spans="1:1">
      <c r="A2428"/>
    </row>
    <row r="2429" spans="1:1">
      <c r="A2429"/>
    </row>
    <row r="2430" spans="1:1">
      <c r="A2430"/>
    </row>
    <row r="2431" spans="1:1">
      <c r="A2431"/>
    </row>
    <row r="2432" spans="1:1">
      <c r="A2432"/>
    </row>
    <row r="2433" spans="1:1">
      <c r="A2433"/>
    </row>
    <row r="2434" spans="1:1">
      <c r="A2434"/>
    </row>
    <row r="2435" spans="1:1">
      <c r="A2435"/>
    </row>
    <row r="2436" spans="1:1">
      <c r="A2436"/>
    </row>
    <row r="2437" spans="1:1">
      <c r="A2437"/>
    </row>
    <row r="2438" spans="1:1">
      <c r="A2438"/>
    </row>
    <row r="2439" spans="1:1">
      <c r="A2439"/>
    </row>
    <row r="2440" spans="1:1">
      <c r="A2440"/>
    </row>
    <row r="2441" spans="1:1">
      <c r="A2441"/>
    </row>
    <row r="2442" spans="1:1">
      <c r="A2442"/>
    </row>
    <row r="2443" spans="1:1">
      <c r="A2443"/>
    </row>
    <row r="2444" spans="1:1">
      <c r="A2444"/>
    </row>
    <row r="2445" spans="1:1">
      <c r="A2445"/>
    </row>
    <row r="2446" spans="1:1">
      <c r="A2446"/>
    </row>
    <row r="2447" spans="1:1">
      <c r="A2447"/>
    </row>
    <row r="2448" spans="1:1">
      <c r="A2448"/>
    </row>
    <row r="2449" spans="1:1">
      <c r="A2449"/>
    </row>
    <row r="2450" spans="1:1">
      <c r="A2450"/>
    </row>
    <row r="2451" spans="1:1">
      <c r="A2451"/>
    </row>
    <row r="2452" spans="1:1">
      <c r="A2452"/>
    </row>
    <row r="2453" spans="1:1">
      <c r="A2453"/>
    </row>
    <row r="2454" spans="1:1">
      <c r="A2454"/>
    </row>
    <row r="2455" spans="1:1">
      <c r="A2455"/>
    </row>
    <row r="2456" spans="1:1">
      <c r="A2456"/>
    </row>
    <row r="2457" spans="1:1">
      <c r="A2457"/>
    </row>
    <row r="2458" spans="1:1">
      <c r="A2458"/>
    </row>
    <row r="2459" spans="1:1">
      <c r="A2459"/>
    </row>
    <row r="2460" spans="1:1">
      <c r="A2460"/>
    </row>
    <row r="2461" spans="1:1">
      <c r="A2461"/>
    </row>
    <row r="2462" spans="1:1">
      <c r="A2462"/>
    </row>
    <row r="2463" spans="1:1">
      <c r="A2463"/>
    </row>
    <row r="2464" spans="1:1">
      <c r="A2464"/>
    </row>
    <row r="2465" spans="1:1">
      <c r="A2465"/>
    </row>
    <row r="2466" spans="1:1">
      <c r="A2466"/>
    </row>
    <row r="2467" spans="1:1">
      <c r="A2467"/>
    </row>
    <row r="2468" spans="1:1">
      <c r="A2468"/>
    </row>
    <row r="2469" spans="1:1">
      <c r="A2469"/>
    </row>
    <row r="2470" spans="1:1">
      <c r="A2470"/>
    </row>
    <row r="2471" spans="1:1">
      <c r="A2471"/>
    </row>
    <row r="2472" spans="1:1">
      <c r="A2472"/>
    </row>
    <row r="2473" spans="1:1">
      <c r="A2473"/>
    </row>
    <row r="2474" spans="1:1">
      <c r="A2474"/>
    </row>
    <row r="2475" spans="1:1">
      <c r="A2475"/>
    </row>
    <row r="2476" spans="1:1">
      <c r="A2476"/>
    </row>
    <row r="2477" spans="1:1">
      <c r="A2477"/>
    </row>
    <row r="2478" spans="1:1">
      <c r="A2478"/>
    </row>
    <row r="2479" spans="1:1">
      <c r="A2479"/>
    </row>
    <row r="2480" spans="1:1">
      <c r="A2480"/>
    </row>
    <row r="2481" spans="1:1">
      <c r="A2481"/>
    </row>
    <row r="2482" spans="1:1">
      <c r="A2482"/>
    </row>
    <row r="2483" spans="1:1">
      <c r="A2483"/>
    </row>
    <row r="2484" spans="1:1">
      <c r="A2484"/>
    </row>
    <row r="2485" spans="1:1">
      <c r="A2485"/>
    </row>
    <row r="2486" spans="1:1">
      <c r="A2486"/>
    </row>
    <row r="2487" spans="1:1">
      <c r="A2487"/>
    </row>
    <row r="2488" spans="1:1">
      <c r="A2488"/>
    </row>
    <row r="2489" spans="1:1">
      <c r="A2489"/>
    </row>
    <row r="2490" spans="1:1">
      <c r="A2490"/>
    </row>
    <row r="2491" spans="1:1">
      <c r="A2491"/>
    </row>
    <row r="2492" spans="1:1">
      <c r="A2492"/>
    </row>
    <row r="2493" spans="1:1">
      <c r="A2493"/>
    </row>
    <row r="2494" spans="1:1">
      <c r="A2494"/>
    </row>
    <row r="2495" spans="1:1">
      <c r="A2495"/>
    </row>
    <row r="2496" spans="1:1">
      <c r="A2496"/>
    </row>
    <row r="2497" spans="1:1">
      <c r="A2497"/>
    </row>
    <row r="2498" spans="1:1">
      <c r="A2498"/>
    </row>
    <row r="2499" spans="1:1">
      <c r="A2499"/>
    </row>
    <row r="2500" spans="1:1">
      <c r="A2500"/>
    </row>
    <row r="2501" spans="1:1">
      <c r="A2501"/>
    </row>
    <row r="2502" spans="1:1">
      <c r="A2502"/>
    </row>
    <row r="2503" spans="1:1">
      <c r="A2503"/>
    </row>
    <row r="2504" spans="1:1">
      <c r="A2504"/>
    </row>
    <row r="2505" spans="1:1">
      <c r="A2505"/>
    </row>
    <row r="2506" spans="1:1">
      <c r="A2506"/>
    </row>
    <row r="2507" spans="1:1">
      <c r="A2507"/>
    </row>
    <row r="2508" spans="1:1">
      <c r="A2508"/>
    </row>
    <row r="2509" spans="1:1">
      <c r="A2509"/>
    </row>
    <row r="2510" spans="1:1">
      <c r="A2510"/>
    </row>
    <row r="2511" spans="1:1">
      <c r="A2511"/>
    </row>
    <row r="2512" spans="1:1">
      <c r="A2512"/>
    </row>
    <row r="2513" spans="1:1">
      <c r="A2513"/>
    </row>
    <row r="2514" spans="1:1">
      <c r="A2514"/>
    </row>
    <row r="2515" spans="1:1">
      <c r="A2515"/>
    </row>
    <row r="2516" spans="1:1">
      <c r="A2516"/>
    </row>
    <row r="2517" spans="1:1">
      <c r="A2517"/>
    </row>
    <row r="2518" spans="1:1">
      <c r="A2518"/>
    </row>
    <row r="2519" spans="1:1">
      <c r="A2519"/>
    </row>
    <row r="2520" spans="1:1">
      <c r="A2520"/>
    </row>
    <row r="2521" spans="1:1">
      <c r="A2521"/>
    </row>
    <row r="2522" spans="1:1">
      <c r="A2522"/>
    </row>
    <row r="2523" spans="1:1">
      <c r="A2523"/>
    </row>
    <row r="2524" spans="1:1">
      <c r="A2524"/>
    </row>
    <row r="2525" spans="1:1">
      <c r="A2525"/>
    </row>
    <row r="2526" spans="1:1">
      <c r="A2526"/>
    </row>
    <row r="2527" spans="1:1">
      <c r="A2527"/>
    </row>
    <row r="2528" spans="1:1">
      <c r="A2528"/>
    </row>
    <row r="2529" spans="1:1">
      <c r="A2529"/>
    </row>
    <row r="2530" spans="1:1">
      <c r="A2530"/>
    </row>
    <row r="2531" spans="1:1">
      <c r="A2531"/>
    </row>
    <row r="2532" spans="1:1">
      <c r="A2532"/>
    </row>
    <row r="2533" spans="1:1">
      <c r="A2533"/>
    </row>
    <row r="2534" spans="1:1">
      <c r="A2534"/>
    </row>
    <row r="2535" spans="1:1">
      <c r="A2535"/>
    </row>
    <row r="2536" spans="1:1">
      <c r="A2536"/>
    </row>
    <row r="2537" spans="1:1">
      <c r="A2537"/>
    </row>
    <row r="2538" spans="1:1">
      <c r="A2538"/>
    </row>
    <row r="2539" spans="1:1">
      <c r="A2539"/>
    </row>
    <row r="2540" spans="1:1">
      <c r="A2540"/>
    </row>
    <row r="2541" spans="1:1">
      <c r="A2541"/>
    </row>
    <row r="2542" spans="1:1">
      <c r="A2542"/>
    </row>
    <row r="2543" spans="1:1">
      <c r="A2543"/>
    </row>
    <row r="2544" spans="1:1">
      <c r="A2544"/>
    </row>
    <row r="2545" spans="1:1">
      <c r="A2545"/>
    </row>
    <row r="2546" spans="1:1">
      <c r="A2546"/>
    </row>
    <row r="2547" spans="1:1">
      <c r="A2547"/>
    </row>
    <row r="2548" spans="1:1">
      <c r="A2548"/>
    </row>
    <row r="2549" spans="1:1">
      <c r="A2549"/>
    </row>
    <row r="2550" spans="1:1">
      <c r="A2550"/>
    </row>
    <row r="2551" spans="1:1">
      <c r="A2551"/>
    </row>
    <row r="2552" spans="1:1">
      <c r="A2552"/>
    </row>
    <row r="2553" spans="1:1">
      <c r="A2553"/>
    </row>
    <row r="2554" spans="1:1">
      <c r="A2554"/>
    </row>
    <row r="2555" spans="1:1">
      <c r="A2555"/>
    </row>
    <row r="2556" spans="1:1">
      <c r="A2556"/>
    </row>
    <row r="2557" spans="1:1">
      <c r="A2557"/>
    </row>
    <row r="2558" spans="1:1">
      <c r="A2558"/>
    </row>
    <row r="2559" spans="1:1">
      <c r="A2559"/>
    </row>
    <row r="2560" spans="1:1">
      <c r="A2560"/>
    </row>
    <row r="2561" spans="1:1">
      <c r="A2561"/>
    </row>
    <row r="2562" spans="1:1">
      <c r="A2562"/>
    </row>
    <row r="2563" spans="1:1">
      <c r="A2563"/>
    </row>
    <row r="2564" spans="1:1">
      <c r="A2564"/>
    </row>
    <row r="2565" spans="1:1">
      <c r="A2565"/>
    </row>
    <row r="2566" spans="1:1">
      <c r="A2566"/>
    </row>
    <row r="2567" spans="1:1">
      <c r="A2567"/>
    </row>
    <row r="2568" spans="1:1">
      <c r="A2568"/>
    </row>
    <row r="2569" spans="1:1">
      <c r="A2569"/>
    </row>
    <row r="2570" spans="1:1">
      <c r="A2570"/>
    </row>
    <row r="2571" spans="1:1">
      <c r="A2571"/>
    </row>
    <row r="2572" spans="1:1">
      <c r="A2572"/>
    </row>
    <row r="2573" spans="1:1">
      <c r="A2573"/>
    </row>
    <row r="2574" spans="1:1">
      <c r="A2574"/>
    </row>
    <row r="2575" spans="1:1">
      <c r="A2575"/>
    </row>
    <row r="2576" spans="1:1">
      <c r="A2576"/>
    </row>
    <row r="2577" spans="1:1">
      <c r="A2577"/>
    </row>
    <row r="2578" spans="1:1">
      <c r="A2578"/>
    </row>
    <row r="2579" spans="1:1">
      <c r="A2579"/>
    </row>
    <row r="2580" spans="1:1">
      <c r="A2580"/>
    </row>
    <row r="2581" spans="1:1">
      <c r="A2581"/>
    </row>
    <row r="2582" spans="1:1">
      <c r="A2582"/>
    </row>
    <row r="2583" spans="1:1">
      <c r="A2583"/>
    </row>
    <row r="2584" spans="1:1">
      <c r="A2584"/>
    </row>
    <row r="2585" spans="1:1">
      <c r="A2585"/>
    </row>
    <row r="2586" spans="1:1">
      <c r="A2586"/>
    </row>
    <row r="2587" spans="1:1">
      <c r="A2587"/>
    </row>
    <row r="2588" spans="1:1">
      <c r="A2588"/>
    </row>
    <row r="2589" spans="1:1">
      <c r="A2589"/>
    </row>
    <row r="2590" spans="1:1">
      <c r="A2590"/>
    </row>
    <row r="2591" spans="1:1">
      <c r="A2591"/>
    </row>
    <row r="2592" spans="1:1">
      <c r="A2592"/>
    </row>
    <row r="2593" spans="1:1">
      <c r="A2593"/>
    </row>
    <row r="2594" spans="1:1">
      <c r="A2594"/>
    </row>
    <row r="2595" spans="1:1">
      <c r="A2595"/>
    </row>
    <row r="2596" spans="1:1">
      <c r="A2596"/>
    </row>
    <row r="2597" spans="1:1">
      <c r="A2597"/>
    </row>
    <row r="2598" spans="1:1">
      <c r="A2598"/>
    </row>
    <row r="2599" spans="1:1">
      <c r="A2599"/>
    </row>
    <row r="2600" spans="1:1">
      <c r="A2600"/>
    </row>
    <row r="2601" spans="1:1">
      <c r="A2601"/>
    </row>
    <row r="2602" spans="1:1">
      <c r="A2602"/>
    </row>
    <row r="2603" spans="1:1">
      <c r="A2603"/>
    </row>
    <row r="2604" spans="1:1">
      <c r="A2604"/>
    </row>
    <row r="2605" spans="1:1">
      <c r="A2605"/>
    </row>
    <row r="2606" spans="1:1">
      <c r="A2606"/>
    </row>
    <row r="2607" spans="1:1">
      <c r="A2607"/>
    </row>
    <row r="2608" spans="1:1">
      <c r="A2608"/>
    </row>
    <row r="2609" spans="1:1">
      <c r="A2609"/>
    </row>
    <row r="2610" spans="1:1">
      <c r="A2610"/>
    </row>
    <row r="2611" spans="1:1">
      <c r="A2611"/>
    </row>
    <row r="2612" spans="1:1">
      <c r="A2612"/>
    </row>
    <row r="2613" spans="1:1">
      <c r="A2613"/>
    </row>
    <row r="2614" spans="1:1">
      <c r="A2614"/>
    </row>
    <row r="2615" spans="1:1">
      <c r="A2615"/>
    </row>
    <row r="2616" spans="1:1">
      <c r="A2616"/>
    </row>
    <row r="2617" spans="1:1">
      <c r="A2617"/>
    </row>
    <row r="2618" spans="1:1">
      <c r="A2618"/>
    </row>
    <row r="2619" spans="1:1">
      <c r="A2619"/>
    </row>
    <row r="2620" spans="1:1">
      <c r="A2620"/>
    </row>
    <row r="2621" spans="1:1">
      <c r="A2621"/>
    </row>
    <row r="2622" spans="1:1">
      <c r="A2622"/>
    </row>
    <row r="2623" spans="1:1">
      <c r="A2623"/>
    </row>
    <row r="2624" spans="1:1">
      <c r="A2624"/>
    </row>
    <row r="2625" spans="1:1">
      <c r="A2625"/>
    </row>
    <row r="2626" spans="1:1">
      <c r="A2626"/>
    </row>
    <row r="2627" spans="1:1">
      <c r="A2627"/>
    </row>
    <row r="2628" spans="1:1">
      <c r="A2628"/>
    </row>
    <row r="2629" spans="1:1">
      <c r="A2629"/>
    </row>
    <row r="2630" spans="1:1">
      <c r="A2630"/>
    </row>
    <row r="2631" spans="1:1">
      <c r="A2631"/>
    </row>
    <row r="2632" spans="1:1">
      <c r="A2632"/>
    </row>
    <row r="2633" spans="1:1">
      <c r="A2633"/>
    </row>
    <row r="2634" spans="1:1">
      <c r="A2634"/>
    </row>
    <row r="2635" spans="1:1">
      <c r="A2635"/>
    </row>
    <row r="2636" spans="1:1">
      <c r="A2636"/>
    </row>
    <row r="2637" spans="1:1">
      <c r="A2637"/>
    </row>
    <row r="2638" spans="1:1">
      <c r="A2638"/>
    </row>
    <row r="2639" spans="1:1">
      <c r="A2639"/>
    </row>
    <row r="2640" spans="1:1">
      <c r="A2640"/>
    </row>
    <row r="2641" spans="1:1">
      <c r="A2641"/>
    </row>
    <row r="2642" spans="1:1">
      <c r="A2642"/>
    </row>
    <row r="2643" spans="1:1">
      <c r="A2643"/>
    </row>
    <row r="2644" spans="1:1">
      <c r="A2644"/>
    </row>
    <row r="2645" spans="1:1">
      <c r="A2645"/>
    </row>
    <row r="2646" spans="1:1">
      <c r="A2646"/>
    </row>
    <row r="2647" spans="1:1">
      <c r="A2647"/>
    </row>
    <row r="2648" spans="1:1">
      <c r="A2648"/>
    </row>
    <row r="2649" spans="1:1">
      <c r="A2649"/>
    </row>
    <row r="2650" spans="1:1">
      <c r="A2650"/>
    </row>
    <row r="2651" spans="1:1">
      <c r="A2651"/>
    </row>
    <row r="2652" spans="1:1">
      <c r="A2652"/>
    </row>
    <row r="2653" spans="1:1">
      <c r="A2653"/>
    </row>
    <row r="2654" spans="1:1">
      <c r="A2654"/>
    </row>
    <row r="2655" spans="1:1">
      <c r="A2655"/>
    </row>
    <row r="2656" spans="1:1">
      <c r="A2656"/>
    </row>
    <row r="2657" spans="1:1">
      <c r="A2657"/>
    </row>
    <row r="2658" spans="1:1">
      <c r="A2658"/>
    </row>
    <row r="2659" spans="1:1">
      <c r="A2659"/>
    </row>
    <row r="2660" spans="1:1">
      <c r="A2660"/>
    </row>
    <row r="2661" spans="1:1">
      <c r="A2661"/>
    </row>
    <row r="2662" spans="1:1">
      <c r="A2662"/>
    </row>
    <row r="2663" spans="1:1">
      <c r="A2663"/>
    </row>
    <row r="2664" spans="1:1">
      <c r="A2664"/>
    </row>
    <row r="2665" spans="1:1">
      <c r="A2665"/>
    </row>
    <row r="2666" spans="1:1">
      <c r="A2666"/>
    </row>
    <row r="2667" spans="1:1">
      <c r="A2667"/>
    </row>
    <row r="2668" spans="1:1">
      <c r="A2668"/>
    </row>
    <row r="2669" spans="1:1">
      <c r="A2669"/>
    </row>
    <row r="2670" spans="1:1">
      <c r="A2670"/>
    </row>
    <row r="2671" spans="1:1">
      <c r="A2671"/>
    </row>
    <row r="2672" spans="1:1">
      <c r="A2672"/>
    </row>
    <row r="2673" spans="1:1">
      <c r="A2673"/>
    </row>
    <row r="2674" spans="1:1">
      <c r="A2674"/>
    </row>
    <row r="2675" spans="1:1">
      <c r="A2675"/>
    </row>
    <row r="2676" spans="1:1">
      <c r="A2676"/>
    </row>
    <row r="2677" spans="1:1">
      <c r="A2677"/>
    </row>
    <row r="2678" spans="1:1">
      <c r="A2678"/>
    </row>
    <row r="2679" spans="1:1">
      <c r="A2679"/>
    </row>
    <row r="2680" spans="1:1">
      <c r="A2680"/>
    </row>
    <row r="2681" spans="1:1">
      <c r="A2681"/>
    </row>
    <row r="2682" spans="1:1">
      <c r="A2682"/>
    </row>
    <row r="2683" spans="1:1">
      <c r="A2683"/>
    </row>
    <row r="2684" spans="1:1">
      <c r="A2684"/>
    </row>
    <row r="2685" spans="1:1">
      <c r="A2685"/>
    </row>
    <row r="2686" spans="1:1">
      <c r="A2686"/>
    </row>
    <row r="2687" spans="1:1">
      <c r="A2687"/>
    </row>
    <row r="2688" spans="1:1">
      <c r="A2688"/>
    </row>
    <row r="2689" spans="1:1">
      <c r="A2689"/>
    </row>
    <row r="2690" spans="1:1">
      <c r="A2690"/>
    </row>
    <row r="2691" spans="1:1">
      <c r="A2691"/>
    </row>
    <row r="2692" spans="1:1">
      <c r="A2692"/>
    </row>
    <row r="2693" spans="1:1">
      <c r="A2693"/>
    </row>
    <row r="2694" spans="1:1">
      <c r="A2694"/>
    </row>
    <row r="2695" spans="1:1">
      <c r="A2695"/>
    </row>
    <row r="2696" spans="1:1">
      <c r="A2696"/>
    </row>
    <row r="2697" spans="1:1">
      <c r="A2697"/>
    </row>
    <row r="2698" spans="1:1">
      <c r="A2698"/>
    </row>
    <row r="2699" spans="1:1">
      <c r="A2699"/>
    </row>
    <row r="2700" spans="1:1">
      <c r="A2700"/>
    </row>
    <row r="2701" spans="1:1">
      <c r="A2701"/>
    </row>
    <row r="2702" spans="1:1">
      <c r="A2702"/>
    </row>
    <row r="2703" spans="1:1">
      <c r="A2703"/>
    </row>
    <row r="2704" spans="1:1">
      <c r="A2704"/>
    </row>
    <row r="2705" spans="1:1">
      <c r="A2705"/>
    </row>
    <row r="2706" spans="1:1">
      <c r="A2706"/>
    </row>
    <row r="2707" spans="1:1">
      <c r="A2707"/>
    </row>
    <row r="2708" spans="1:1">
      <c r="A2708"/>
    </row>
    <row r="2709" spans="1:1">
      <c r="A2709"/>
    </row>
    <row r="2710" spans="1:1">
      <c r="A2710"/>
    </row>
    <row r="2711" spans="1:1">
      <c r="A2711"/>
    </row>
    <row r="2712" spans="1:1">
      <c r="A2712"/>
    </row>
    <row r="2713" spans="1:1">
      <c r="A2713"/>
    </row>
    <row r="2714" spans="1:1">
      <c r="A2714"/>
    </row>
    <row r="2715" spans="1:1">
      <c r="A2715"/>
    </row>
    <row r="2716" spans="1:1">
      <c r="A2716"/>
    </row>
    <row r="2717" spans="1:1">
      <c r="A2717"/>
    </row>
    <row r="2718" spans="1:1">
      <c r="A2718"/>
    </row>
    <row r="2719" spans="1:1">
      <c r="A2719"/>
    </row>
    <row r="2720" spans="1:1">
      <c r="A2720"/>
    </row>
    <row r="2721" spans="1:1">
      <c r="A2721"/>
    </row>
    <row r="2722" spans="1:1">
      <c r="A2722"/>
    </row>
    <row r="2723" spans="1:1">
      <c r="A2723"/>
    </row>
    <row r="2724" spans="1:1">
      <c r="A2724"/>
    </row>
    <row r="2725" spans="1:1">
      <c r="A2725"/>
    </row>
    <row r="2726" spans="1:1">
      <c r="A2726"/>
    </row>
    <row r="2727" spans="1:1">
      <c r="A2727"/>
    </row>
    <row r="2728" spans="1:1">
      <c r="A2728"/>
    </row>
    <row r="2729" spans="1:1">
      <c r="A2729"/>
    </row>
    <row r="2730" spans="1:1">
      <c r="A2730"/>
    </row>
    <row r="2731" spans="1:1">
      <c r="A2731"/>
    </row>
    <row r="2732" spans="1:1">
      <c r="A2732"/>
    </row>
    <row r="2733" spans="1:1">
      <c r="A2733"/>
    </row>
    <row r="2734" spans="1:1">
      <c r="A2734"/>
    </row>
    <row r="2735" spans="1:1">
      <c r="A2735"/>
    </row>
    <row r="2736" spans="1:1">
      <c r="A2736"/>
    </row>
    <row r="2737" spans="1:1">
      <c r="A2737"/>
    </row>
    <row r="2738" spans="1:1">
      <c r="A2738"/>
    </row>
    <row r="2739" spans="1:1">
      <c r="A2739"/>
    </row>
    <row r="2740" spans="1:1">
      <c r="A2740"/>
    </row>
    <row r="2741" spans="1:1">
      <c r="A2741"/>
    </row>
    <row r="2742" spans="1:1">
      <c r="A2742"/>
    </row>
    <row r="2743" spans="1:1">
      <c r="A2743"/>
    </row>
    <row r="2744" spans="1:1">
      <c r="A2744"/>
    </row>
    <row r="2745" spans="1:1">
      <c r="A2745"/>
    </row>
    <row r="2746" spans="1:1">
      <c r="A2746"/>
    </row>
    <row r="2747" spans="1:1">
      <c r="A2747"/>
    </row>
    <row r="2748" spans="1:1">
      <c r="A2748"/>
    </row>
    <row r="2749" spans="1:1">
      <c r="A2749"/>
    </row>
    <row r="2750" spans="1:1">
      <c r="A2750"/>
    </row>
    <row r="2751" spans="1:1">
      <c r="A2751"/>
    </row>
    <row r="2752" spans="1:1">
      <c r="A2752"/>
    </row>
    <row r="2753" spans="1:1">
      <c r="A2753"/>
    </row>
    <row r="2754" spans="1:1">
      <c r="A2754"/>
    </row>
    <row r="2755" spans="1:1">
      <c r="A2755"/>
    </row>
    <row r="2756" spans="1:1">
      <c r="A2756"/>
    </row>
    <row r="2757" spans="1:1">
      <c r="A2757"/>
    </row>
    <row r="2758" spans="1:1">
      <c r="A2758"/>
    </row>
    <row r="2759" spans="1:1">
      <c r="A2759"/>
    </row>
    <row r="2760" spans="1:1">
      <c r="A2760"/>
    </row>
    <row r="2761" spans="1:1">
      <c r="A2761"/>
    </row>
    <row r="2762" spans="1:1">
      <c r="A2762"/>
    </row>
    <row r="2763" spans="1:1">
      <c r="A2763"/>
    </row>
    <row r="2764" spans="1:1">
      <c r="A2764"/>
    </row>
    <row r="2765" spans="1:1">
      <c r="A2765"/>
    </row>
    <row r="2766" spans="1:1">
      <c r="A2766"/>
    </row>
    <row r="2767" spans="1:1">
      <c r="A2767"/>
    </row>
    <row r="2768" spans="1:1">
      <c r="A2768"/>
    </row>
    <row r="2769" spans="1:1">
      <c r="A2769"/>
    </row>
    <row r="2770" spans="1:1">
      <c r="A2770"/>
    </row>
    <row r="2771" spans="1:1">
      <c r="A2771"/>
    </row>
    <row r="2772" spans="1:1">
      <c r="A2772"/>
    </row>
    <row r="2773" spans="1:1">
      <c r="A2773"/>
    </row>
    <row r="2774" spans="1:1">
      <c r="A2774"/>
    </row>
    <row r="2775" spans="1:1">
      <c r="A2775"/>
    </row>
    <row r="2776" spans="1:1">
      <c r="A2776"/>
    </row>
    <row r="2777" spans="1:1">
      <c r="A2777"/>
    </row>
    <row r="2778" spans="1:1">
      <c r="A2778"/>
    </row>
    <row r="2779" spans="1:1">
      <c r="A2779"/>
    </row>
    <row r="2780" spans="1:1">
      <c r="A2780"/>
    </row>
    <row r="2781" spans="1:1">
      <c r="A2781"/>
    </row>
    <row r="2782" spans="1:1">
      <c r="A2782"/>
    </row>
    <row r="2783" spans="1:1">
      <c r="A2783"/>
    </row>
    <row r="2784" spans="1:1">
      <c r="A2784"/>
    </row>
    <row r="2785" spans="1:1">
      <c r="A2785"/>
    </row>
    <row r="2786" spans="1:1">
      <c r="A2786"/>
    </row>
    <row r="2787" spans="1:1">
      <c r="A2787"/>
    </row>
    <row r="2788" spans="1:1">
      <c r="A2788"/>
    </row>
    <row r="2789" spans="1:1">
      <c r="A2789"/>
    </row>
    <row r="2790" spans="1:1">
      <c r="A2790"/>
    </row>
    <row r="2791" spans="1:1">
      <c r="A2791"/>
    </row>
    <row r="2792" spans="1:1">
      <c r="A2792"/>
    </row>
    <row r="2793" spans="1:1">
      <c r="A2793"/>
    </row>
    <row r="2794" spans="1:1">
      <c r="A2794"/>
    </row>
    <row r="2795" spans="1:1">
      <c r="A2795"/>
    </row>
    <row r="2796" spans="1:1">
      <c r="A2796"/>
    </row>
    <row r="2797" spans="1:1">
      <c r="A2797"/>
    </row>
    <row r="2798" spans="1:1">
      <c r="A2798"/>
    </row>
    <row r="2799" spans="1:1">
      <c r="A2799"/>
    </row>
    <row r="2800" spans="1:1">
      <c r="A2800"/>
    </row>
    <row r="2801" spans="1:1">
      <c r="A2801"/>
    </row>
    <row r="2802" spans="1:1">
      <c r="A2802"/>
    </row>
    <row r="2803" spans="1:1">
      <c r="A2803"/>
    </row>
    <row r="2804" spans="1:1">
      <c r="A2804"/>
    </row>
    <row r="2805" spans="1:1">
      <c r="A2805"/>
    </row>
    <row r="2806" spans="1:1">
      <c r="A2806"/>
    </row>
    <row r="2807" spans="1:1">
      <c r="A2807"/>
    </row>
    <row r="2808" spans="1:1">
      <c r="A2808"/>
    </row>
    <row r="2809" spans="1:1">
      <c r="A2809"/>
    </row>
    <row r="2810" spans="1:1">
      <c r="A2810"/>
    </row>
    <row r="2811" spans="1:1">
      <c r="A2811"/>
    </row>
    <row r="2812" spans="1:1">
      <c r="A2812"/>
    </row>
    <row r="2813" spans="1:1">
      <c r="A2813"/>
    </row>
    <row r="2814" spans="1:1">
      <c r="A2814"/>
    </row>
    <row r="2815" spans="1:1">
      <c r="A2815"/>
    </row>
    <row r="2816" spans="1:1">
      <c r="A2816"/>
    </row>
    <row r="2817" spans="1:1">
      <c r="A2817"/>
    </row>
    <row r="2818" spans="1:1">
      <c r="A2818"/>
    </row>
    <row r="2819" spans="1:1">
      <c r="A2819"/>
    </row>
    <row r="2820" spans="1:1">
      <c r="A2820"/>
    </row>
    <row r="2821" spans="1:1">
      <c r="A2821"/>
    </row>
    <row r="2822" spans="1:1">
      <c r="A2822"/>
    </row>
    <row r="2823" spans="1:1">
      <c r="A2823"/>
    </row>
    <row r="2824" spans="1:1">
      <c r="A2824"/>
    </row>
    <row r="2825" spans="1:1">
      <c r="A2825"/>
    </row>
    <row r="2826" spans="1:1">
      <c r="A2826"/>
    </row>
    <row r="2827" spans="1:1">
      <c r="A2827"/>
    </row>
    <row r="2828" spans="1:1">
      <c r="A2828"/>
    </row>
    <row r="2829" spans="1:1">
      <c r="A2829"/>
    </row>
    <row r="2830" spans="1:1">
      <c r="A2830"/>
    </row>
    <row r="2831" spans="1:1">
      <c r="A2831"/>
    </row>
    <row r="2832" spans="1:1">
      <c r="A2832"/>
    </row>
    <row r="2833" spans="1:1">
      <c r="A2833"/>
    </row>
    <row r="2834" spans="1:1">
      <c r="A2834"/>
    </row>
    <row r="2835" spans="1:1">
      <c r="A2835"/>
    </row>
    <row r="2836" spans="1:1">
      <c r="A2836"/>
    </row>
    <row r="2837" spans="1:1">
      <c r="A2837"/>
    </row>
    <row r="2838" spans="1:1">
      <c r="A2838"/>
    </row>
    <row r="2839" spans="1:1">
      <c r="A2839"/>
    </row>
    <row r="2840" spans="1:1">
      <c r="A2840"/>
    </row>
    <row r="2841" spans="1:1">
      <c r="A2841"/>
    </row>
    <row r="2842" spans="1:1">
      <c r="A2842"/>
    </row>
    <row r="2843" spans="1:1">
      <c r="A2843"/>
    </row>
    <row r="2844" spans="1:1">
      <c r="A2844"/>
    </row>
    <row r="2845" spans="1:1">
      <c r="A2845"/>
    </row>
    <row r="2846" spans="1:1">
      <c r="A2846"/>
    </row>
    <row r="2847" spans="1:1">
      <c r="A2847"/>
    </row>
    <row r="2848" spans="1:1">
      <c r="A2848"/>
    </row>
    <row r="2849" spans="1:1">
      <c r="A2849"/>
    </row>
    <row r="2850" spans="1:1">
      <c r="A2850"/>
    </row>
    <row r="2851" spans="1:1">
      <c r="A2851"/>
    </row>
    <row r="2852" spans="1:1">
      <c r="A2852"/>
    </row>
    <row r="2853" spans="1:1">
      <c r="A2853"/>
    </row>
    <row r="2854" spans="1:1">
      <c r="A2854"/>
    </row>
    <row r="2855" spans="1:1">
      <c r="A2855"/>
    </row>
    <row r="2856" spans="1:1">
      <c r="A2856"/>
    </row>
    <row r="2857" spans="1:1">
      <c r="A2857"/>
    </row>
    <row r="2858" spans="1:1">
      <c r="A2858"/>
    </row>
    <row r="2859" spans="1:1">
      <c r="A2859"/>
    </row>
    <row r="2860" spans="1:1">
      <c r="A2860"/>
    </row>
    <row r="2861" spans="1:1">
      <c r="A2861"/>
    </row>
    <row r="2862" spans="1:1">
      <c r="A2862"/>
    </row>
    <row r="2863" spans="1:1">
      <c r="A2863"/>
    </row>
    <row r="2864" spans="1:1">
      <c r="A2864"/>
    </row>
    <row r="2865" spans="1:1">
      <c r="A2865"/>
    </row>
    <row r="2866" spans="1:1">
      <c r="A2866"/>
    </row>
    <row r="2867" spans="1:1">
      <c r="A2867"/>
    </row>
    <row r="2868" spans="1:1">
      <c r="A2868"/>
    </row>
    <row r="2869" spans="1:1">
      <c r="A2869"/>
    </row>
    <row r="2870" spans="1:1">
      <c r="A2870"/>
    </row>
    <row r="2871" spans="1:1">
      <c r="A2871"/>
    </row>
    <row r="2872" spans="1:1">
      <c r="A2872"/>
    </row>
    <row r="2873" spans="1:1">
      <c r="A2873"/>
    </row>
    <row r="2874" spans="1:1">
      <c r="A2874"/>
    </row>
    <row r="2875" spans="1:1">
      <c r="A2875"/>
    </row>
    <row r="2876" spans="1:1">
      <c r="A2876"/>
    </row>
    <row r="2877" spans="1:1">
      <c r="A2877"/>
    </row>
    <row r="2878" spans="1:1">
      <c r="A2878"/>
    </row>
    <row r="2879" spans="1:1">
      <c r="A2879"/>
    </row>
    <row r="2880" spans="1:1">
      <c r="A2880"/>
    </row>
    <row r="2881" spans="1:1">
      <c r="A2881"/>
    </row>
    <row r="2882" spans="1:1">
      <c r="A2882"/>
    </row>
    <row r="2883" spans="1:1">
      <c r="A2883"/>
    </row>
    <row r="2884" spans="1:1">
      <c r="A2884"/>
    </row>
    <row r="2885" spans="1:1">
      <c r="A2885"/>
    </row>
    <row r="2886" spans="1:1">
      <c r="A2886"/>
    </row>
    <row r="2887" spans="1:1">
      <c r="A2887"/>
    </row>
    <row r="2888" spans="1:1">
      <c r="A2888"/>
    </row>
    <row r="2889" spans="1:1">
      <c r="A2889"/>
    </row>
    <row r="2890" spans="1:1">
      <c r="A2890"/>
    </row>
    <row r="2891" spans="1:1">
      <c r="A2891"/>
    </row>
    <row r="2892" spans="1:1">
      <c r="A2892"/>
    </row>
    <row r="2893" spans="1:1">
      <c r="A2893"/>
    </row>
    <row r="2894" spans="1:1">
      <c r="A2894"/>
    </row>
    <row r="2895" spans="1:1">
      <c r="A2895"/>
    </row>
    <row r="2896" spans="1:1">
      <c r="A2896"/>
    </row>
    <row r="2897" spans="1:1">
      <c r="A2897"/>
    </row>
    <row r="2898" spans="1:1">
      <c r="A2898"/>
    </row>
    <row r="2899" spans="1:1">
      <c r="A2899"/>
    </row>
    <row r="2900" spans="1:1">
      <c r="A2900"/>
    </row>
    <row r="2901" spans="1:1">
      <c r="A2901"/>
    </row>
    <row r="2902" spans="1:1">
      <c r="A2902"/>
    </row>
    <row r="2903" spans="1:1">
      <c r="A2903"/>
    </row>
    <row r="2904" spans="1:1">
      <c r="A2904"/>
    </row>
    <row r="2905" spans="1:1">
      <c r="A2905"/>
    </row>
    <row r="2906" spans="1:1">
      <c r="A2906"/>
    </row>
    <row r="2907" spans="1:1">
      <c r="A2907"/>
    </row>
    <row r="2908" spans="1:1">
      <c r="A2908"/>
    </row>
    <row r="2909" spans="1:1">
      <c r="A2909"/>
    </row>
    <row r="2910" spans="1:1">
      <c r="A2910"/>
    </row>
    <row r="2911" spans="1:1">
      <c r="A2911"/>
    </row>
    <row r="2912" spans="1:1">
      <c r="A2912"/>
    </row>
    <row r="2913" spans="1:1">
      <c r="A2913"/>
    </row>
    <row r="2914" spans="1:1">
      <c r="A2914"/>
    </row>
    <row r="2915" spans="1:1">
      <c r="A2915"/>
    </row>
    <row r="2916" spans="1:1">
      <c r="A2916"/>
    </row>
    <row r="2917" spans="1:1">
      <c r="A2917"/>
    </row>
    <row r="2918" spans="1:1">
      <c r="A2918"/>
    </row>
    <row r="2919" spans="1:1">
      <c r="A2919"/>
    </row>
    <row r="2920" spans="1:1">
      <c r="A2920"/>
    </row>
    <row r="2921" spans="1:1">
      <c r="A2921"/>
    </row>
    <row r="2922" spans="1:1">
      <c r="A2922"/>
    </row>
    <row r="2923" spans="1:1">
      <c r="A2923"/>
    </row>
    <row r="2924" spans="1:1">
      <c r="A2924"/>
    </row>
    <row r="2925" spans="1:1">
      <c r="A2925"/>
    </row>
    <row r="2926" spans="1:1">
      <c r="A2926"/>
    </row>
    <row r="2927" spans="1:1">
      <c r="A2927"/>
    </row>
    <row r="2928" spans="1:1">
      <c r="A2928"/>
    </row>
    <row r="2929" spans="1:1">
      <c r="A2929"/>
    </row>
    <row r="2930" spans="1:1">
      <c r="A2930"/>
    </row>
    <row r="2931" spans="1:1">
      <c r="A2931"/>
    </row>
    <row r="2932" spans="1:1">
      <c r="A2932"/>
    </row>
    <row r="2933" spans="1:1">
      <c r="A2933"/>
    </row>
    <row r="2934" spans="1:1">
      <c r="A2934"/>
    </row>
    <row r="2935" spans="1:1">
      <c r="A2935"/>
    </row>
    <row r="2936" spans="1:1">
      <c r="A2936"/>
    </row>
    <row r="2937" spans="1:1">
      <c r="A2937"/>
    </row>
    <row r="2938" spans="1:1">
      <c r="A2938"/>
    </row>
    <row r="2939" spans="1:1">
      <c r="A2939"/>
    </row>
    <row r="2940" spans="1:1">
      <c r="A2940"/>
    </row>
    <row r="2941" spans="1:1">
      <c r="A2941"/>
    </row>
    <row r="2942" spans="1:1">
      <c r="A2942"/>
    </row>
    <row r="2943" spans="1:1">
      <c r="A2943"/>
    </row>
    <row r="2944" spans="1:1">
      <c r="A2944"/>
    </row>
    <row r="2945" spans="1:1">
      <c r="A2945"/>
    </row>
    <row r="2946" spans="1:1">
      <c r="A2946"/>
    </row>
    <row r="2947" spans="1:1">
      <c r="A2947"/>
    </row>
    <row r="2948" spans="1:1">
      <c r="A2948"/>
    </row>
    <row r="2949" spans="1:1">
      <c r="A2949"/>
    </row>
    <row r="2950" spans="1:1">
      <c r="A2950"/>
    </row>
    <row r="2951" spans="1:1">
      <c r="A2951"/>
    </row>
    <row r="2952" spans="1:1">
      <c r="A2952"/>
    </row>
    <row r="2953" spans="1:1">
      <c r="A2953"/>
    </row>
    <row r="2954" spans="1:1">
      <c r="A2954"/>
    </row>
    <row r="2955" spans="1:1">
      <c r="A2955"/>
    </row>
    <row r="2956" spans="1:1">
      <c r="A2956"/>
    </row>
    <row r="2957" spans="1:1">
      <c r="A2957"/>
    </row>
    <row r="2958" spans="1:1">
      <c r="A2958"/>
    </row>
    <row r="2959" spans="1:1">
      <c r="A2959"/>
    </row>
    <row r="2960" spans="1:1">
      <c r="A2960"/>
    </row>
    <row r="2961" spans="1:1">
      <c r="A2961"/>
    </row>
    <row r="2962" spans="1:1">
      <c r="A2962"/>
    </row>
    <row r="2963" spans="1:1">
      <c r="A2963"/>
    </row>
    <row r="2964" spans="1:1">
      <c r="A2964"/>
    </row>
    <row r="2965" spans="1:1">
      <c r="A2965"/>
    </row>
    <row r="2966" spans="1:1">
      <c r="A2966"/>
    </row>
    <row r="2967" spans="1:1">
      <c r="A2967"/>
    </row>
    <row r="2968" spans="1:1">
      <c r="A2968"/>
    </row>
    <row r="2969" spans="1:1">
      <c r="A2969"/>
    </row>
    <row r="2970" spans="1:1">
      <c r="A2970"/>
    </row>
    <row r="2971" spans="1:1">
      <c r="A2971"/>
    </row>
    <row r="2972" spans="1:1">
      <c r="A2972"/>
    </row>
    <row r="2973" spans="1:1">
      <c r="A2973"/>
    </row>
    <row r="2974" spans="1:1">
      <c r="A2974"/>
    </row>
    <row r="2975" spans="1:1">
      <c r="A2975"/>
    </row>
    <row r="2976" spans="1:1">
      <c r="A2976"/>
    </row>
    <row r="2977" spans="1:1">
      <c r="A2977"/>
    </row>
    <row r="2978" spans="1:1">
      <c r="A2978"/>
    </row>
    <row r="2979" spans="1:1">
      <c r="A2979"/>
    </row>
    <row r="2980" spans="1:1">
      <c r="A2980"/>
    </row>
    <row r="2981" spans="1:1">
      <c r="A2981"/>
    </row>
    <row r="2982" spans="1:1">
      <c r="A2982"/>
    </row>
    <row r="2983" spans="1:1">
      <c r="A2983"/>
    </row>
    <row r="2984" spans="1:1">
      <c r="A2984"/>
    </row>
    <row r="2985" spans="1:1">
      <c r="A2985"/>
    </row>
    <row r="2986" spans="1:1">
      <c r="A2986"/>
    </row>
    <row r="2987" spans="1:1">
      <c r="A2987"/>
    </row>
    <row r="2988" spans="1:1">
      <c r="A2988"/>
    </row>
    <row r="2989" spans="1:1">
      <c r="A2989"/>
    </row>
    <row r="2990" spans="1:1">
      <c r="A2990"/>
    </row>
    <row r="2991" spans="1:1">
      <c r="A2991"/>
    </row>
    <row r="2992" spans="1:1">
      <c r="A2992"/>
    </row>
    <row r="2993" spans="1:1">
      <c r="A2993"/>
    </row>
    <row r="2994" spans="1:1">
      <c r="A2994"/>
    </row>
    <row r="2995" spans="1:1">
      <c r="A2995"/>
    </row>
    <row r="2996" spans="1:1">
      <c r="A2996"/>
    </row>
    <row r="2997" spans="1:1">
      <c r="A2997"/>
    </row>
    <row r="2998" spans="1:1">
      <c r="A2998"/>
    </row>
    <row r="2999" spans="1:1">
      <c r="A2999"/>
    </row>
    <row r="3000" spans="1:1">
      <c r="A3000"/>
    </row>
    <row r="3001" spans="1:1">
      <c r="A3001"/>
    </row>
    <row r="3002" spans="1:1">
      <c r="A3002"/>
    </row>
    <row r="3003" spans="1:1">
      <c r="A3003"/>
    </row>
    <row r="3004" spans="1:1">
      <c r="A3004"/>
    </row>
    <row r="3005" spans="1:1">
      <c r="A3005"/>
    </row>
    <row r="3006" spans="1:1">
      <c r="A3006"/>
    </row>
    <row r="3007" spans="1:1">
      <c r="A3007"/>
    </row>
    <row r="3008" spans="1:1">
      <c r="A3008"/>
    </row>
    <row r="3009" spans="1:1">
      <c r="A3009"/>
    </row>
    <row r="3010" spans="1:1">
      <c r="A3010"/>
    </row>
    <row r="3011" spans="1:1">
      <c r="A3011"/>
    </row>
    <row r="3012" spans="1:1">
      <c r="A3012"/>
    </row>
    <row r="3013" spans="1:1">
      <c r="A3013"/>
    </row>
    <row r="3014" spans="1:1">
      <c r="A3014"/>
    </row>
    <row r="3015" spans="1:1">
      <c r="A3015"/>
    </row>
    <row r="3016" spans="1:1">
      <c r="A3016"/>
    </row>
    <row r="3017" spans="1:1">
      <c r="A3017"/>
    </row>
    <row r="3018" spans="1:1">
      <c r="A3018"/>
    </row>
    <row r="3019" spans="1:1">
      <c r="A3019"/>
    </row>
    <row r="3020" spans="1:1">
      <c r="A3020"/>
    </row>
    <row r="3021" spans="1:1">
      <c r="A3021"/>
    </row>
    <row r="3022" spans="1:1">
      <c r="A3022"/>
    </row>
    <row r="3023" spans="1:1">
      <c r="A3023"/>
    </row>
    <row r="3024" spans="1:1">
      <c r="A3024"/>
    </row>
    <row r="3025" spans="1:1">
      <c r="A3025"/>
    </row>
    <row r="3026" spans="1:1">
      <c r="A3026"/>
    </row>
    <row r="3027" spans="1:1">
      <c r="A3027"/>
    </row>
    <row r="3028" spans="1:1">
      <c r="A3028"/>
    </row>
    <row r="3029" spans="1:1">
      <c r="A3029"/>
    </row>
    <row r="3030" spans="1:1">
      <c r="A3030"/>
    </row>
    <row r="3031" spans="1:1">
      <c r="A3031"/>
    </row>
    <row r="3032" spans="1:1">
      <c r="A3032"/>
    </row>
    <row r="3033" spans="1:1">
      <c r="A3033"/>
    </row>
    <row r="3034" spans="1:1">
      <c r="A3034"/>
    </row>
    <row r="3035" spans="1:1">
      <c r="A3035"/>
    </row>
    <row r="3036" spans="1:1">
      <c r="A3036"/>
    </row>
    <row r="3037" spans="1:1">
      <c r="A3037"/>
    </row>
    <row r="3038" spans="1:1">
      <c r="A3038"/>
    </row>
    <row r="3039" spans="1:1">
      <c r="A3039"/>
    </row>
    <row r="3040" spans="1:1">
      <c r="A3040"/>
    </row>
    <row r="3041" spans="1:1">
      <c r="A3041"/>
    </row>
    <row r="3042" spans="1:1">
      <c r="A3042"/>
    </row>
    <row r="3043" spans="1:1">
      <c r="A3043"/>
    </row>
    <row r="3044" spans="1:1">
      <c r="A3044"/>
    </row>
    <row r="3045" spans="1:1">
      <c r="A3045"/>
    </row>
    <row r="3046" spans="1:1">
      <c r="A3046"/>
    </row>
    <row r="3047" spans="1:1">
      <c r="A3047"/>
    </row>
    <row r="3048" spans="1:1">
      <c r="A3048"/>
    </row>
    <row r="3049" spans="1:1">
      <c r="A3049"/>
    </row>
    <row r="3050" spans="1:1">
      <c r="A3050"/>
    </row>
    <row r="3051" spans="1:1">
      <c r="A3051"/>
    </row>
    <row r="3052" spans="1:1">
      <c r="A3052"/>
    </row>
    <row r="3053" spans="1:1">
      <c r="A3053"/>
    </row>
    <row r="3054" spans="1:1">
      <c r="A3054"/>
    </row>
    <row r="3055" spans="1:1">
      <c r="A3055"/>
    </row>
    <row r="3056" spans="1:1">
      <c r="A3056"/>
    </row>
    <row r="3057" spans="1:1">
      <c r="A3057"/>
    </row>
    <row r="3058" spans="1:1">
      <c r="A3058"/>
    </row>
    <row r="3059" spans="1:1">
      <c r="A3059"/>
    </row>
    <row r="3060" spans="1:1">
      <c r="A3060"/>
    </row>
    <row r="3061" spans="1:1">
      <c r="A3061"/>
    </row>
    <row r="3062" spans="1:1">
      <c r="A3062"/>
    </row>
    <row r="3063" spans="1:1">
      <c r="A3063"/>
    </row>
    <row r="3064" spans="1:1">
      <c r="A3064"/>
    </row>
    <row r="3065" spans="1:1">
      <c r="A3065"/>
    </row>
    <row r="3066" spans="1:1">
      <c r="A3066"/>
    </row>
    <row r="3067" spans="1:1">
      <c r="A3067"/>
    </row>
    <row r="3068" spans="1:1">
      <c r="A3068"/>
    </row>
    <row r="3069" spans="1:1">
      <c r="A3069"/>
    </row>
    <row r="3070" spans="1:1">
      <c r="A3070"/>
    </row>
    <row r="3071" spans="1:1">
      <c r="A3071"/>
    </row>
    <row r="3072" spans="1:1">
      <c r="A3072"/>
    </row>
    <row r="3073" spans="1:1">
      <c r="A3073"/>
    </row>
    <row r="3074" spans="1:1">
      <c r="A3074"/>
    </row>
    <row r="3075" spans="1:1">
      <c r="A3075"/>
    </row>
    <row r="3076" spans="1:1">
      <c r="A3076"/>
    </row>
    <row r="3077" spans="1:1">
      <c r="A3077"/>
    </row>
    <row r="3078" spans="1:1">
      <c r="A3078"/>
    </row>
    <row r="3079" spans="1:1">
      <c r="A3079"/>
    </row>
    <row r="3080" spans="1:1">
      <c r="A3080"/>
    </row>
    <row r="3081" spans="1:1">
      <c r="A3081"/>
    </row>
    <row r="3082" spans="1:1">
      <c r="A3082"/>
    </row>
    <row r="3083" spans="1:1">
      <c r="A3083"/>
    </row>
    <row r="3084" spans="1:1">
      <c r="A3084"/>
    </row>
    <row r="3085" spans="1:1">
      <c r="A3085"/>
    </row>
    <row r="3086" spans="1:1">
      <c r="A3086"/>
    </row>
    <row r="3087" spans="1:1">
      <c r="A3087"/>
    </row>
    <row r="3088" spans="1:1">
      <c r="A3088"/>
    </row>
    <row r="3089" spans="1:1">
      <c r="A3089"/>
    </row>
    <row r="3090" spans="1:1">
      <c r="A3090"/>
    </row>
    <row r="3091" spans="1:1">
      <c r="A3091"/>
    </row>
    <row r="3092" spans="1:1">
      <c r="A3092"/>
    </row>
    <row r="3093" spans="1:1">
      <c r="A3093"/>
    </row>
    <row r="3094" spans="1:1">
      <c r="A3094"/>
    </row>
    <row r="3095" spans="1:1">
      <c r="A3095"/>
    </row>
    <row r="3096" spans="1:1">
      <c r="A3096"/>
    </row>
    <row r="3097" spans="1:1">
      <c r="A3097"/>
    </row>
    <row r="3098" spans="1:1">
      <c r="A3098"/>
    </row>
    <row r="3099" spans="1:1">
      <c r="A3099"/>
    </row>
    <row r="3100" spans="1:1">
      <c r="A3100"/>
    </row>
    <row r="3101" spans="1:1">
      <c r="A3101"/>
    </row>
    <row r="3102" spans="1:1">
      <c r="A3102"/>
    </row>
    <row r="3103" spans="1:1">
      <c r="A3103"/>
    </row>
    <row r="3104" spans="1:1">
      <c r="A3104"/>
    </row>
    <row r="3105" spans="1:1">
      <c r="A3105"/>
    </row>
    <row r="3106" spans="1:1">
      <c r="A3106"/>
    </row>
    <row r="3107" spans="1:1">
      <c r="A3107"/>
    </row>
    <row r="3108" spans="1:1">
      <c r="A3108"/>
    </row>
    <row r="3109" spans="1:1">
      <c r="A3109"/>
    </row>
    <row r="3110" spans="1:1">
      <c r="A3110"/>
    </row>
    <row r="3111" spans="1:1">
      <c r="A3111"/>
    </row>
    <row r="3112" spans="1:1">
      <c r="A3112"/>
    </row>
    <row r="3113" spans="1:1">
      <c r="A3113"/>
    </row>
    <row r="3114" spans="1:1">
      <c r="A3114"/>
    </row>
    <row r="3115" spans="1:1">
      <c r="A3115"/>
    </row>
    <row r="3116" spans="1:1">
      <c r="A3116"/>
    </row>
    <row r="3117" spans="1:1">
      <c r="A3117"/>
    </row>
    <row r="3118" spans="1:1">
      <c r="A3118"/>
    </row>
    <row r="3119" spans="1:1">
      <c r="A3119"/>
    </row>
    <row r="3120" spans="1:1">
      <c r="A3120"/>
    </row>
    <row r="3121" spans="1:1">
      <c r="A3121"/>
    </row>
    <row r="3122" spans="1:1">
      <c r="A3122"/>
    </row>
    <row r="3123" spans="1:1">
      <c r="A3123"/>
    </row>
    <row r="3124" spans="1:1">
      <c r="A3124"/>
    </row>
    <row r="3125" spans="1:1">
      <c r="A3125"/>
    </row>
    <row r="3126" spans="1:1">
      <c r="A3126"/>
    </row>
    <row r="3127" spans="1:1">
      <c r="A3127"/>
    </row>
    <row r="3128" spans="1:1">
      <c r="A3128"/>
    </row>
    <row r="3129" spans="1:1">
      <c r="A3129"/>
    </row>
    <row r="3130" spans="1:1">
      <c r="A3130"/>
    </row>
    <row r="3131" spans="1:1">
      <c r="A3131"/>
    </row>
    <row r="3132" spans="1:1">
      <c r="A3132"/>
    </row>
    <row r="3133" spans="1:1">
      <c r="A3133"/>
    </row>
    <row r="3134" spans="1:1">
      <c r="A3134"/>
    </row>
    <row r="3135" spans="1:1">
      <c r="A3135"/>
    </row>
    <row r="3136" spans="1:1">
      <c r="A3136"/>
    </row>
    <row r="3137" spans="1:1">
      <c r="A3137"/>
    </row>
    <row r="3138" spans="1:1">
      <c r="A3138"/>
    </row>
    <row r="3139" spans="1:1">
      <c r="A3139"/>
    </row>
    <row r="3140" spans="1:1">
      <c r="A3140"/>
    </row>
    <row r="3141" spans="1:1">
      <c r="A3141"/>
    </row>
    <row r="3142" spans="1:1">
      <c r="A3142"/>
    </row>
    <row r="3143" spans="1:1">
      <c r="A3143"/>
    </row>
    <row r="3144" spans="1:1">
      <c r="A3144"/>
    </row>
    <row r="3145" spans="1:1">
      <c r="A3145"/>
    </row>
    <row r="3146" spans="1:1">
      <c r="A3146"/>
    </row>
    <row r="3147" spans="1:1">
      <c r="A3147"/>
    </row>
    <row r="3148" spans="1:1">
      <c r="A3148"/>
    </row>
    <row r="3149" spans="1:1">
      <c r="A3149"/>
    </row>
    <row r="3150" spans="1:1">
      <c r="A3150"/>
    </row>
    <row r="3151" spans="1:1">
      <c r="A3151"/>
    </row>
    <row r="3152" spans="1:1">
      <c r="A3152"/>
    </row>
    <row r="3153" spans="1:1">
      <c r="A3153"/>
    </row>
    <row r="3154" spans="1:1">
      <c r="A3154"/>
    </row>
    <row r="3155" spans="1:1">
      <c r="A3155"/>
    </row>
    <row r="3156" spans="1:1">
      <c r="A3156"/>
    </row>
    <row r="3157" spans="1:1">
      <c r="A3157"/>
    </row>
    <row r="3158" spans="1:1">
      <c r="A3158"/>
    </row>
    <row r="3159" spans="1:1">
      <c r="A3159"/>
    </row>
    <row r="3160" spans="1:1">
      <c r="A3160"/>
    </row>
    <row r="3161" spans="1:1">
      <c r="A3161"/>
    </row>
    <row r="3162" spans="1:1">
      <c r="A3162"/>
    </row>
    <row r="3163" spans="1:1">
      <c r="A3163"/>
    </row>
    <row r="3164" spans="1:1">
      <c r="A3164"/>
    </row>
    <row r="3165" spans="1:1">
      <c r="A3165"/>
    </row>
    <row r="3166" spans="1:1">
      <c r="A3166"/>
    </row>
    <row r="3167" spans="1:1">
      <c r="A3167"/>
    </row>
    <row r="3168" spans="1:1">
      <c r="A3168"/>
    </row>
    <row r="3169" spans="1:1">
      <c r="A3169"/>
    </row>
    <row r="3170" spans="1:1">
      <c r="A3170"/>
    </row>
    <row r="3171" spans="1:1">
      <c r="A3171"/>
    </row>
    <row r="3172" spans="1:1">
      <c r="A3172"/>
    </row>
    <row r="3173" spans="1:1">
      <c r="A3173"/>
    </row>
    <row r="3174" spans="1:1">
      <c r="A3174"/>
    </row>
    <row r="3175" spans="1:1">
      <c r="A3175"/>
    </row>
    <row r="3176" spans="1:1">
      <c r="A3176"/>
    </row>
    <row r="3177" spans="1:1">
      <c r="A3177"/>
    </row>
    <row r="3178" spans="1:1">
      <c r="A3178"/>
    </row>
    <row r="3179" spans="1:1">
      <c r="A3179"/>
    </row>
    <row r="3180" spans="1:1">
      <c r="A3180"/>
    </row>
    <row r="3181" spans="1:1">
      <c r="A3181"/>
    </row>
    <row r="3182" spans="1:1">
      <c r="A3182"/>
    </row>
    <row r="3183" spans="1:1">
      <c r="A3183"/>
    </row>
    <row r="3184" spans="1:1">
      <c r="A3184"/>
    </row>
    <row r="3185" spans="1:1">
      <c r="A3185"/>
    </row>
    <row r="3186" spans="1:1">
      <c r="A3186"/>
    </row>
    <row r="3187" spans="1:1">
      <c r="A3187"/>
    </row>
    <row r="3188" spans="1:1">
      <c r="A3188"/>
    </row>
    <row r="3189" spans="1:1">
      <c r="A3189"/>
    </row>
    <row r="3190" spans="1:1">
      <c r="A3190"/>
    </row>
    <row r="3191" spans="1:1">
      <c r="A3191"/>
    </row>
    <row r="3192" spans="1:1">
      <c r="A3192"/>
    </row>
    <row r="3193" spans="1:1">
      <c r="A3193"/>
    </row>
    <row r="3194" spans="1:1">
      <c r="A3194"/>
    </row>
    <row r="3195" spans="1:1">
      <c r="A3195"/>
    </row>
    <row r="3196" spans="1:1">
      <c r="A3196"/>
    </row>
    <row r="3197" spans="1:1">
      <c r="A3197"/>
    </row>
    <row r="3198" spans="1:1">
      <c r="A3198"/>
    </row>
    <row r="3199" spans="1:1">
      <c r="A3199"/>
    </row>
    <row r="3200" spans="1:1">
      <c r="A3200"/>
    </row>
    <row r="3201" spans="1:1">
      <c r="A3201"/>
    </row>
    <row r="3202" spans="1:1">
      <c r="A3202"/>
    </row>
    <row r="3203" spans="1:1">
      <c r="A3203"/>
    </row>
    <row r="3204" spans="1:1">
      <c r="A3204"/>
    </row>
    <row r="3205" spans="1:1">
      <c r="A3205"/>
    </row>
    <row r="3206" spans="1:1">
      <c r="A3206"/>
    </row>
    <row r="3207" spans="1:1">
      <c r="A3207"/>
    </row>
    <row r="3208" spans="1:1">
      <c r="A3208"/>
    </row>
    <row r="3209" spans="1:1">
      <c r="A3209"/>
    </row>
    <row r="3210" spans="1:1">
      <c r="A3210"/>
    </row>
    <row r="3211" spans="1:1">
      <c r="A3211"/>
    </row>
    <row r="3212" spans="1:1">
      <c r="A3212"/>
    </row>
    <row r="3213" spans="1:1">
      <c r="A3213"/>
    </row>
    <row r="3214" spans="1:1">
      <c r="A3214"/>
    </row>
    <row r="3215" spans="1:1">
      <c r="A3215"/>
    </row>
    <row r="3216" spans="1:1">
      <c r="A3216"/>
    </row>
    <row r="3217" spans="1:1">
      <c r="A3217"/>
    </row>
    <row r="3218" spans="1:1">
      <c r="A3218"/>
    </row>
    <row r="3219" spans="1:1">
      <c r="A3219"/>
    </row>
    <row r="3220" spans="1:1">
      <c r="A3220"/>
    </row>
    <row r="3221" spans="1:1">
      <c r="A3221"/>
    </row>
    <row r="3222" spans="1:1">
      <c r="A3222"/>
    </row>
    <row r="3223" spans="1:1">
      <c r="A3223"/>
    </row>
    <row r="3224" spans="1:1">
      <c r="A3224"/>
    </row>
    <row r="3225" spans="1:1">
      <c r="A3225"/>
    </row>
    <row r="3226" spans="1:1">
      <c r="A3226"/>
    </row>
    <row r="3227" spans="1:1">
      <c r="A3227"/>
    </row>
    <row r="3228" spans="1:1">
      <c r="A3228"/>
    </row>
    <row r="3229" spans="1:1">
      <c r="A3229"/>
    </row>
    <row r="3230" spans="1:1">
      <c r="A3230"/>
    </row>
  </sheetData>
  <autoFilter ref="A4:AT246">
    <extLst/>
  </autoFilter>
  <mergeCells count="8">
    <mergeCell ref="N3:Q3"/>
    <mergeCell ref="R3:U3"/>
    <mergeCell ref="V3:Y3"/>
    <mergeCell ref="Z3:AC3"/>
    <mergeCell ref="AD3:AG3"/>
    <mergeCell ref="AH3:AK3"/>
    <mergeCell ref="AL3:AO3"/>
    <mergeCell ref="AP3:AT3"/>
  </mergeCells>
  <conditionalFormatting sqref="AS2">
    <cfRule type="cellIs" dxfId="0" priority="2445" operator="lessThan">
      <formula>20</formula>
    </cfRule>
    <cfRule type="cellIs" dxfId="1" priority="2444" operator="greaterThan">
      <formula>120</formula>
    </cfRule>
    <cfRule type="containsText" dxfId="3" priority="2443" operator="between" text="库存">
      <formula>NOT(ISERROR(SEARCH("库存",AS2)))</formula>
    </cfRule>
  </conditionalFormatting>
  <conditionalFormatting sqref="AS6">
    <cfRule type="cellIs" dxfId="0" priority="168" operator="lessThan">
      <formula>20</formula>
    </cfRule>
    <cfRule type="cellIs" dxfId="1" priority="112" operator="greaterThan">
      <formula>120</formula>
    </cfRule>
    <cfRule type="containsText" dxfId="3" priority="56" operator="between" text="库存">
      <formula>NOT(ISERROR(SEARCH("库存",AS6)))</formula>
    </cfRule>
  </conditionalFormatting>
  <conditionalFormatting sqref="AS7">
    <cfRule type="cellIs" dxfId="0" priority="167" operator="lessThan">
      <formula>20</formula>
    </cfRule>
    <cfRule type="cellIs" dxfId="1" priority="111" operator="greaterThan">
      <formula>120</formula>
    </cfRule>
    <cfRule type="containsText" dxfId="3" priority="55" operator="between" text="库存">
      <formula>NOT(ISERROR(SEARCH("库存",AS7)))</formula>
    </cfRule>
  </conditionalFormatting>
  <conditionalFormatting sqref="AS8">
    <cfRule type="cellIs" dxfId="0" priority="166" operator="lessThan">
      <formula>20</formula>
    </cfRule>
    <cfRule type="cellIs" dxfId="1" priority="110" operator="greaterThan">
      <formula>120</formula>
    </cfRule>
    <cfRule type="containsText" dxfId="3" priority="54" operator="between" text="库存">
      <formula>NOT(ISERROR(SEARCH("库存",AS8)))</formula>
    </cfRule>
  </conditionalFormatting>
  <conditionalFormatting sqref="AS9">
    <cfRule type="cellIs" dxfId="0" priority="165" operator="lessThan">
      <formula>20</formula>
    </cfRule>
    <cfRule type="cellIs" dxfId="1" priority="109" operator="greaterThan">
      <formula>120</formula>
    </cfRule>
    <cfRule type="containsText" dxfId="3" priority="53" operator="between" text="库存">
      <formula>NOT(ISERROR(SEARCH("库存",AS9)))</formula>
    </cfRule>
  </conditionalFormatting>
  <conditionalFormatting sqref="AS10">
    <cfRule type="cellIs" dxfId="0" priority="164" operator="lessThan">
      <formula>20</formula>
    </cfRule>
    <cfRule type="cellIs" dxfId="1" priority="108" operator="greaterThan">
      <formula>120</formula>
    </cfRule>
    <cfRule type="containsText" dxfId="3" priority="52" operator="between" text="库存">
      <formula>NOT(ISERROR(SEARCH("库存",AS10)))</formula>
    </cfRule>
  </conditionalFormatting>
  <conditionalFormatting sqref="AS11">
    <cfRule type="cellIs" dxfId="0" priority="163" operator="lessThan">
      <formula>20</formula>
    </cfRule>
    <cfRule type="cellIs" dxfId="1" priority="107" operator="greaterThan">
      <formula>120</formula>
    </cfRule>
    <cfRule type="containsText" dxfId="3" priority="51" operator="between" text="库存">
      <formula>NOT(ISERROR(SEARCH("库存",AS11)))</formula>
    </cfRule>
  </conditionalFormatting>
  <conditionalFormatting sqref="AS12">
    <cfRule type="cellIs" dxfId="0" priority="162" operator="lessThan">
      <formula>20</formula>
    </cfRule>
    <cfRule type="cellIs" dxfId="1" priority="106" operator="greaterThan">
      <formula>120</formula>
    </cfRule>
    <cfRule type="containsText" dxfId="3" priority="50" operator="between" text="库存">
      <formula>NOT(ISERROR(SEARCH("库存",AS12)))</formula>
    </cfRule>
  </conditionalFormatting>
  <conditionalFormatting sqref="AS13">
    <cfRule type="cellIs" dxfId="0" priority="161" operator="lessThan">
      <formula>20</formula>
    </cfRule>
    <cfRule type="cellIs" dxfId="1" priority="105" operator="greaterThan">
      <formula>120</formula>
    </cfRule>
    <cfRule type="containsText" dxfId="3" priority="49" operator="between" text="库存">
      <formula>NOT(ISERROR(SEARCH("库存",AS13)))</formula>
    </cfRule>
  </conditionalFormatting>
  <conditionalFormatting sqref="AS14">
    <cfRule type="cellIs" dxfId="0" priority="160" operator="lessThan">
      <formula>20</formula>
    </cfRule>
    <cfRule type="cellIs" dxfId="1" priority="104" operator="greaterThan">
      <formula>120</formula>
    </cfRule>
    <cfRule type="containsText" dxfId="3" priority="48" operator="between" text="库存">
      <formula>NOT(ISERROR(SEARCH("库存",AS14)))</formula>
    </cfRule>
  </conditionalFormatting>
  <conditionalFormatting sqref="AS15">
    <cfRule type="cellIs" dxfId="0" priority="159" operator="lessThan">
      <formula>20</formula>
    </cfRule>
    <cfRule type="cellIs" dxfId="1" priority="103" operator="greaterThan">
      <formula>120</formula>
    </cfRule>
    <cfRule type="containsText" dxfId="3" priority="47" operator="between" text="库存">
      <formula>NOT(ISERROR(SEARCH("库存",AS15)))</formula>
    </cfRule>
  </conditionalFormatting>
  <conditionalFormatting sqref="AS16">
    <cfRule type="cellIs" dxfId="0" priority="158" operator="lessThan">
      <formula>20</formula>
    </cfRule>
    <cfRule type="cellIs" dxfId="1" priority="102" operator="greaterThan">
      <formula>120</formula>
    </cfRule>
    <cfRule type="containsText" dxfId="3" priority="46" operator="between" text="库存">
      <formula>NOT(ISERROR(SEARCH("库存",AS16)))</formula>
    </cfRule>
  </conditionalFormatting>
  <conditionalFormatting sqref="AS17">
    <cfRule type="cellIs" dxfId="0" priority="157" operator="lessThan">
      <formula>20</formula>
    </cfRule>
    <cfRule type="cellIs" dxfId="1" priority="101" operator="greaterThan">
      <formula>120</formula>
    </cfRule>
    <cfRule type="containsText" dxfId="3" priority="45" operator="between" text="库存">
      <formula>NOT(ISERROR(SEARCH("库存",AS17)))</formula>
    </cfRule>
  </conditionalFormatting>
  <conditionalFormatting sqref="AS18">
    <cfRule type="cellIs" dxfId="0" priority="156" operator="lessThan">
      <formula>20</formula>
    </cfRule>
    <cfRule type="cellIs" dxfId="1" priority="100" operator="greaterThan">
      <formula>120</formula>
    </cfRule>
    <cfRule type="containsText" dxfId="3" priority="44" operator="between" text="库存">
      <formula>NOT(ISERROR(SEARCH("库存",AS18)))</formula>
    </cfRule>
  </conditionalFormatting>
  <conditionalFormatting sqref="AS19">
    <cfRule type="cellIs" dxfId="0" priority="155" operator="lessThan">
      <formula>20</formula>
    </cfRule>
    <cfRule type="cellIs" dxfId="1" priority="99" operator="greaterThan">
      <formula>120</formula>
    </cfRule>
    <cfRule type="containsText" dxfId="3" priority="43" operator="between" text="库存">
      <formula>NOT(ISERROR(SEARCH("库存",AS19)))</formula>
    </cfRule>
  </conditionalFormatting>
  <conditionalFormatting sqref="AS20">
    <cfRule type="cellIs" dxfId="0" priority="154" operator="lessThan">
      <formula>20</formula>
    </cfRule>
    <cfRule type="cellIs" dxfId="1" priority="98" operator="greaterThan">
      <formula>120</formula>
    </cfRule>
    <cfRule type="containsText" dxfId="3" priority="42" operator="between" text="库存">
      <formula>NOT(ISERROR(SEARCH("库存",AS20)))</formula>
    </cfRule>
  </conditionalFormatting>
  <conditionalFormatting sqref="AS21">
    <cfRule type="cellIs" dxfId="0" priority="153" operator="lessThan">
      <formula>20</formula>
    </cfRule>
    <cfRule type="cellIs" dxfId="1" priority="97" operator="greaterThan">
      <formula>120</formula>
    </cfRule>
    <cfRule type="containsText" dxfId="3" priority="41" operator="between" text="库存">
      <formula>NOT(ISERROR(SEARCH("库存",AS21)))</formula>
    </cfRule>
  </conditionalFormatting>
  <conditionalFormatting sqref="AS22">
    <cfRule type="cellIs" dxfId="0" priority="152" operator="lessThan">
      <formula>20</formula>
    </cfRule>
    <cfRule type="cellIs" dxfId="1" priority="96" operator="greaterThan">
      <formula>120</formula>
    </cfRule>
    <cfRule type="containsText" dxfId="3" priority="40" operator="between" text="库存">
      <formula>NOT(ISERROR(SEARCH("库存",AS22)))</formula>
    </cfRule>
  </conditionalFormatting>
  <conditionalFormatting sqref="AS23">
    <cfRule type="cellIs" dxfId="0" priority="151" operator="lessThan">
      <formula>20</formula>
    </cfRule>
    <cfRule type="cellIs" dxfId="1" priority="95" operator="greaterThan">
      <formula>120</formula>
    </cfRule>
    <cfRule type="containsText" dxfId="3" priority="39" operator="between" text="库存">
      <formula>NOT(ISERROR(SEARCH("库存",AS23)))</formula>
    </cfRule>
  </conditionalFormatting>
  <conditionalFormatting sqref="AS24">
    <cfRule type="cellIs" dxfId="0" priority="150" operator="lessThan">
      <formula>20</formula>
    </cfRule>
    <cfRule type="cellIs" dxfId="1" priority="94" operator="greaterThan">
      <formula>120</formula>
    </cfRule>
    <cfRule type="containsText" dxfId="3" priority="38" operator="between" text="库存">
      <formula>NOT(ISERROR(SEARCH("库存",AS24)))</formula>
    </cfRule>
  </conditionalFormatting>
  <conditionalFormatting sqref="AS25">
    <cfRule type="cellIs" dxfId="0" priority="149" operator="lessThan">
      <formula>20</formula>
    </cfRule>
    <cfRule type="cellIs" dxfId="1" priority="93" operator="greaterThan">
      <formula>120</formula>
    </cfRule>
    <cfRule type="containsText" dxfId="3" priority="37" operator="between" text="库存">
      <formula>NOT(ISERROR(SEARCH("库存",AS25)))</formula>
    </cfRule>
  </conditionalFormatting>
  <conditionalFormatting sqref="AS26">
    <cfRule type="cellIs" dxfId="0" priority="148" operator="lessThan">
      <formula>20</formula>
    </cfRule>
    <cfRule type="cellIs" dxfId="1" priority="92" operator="greaterThan">
      <formula>120</formula>
    </cfRule>
    <cfRule type="containsText" dxfId="3" priority="36" operator="between" text="库存">
      <formula>NOT(ISERROR(SEARCH("库存",AS26)))</formula>
    </cfRule>
  </conditionalFormatting>
  <conditionalFormatting sqref="AS27">
    <cfRule type="cellIs" dxfId="0" priority="147" operator="lessThan">
      <formula>20</formula>
    </cfRule>
    <cfRule type="cellIs" dxfId="1" priority="91" operator="greaterThan">
      <formula>120</formula>
    </cfRule>
    <cfRule type="containsText" dxfId="3" priority="35" operator="between" text="库存">
      <formula>NOT(ISERROR(SEARCH("库存",AS27)))</formula>
    </cfRule>
  </conditionalFormatting>
  <conditionalFormatting sqref="AS28">
    <cfRule type="cellIs" dxfId="0" priority="146" operator="lessThan">
      <formula>20</formula>
    </cfRule>
    <cfRule type="cellIs" dxfId="1" priority="90" operator="greaterThan">
      <formula>120</formula>
    </cfRule>
    <cfRule type="containsText" dxfId="3" priority="34" operator="between" text="库存">
      <formula>NOT(ISERROR(SEARCH("库存",AS28)))</formula>
    </cfRule>
  </conditionalFormatting>
  <conditionalFormatting sqref="AS29">
    <cfRule type="cellIs" dxfId="0" priority="145" operator="lessThan">
      <formula>20</formula>
    </cfRule>
    <cfRule type="cellIs" dxfId="1" priority="89" operator="greaterThan">
      <formula>120</formula>
    </cfRule>
    <cfRule type="containsText" dxfId="3" priority="33" operator="between" text="库存">
      <formula>NOT(ISERROR(SEARCH("库存",AS29)))</formula>
    </cfRule>
  </conditionalFormatting>
  <conditionalFormatting sqref="AS30">
    <cfRule type="cellIs" dxfId="0" priority="144" operator="lessThan">
      <formula>20</formula>
    </cfRule>
    <cfRule type="cellIs" dxfId="1" priority="88" operator="greaterThan">
      <formula>120</formula>
    </cfRule>
    <cfRule type="containsText" dxfId="3" priority="32" operator="between" text="库存">
      <formula>NOT(ISERROR(SEARCH("库存",AS30)))</formula>
    </cfRule>
  </conditionalFormatting>
  <conditionalFormatting sqref="AS31">
    <cfRule type="cellIs" dxfId="0" priority="143" operator="lessThan">
      <formula>20</formula>
    </cfRule>
    <cfRule type="cellIs" dxfId="1" priority="87" operator="greaterThan">
      <formula>120</formula>
    </cfRule>
    <cfRule type="containsText" dxfId="3" priority="31" operator="between" text="库存">
      <formula>NOT(ISERROR(SEARCH("库存",AS31)))</formula>
    </cfRule>
  </conditionalFormatting>
  <conditionalFormatting sqref="AS32">
    <cfRule type="cellIs" dxfId="0" priority="142" operator="lessThan">
      <formula>20</formula>
    </cfRule>
    <cfRule type="cellIs" dxfId="1" priority="86" operator="greaterThan">
      <formula>120</formula>
    </cfRule>
    <cfRule type="containsText" dxfId="3" priority="30" operator="between" text="库存">
      <formula>NOT(ISERROR(SEARCH("库存",AS32)))</formula>
    </cfRule>
  </conditionalFormatting>
  <conditionalFormatting sqref="AS33">
    <cfRule type="cellIs" dxfId="0" priority="141" operator="lessThan">
      <formula>20</formula>
    </cfRule>
    <cfRule type="cellIs" dxfId="1" priority="85" operator="greaterThan">
      <formula>120</formula>
    </cfRule>
    <cfRule type="containsText" dxfId="3" priority="29" operator="between" text="库存">
      <formula>NOT(ISERROR(SEARCH("库存",AS33)))</formula>
    </cfRule>
  </conditionalFormatting>
  <conditionalFormatting sqref="AS34">
    <cfRule type="cellIs" dxfId="0" priority="140" operator="lessThan">
      <formula>20</formula>
    </cfRule>
    <cfRule type="cellIs" dxfId="1" priority="84" operator="greaterThan">
      <formula>120</formula>
    </cfRule>
    <cfRule type="containsText" dxfId="3" priority="28" operator="between" text="库存">
      <formula>NOT(ISERROR(SEARCH("库存",AS34)))</formula>
    </cfRule>
  </conditionalFormatting>
  <conditionalFormatting sqref="AS35">
    <cfRule type="cellIs" dxfId="0" priority="139" operator="lessThan">
      <formula>20</formula>
    </cfRule>
    <cfRule type="cellIs" dxfId="1" priority="83" operator="greaterThan">
      <formula>120</formula>
    </cfRule>
    <cfRule type="containsText" dxfId="3" priority="27" operator="between" text="库存">
      <formula>NOT(ISERROR(SEARCH("库存",AS35)))</formula>
    </cfRule>
  </conditionalFormatting>
  <conditionalFormatting sqref="AS36">
    <cfRule type="cellIs" dxfId="0" priority="138" operator="lessThan">
      <formula>20</formula>
    </cfRule>
    <cfRule type="cellIs" dxfId="1" priority="82" operator="greaterThan">
      <formula>120</formula>
    </cfRule>
    <cfRule type="containsText" dxfId="3" priority="26" operator="between" text="库存">
      <formula>NOT(ISERROR(SEARCH("库存",AS36)))</formula>
    </cfRule>
  </conditionalFormatting>
  <conditionalFormatting sqref="AS37">
    <cfRule type="cellIs" dxfId="0" priority="137" operator="lessThan">
      <formula>20</formula>
    </cfRule>
    <cfRule type="cellIs" dxfId="1" priority="81" operator="greaterThan">
      <formula>120</formula>
    </cfRule>
    <cfRule type="containsText" dxfId="3" priority="25" operator="between" text="库存">
      <formula>NOT(ISERROR(SEARCH("库存",AS37)))</formula>
    </cfRule>
  </conditionalFormatting>
  <conditionalFormatting sqref="AS38">
    <cfRule type="cellIs" dxfId="0" priority="136" operator="lessThan">
      <formula>20</formula>
    </cfRule>
    <cfRule type="cellIs" dxfId="1" priority="80" operator="greaterThan">
      <formula>120</formula>
    </cfRule>
    <cfRule type="containsText" dxfId="3" priority="24" operator="between" text="库存">
      <formula>NOT(ISERROR(SEARCH("库存",AS38)))</formula>
    </cfRule>
  </conditionalFormatting>
  <conditionalFormatting sqref="AS39">
    <cfRule type="cellIs" dxfId="0" priority="135" operator="lessThan">
      <formula>20</formula>
    </cfRule>
    <cfRule type="cellIs" dxfId="1" priority="79" operator="greaterThan">
      <formula>120</formula>
    </cfRule>
    <cfRule type="containsText" dxfId="3" priority="23" operator="between" text="库存">
      <formula>NOT(ISERROR(SEARCH("库存",AS39)))</formula>
    </cfRule>
  </conditionalFormatting>
  <conditionalFormatting sqref="AS40">
    <cfRule type="cellIs" dxfId="0" priority="134" operator="lessThan">
      <formula>20</formula>
    </cfRule>
    <cfRule type="cellIs" dxfId="1" priority="78" operator="greaterThan">
      <formula>120</formula>
    </cfRule>
    <cfRule type="containsText" dxfId="3" priority="22" operator="between" text="库存">
      <formula>NOT(ISERROR(SEARCH("库存",AS40)))</formula>
    </cfRule>
  </conditionalFormatting>
  <conditionalFormatting sqref="AS41">
    <cfRule type="cellIs" dxfId="0" priority="133" operator="lessThan">
      <formula>20</formula>
    </cfRule>
    <cfRule type="cellIs" dxfId="1" priority="77" operator="greaterThan">
      <formula>120</formula>
    </cfRule>
    <cfRule type="containsText" dxfId="3" priority="21" operator="between" text="库存">
      <formula>NOT(ISERROR(SEARCH("库存",AS41)))</formula>
    </cfRule>
  </conditionalFormatting>
  <conditionalFormatting sqref="AS42">
    <cfRule type="cellIs" dxfId="0" priority="132" operator="lessThan">
      <formula>20</formula>
    </cfRule>
    <cfRule type="cellIs" dxfId="1" priority="76" operator="greaterThan">
      <formula>120</formula>
    </cfRule>
    <cfRule type="containsText" dxfId="3" priority="20" operator="between" text="库存">
      <formula>NOT(ISERROR(SEARCH("库存",AS42)))</formula>
    </cfRule>
  </conditionalFormatting>
  <conditionalFormatting sqref="AS43">
    <cfRule type="cellIs" dxfId="0" priority="131" operator="lessThan">
      <formula>20</formula>
    </cfRule>
    <cfRule type="cellIs" dxfId="1" priority="75" operator="greaterThan">
      <formula>120</formula>
    </cfRule>
    <cfRule type="containsText" dxfId="3" priority="19" operator="between" text="库存">
      <formula>NOT(ISERROR(SEARCH("库存",AS43)))</formula>
    </cfRule>
  </conditionalFormatting>
  <conditionalFormatting sqref="AS44">
    <cfRule type="cellIs" dxfId="0" priority="130" operator="lessThan">
      <formula>20</formula>
    </cfRule>
    <cfRule type="cellIs" dxfId="1" priority="74" operator="greaterThan">
      <formula>120</formula>
    </cfRule>
    <cfRule type="containsText" dxfId="3" priority="18" operator="between" text="库存">
      <formula>NOT(ISERROR(SEARCH("库存",AS44)))</formula>
    </cfRule>
  </conditionalFormatting>
  <conditionalFormatting sqref="AS45">
    <cfRule type="cellIs" dxfId="0" priority="129" operator="lessThan">
      <formula>20</formula>
    </cfRule>
    <cfRule type="cellIs" dxfId="1" priority="73" operator="greaterThan">
      <formula>120</formula>
    </cfRule>
    <cfRule type="containsText" dxfId="3" priority="17" operator="between" text="库存">
      <formula>NOT(ISERROR(SEARCH("库存",AS45)))</formula>
    </cfRule>
  </conditionalFormatting>
  <conditionalFormatting sqref="AS46">
    <cfRule type="cellIs" dxfId="0" priority="128" operator="lessThan">
      <formula>20</formula>
    </cfRule>
    <cfRule type="cellIs" dxfId="1" priority="72" operator="greaterThan">
      <formula>120</formula>
    </cfRule>
    <cfRule type="containsText" dxfId="3" priority="16" operator="between" text="库存">
      <formula>NOT(ISERROR(SEARCH("库存",AS46)))</formula>
    </cfRule>
  </conditionalFormatting>
  <conditionalFormatting sqref="AS47">
    <cfRule type="cellIs" dxfId="0" priority="127" operator="lessThan">
      <formula>20</formula>
    </cfRule>
    <cfRule type="cellIs" dxfId="1" priority="71" operator="greaterThan">
      <formula>120</formula>
    </cfRule>
    <cfRule type="containsText" dxfId="3" priority="15" operator="between" text="库存">
      <formula>NOT(ISERROR(SEARCH("库存",AS47)))</formula>
    </cfRule>
  </conditionalFormatting>
  <conditionalFormatting sqref="AS48">
    <cfRule type="cellIs" dxfId="0" priority="126" operator="lessThan">
      <formula>20</formula>
    </cfRule>
    <cfRule type="cellIs" dxfId="1" priority="70" operator="greaterThan">
      <formula>120</formula>
    </cfRule>
    <cfRule type="containsText" dxfId="3" priority="14" operator="between" text="库存">
      <formula>NOT(ISERROR(SEARCH("库存",AS48)))</formula>
    </cfRule>
  </conditionalFormatting>
  <conditionalFormatting sqref="AS49">
    <cfRule type="cellIs" dxfId="0" priority="125" operator="lessThan">
      <formula>20</formula>
    </cfRule>
    <cfRule type="cellIs" dxfId="1" priority="69" operator="greaterThan">
      <formula>120</formula>
    </cfRule>
    <cfRule type="containsText" dxfId="3" priority="13" operator="between" text="库存">
      <formula>NOT(ISERROR(SEARCH("库存",AS49)))</formula>
    </cfRule>
  </conditionalFormatting>
  <conditionalFormatting sqref="AS50">
    <cfRule type="cellIs" dxfId="0" priority="124" operator="lessThan">
      <formula>20</formula>
    </cfRule>
    <cfRule type="cellIs" dxfId="1" priority="68" operator="greaterThan">
      <formula>120</formula>
    </cfRule>
    <cfRule type="containsText" dxfId="3" priority="12" operator="between" text="库存">
      <formula>NOT(ISERROR(SEARCH("库存",AS50)))</formula>
    </cfRule>
  </conditionalFormatting>
  <conditionalFormatting sqref="AS51">
    <cfRule type="cellIs" dxfId="0" priority="123" operator="lessThan">
      <formula>20</formula>
    </cfRule>
    <cfRule type="cellIs" dxfId="1" priority="67" operator="greaterThan">
      <formula>120</formula>
    </cfRule>
    <cfRule type="containsText" dxfId="3" priority="11" operator="between" text="库存">
      <formula>NOT(ISERROR(SEARCH("库存",AS51)))</formula>
    </cfRule>
  </conditionalFormatting>
  <conditionalFormatting sqref="AS52">
    <cfRule type="cellIs" dxfId="0" priority="122" operator="lessThan">
      <formula>20</formula>
    </cfRule>
    <cfRule type="cellIs" dxfId="1" priority="66" operator="greaterThan">
      <formula>120</formula>
    </cfRule>
    <cfRule type="containsText" dxfId="3" priority="10" operator="between" text="库存">
      <formula>NOT(ISERROR(SEARCH("库存",AS52)))</formula>
    </cfRule>
  </conditionalFormatting>
  <conditionalFormatting sqref="AS53">
    <cfRule type="cellIs" dxfId="0" priority="121" operator="lessThan">
      <formula>20</formula>
    </cfRule>
    <cfRule type="cellIs" dxfId="1" priority="65" operator="greaterThan">
      <formula>120</formula>
    </cfRule>
    <cfRule type="containsText" dxfId="3" priority="9" operator="between" text="库存">
      <formula>NOT(ISERROR(SEARCH("库存",AS53)))</formula>
    </cfRule>
  </conditionalFormatting>
  <conditionalFormatting sqref="AS54">
    <cfRule type="cellIs" dxfId="0" priority="120" operator="lessThan">
      <formula>20</formula>
    </cfRule>
    <cfRule type="cellIs" dxfId="1" priority="64" operator="greaterThan">
      <formula>120</formula>
    </cfRule>
    <cfRule type="containsText" dxfId="3" priority="8" operator="between" text="库存">
      <formula>NOT(ISERROR(SEARCH("库存",AS54)))</formula>
    </cfRule>
  </conditionalFormatting>
  <conditionalFormatting sqref="AS55">
    <cfRule type="cellIs" dxfId="0" priority="119" operator="lessThan">
      <formula>20</formula>
    </cfRule>
    <cfRule type="cellIs" dxfId="1" priority="63" operator="greaterThan">
      <formula>120</formula>
    </cfRule>
    <cfRule type="containsText" dxfId="3" priority="7" operator="between" text="库存">
      <formula>NOT(ISERROR(SEARCH("库存",AS55)))</formula>
    </cfRule>
  </conditionalFormatting>
  <conditionalFormatting sqref="AS56">
    <cfRule type="cellIs" dxfId="0" priority="118" operator="lessThan">
      <formula>20</formula>
    </cfRule>
    <cfRule type="cellIs" dxfId="1" priority="62" operator="greaterThan">
      <formula>120</formula>
    </cfRule>
    <cfRule type="containsText" dxfId="3" priority="6" operator="between" text="库存">
      <formula>NOT(ISERROR(SEARCH("库存",AS56)))</formula>
    </cfRule>
  </conditionalFormatting>
  <conditionalFormatting sqref="AS57">
    <cfRule type="cellIs" dxfId="0" priority="117" operator="lessThan">
      <formula>20</formula>
    </cfRule>
    <cfRule type="cellIs" dxfId="1" priority="61" operator="greaterThan">
      <formula>120</formula>
    </cfRule>
    <cfRule type="containsText" dxfId="3" priority="5" operator="between" text="库存">
      <formula>NOT(ISERROR(SEARCH("库存",AS57)))</formula>
    </cfRule>
  </conditionalFormatting>
  <conditionalFormatting sqref="AS58">
    <cfRule type="cellIs" dxfId="0" priority="116" operator="lessThan">
      <formula>20</formula>
    </cfRule>
    <cfRule type="cellIs" dxfId="1" priority="60" operator="greaterThan">
      <formula>120</formula>
    </cfRule>
    <cfRule type="containsText" dxfId="3" priority="4" operator="between" text="库存">
      <formula>NOT(ISERROR(SEARCH("库存",AS58)))</formula>
    </cfRule>
  </conditionalFormatting>
  <conditionalFormatting sqref="AS59">
    <cfRule type="cellIs" dxfId="0" priority="115" operator="lessThan">
      <formula>20</formula>
    </cfRule>
    <cfRule type="cellIs" dxfId="1" priority="59" operator="greaterThan">
      <formula>120</formula>
    </cfRule>
    <cfRule type="containsText" dxfId="3" priority="3" operator="between" text="库存">
      <formula>NOT(ISERROR(SEARCH("库存",AS59)))</formula>
    </cfRule>
  </conditionalFormatting>
  <conditionalFormatting sqref="AS60">
    <cfRule type="cellIs" dxfId="0" priority="114" operator="lessThan">
      <formula>20</formula>
    </cfRule>
    <cfRule type="cellIs" dxfId="1" priority="58" operator="greaterThan">
      <formula>120</formula>
    </cfRule>
    <cfRule type="containsText" dxfId="3" priority="2" operator="between" text="库存">
      <formula>NOT(ISERROR(SEARCH("库存",AS60)))</formula>
    </cfRule>
  </conditionalFormatting>
  <conditionalFormatting sqref="AS61">
    <cfRule type="cellIs" dxfId="0" priority="113" operator="lessThan">
      <formula>20</formula>
    </cfRule>
    <cfRule type="cellIs" dxfId="1" priority="57" operator="greaterThan">
      <formula>120</formula>
    </cfRule>
    <cfRule type="containsText" dxfId="3" priority="1" operator="between" text="库存">
      <formula>NOT(ISERROR(SEARCH("库存",AS61)))</formula>
    </cfRule>
  </conditionalFormatting>
  <conditionalFormatting sqref="AS1 AS3:AS5 AS62:AS1048576">
    <cfRule type="cellIs" dxfId="0" priority="2448" operator="lessThan">
      <formula>20</formula>
    </cfRule>
    <cfRule type="cellIs" dxfId="1" priority="2447" operator="greaterThan">
      <formula>120</formula>
    </cfRule>
    <cfRule type="containsText" dxfId="3" priority="2446" operator="between" text="库存">
      <formula>NOT(ISERROR(SEARCH("库存",AS1)))</formula>
    </cfRule>
  </conditionalFormatting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r:id="rId4">
            <anchor moveWithCells="1">
              <from>
                <xdr:col>46</xdr:col>
                <xdr:colOff>0</xdr:colOff>
                <xdr:row>1</xdr:row>
                <xdr:rowOff>0</xdr:rowOff>
              </from>
              <to>
                <xdr:col>47</xdr:col>
                <xdr:colOff>10160</xdr:colOff>
                <xdr:row>3</xdr:row>
                <xdr:rowOff>0</xdr:rowOff>
              </to>
            </anchor>
          </controlPr>
        </control>
      </mc:Choice>
      <mc:Fallback>
        <control shapeId="3073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workbookViewId="0">
      <selection activeCell="D11" sqref="D11"/>
    </sheetView>
  </sheetViews>
  <sheetFormatPr defaultColWidth="9" defaultRowHeight="14.25" outlineLevelCol="1"/>
  <cols>
    <col min="1" max="1" width="21.375" customWidth="1"/>
    <col min="2" max="2" width="14.5" customWidth="1"/>
  </cols>
  <sheetData>
    <row r="1" spans="1:2">
      <c r="A1" t="s">
        <v>1500</v>
      </c>
      <c r="B1" s="1">
        <f>B12</f>
        <v>43290</v>
      </c>
    </row>
    <row r="2" spans="1:2">
      <c r="A2" t="s">
        <v>1501</v>
      </c>
      <c r="B2" s="1">
        <v>43317</v>
      </c>
    </row>
    <row r="4" spans="1:2">
      <c r="A4" t="s">
        <v>1502</v>
      </c>
      <c r="B4" s="2">
        <f>B2+1</f>
        <v>43318</v>
      </c>
    </row>
    <row r="5" spans="1:2">
      <c r="A5" t="s">
        <v>1503</v>
      </c>
      <c r="B5" s="3">
        <f>B2</f>
        <v>43317</v>
      </c>
    </row>
    <row r="6" spans="1:2">
      <c r="A6" t="s">
        <v>1504</v>
      </c>
      <c r="B6" s="2">
        <f>B5-6</f>
        <v>43311</v>
      </c>
    </row>
    <row r="7" spans="1:2">
      <c r="A7" t="s">
        <v>1505</v>
      </c>
      <c r="B7" s="2">
        <f>B5-7</f>
        <v>43310</v>
      </c>
    </row>
    <row r="8" spans="1:2">
      <c r="A8" t="s">
        <v>1506</v>
      </c>
      <c r="B8" s="2">
        <f>B5-13</f>
        <v>43304</v>
      </c>
    </row>
    <row r="9" spans="1:2">
      <c r="A9" t="s">
        <v>1507</v>
      </c>
      <c r="B9" s="2">
        <f>B5-14</f>
        <v>43303</v>
      </c>
    </row>
    <row r="10" spans="1:2">
      <c r="A10" t="s">
        <v>1508</v>
      </c>
      <c r="B10" s="2">
        <f>B5-20</f>
        <v>43297</v>
      </c>
    </row>
    <row r="11" spans="1:2">
      <c r="A11" t="s">
        <v>1509</v>
      </c>
      <c r="B11" s="2">
        <f>B5-21</f>
        <v>43296</v>
      </c>
    </row>
    <row r="12" spans="1:2">
      <c r="A12" t="s">
        <v>1510</v>
      </c>
      <c r="B12" s="2">
        <f>B5-27</f>
        <v>43290</v>
      </c>
    </row>
  </sheetData>
  <pageMargins left="0.75" right="0.75" top="1" bottom="1" header="0.511805555555556" footer="0.511805555555556"/>
  <pageSetup paperSize="9" orientation="portrait" horizontalDpi="360" verticalDpi="360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2</xdr:col>
                <xdr:colOff>676275</xdr:colOff>
                <xdr:row>2</xdr:row>
                <xdr:rowOff>19050</xdr:rowOff>
              </from>
              <to>
                <xdr:col>4</xdr:col>
                <xdr:colOff>676275</xdr:colOff>
                <xdr:row>3</xdr:row>
                <xdr:rowOff>171450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库存（子SKU）</vt:lpstr>
      <vt:lpstr>库存（父sku）</vt:lpstr>
      <vt:lpstr>时间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2017-11-06T03:08:00Z</dcterms:created>
  <dcterms:modified xsi:type="dcterms:W3CDTF">2018-08-07T09:16:22Z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2052-10.1.0.7469</vt:lpwstr>
  </property>
  <property fmtid="{D5CDD505-2E9C-101B-9397-08002B2CF9AE}" pid="3" name="WorkbookGuid">
    <vt:lpwstr>19d24f30-ef60-4b42-98f5-fce538e27b74</vt:lpwstr>
  </property>
  <property fmtid="{D5CDD505-2E9C-101B-9397-08002B2CF9AE}" pid="4" name="KSOReadingLayout">
    <vt:bool>true</vt:bool>
  </property>
</Properties>
</file>